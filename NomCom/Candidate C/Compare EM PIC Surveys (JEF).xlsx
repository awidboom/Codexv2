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barr.sharepoint.com/sites/PICdev/EM/Shared Documents/2026 Nominating Committee - SECURED/EM Officer Surveys/"/>
    </mc:Choice>
  </mc:AlternateContent>
  <xr:revisionPtr revIDLastSave="0" documentId="8_{5A2187D9-0E2A-4EA3-94C8-52D9409A194B}" xr6:coauthVersionLast="47" xr6:coauthVersionMax="47" xr10:uidLastSave="{00000000-0000-0000-0000-000000000000}"/>
  <bookViews>
    <workbookView xWindow="30165" yWindow="375" windowWidth="26745" windowHeight="14745" xr2:uid="{8EC9082B-1A61-4CF1-9C70-D9745AAA11B9}"/>
  </bookViews>
  <sheets>
    <sheet name="Survey Results" sheetId="1" r:id="rId1"/>
  </sheets>
  <definedNames>
    <definedName name="_xlnm._FilterDatabase" localSheetId="0" hidden="1">'Survey Results'!$A$2:$F$30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1" l="1"/>
  <c r="F41" i="1"/>
  <c r="F40" i="1"/>
  <c r="F39" i="1"/>
  <c r="F37" i="1"/>
  <c r="F36" i="1"/>
  <c r="C38" i="1"/>
  <c r="F42" i="1" l="1"/>
  <c r="C36" i="1"/>
  <c r="C37" i="1"/>
  <c r="C39" i="1"/>
  <c r="C40" i="1"/>
  <c r="C41" i="1"/>
  <c r="C42" i="1" l="1"/>
</calcChain>
</file>

<file path=xl/sharedStrings.xml><?xml version="1.0" encoding="utf-8"?>
<sst xmlns="http://schemas.openxmlformats.org/spreadsheetml/2006/main" count="147" uniqueCount="84">
  <si>
    <t>Maybe</t>
  </si>
  <si>
    <t>No response</t>
  </si>
  <si>
    <t>No line of sight</t>
  </si>
  <si>
    <t>No</t>
  </si>
  <si>
    <t>Yes</t>
  </si>
  <si>
    <t>TMR</t>
  </si>
  <si>
    <t>TMF</t>
  </si>
  <si>
    <t>TLK2</t>
  </si>
  <si>
    <t>TAK</t>
  </si>
  <si>
    <t>RPT</t>
  </si>
  <si>
    <t>RDS</t>
  </si>
  <si>
    <t>RCH2</t>
  </si>
  <si>
    <t>RAS</t>
  </si>
  <si>
    <t>NBN</t>
  </si>
  <si>
    <t>KEH</t>
  </si>
  <si>
    <t>KAA2</t>
  </si>
  <si>
    <t>JPB</t>
  </si>
  <si>
    <t>JDB</t>
  </si>
  <si>
    <t>JAT</t>
  </si>
  <si>
    <t>ELB</t>
  </si>
  <si>
    <t>CPT</t>
  </si>
  <si>
    <t>CDM</t>
  </si>
  <si>
    <t>BPG</t>
  </si>
  <si>
    <t>BMR</t>
  </si>
  <si>
    <t>ARM3</t>
  </si>
  <si>
    <t>AMS</t>
  </si>
  <si>
    <t>ALO2</t>
  </si>
  <si>
    <t>ACD</t>
  </si>
  <si>
    <t>AAW</t>
  </si>
  <si>
    <t>Total</t>
  </si>
  <si>
    <t>N/A</t>
  </si>
  <si>
    <t>SES2</t>
  </si>
  <si>
    <t>JMH3</t>
  </si>
  <si>
    <t>MJN</t>
  </si>
  <si>
    <t>PJF2</t>
  </si>
  <si>
    <t>Based on coaching team recommendation and lack of content in long form</t>
  </si>
  <si>
    <t>I'd like an update on developmental items over the last year.</t>
  </si>
  <si>
    <t>Just getting started on long form &amp; development</t>
  </si>
  <si>
    <t>Joanne has been an important contributor to our integration efforts in the years since the Marquez acquisition.  Joanne's early and sustained efforts to be part of Barr have been foundational in our success in the Denver and broader inter-mountain west market. I also think that we "need" Principal officer leadership in residence in Denver.  I am willing to trust the recommendation of the coaching team and colleagues that have a more direct line of site or experience working with Joanne.</t>
  </si>
  <si>
    <t>I think it's unlikely it will make sense in this first round, but am open to learning more about Joanne in her long form. She and I spoke last year and talked about ways she could show her growth by pushing responsibility/ownership downward on her teams and acting as a leader in the Denver office. Not saying she doesn't do these things to an extent now, but feel these would be high value to Joanne and to her teams if she could continue to progress on them.</t>
  </si>
  <si>
    <t>I've had very little interaction with Joanne. I look forward to reading her long form once drafted and having at least a call with her to get to know her better.</t>
  </si>
  <si>
    <t>I dont know Joanne but could rely on others judgement of her qualifications for PIC role.</t>
  </si>
  <si>
    <t>Not yet. After talking with Joanne and also with her coach, I think they are just getting into the development objectives. I expect progress to be made in 2026.</t>
  </si>
  <si>
    <t>Looks to still be a work in progress, would like to see the long form more fully developed to tell the stories, and demonstrate progress relative to development goals.</t>
  </si>
  <si>
    <t>Leader in the Denver office, strategic thinking, team development, supporting new services (e.g. CVS assessments), commitment to clients.</t>
  </si>
  <si>
    <t>Would like to have a conversation with her or other officers that know her.</t>
  </si>
  <si>
    <t>Recently entered the pipeline and may benefit from additional time to become a more established entity among the other EM officers. I have heard very positive comments regarding her standing as a leader in the Den O&amp;G team and her willingness to invest/mentor/support growing project managers. I have heard that she has been involved in pursuing non-O&amp;G air work in the Denver area (e.g., Xcel and a few others). I would like to see continued growth with her continuing to step up as the face of the Denver team and helping them diversify (especially, if crude price drops in 2026 and continued advancement of AI/digitial maturity reduces O&amp;G workload).</t>
  </si>
  <si>
    <t>My line of sight has been with Western Sugar Coop and could use further development around application of best project management practices (effective change management), maintaining strong client relationships (understanding and attention to client's needs)</t>
  </si>
  <si>
    <t>Joanne is a strong candidate but needs more time to fully develop her long form and address the identified development goals including diversifying her client base, moving forward non-urgent tasks and leadership where she is not the expert.  I'm working with Joanne on the QA/QC initiative for the AQPC PG and think this would be a good opportunity for her to show leadership and balance this more "non-urgent" project with client work to move it forward.</t>
  </si>
  <si>
    <t>It's still early in the PIC pipeline process for Joanne, having entered in July of this year. While her coaching team has solicited feedback from many of her colleagues and no red flags have been identified, I think it will take another cycle to identify and address her development needs. Joanne's "long form" exists as a preliminary draft currently and the intent is for her to work on populating it fully before the end of 2025. I support Joanne remaining in the PIC pipeline for a second cycle.</t>
  </si>
  <si>
    <t>Need to see more client/project diversification and additional input on Joanne's leadership roles/efforts within the Denver team and overall within Barr.</t>
  </si>
  <si>
    <t>I need to have better idea of what she is doing,  will review her file</t>
  </si>
  <si>
    <t>Joanne has identified her development items, and needs time to show development and improvement towards them. I am hopeful that she can show that progress throughout 2026, but it will be up to her.   Specific areas for her: Planning - Work with the project manager and team as appropriate to establish initial project strategies, then monitor the project, adjust as needed, and verify that staff understand project goals and objectives.  Project and Risk Management -Monitor scope, schedule, and budget against the agreement and take timely corrective action, if necessary. -Review and execute project contracts, ensuring that appropriate contracts are in place and project risks are appropriately mitigated.</t>
  </si>
  <si>
    <t>She is in first cycle and still finalizing development goals -  i am optimistic once those are cemented, she will make progress.</t>
  </si>
  <si>
    <t>Improvement in position, Nov-2025 to Nov-2026</t>
  </si>
  <si>
    <t>Worsening of position, Nov-2025 to Nov-2026</t>
  </si>
  <si>
    <t>Would you nominate Joanne into the pipeline in 2024?</t>
  </si>
  <si>
    <t>What is your rationale for supporting or not supporting Joanne's entry to the pipeline?</t>
  </si>
  <si>
    <t>Provide at least one development need for Joanne</t>
  </si>
  <si>
    <t>Would you support the nomination of Joanne as an officer in 2026?</t>
  </si>
  <si>
    <t>Please provide additional information if you indicated "No" or have anything else to share regarding your view on Joanne's 2025 potential nomination:</t>
  </si>
  <si>
    <t>My second-hand knowledge through other PICs is that she takes ownership of our client business and is a positive influence on the Denver team, and we certainly would like a Denver EM PIC.</t>
  </si>
  <si>
    <t xml:space="preserve">Joanne has emerged in a leadership role in Denver and maintains consistently high LFAR with lower variances. She's improved financial hygiene over the last year and expanded her project works outside of O&amp;G.   </t>
  </si>
  <si>
    <t>Joanne has made good strides to working into Barr's consulting model after several years of difficulty. She has a group of staff that support her projects and has reached out to other experts when necessary.</t>
  </si>
  <si>
    <t>Leader in Denver. SME for CO regs. Respected by clients.</t>
  </si>
  <si>
    <t>Joanne has shown the ability to act as a leader within the Denver office.</t>
  </si>
  <si>
    <t xml:space="preserve">Viewed as leader across project teams, go to contact by clients </t>
  </si>
  <si>
    <t>I do not have direct project experience with Joanne, but I did work closely with her on an EM training week course last year and I was very impressed. She was thoughtful and you could tell that her DEN colleagues really value her opinion, and she was invested in them (personally and professionally). She has strong LFAR metrics and I have heard stories of her passing off opportunities for others, while continuing to stay invested in their success.</t>
  </si>
  <si>
    <t xml:space="preserve">Well leveraged on her project teams. Good sense of business direction (e.g., TX PE to supported CVS projects). Respected by junior staff and Joanne provides positive leadership to the team; also respected as a leader by clients. </t>
  </si>
  <si>
    <t xml:space="preserve">Has demonstrated bigger picture strategic thinking with respect to project and client pursuits, projects, and internal initiatives. Strong client relationships and client service, technical skills, team and staff development. Embraces and conveys Barr culture. </t>
  </si>
  <si>
    <t>Joanne has been working for years to increase her leverage, and that work is paying off. For her largest client (Terra) she has been able to take on a role to lead and coordinate among Project Managers who lead projects and tasks she once lead, giving her space to lead proposals in new industries (for her) and grow as an auditor._x000D_
_x000D_
The Denver team looks to her as a leader no matter her formal leadership role (or lack thereof)</t>
  </si>
  <si>
    <t xml:space="preserve">Solid, enduring leadership for our EM practice in Denver.  Joanne was among the first to "get onboard" with Barr following the Marquez environmental acquisition.  </t>
  </si>
  <si>
    <t xml:space="preserve">Significant development needs under Officer criteria 1 and 2, and PIC criteria 1, 3, and 4. </t>
  </si>
  <si>
    <t>Demonstration of brand building in this sector at trade association meetings and conferences. _x000D_
_x000D_
Broaden reach with PICs on her skills that transfer to other clients or to otherwise share where other PICs/teams can support her business in the O&amp;G sector.</t>
  </si>
  <si>
    <t>Continued business development with potential to grow O&amp;G while diversifying client base with strategic pursuits. _x000D_
Continued development of project teams to have PMs that can she can hand off work to.</t>
  </si>
  <si>
    <t>Joanne still suffers a little from not knowing the ins and outs of Barr and may need some different coaching to address this issue. Her consulting career and training was developed in a smaller company. It seems she might be better served to work in different sectors with other PICs to get a better feel for different approaches.</t>
  </si>
  <si>
    <t>Be more proactive on projects. I am starting my fourth project with Joanne (all are audits) and in each case it seems like the client will reach out to her with updates rather than her providing them proactively. In some cases we have ended up with hectic endings to the audit timeline to finish on time. Some of this is on the client but Joanne could be more proactive to push them for more answers.</t>
  </si>
  <si>
    <t>Don't know Joanne well enough to know areas of improvement. Not claiming she is responsible for it, but would look forward to understanding as a PM how she has identified or managed performance issues on teams  based on my staffing role (i.e., how did problems develop, should they have been identified sooner, how were you part of the solution, etc.)</t>
  </si>
  <si>
    <t>Monitor scope, schedule, and budget against the agreement and take timely corrective action, if necessary.</t>
  </si>
  <si>
    <t xml:space="preserve">Despite us being in the same PG for the last 6 years, she is not well known outside of the DEN team. A development goal could be to expand into similar services for other industries and geographies to grow her team and internal brand. </t>
  </si>
  <si>
    <t xml:space="preserve">Additional experience with proposals (esp. competitive proposals). Ensuring work she has delegated gets completed to the Barr standard. Continue driving leadership of the CO O&amp;G market and our team. </t>
  </si>
  <si>
    <t xml:space="preserve">Continue to delegate and build Terra team with new project managers and other team members. Continue doing less of the day-to-day so you can focus more on client development and new clients/opportunities. </t>
  </si>
  <si>
    <t>Be assertive, assure where her work ends and her PIC's begins. Ask larger questions beyond the narrow project engagement to assure solving the overarching issues for the client. (Example - how to best position w/ Terra's new ownership)</t>
  </si>
  <si>
    <t>I think that it will be about visibility, line of sight etc. for our EM officers.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</si>
</sst>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rgb="FF333333"/>
      <name val="Calibri"/>
      <family val="2"/>
      <scheme val="minor"/>
    </font>
    <font>
      <b/>
      <sz val="11"/>
      <color rgb="FF333333"/>
      <name val="Calibri"/>
      <family val="2"/>
      <scheme val="minor"/>
    </font>
    <font>
      <b/>
      <strike/>
      <sz val="11"/>
      <color rgb="FFFF0000"/>
      <name val="Calibri"/>
      <family val="2"/>
      <scheme val="minor"/>
    </font>
    <font>
      <b/>
      <sz val="11"/>
      <name val="Calibri"/>
      <family val="2"/>
      <scheme val="minor"/>
    </font>
  </fonts>
  <fills count="6">
    <fill>
      <patternFill patternType="none"/>
    </fill>
    <fill>
      <patternFill patternType="gray125"/>
    </fill>
    <fill>
      <patternFill patternType="solid">
        <fgColor rgb="FFFFCC99"/>
        <bgColor indexed="64"/>
      </patternFill>
    </fill>
    <fill>
      <patternFill patternType="solid">
        <fgColor rgb="FFCCFFCC"/>
        <bgColor indexed="64"/>
      </patternFill>
    </fill>
    <fill>
      <patternFill patternType="solid">
        <fgColor rgb="FFCCFFFF"/>
        <bgColor indexed="64"/>
      </patternFill>
    </fill>
    <fill>
      <patternFill patternType="solid">
        <fgColor rgb="FFFFFFCC"/>
        <bgColor indexed="64"/>
      </patternFill>
    </fill>
  </fills>
  <borders count="25">
    <border>
      <left/>
      <right/>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9" fontId="0" fillId="0" borderId="0" xfId="1" applyFont="1" applyAlignment="1">
      <alignment horizontal="center"/>
    </xf>
    <xf numFmtId="0" fontId="0" fillId="2" borderId="0" xfId="0" applyFill="1"/>
    <xf numFmtId="0" fontId="0" fillId="3" borderId="0" xfId="0" applyFill="1"/>
    <xf numFmtId="0" fontId="0" fillId="4" borderId="1"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xf>
    <xf numFmtId="0" fontId="0" fillId="4" borderId="6" xfId="0" applyFill="1" applyBorder="1" applyAlignment="1">
      <alignment vertical="top" wrapText="1"/>
    </xf>
    <xf numFmtId="0" fontId="0" fillId="4" borderId="8" xfId="0" applyFill="1" applyBorder="1" applyAlignment="1">
      <alignment vertical="top" wrapText="1"/>
    </xf>
    <xf numFmtId="0" fontId="0" fillId="4" borderId="9" xfId="0" applyFill="1" applyBorder="1" applyAlignment="1">
      <alignment vertical="top"/>
    </xf>
    <xf numFmtId="0" fontId="0" fillId="4" borderId="11" xfId="0" applyFill="1" applyBorder="1" applyAlignment="1">
      <alignment vertical="top" wrapText="1"/>
    </xf>
    <xf numFmtId="0" fontId="0" fillId="4" borderId="12" xfId="0" applyFill="1" applyBorder="1" applyAlignment="1">
      <alignment vertical="top" wrapText="1"/>
    </xf>
    <xf numFmtId="0" fontId="0" fillId="4" borderId="13" xfId="0" applyFill="1" applyBorder="1" applyAlignment="1">
      <alignment vertical="top"/>
    </xf>
    <xf numFmtId="0" fontId="4" fillId="4" borderId="17" xfId="0" applyFont="1" applyFill="1" applyBorder="1" applyAlignment="1">
      <alignment horizontal="center" vertical="top" wrapText="1"/>
    </xf>
    <xf numFmtId="0" fontId="4" fillId="4" borderId="18" xfId="0" applyFont="1" applyFill="1" applyBorder="1" applyAlignment="1">
      <alignment horizontal="center" vertical="top" wrapText="1"/>
    </xf>
    <xf numFmtId="0" fontId="4" fillId="4" borderId="16" xfId="0" applyFont="1" applyFill="1" applyBorder="1" applyAlignment="1">
      <alignment horizontal="center" vertical="top" wrapText="1"/>
    </xf>
    <xf numFmtId="0" fontId="0" fillId="0" borderId="0" xfId="0" applyAlignment="1">
      <alignment horizontal="left" vertical="top" wrapText="1"/>
    </xf>
    <xf numFmtId="0" fontId="2" fillId="0" borderId="21" xfId="0" applyFont="1" applyBorder="1"/>
    <xf numFmtId="0" fontId="0" fillId="0" borderId="13" xfId="0" applyBorder="1"/>
    <xf numFmtId="0" fontId="0" fillId="0" borderId="11" xfId="0" applyBorder="1" applyAlignment="1">
      <alignment horizontal="center"/>
    </xf>
    <xf numFmtId="0" fontId="0" fillId="0" borderId="9" xfId="0" applyBorder="1"/>
    <xf numFmtId="0" fontId="0" fillId="0" borderId="6" xfId="0" applyBorder="1" applyAlignment="1">
      <alignment horizontal="center"/>
    </xf>
    <xf numFmtId="0" fontId="0" fillId="0" borderId="16" xfId="0" applyBorder="1"/>
    <xf numFmtId="0" fontId="0" fillId="0" borderId="15" xfId="0" applyBorder="1" applyAlignment="1">
      <alignment horizontal="center"/>
    </xf>
    <xf numFmtId="0" fontId="0" fillId="0" borderId="4" xfId="0" applyBorder="1"/>
    <xf numFmtId="0" fontId="0" fillId="0" borderId="1" xfId="0" applyBorder="1" applyAlignment="1">
      <alignment horizontal="center"/>
    </xf>
    <xf numFmtId="0" fontId="2" fillId="0" borderId="22" xfId="0" applyFont="1" applyBorder="1" applyAlignment="1">
      <alignment horizontal="center"/>
    </xf>
    <xf numFmtId="0" fontId="2" fillId="0" borderId="14" xfId="0" applyFont="1" applyBorder="1" applyAlignment="1">
      <alignment vertical="top"/>
    </xf>
    <xf numFmtId="0" fontId="2" fillId="0" borderId="10" xfId="0" applyFont="1" applyBorder="1" applyAlignment="1">
      <alignment vertical="top"/>
    </xf>
    <xf numFmtId="0" fontId="5" fillId="0" borderId="10" xfId="0" applyFont="1" applyBorder="1" applyAlignment="1">
      <alignment vertical="top"/>
    </xf>
    <xf numFmtId="0" fontId="2" fillId="0" borderId="5" xfId="0" applyFont="1" applyBorder="1" applyAlignment="1">
      <alignment vertical="top"/>
    </xf>
    <xf numFmtId="0" fontId="6" fillId="0" borderId="10" xfId="0" applyFont="1" applyBorder="1" applyAlignment="1">
      <alignment vertical="top"/>
    </xf>
    <xf numFmtId="0" fontId="2" fillId="5" borderId="4" xfId="0" applyFont="1" applyFill="1" applyBorder="1" applyAlignment="1">
      <alignment horizontal="center" vertical="top" wrapText="1"/>
    </xf>
    <xf numFmtId="0" fontId="2" fillId="5" borderId="1" xfId="0" applyFont="1" applyFill="1" applyBorder="1" applyAlignment="1">
      <alignment horizontal="center" vertical="top" wrapText="1"/>
    </xf>
    <xf numFmtId="0" fontId="0" fillId="5" borderId="23" xfId="0" applyFill="1" applyBorder="1" applyAlignment="1">
      <alignment vertical="top"/>
    </xf>
    <xf numFmtId="0" fontId="3" fillId="5" borderId="24" xfId="0" applyFont="1" applyFill="1" applyBorder="1" applyAlignment="1">
      <alignment vertical="top" wrapText="1"/>
    </xf>
    <xf numFmtId="0" fontId="0" fillId="5" borderId="7" xfId="0" applyFill="1" applyBorder="1" applyAlignment="1">
      <alignment vertical="top"/>
    </xf>
    <xf numFmtId="0" fontId="3" fillId="5" borderId="6" xfId="0" applyFont="1" applyFill="1" applyBorder="1" applyAlignment="1">
      <alignment vertical="top" wrapText="1"/>
    </xf>
    <xf numFmtId="0" fontId="0" fillId="5" borderId="6" xfId="0" applyFill="1" applyBorder="1" applyAlignment="1">
      <alignment vertical="top" wrapText="1"/>
    </xf>
    <xf numFmtId="0" fontId="0" fillId="5" borderId="2" xfId="0" applyFill="1" applyBorder="1" applyAlignment="1">
      <alignment vertical="top"/>
    </xf>
    <xf numFmtId="0" fontId="0" fillId="5" borderId="1" xfId="0" applyFill="1" applyBorder="1" applyAlignment="1">
      <alignment vertical="top" wrapText="1"/>
    </xf>
    <xf numFmtId="164" fontId="2" fillId="4" borderId="14" xfId="0" applyNumberFormat="1" applyFont="1" applyFill="1" applyBorder="1" applyAlignment="1">
      <alignment horizontal="center"/>
    </xf>
    <xf numFmtId="164" fontId="2" fillId="4" borderId="20" xfId="0" applyNumberFormat="1" applyFont="1" applyFill="1" applyBorder="1" applyAlignment="1">
      <alignment horizontal="center"/>
    </xf>
    <xf numFmtId="164" fontId="2" fillId="4" borderId="19" xfId="0" applyNumberFormat="1" applyFont="1" applyFill="1" applyBorder="1" applyAlignment="1">
      <alignment horizontal="center"/>
    </xf>
    <xf numFmtId="164" fontId="2" fillId="5" borderId="14" xfId="0" applyNumberFormat="1" applyFont="1" applyFill="1" applyBorder="1" applyAlignment="1">
      <alignment horizontal="center"/>
    </xf>
    <xf numFmtId="164" fontId="2" fillId="5" borderId="19"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FFCC"/>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May 2025 </a:t>
            </a:r>
            <a:r>
              <a:rPr lang="en-US" sz="1400" b="1" i="0" u="none" strike="noStrike" kern="1200" spc="0" baseline="0">
                <a:solidFill>
                  <a:sysClr val="windowText" lastClr="000000">
                    <a:lumMod val="65000"/>
                    <a:lumOff val="35000"/>
                  </a:sysClr>
                </a:solidFill>
              </a:rPr>
              <a:t>Pipeline Entry </a:t>
            </a:r>
            <a:r>
              <a:rPr lang="en-US" sz="1400" b="1" i="0" u="none" strike="noStrike" kern="1200" spc="0" baseline="0">
                <a:solidFill>
                  <a:sysClr val="windowText" lastClr="000000">
                    <a:lumMod val="65000"/>
                    <a:lumOff val="35000"/>
                  </a:sysClr>
                </a:solidFill>
                <a:latin typeface="+mn-lt"/>
                <a:ea typeface="+mn-ea"/>
                <a:cs typeface="+mn-cs"/>
              </a:rPr>
              <a:t>Survey</a:t>
            </a:r>
          </a:p>
        </c:rich>
      </c:tx>
      <c:overlay val="0"/>
    </c:title>
    <c:autoTitleDeleted val="0"/>
    <c:plotArea>
      <c:layout/>
      <c:barChart>
        <c:barDir val="col"/>
        <c:grouping val="clustered"/>
        <c:varyColors val="0"/>
        <c:ser>
          <c:idx val="0"/>
          <c:order val="0"/>
          <c:spPr>
            <a:solidFill>
              <a:schemeClr val="accent1"/>
            </a:solidFill>
            <a:ln>
              <a:prstDash val="solid"/>
            </a:ln>
          </c:spPr>
          <c:invertIfNegative val="0"/>
          <c:dPt>
            <c:idx val="0"/>
            <c:invertIfNegative val="0"/>
            <c:bubble3D val="0"/>
            <c:spPr>
              <a:solidFill>
                <a:srgbClr val="00B050"/>
              </a:solidFill>
              <a:ln>
                <a:prstDash val="solid"/>
              </a:ln>
            </c:spPr>
            <c:extLst>
              <c:ext xmlns:c16="http://schemas.microsoft.com/office/drawing/2014/chart" uri="{C3380CC4-5D6E-409C-BE32-E72D297353CC}">
                <c16:uniqueId val="{00000001-42BA-4E4F-9C1D-F63FBDAA78D6}"/>
              </c:ext>
            </c:extLst>
          </c:dPt>
          <c:dPt>
            <c:idx val="1"/>
            <c:invertIfNegative val="0"/>
            <c:bubble3D val="0"/>
            <c:extLst>
              <c:ext xmlns:c16="http://schemas.microsoft.com/office/drawing/2014/chart" uri="{C3380CC4-5D6E-409C-BE32-E72D297353CC}">
                <c16:uniqueId val="{00000002-42BA-4E4F-9C1D-F63FBDAA78D6}"/>
              </c:ext>
            </c:extLst>
          </c:dPt>
          <c:dPt>
            <c:idx val="3"/>
            <c:invertIfNegative val="0"/>
            <c:bubble3D val="0"/>
            <c:spPr>
              <a:solidFill>
                <a:srgbClr val="FFC000"/>
              </a:solidFill>
              <a:ln>
                <a:prstDash val="solid"/>
              </a:ln>
            </c:spPr>
            <c:extLst>
              <c:ext xmlns:c16="http://schemas.microsoft.com/office/drawing/2014/chart" uri="{C3380CC4-5D6E-409C-BE32-E72D297353CC}">
                <c16:uniqueId val="{00000006-42BA-4E4F-9C1D-F63FBDAA78D6}"/>
              </c:ext>
            </c:extLst>
          </c:dPt>
          <c:dPt>
            <c:idx val="4"/>
            <c:invertIfNegative val="0"/>
            <c:bubble3D val="0"/>
            <c:spPr>
              <a:solidFill>
                <a:schemeClr val="bg1">
                  <a:lumMod val="75000"/>
                </a:schemeClr>
              </a:solidFill>
              <a:ln>
                <a:prstDash val="solid"/>
              </a:ln>
            </c:spPr>
            <c:extLst>
              <c:ext xmlns:c16="http://schemas.microsoft.com/office/drawing/2014/chart" uri="{C3380CC4-5D6E-409C-BE32-E72D297353CC}">
                <c16:uniqueId val="{00000006-A78E-4E2E-8AB2-D7AC34E618E6}"/>
              </c:ext>
            </c:extLst>
          </c:dPt>
          <c:cat>
            <c:strRef>
              <c:f>'Survey Results'!$B$36:$B$40</c:f>
              <c:strCache>
                <c:ptCount val="5"/>
                <c:pt idx="0">
                  <c:v>Yes</c:v>
                </c:pt>
                <c:pt idx="1">
                  <c:v>No</c:v>
                </c:pt>
                <c:pt idx="2">
                  <c:v>Maybe</c:v>
                </c:pt>
                <c:pt idx="3">
                  <c:v>No line of sight</c:v>
                </c:pt>
                <c:pt idx="4">
                  <c:v>No response</c:v>
                </c:pt>
              </c:strCache>
            </c:strRef>
          </c:cat>
          <c:val>
            <c:numRef>
              <c:f>'Survey Results'!$C$36:$C$40</c:f>
              <c:numCache>
                <c:formatCode>General</c:formatCode>
                <c:ptCount val="5"/>
                <c:pt idx="0">
                  <c:v>5</c:v>
                </c:pt>
                <c:pt idx="1">
                  <c:v>1</c:v>
                </c:pt>
                <c:pt idx="2">
                  <c:v>7</c:v>
                </c:pt>
                <c:pt idx="3">
                  <c:v>7</c:v>
                </c:pt>
                <c:pt idx="4">
                  <c:v>1</c:v>
                </c:pt>
              </c:numCache>
            </c:numRef>
          </c:val>
          <c:extLst>
            <c:ext xmlns:c16="http://schemas.microsoft.com/office/drawing/2014/chart" uri="{C3380CC4-5D6E-409C-BE32-E72D297353CC}">
              <c16:uniqueId val="{00000007-42BA-4E4F-9C1D-F63FBDAA78D6}"/>
            </c:ext>
          </c:extLst>
        </c:ser>
        <c:dLbls>
          <c:showLegendKey val="0"/>
          <c:showVal val="0"/>
          <c:showCatName val="0"/>
          <c:showSerName val="0"/>
          <c:showPercent val="0"/>
          <c:showBubbleSize val="0"/>
        </c:dLbls>
        <c:gapWidth val="150"/>
        <c:axId val="10"/>
        <c:axId val="100"/>
      </c:barChart>
      <c:valAx>
        <c:axId val="100"/>
        <c:scaling>
          <c:orientation val="minMax"/>
          <c:max val="10"/>
        </c:scaling>
        <c:delete val="0"/>
        <c:axPos val="l"/>
        <c:majorGridlines>
          <c:spPr>
            <a:ln>
              <a:solidFill>
                <a:schemeClr val="bg1">
                  <a:lumMod val="75000"/>
                </a:schemeClr>
              </a:solidFill>
            </a:ln>
          </c:spPr>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2025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3-CE19-481F-AB13-0A09B9A49218}"/>
              </c:ext>
            </c:extLst>
          </c:dPt>
          <c:dPt>
            <c:idx val="2"/>
            <c:invertIfNegative val="0"/>
            <c:bubble3D val="0"/>
            <c:spPr>
              <a:solidFill>
                <a:srgbClr val="0070C0"/>
              </a:solidFill>
              <a:ln>
                <a:noFill/>
              </a:ln>
              <a:effectLst/>
            </c:spPr>
            <c:extLst>
              <c:ext xmlns:c16="http://schemas.microsoft.com/office/drawing/2014/chart" uri="{C3380CC4-5D6E-409C-BE32-E72D297353CC}">
                <c16:uniqueId val="{00000005-CE19-481F-AB13-0A09B9A49218}"/>
              </c:ext>
            </c:extLst>
          </c:dPt>
          <c:dPt>
            <c:idx val="3"/>
            <c:invertIfNegative val="0"/>
            <c:bubble3D val="0"/>
            <c:spPr>
              <a:solidFill>
                <a:srgbClr val="FFC000"/>
              </a:solidFill>
              <a:ln>
                <a:noFill/>
              </a:ln>
              <a:effectLst/>
            </c:spPr>
            <c:extLst>
              <c:ext xmlns:c16="http://schemas.microsoft.com/office/drawing/2014/chart" uri="{C3380CC4-5D6E-409C-BE32-E72D297353CC}">
                <c16:uniqueId val="{00000007-CE19-481F-AB13-0A09B9A49218}"/>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7-2FE9-478C-A798-DD11FC070E7B}"/>
              </c:ext>
            </c:extLst>
          </c:dPt>
          <c:cat>
            <c:strRef>
              <c:f>'Survey Results'!$E$36:$E$40</c:f>
              <c:strCache>
                <c:ptCount val="5"/>
                <c:pt idx="0">
                  <c:v>Yes</c:v>
                </c:pt>
                <c:pt idx="1">
                  <c:v>No</c:v>
                </c:pt>
                <c:pt idx="2">
                  <c:v>Maybe</c:v>
                </c:pt>
                <c:pt idx="3">
                  <c:v>No line of sight</c:v>
                </c:pt>
                <c:pt idx="4">
                  <c:v>No response</c:v>
                </c:pt>
              </c:strCache>
            </c:strRef>
          </c:cat>
          <c:val>
            <c:numRef>
              <c:f>'Survey Results'!$F$36:$F$40</c:f>
              <c:numCache>
                <c:formatCode>General</c:formatCode>
                <c:ptCount val="5"/>
                <c:pt idx="0">
                  <c:v>3</c:v>
                </c:pt>
                <c:pt idx="1">
                  <c:v>10</c:v>
                </c:pt>
                <c:pt idx="2">
                  <c:v>3</c:v>
                </c:pt>
                <c:pt idx="3">
                  <c:v>4</c:v>
                </c:pt>
                <c:pt idx="4">
                  <c:v>1</c:v>
                </c:pt>
              </c:numCache>
            </c:numRef>
          </c:val>
          <c:extLst>
            <c:ext xmlns:c16="http://schemas.microsoft.com/office/drawing/2014/chart" uri="{C3380CC4-5D6E-409C-BE32-E72D297353CC}">
              <c16:uniqueId val="{00000008-CE19-481F-AB13-0A09B9A49218}"/>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1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35718</xdr:colOff>
      <xdr:row>43</xdr:row>
      <xdr:rowOff>0</xdr:rowOff>
    </xdr:from>
    <xdr:ext cx="4536281" cy="2857499"/>
    <xdr:graphicFrame macro="">
      <xdr:nvGraphicFramePr>
        <xdr:cNvPr id="3" name="Chart 2">
          <a:extLst>
            <a:ext uri="{FF2B5EF4-FFF2-40B4-BE49-F238E27FC236}">
              <a16:creationId xmlns:a16="http://schemas.microsoft.com/office/drawing/2014/main" id="{8658A5FB-BFDD-4619-86BA-32931C34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4</xdr:col>
      <xdr:colOff>0</xdr:colOff>
      <xdr:row>42</xdr:row>
      <xdr:rowOff>190499</xdr:rowOff>
    </xdr:from>
    <xdr:to>
      <xdr:col>6</xdr:col>
      <xdr:colOff>0</xdr:colOff>
      <xdr:row>57</xdr:row>
      <xdr:rowOff>190498</xdr:rowOff>
    </xdr:to>
    <xdr:graphicFrame macro="">
      <xdr:nvGraphicFramePr>
        <xdr:cNvPr id="2" name="Chart 1">
          <a:extLst>
            <a:ext uri="{FF2B5EF4-FFF2-40B4-BE49-F238E27FC236}">
              <a16:creationId xmlns:a16="http://schemas.microsoft.com/office/drawing/2014/main" id="{36F2C95A-14BD-42E7-A3B2-3F62E17B8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D268-BDFF-4894-B9C6-DC3E0E6DEA18}">
  <sheetPr>
    <pageSetUpPr fitToPage="1"/>
  </sheetPr>
  <dimension ref="A1:I42"/>
  <sheetViews>
    <sheetView tabSelected="1" zoomScale="80" zoomScaleNormal="80" workbookViewId="0">
      <pane xSplit="1" ySplit="2" topLeftCell="B13" activePane="bottomRight" state="frozen"/>
      <selection pane="topRight" activeCell="B1" sqref="B1"/>
      <selection pane="bottomLeft" activeCell="A3" sqref="A3"/>
      <selection pane="bottomRight" activeCell="I39" sqref="I39"/>
    </sheetView>
  </sheetViews>
  <sheetFormatPr defaultColWidth="9.140625" defaultRowHeight="15" x14ac:dyDescent="0.25"/>
  <cols>
    <col min="1" max="1" width="15.5703125" customWidth="1"/>
    <col min="2" max="2" width="17.7109375" customWidth="1"/>
    <col min="3" max="4" width="50.7109375" customWidth="1"/>
    <col min="5" max="5" width="17.7109375" customWidth="1"/>
    <col min="6" max="6" width="50.7109375" customWidth="1"/>
  </cols>
  <sheetData>
    <row r="1" spans="1:6" x14ac:dyDescent="0.25">
      <c r="B1" s="41">
        <v>45778</v>
      </c>
      <c r="C1" s="42"/>
      <c r="D1" s="43"/>
      <c r="E1" s="44">
        <v>45962</v>
      </c>
      <c r="F1" s="45"/>
    </row>
    <row r="2" spans="1:6" ht="60" customHeight="1" thickBot="1" x14ac:dyDescent="0.3">
      <c r="A2" s="16"/>
      <c r="B2" s="15" t="s">
        <v>56</v>
      </c>
      <c r="C2" s="14" t="s">
        <v>57</v>
      </c>
      <c r="D2" s="13" t="s">
        <v>58</v>
      </c>
      <c r="E2" s="32" t="s">
        <v>59</v>
      </c>
      <c r="F2" s="33" t="s">
        <v>60</v>
      </c>
    </row>
    <row r="3" spans="1:6" ht="75" x14ac:dyDescent="0.25">
      <c r="A3" s="27" t="s">
        <v>28</v>
      </c>
      <c r="B3" s="12" t="s">
        <v>4</v>
      </c>
      <c r="C3" s="11" t="s">
        <v>68</v>
      </c>
      <c r="D3" s="10" t="s">
        <v>80</v>
      </c>
      <c r="E3" s="34" t="s">
        <v>3</v>
      </c>
      <c r="F3" s="35" t="s">
        <v>37</v>
      </c>
    </row>
    <row r="4" spans="1:6" ht="210" x14ac:dyDescent="0.25">
      <c r="A4" s="28" t="s">
        <v>27</v>
      </c>
      <c r="B4" s="9" t="s">
        <v>4</v>
      </c>
      <c r="C4" s="8" t="s">
        <v>70</v>
      </c>
      <c r="D4" s="7" t="s">
        <v>82</v>
      </c>
      <c r="E4" s="36" t="s">
        <v>3</v>
      </c>
      <c r="F4" s="37" t="s">
        <v>52</v>
      </c>
    </row>
    <row r="5" spans="1:6" ht="135" x14ac:dyDescent="0.25">
      <c r="A5" s="28" t="s">
        <v>26</v>
      </c>
      <c r="B5" s="9" t="s">
        <v>0</v>
      </c>
      <c r="C5" s="8" t="s">
        <v>65</v>
      </c>
      <c r="D5" s="7" t="s">
        <v>77</v>
      </c>
      <c r="E5" s="36" t="s">
        <v>0</v>
      </c>
      <c r="F5" s="37" t="s">
        <v>39</v>
      </c>
    </row>
    <row r="6" spans="1:6" ht="75" x14ac:dyDescent="0.25">
      <c r="A6" s="28" t="s">
        <v>25</v>
      </c>
      <c r="B6" s="9" t="s">
        <v>4</v>
      </c>
      <c r="C6" s="8" t="s">
        <v>69</v>
      </c>
      <c r="D6" s="7" t="s">
        <v>81</v>
      </c>
      <c r="E6" s="36" t="s">
        <v>4</v>
      </c>
      <c r="F6" s="37" t="s">
        <v>44</v>
      </c>
    </row>
    <row r="7" spans="1:6" ht="30" x14ac:dyDescent="0.25">
      <c r="A7" s="28" t="s">
        <v>24</v>
      </c>
      <c r="B7" s="9" t="s">
        <v>0</v>
      </c>
      <c r="C7" s="8"/>
      <c r="D7" s="7"/>
      <c r="E7" s="36" t="s">
        <v>3</v>
      </c>
      <c r="F7" s="37" t="s">
        <v>35</v>
      </c>
    </row>
    <row r="8" spans="1:6" ht="30" x14ac:dyDescent="0.25">
      <c r="A8" s="28" t="s">
        <v>23</v>
      </c>
      <c r="B8" s="9" t="s">
        <v>2</v>
      </c>
      <c r="C8" s="8"/>
      <c r="D8" s="7"/>
      <c r="E8" s="36" t="s">
        <v>2</v>
      </c>
      <c r="F8" s="37" t="s">
        <v>51</v>
      </c>
    </row>
    <row r="9" spans="1:6" ht="45" x14ac:dyDescent="0.25">
      <c r="A9" s="28" t="s">
        <v>22</v>
      </c>
      <c r="B9" s="9" t="s">
        <v>2</v>
      </c>
      <c r="C9" s="8"/>
      <c r="D9" s="7"/>
      <c r="E9" s="36" t="s">
        <v>2</v>
      </c>
      <c r="F9" s="37" t="s">
        <v>50</v>
      </c>
    </row>
    <row r="10" spans="1:6" x14ac:dyDescent="0.25">
      <c r="A10" s="29" t="s">
        <v>21</v>
      </c>
      <c r="B10" s="9" t="s">
        <v>30</v>
      </c>
      <c r="C10" s="8"/>
      <c r="D10" s="7"/>
      <c r="E10" s="36" t="s">
        <v>30</v>
      </c>
      <c r="F10" s="37"/>
    </row>
    <row r="11" spans="1:6" ht="60" x14ac:dyDescent="0.25">
      <c r="A11" s="28" t="s">
        <v>20</v>
      </c>
      <c r="B11" s="9" t="s">
        <v>2</v>
      </c>
      <c r="C11" s="8"/>
      <c r="D11" s="7"/>
      <c r="E11" s="36" t="s">
        <v>3</v>
      </c>
      <c r="F11" s="37" t="s">
        <v>43</v>
      </c>
    </row>
    <row r="12" spans="1:6" ht="120" x14ac:dyDescent="0.25">
      <c r="A12" s="31" t="s">
        <v>19</v>
      </c>
      <c r="B12" s="9" t="s">
        <v>0</v>
      </c>
      <c r="C12" s="8" t="s">
        <v>64</v>
      </c>
      <c r="D12" s="7" t="s">
        <v>76</v>
      </c>
      <c r="E12" s="36" t="s">
        <v>3</v>
      </c>
      <c r="F12" s="37" t="s">
        <v>42</v>
      </c>
    </row>
    <row r="13" spans="1:6" ht="105" x14ac:dyDescent="0.25">
      <c r="A13" s="31" t="s">
        <v>18</v>
      </c>
      <c r="B13" s="9" t="s">
        <v>0</v>
      </c>
      <c r="C13" s="8" t="s">
        <v>61</v>
      </c>
      <c r="D13" s="7" t="s">
        <v>73</v>
      </c>
      <c r="E13" s="36" t="s">
        <v>0</v>
      </c>
      <c r="F13" s="38" t="s">
        <v>36</v>
      </c>
    </row>
    <row r="14" spans="1:6" ht="105" x14ac:dyDescent="0.25">
      <c r="A14" s="28" t="s">
        <v>17</v>
      </c>
      <c r="B14" s="9" t="s">
        <v>0</v>
      </c>
      <c r="C14" s="8" t="s">
        <v>63</v>
      </c>
      <c r="D14" s="7" t="s">
        <v>75</v>
      </c>
      <c r="E14" s="36" t="s">
        <v>1</v>
      </c>
      <c r="F14" s="37"/>
    </row>
    <row r="15" spans="1:6" ht="60" x14ac:dyDescent="0.25">
      <c r="A15" s="28" t="s">
        <v>32</v>
      </c>
      <c r="B15" s="9" t="s">
        <v>2</v>
      </c>
      <c r="C15" s="8"/>
      <c r="D15" s="7"/>
      <c r="E15" s="36" t="s">
        <v>2</v>
      </c>
      <c r="F15" s="38" t="s">
        <v>40</v>
      </c>
    </row>
    <row r="16" spans="1:6" x14ac:dyDescent="0.25">
      <c r="A16" s="29" t="s">
        <v>16</v>
      </c>
      <c r="B16" s="9" t="s">
        <v>30</v>
      </c>
      <c r="C16" s="8"/>
      <c r="D16" s="7"/>
      <c r="E16" s="36" t="s">
        <v>30</v>
      </c>
      <c r="F16" s="38"/>
    </row>
    <row r="17" spans="1:9" ht="135" x14ac:dyDescent="0.25">
      <c r="A17" s="28" t="s">
        <v>15</v>
      </c>
      <c r="B17" s="9" t="s">
        <v>4</v>
      </c>
      <c r="C17" s="8" t="s">
        <v>62</v>
      </c>
      <c r="D17" s="7" t="s">
        <v>74</v>
      </c>
      <c r="E17" s="36" t="s">
        <v>3</v>
      </c>
      <c r="F17" s="37" t="s">
        <v>48</v>
      </c>
    </row>
    <row r="18" spans="1:9" x14ac:dyDescent="0.25">
      <c r="A18" s="29" t="s">
        <v>14</v>
      </c>
      <c r="B18" s="9" t="s">
        <v>30</v>
      </c>
      <c r="C18" s="8"/>
      <c r="D18" s="7"/>
      <c r="E18" s="36" t="s">
        <v>30</v>
      </c>
      <c r="F18" s="38"/>
    </row>
    <row r="19" spans="1:9" ht="30" x14ac:dyDescent="0.25">
      <c r="A19" s="28" t="s">
        <v>33</v>
      </c>
      <c r="B19" s="9" t="s">
        <v>2</v>
      </c>
      <c r="C19" s="8"/>
      <c r="D19" s="7"/>
      <c r="E19" s="36" t="s">
        <v>2</v>
      </c>
      <c r="F19" s="37" t="s">
        <v>45</v>
      </c>
    </row>
    <row r="20" spans="1:9" x14ac:dyDescent="0.25">
      <c r="A20" s="28" t="s">
        <v>13</v>
      </c>
      <c r="B20" s="9" t="s">
        <v>30</v>
      </c>
      <c r="C20" s="8"/>
      <c r="D20" s="7"/>
      <c r="E20" s="36" t="s">
        <v>30</v>
      </c>
      <c r="F20" s="38"/>
    </row>
    <row r="21" spans="1:9" ht="195" x14ac:dyDescent="0.25">
      <c r="A21" s="28" t="s">
        <v>34</v>
      </c>
      <c r="B21" s="9" t="s">
        <v>0</v>
      </c>
      <c r="C21" s="8" t="s">
        <v>67</v>
      </c>
      <c r="D21" s="7" t="s">
        <v>79</v>
      </c>
      <c r="E21" s="36" t="s">
        <v>0</v>
      </c>
      <c r="F21" s="38" t="s">
        <v>46</v>
      </c>
    </row>
    <row r="22" spans="1:9" x14ac:dyDescent="0.25">
      <c r="A22" s="29" t="s">
        <v>12</v>
      </c>
      <c r="B22" s="9" t="s">
        <v>30</v>
      </c>
      <c r="C22" s="8"/>
      <c r="D22" s="7"/>
      <c r="E22" s="36" t="s">
        <v>30</v>
      </c>
      <c r="F22" s="37"/>
    </row>
    <row r="23" spans="1:9" x14ac:dyDescent="0.25">
      <c r="A23" s="29" t="s">
        <v>11</v>
      </c>
      <c r="B23" s="9" t="s">
        <v>30</v>
      </c>
      <c r="C23" s="8"/>
      <c r="D23" s="7"/>
      <c r="E23" s="36" t="s">
        <v>30</v>
      </c>
      <c r="F23" s="38"/>
    </row>
    <row r="24" spans="1:9" ht="90" x14ac:dyDescent="0.25">
      <c r="A24" s="28" t="s">
        <v>10</v>
      </c>
      <c r="B24" s="9" t="s">
        <v>0</v>
      </c>
      <c r="C24" s="8" t="s">
        <v>66</v>
      </c>
      <c r="D24" s="7" t="s">
        <v>78</v>
      </c>
      <c r="E24" s="36" t="s">
        <v>3</v>
      </c>
      <c r="F24" s="37" t="s">
        <v>47</v>
      </c>
    </row>
    <row r="25" spans="1:9" ht="150" x14ac:dyDescent="0.25">
      <c r="A25" s="28" t="s">
        <v>9</v>
      </c>
      <c r="B25" s="9" t="s">
        <v>2</v>
      </c>
      <c r="C25" s="8"/>
      <c r="D25" s="7"/>
      <c r="E25" s="36" t="s">
        <v>3</v>
      </c>
      <c r="F25" s="37" t="s">
        <v>49</v>
      </c>
    </row>
    <row r="26" spans="1:9" ht="30" x14ac:dyDescent="0.25">
      <c r="A26" s="28" t="s">
        <v>31</v>
      </c>
      <c r="B26" s="9" t="s">
        <v>3</v>
      </c>
      <c r="C26" s="8" t="s">
        <v>72</v>
      </c>
      <c r="D26" s="7"/>
      <c r="E26" s="36" t="s">
        <v>3</v>
      </c>
      <c r="F26" s="37"/>
    </row>
    <row r="27" spans="1:9" ht="30" x14ac:dyDescent="0.25">
      <c r="A27" s="28" t="s">
        <v>8</v>
      </c>
      <c r="B27" s="9" t="s">
        <v>2</v>
      </c>
      <c r="C27" s="8"/>
      <c r="D27" s="7"/>
      <c r="E27" s="36" t="s">
        <v>4</v>
      </c>
      <c r="F27" s="38" t="s">
        <v>41</v>
      </c>
    </row>
    <row r="28" spans="1:9" x14ac:dyDescent="0.25">
      <c r="A28" s="29" t="s">
        <v>7</v>
      </c>
      <c r="B28" s="9" t="s">
        <v>30</v>
      </c>
      <c r="C28" s="8"/>
      <c r="D28" s="7"/>
      <c r="E28" s="36" t="s">
        <v>30</v>
      </c>
      <c r="F28" s="37"/>
    </row>
    <row r="29" spans="1:9" ht="45" x14ac:dyDescent="0.25">
      <c r="A29" s="28" t="s">
        <v>6</v>
      </c>
      <c r="B29" s="9" t="s">
        <v>1</v>
      </c>
      <c r="C29" s="8"/>
      <c r="D29" s="7"/>
      <c r="E29" s="36" t="s">
        <v>3</v>
      </c>
      <c r="F29" s="37" t="s">
        <v>53</v>
      </c>
    </row>
    <row r="30" spans="1:9" ht="150.75" thickBot="1" x14ac:dyDescent="0.3">
      <c r="A30" s="30" t="s">
        <v>5</v>
      </c>
      <c r="B30" s="6" t="s">
        <v>4</v>
      </c>
      <c r="C30" s="5" t="s">
        <v>71</v>
      </c>
      <c r="D30" s="4" t="s">
        <v>83</v>
      </c>
      <c r="E30" s="39" t="s">
        <v>4</v>
      </c>
      <c r="F30" s="40" t="s">
        <v>38</v>
      </c>
    </row>
    <row r="32" spans="1:9" x14ac:dyDescent="0.25">
      <c r="H32" s="3" t="s">
        <v>54</v>
      </c>
      <c r="I32" s="3"/>
    </row>
    <row r="33" spans="2:9" x14ac:dyDescent="0.25">
      <c r="H33" s="2" t="s">
        <v>55</v>
      </c>
      <c r="I33" s="2"/>
    </row>
    <row r="35" spans="2:9" ht="15.75" thickBot="1" x14ac:dyDescent="0.3"/>
    <row r="36" spans="2:9" x14ac:dyDescent="0.25">
      <c r="B36" s="18" t="s">
        <v>4</v>
      </c>
      <c r="C36" s="19">
        <f t="shared" ref="C36:C41" si="0">COUNTIF(B$3:B$30,B36)</f>
        <v>5</v>
      </c>
      <c r="D36" s="1"/>
      <c r="E36" s="18" t="s">
        <v>4</v>
      </c>
      <c r="F36" s="19">
        <f t="shared" ref="F36:F41" si="1">COUNTIF(E$3:E$30,E36)</f>
        <v>3</v>
      </c>
    </row>
    <row r="37" spans="2:9" x14ac:dyDescent="0.25">
      <c r="B37" s="20" t="s">
        <v>3</v>
      </c>
      <c r="C37" s="21">
        <f t="shared" si="0"/>
        <v>1</v>
      </c>
      <c r="E37" s="20" t="s">
        <v>3</v>
      </c>
      <c r="F37" s="21">
        <f t="shared" si="1"/>
        <v>10</v>
      </c>
    </row>
    <row r="38" spans="2:9" x14ac:dyDescent="0.25">
      <c r="B38" s="20" t="s">
        <v>0</v>
      </c>
      <c r="C38" s="21">
        <f t="shared" si="0"/>
        <v>7</v>
      </c>
      <c r="E38" s="20" t="s">
        <v>0</v>
      </c>
      <c r="F38" s="21">
        <f t="shared" si="1"/>
        <v>3</v>
      </c>
    </row>
    <row r="39" spans="2:9" x14ac:dyDescent="0.25">
      <c r="B39" s="20" t="s">
        <v>2</v>
      </c>
      <c r="C39" s="21">
        <f t="shared" si="0"/>
        <v>7</v>
      </c>
      <c r="E39" s="20" t="s">
        <v>2</v>
      </c>
      <c r="F39" s="21">
        <f t="shared" si="1"/>
        <v>4</v>
      </c>
    </row>
    <row r="40" spans="2:9" x14ac:dyDescent="0.25">
      <c r="B40" s="20" t="s">
        <v>1</v>
      </c>
      <c r="C40" s="21">
        <f t="shared" si="0"/>
        <v>1</v>
      </c>
      <c r="E40" s="20" t="s">
        <v>1</v>
      </c>
      <c r="F40" s="21">
        <f t="shared" si="1"/>
        <v>1</v>
      </c>
    </row>
    <row r="41" spans="2:9" ht="15.75" thickBot="1" x14ac:dyDescent="0.3">
      <c r="B41" s="22" t="s">
        <v>30</v>
      </c>
      <c r="C41" s="23">
        <f t="shared" si="0"/>
        <v>7</v>
      </c>
      <c r="E41" s="24" t="s">
        <v>30</v>
      </c>
      <c r="F41" s="25">
        <f t="shared" si="1"/>
        <v>7</v>
      </c>
    </row>
    <row r="42" spans="2:9" ht="15.75" thickBot="1" x14ac:dyDescent="0.3">
      <c r="B42" s="17" t="s">
        <v>29</v>
      </c>
      <c r="C42" s="26">
        <f>SUM(C36:C41)</f>
        <v>28</v>
      </c>
      <c r="E42" s="17" t="s">
        <v>29</v>
      </c>
      <c r="F42" s="26">
        <f>SUM(F36:F41)</f>
        <v>28</v>
      </c>
    </row>
  </sheetData>
  <autoFilter ref="A2:F30" xr:uid="{4B4FD268-BDFF-4894-B9C6-DC3E0E6DEA18}"/>
  <sortState xmlns:xlrd2="http://schemas.microsoft.com/office/spreadsheetml/2017/richdata2" ref="H19:K30">
    <sortCondition ref="H19:H30"/>
  </sortState>
  <mergeCells count="2">
    <mergeCell ref="B1:D1"/>
    <mergeCell ref="E1:F1"/>
  </mergeCells>
  <printOptions horizontalCentered="1"/>
  <pageMargins left="0.5" right="0.5" top="0.85" bottom="0.85" header="0.5" footer="0.5"/>
  <pageSetup scale="38" orientation="portrait" horizontalDpi="1200" verticalDpi="1200" r:id="rId1"/>
  <headerFooter>
    <oddHeader>&amp;C&amp;"-,Bold"&amp;20Phil Fish</oddHeader>
    <oddFooter>&amp;LFile: &amp;Z&amp;F
Sheet: &amp;A&amp;CPage &amp;P of &amp;N&amp;RPrint Date: &amp;D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47998D0C784F41A0C2C4C0BC11B78D" ma:contentTypeVersion="8" ma:contentTypeDescription="Create a new document." ma:contentTypeScope="" ma:versionID="ad69c74bd5fc9ad2d81f27b977fe7b19">
  <xsd:schema xmlns:xsd="http://www.w3.org/2001/XMLSchema" xmlns:xs="http://www.w3.org/2001/XMLSchema" xmlns:p="http://schemas.microsoft.com/office/2006/metadata/properties" xmlns:ns2="d326613d-845a-4606-970a-eae884d2bc77" xmlns:ns3="b697abaa-05c9-4e92-a73c-0cb957524ef7" targetNamespace="http://schemas.microsoft.com/office/2006/metadata/properties" ma:root="true" ma:fieldsID="4208c0b624b5f20ac0c8f9d435267a8f" ns2:_="" ns3:_="">
    <xsd:import namespace="d326613d-845a-4606-970a-eae884d2bc77"/>
    <xsd:import namespace="b697abaa-05c9-4e92-a73c-0cb957524ef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26613d-845a-4606-970a-eae884d2bc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97abaa-05c9-4e92-a73c-0cb957524ef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FCCD02-D0F8-4DF4-8BB0-6D30B73BEA72}">
  <ds:schemaRefs>
    <ds:schemaRef ds:uri="http://schemas.microsoft.com/office/2006/metadata/properties"/>
    <ds:schemaRef ds:uri="http://www.w3.org/XML/1998/namespace"/>
    <ds:schemaRef ds:uri="d326613d-845a-4606-970a-eae884d2bc77"/>
    <ds:schemaRef ds:uri="http://schemas.microsoft.com/office/2006/documentManagement/types"/>
    <ds:schemaRef ds:uri="http://purl.org/dc/elements/1.1/"/>
    <ds:schemaRef ds:uri="http://purl.org/dc/terms/"/>
    <ds:schemaRef ds:uri="http://schemas.microsoft.com/office/infopath/2007/PartnerControls"/>
    <ds:schemaRef ds:uri="b697abaa-05c9-4e92-a73c-0cb957524ef7"/>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ED772F6-9431-453A-BFBC-655E25FEB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26613d-845a-4606-970a-eae884d2bc77"/>
    <ds:schemaRef ds:uri="b697abaa-05c9-4e92-a73c-0cb957524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C15D55-5723-4A35-96E5-52DF9B7C91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Taylor</dc:creator>
  <cp:lastModifiedBy>Brian P. Greenwald</cp:lastModifiedBy>
  <cp:lastPrinted>2024-01-31T22:50:12Z</cp:lastPrinted>
  <dcterms:created xsi:type="dcterms:W3CDTF">2024-01-31T22:32:02Z</dcterms:created>
  <dcterms:modified xsi:type="dcterms:W3CDTF">2026-02-01T13:57:13Z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0x0101009B47998D0C784F41A0C2C4C0BC11B78D</vt:lpwstr>
  </property>
</Properties>
</file>