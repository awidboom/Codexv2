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barr.sharepoint.com/sites/PICdev/EM/Shared Documents/2026 Nominating Committee - SECURED/EM Officer Surveys/"/>
    </mc:Choice>
  </mc:AlternateContent>
  <xr:revisionPtr revIDLastSave="0" documentId="8_{5F7F8896-1832-4375-AFE5-8639729E5D84}" xr6:coauthVersionLast="47" xr6:coauthVersionMax="47" xr10:uidLastSave="{00000000-0000-0000-0000-000000000000}"/>
  <bookViews>
    <workbookView xWindow="-17430" yWindow="-15705" windowWidth="22320" windowHeight="13560" xr2:uid="{8EC9082B-1A61-4CF1-9C70-D9745AAA11B9}"/>
  </bookViews>
  <sheets>
    <sheet name="Survey Results" sheetId="1" r:id="rId1"/>
  </sheets>
  <definedNames>
    <definedName name="_xlnm._FilterDatabase" localSheetId="0" hidden="1">'Survey Results'!$A$2:$H$30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 r="H41" i="1"/>
  <c r="H40" i="1"/>
  <c r="H39" i="1"/>
  <c r="H37" i="1"/>
  <c r="H36" i="1"/>
  <c r="F41" i="1"/>
  <c r="F40" i="1"/>
  <c r="F39" i="1"/>
  <c r="F37" i="1"/>
  <c r="F36" i="1"/>
  <c r="C38" i="1"/>
  <c r="H42" i="1" l="1"/>
  <c r="F42" i="1"/>
  <c r="C36" i="1"/>
  <c r="C37" i="1"/>
  <c r="C39" i="1"/>
  <c r="C40" i="1"/>
  <c r="C41" i="1"/>
  <c r="C42" i="1" l="1"/>
</calcChain>
</file>

<file path=xl/sharedStrings.xml><?xml version="1.0" encoding="utf-8"?>
<sst xmlns="http://schemas.openxmlformats.org/spreadsheetml/2006/main" count="202" uniqueCount="103">
  <si>
    <t>Not an option</t>
  </si>
  <si>
    <t>Maybe</t>
  </si>
  <si>
    <t>No response</t>
  </si>
  <si>
    <t>No line of sight</t>
  </si>
  <si>
    <t>No</t>
  </si>
  <si>
    <t>Yes</t>
  </si>
  <si>
    <t>TMR</t>
  </si>
  <si>
    <t>TMF</t>
  </si>
  <si>
    <t>TLK2</t>
  </si>
  <si>
    <t>TAK</t>
  </si>
  <si>
    <t>RPT</t>
  </si>
  <si>
    <t>RDS</t>
  </si>
  <si>
    <t>RCH2</t>
  </si>
  <si>
    <t>RAS</t>
  </si>
  <si>
    <t>NBN</t>
  </si>
  <si>
    <t>KEH</t>
  </si>
  <si>
    <t>KAA2</t>
  </si>
  <si>
    <t>JPB</t>
  </si>
  <si>
    <t>JDB</t>
  </si>
  <si>
    <t>JAT</t>
  </si>
  <si>
    <t>ELB</t>
  </si>
  <si>
    <t>CPT</t>
  </si>
  <si>
    <t>CDM</t>
  </si>
  <si>
    <t>BPG</t>
  </si>
  <si>
    <t>TBD</t>
  </si>
  <si>
    <t>BMR</t>
  </si>
  <si>
    <t>ARM3</t>
  </si>
  <si>
    <t>AMS</t>
  </si>
  <si>
    <t>ALO2</t>
  </si>
  <si>
    <t>ACD</t>
  </si>
  <si>
    <t>AAW</t>
  </si>
  <si>
    <t>Total</t>
  </si>
  <si>
    <t>N/A</t>
  </si>
  <si>
    <t>I would support the coaching team's recommendation as I have limited work with him.</t>
  </si>
  <si>
    <t>Provide at least one development need for Beau</t>
  </si>
  <si>
    <t>Would you support the nomination of Beau as an officer in 2025?</t>
  </si>
  <si>
    <t>Please provide additional information if you indicated "No" or have anything else to share regarding your view on Beau's 2025 potential nomination:</t>
  </si>
  <si>
    <t xml:space="preserve">had a brief meeting to reconnect with Beau.  We have worked together some on air testing projects at Minorca.  Substantial book of business and acting as PIC in some regards already.  Trusted advisor to clients. </t>
  </si>
  <si>
    <t>opportunities to further develop skills around contracting and risk management (Cerilon, tank scanning opp)</t>
  </si>
  <si>
    <t>Looks like some good progress in the development tracking spreadsheet. But some gaps to be built out in the long form.</t>
  </si>
  <si>
    <t>I think a second cycle in the pipeline is appropriate for Beau to identify and demonstrate progress on his development needs.</t>
  </si>
  <si>
    <t xml:space="preserve">Beau and I had a call to talk about his candidacy and the role. I was favorably inclined after that call and will look forward to seeing his writ up and materials. </t>
  </si>
  <si>
    <t>Seems pretty fast and think there is opportunity for him to continue to build out tech project space with team as BUTC</t>
  </si>
  <si>
    <t>I don't think Beau is ready yet. I think he and his coaching team are just getting in a groove on working through his development items. He is getting started on the long form. I think 2026 is more likely.</t>
  </si>
  <si>
    <t>I had a good conversation with Beau. However, it is challenging to make a decision based on a short phone call conversation. The only exposure to Beau is quite dated and he provided technical support, which was very valuable, but certainly not enough to make a decision.</t>
  </si>
  <si>
    <t>"Not yet" not "no". Would like to see him more on top of commitments and working to build business and staff rather than surviving the day to day.</t>
  </si>
  <si>
    <t xml:space="preserve">Beau is making great progress on identified development goals with pursuing more visible leadership and actively working through difficult conversations. He continues to build his project teams, develop staff to act as future PMs and maintains a high level of project execution.  I feel being able to show consistent development in 2025 with continued successful project execution will position Beau well for the next cycle. </t>
  </si>
  <si>
    <t xml:space="preserve">Beau is an excellent technical lead and handles most of the "hard skills" of the PM role admirably. I think he still needs to work on softer portions of client and staff relations (Crucial Conversation - scheduled for 2025, listening to client needs/fears before offering solutions, staff development). It appears these development plans are in the works and progressing, but it feels like another year in the pipeline may be needed to flesh out these activities. </t>
  </si>
  <si>
    <t>Beau stepped up and helped on a project for Austin Powder for me.  I answered no line of sight only because I would want to read candidate's Long Form to learn more before deciding.</t>
  </si>
  <si>
    <t>I am part of Beau's coaching team and we have yet to make a decision on nominating him for 2025</t>
  </si>
  <si>
    <t>Activities and progress speak to things he will be doing rather than has done. Upon successful completion, should be ready.</t>
  </si>
  <si>
    <t>Would you nominate Beau into the pipeline in 2024?</t>
  </si>
  <si>
    <t>What is your rationale for supporting or not supporting Beau's entry to the pipeline?</t>
  </si>
  <si>
    <t xml:space="preserve">Positives - strong technically across a number of complex technical topics (refinery &amp; chemical rules, major NSR permitting). Good with clients, does what it takes to make projects successful, supports junior staff both on projects and as coach (his coachees think very highly of him). </t>
  </si>
  <si>
    <t>Could improve his leverage, particularly in areas where we have a thin bench (e.g., he's been the BWON go-to for years yet we have not had junior staff pick it up further). He has had a negative view of Big West as a client - while this is not entirely unwarranted, I would prefer more focus on setting boundaries and defining scope in a way to support our teams rather than simply not wanting to work with them given the context of Barr's relationship &amp; volume of work with them. It's unclear to me who Beau's PMs would be. Also unclear whether there is any notable experience with competitive business development.</t>
  </si>
  <si>
    <t>High level technical expert who elicits deep trust from his team members and client contacts. Can be trusted with difficult projects, and would be a valued voice in our officer group.</t>
  </si>
  <si>
    <t>I don't have line of site on this, but based on the notes provided by his coaching team, more work on contracting / risk, is always important for all candidates. No one gets too much of that prior to becoming a PIC.</t>
  </si>
  <si>
    <t>Consistently strong performance.</t>
  </si>
  <si>
    <t>Look for opportunities to connect with EM practitioners outside of typical teams (e.g., water or environmental review practitioners).</t>
  </si>
  <si>
    <t xml:space="preserve">Meets minimum qualifications and several preferred qualifications. Interested in the role and taking initiative. No major concerns. </t>
  </si>
  <si>
    <t xml:space="preserve">Identify team members that could take over as PM on your projects and start building them into those roles. </t>
  </si>
  <si>
    <t>Client relationships, ownership of projects and leading them</t>
  </si>
  <si>
    <t xml:space="preserve">Excellent project management skills and noted SME in air permitting/compliance and with fuels/chemical sectors. </t>
  </si>
  <si>
    <t xml:space="preserve">Continued client management and listening skills. Understand the client's concerns and needs before pursuing the solution. BD expansion - focus on risk management and contracting. </t>
  </si>
  <si>
    <t>Project/technical leadership. Internal leadership roles. Coaching. Do what it takes approach.</t>
  </si>
  <si>
    <t>Building/developing new clients.</t>
  </si>
  <si>
    <t xml:space="preserve">o	Strong project management and financial performance  o	Represents Barr well to clients and trusted advisor to many clients resulting in long term relationships and multiple projects  o	Effectively executes complex projects, builds project teams, and manages projects with little support  o	Uses project opportunities to teach and develop others beyond the limited scope of their tasks  o	Strong technical leadership  o	Trusted to represent client projects in public forums (Cerilon public hearing, meetings with regulators, speaking in upcoming PSC hearing)  </t>
  </si>
  <si>
    <t xml:space="preserve">o	Project risk management and contracting  o	Growing business development and pursuit of opportunities related to new clients  </t>
  </si>
  <si>
    <t xml:space="preserve">Phenomenal development in the last year leading a mega permitting project while continuing to successfully manage many other clients and projects with staff. </t>
  </si>
  <si>
    <t>Additional experience in decision-making on complex issues. Improve quality in the details of a deliverable.</t>
  </si>
  <si>
    <t xml:space="preserve">Very strong technically and solid project manager.  He's been successful in managing the Cerilon project and represented Barr well in public communications.  </t>
  </si>
  <si>
    <t xml:space="preserve">Development on risk management (contracts, go/no go) and competitive proposals/marketing of new clients. </t>
  </si>
  <si>
    <t xml:space="preserve">My personal experience working with Beau is limited to occasional air permitting issues (often BACT).  My perception is that Beau is technically strong. However, I have not witnessed his decision-making or how he develops staff.  I look forward to learning more about him from those he works with and from Beau himself. </t>
  </si>
  <si>
    <t>Make himself better known throughout the EMBU and the company, possibly by seeking opportunities to work with other PICs or in a BU support role.</t>
  </si>
  <si>
    <t>quietly effective</t>
  </si>
  <si>
    <t>expand line of sight outside of fuels</t>
  </si>
  <si>
    <t xml:space="preserve">Beau is a team player and demonstrates a servent leadership style that is commendable. Technically Beau is very good and his clients like him. Beau really cares about his teams and has done a nice job of building up less experienced folks. He's an active participant in our interview teams and makes an effort to engage broad teams. I would welcome Beau's thoughtfulness to our Officer group. </t>
  </si>
  <si>
    <t>SES2</t>
  </si>
  <si>
    <t>Improvement in position, Nov-2024 to Nov-2025</t>
  </si>
  <si>
    <t>Worsening of position, Nov-2024 to Nov-2025</t>
  </si>
  <si>
    <t>Would you support the nomination of Beau as an officer in 2026?</t>
  </si>
  <si>
    <t>I have heard good things about Beau's development efforts this year. I will be looking for information related to the following to make a decision:   -Front line client communication (I see feedback around both writing and leading meetings in the feedback documents and during meetings early in 2025) -Front line team leadership - I understand Beau has had more opportunities this year where he was directly leading teams this year (there was much discussion about his role on Cerilon in relation to Amanda's). I will be interested to hear how this went -Business development</t>
  </si>
  <si>
    <t>I work with him a lot and have placed him in PIC leadership situations, and he has represented Barr well with the quality of work, good communication, and problem solving. I look forward to him continuing to leverage his work with others.</t>
  </si>
  <si>
    <t>provides clear team leadership, good technically &amp; as PM, cognizant of risk</t>
  </si>
  <si>
    <t>I have some line of site on Beau and appreciate his leadership and support for staff.  I am willing to trust the recommendation of the coaching team and colleagues that have a more direct line of site or experience working with Beau.</t>
  </si>
  <si>
    <t>Long form was complete and compelling</t>
  </si>
  <si>
    <t>JMH3</t>
  </si>
  <si>
    <t>I've rarely worked on projects with Beau, but we have interacted frequently for over 14 years. In interactions spanning from meetings to casual conversations, he has demonstrated thoughtfulness, good judgement, and forward thinking toward the good of both individuals and our company. We've also had multiple specific conversations related to the pipeline process and the principal role, from which I feel very comfortable with supporting his nomination.</t>
  </si>
  <si>
    <t>builder of teams, respected by peers, technically sound, trusted advisor to clients and colleagues, sought out as an effective coach, well run projects, delegator</t>
  </si>
  <si>
    <t>He has shown growth in the past year on his objectives. I believe he is ready.</t>
  </si>
  <si>
    <t>Long form demonstrates meeting criteria, good progress relative to development goals, coaching team supports.</t>
  </si>
  <si>
    <t>Strong technical skills, client service, understanding of Barr culture, attention to quality, communication.</t>
  </si>
  <si>
    <t>MJN</t>
  </si>
  <si>
    <t>strong leadership at the PM level, BD, and subject matter expert</t>
  </si>
  <si>
    <t>PJF2</t>
  </si>
  <si>
    <t>I've had more first-hand experience with Beau in 2025, and he is ready. He's leading large teams with the Scranton project, building expertise in more junior staff (Matthew Billette - HFS Artesia tanks), and is a national-level expert whom people request for his support specifically in an area that is expected to grow with EPA enforcement (storage tanks, AFPM conference presentation). I have not heard or seen anything that would give me pause regarding whether he is ready.</t>
  </si>
  <si>
    <t>I could support nomination of Beau as an officer in 2026 but have some reservations/hesitations. While Beau has improved on some development needs since feedback was provided to Beau's coaching team in August (preparation for critical project meetings, emphasis on safety plans for fieldwork, increased level of engagement with the broader team) he still continues to be challenged with ambiguity, advising the client on alternative options when ideal information is not available, decision making to move the project forward, overconfidence on areas still unfamiliar and interjecting while client is speaking. These are all areas Beau and I continue to discuss in real-time feedback.</t>
  </si>
  <si>
    <t>Beau seems to meet all officer readiness criteria and has addressed development goals including more self-awareness of leadership in the Duluth office and experience in contracting. He continues to successfully manage large EM projects with ambiguity and has acted on coaching provided by the team and Ryan Siats.</t>
  </si>
  <si>
    <t>Beau has established himself as a trusted advisor to several clients and as a technical expert in his areas of practice. He is respected by clients and project teams alike.  He has responded well to feedback throughout the PIC pipeline process and has demonstrated (and documented) progress on his development needs (comfort with crucial conversations, leadership in the Duluth office, and risk management and contracting). He has worked diligently to prepare a comprehensive "long form" that demonstrates how he satisfies all eight PIC criteria. I'm confident that he will make a great EM PIC.</t>
  </si>
  <si>
    <t>Strong technical and management skills. Contracting efforts and risk management reviews have taken place since his first year in pipeline. Has been working on communications and senior presence with his coaching team to address those development objectives.</t>
  </si>
  <si>
    <t>Beau is a leader who is trusted by his clients and colleagues. He has sincerely taken in the feedback which has been provided to him in the previous cycle, and made demonstrable progress towards each development item.</t>
  </si>
  <si>
    <t>made progress on development goals around outreach and engagement</t>
  </si>
  <si>
    <t>I am on his coaching team and feel that he has made great strides this year and is ready to move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</si>
</sst>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rgb="FF333333"/>
      <name val="Calibri"/>
      <family val="2"/>
      <scheme val="minor"/>
    </font>
    <font>
      <b/>
      <sz val="11"/>
      <color rgb="FF333333"/>
      <name val="Calibri"/>
      <family val="2"/>
      <scheme val="minor"/>
    </font>
    <font>
      <b/>
      <strike/>
      <sz val="11"/>
      <color rgb="FFFF0000"/>
      <name val="Calibri"/>
      <family val="2"/>
      <scheme val="minor"/>
    </font>
    <font>
      <b/>
      <sz val="1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CCFFCC"/>
        <bgColor indexed="64"/>
      </patternFill>
    </fill>
    <fill>
      <patternFill patternType="solid">
        <fgColor rgb="FFCCFFFF"/>
        <bgColor indexed="64"/>
      </patternFill>
    </fill>
    <fill>
      <patternFill patternType="solid">
        <fgColor rgb="FFFFCCFF"/>
        <bgColor indexed="64"/>
      </patternFill>
    </fill>
    <fill>
      <patternFill patternType="solid">
        <fgColor rgb="FFFFFFCC"/>
        <bgColor indexed="64"/>
      </patternFill>
    </fill>
  </fills>
  <borders count="25">
    <border>
      <left/>
      <right/>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9" fontId="0" fillId="0" borderId="0" xfId="1" applyFont="1" applyAlignment="1">
      <alignment horizontal="center"/>
    </xf>
    <xf numFmtId="0" fontId="0" fillId="2" borderId="0" xfId="0" applyFill="1"/>
    <xf numFmtId="0" fontId="0" fillId="3" borderId="0" xfId="0" applyFill="1"/>
    <xf numFmtId="0" fontId="0" fillId="4" borderId="1"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xf>
    <xf numFmtId="0" fontId="0" fillId="4" borderId="6" xfId="0" applyFill="1" applyBorder="1" applyAlignment="1">
      <alignment vertical="top" wrapText="1"/>
    </xf>
    <xf numFmtId="0" fontId="0" fillId="4" borderId="8" xfId="0" applyFill="1" applyBorder="1" applyAlignment="1">
      <alignment vertical="top" wrapText="1"/>
    </xf>
    <xf numFmtId="0" fontId="0" fillId="4" borderId="9" xfId="0" applyFill="1" applyBorder="1" applyAlignment="1">
      <alignment vertical="top"/>
    </xf>
    <xf numFmtId="0" fontId="0" fillId="4" borderId="11" xfId="0" applyFill="1" applyBorder="1" applyAlignment="1">
      <alignment vertical="top" wrapText="1"/>
    </xf>
    <xf numFmtId="0" fontId="0" fillId="4" borderId="12" xfId="0" applyFill="1" applyBorder="1" applyAlignment="1">
      <alignment vertical="top" wrapText="1"/>
    </xf>
    <xf numFmtId="0" fontId="0" fillId="4" borderId="13" xfId="0" applyFill="1" applyBorder="1" applyAlignment="1">
      <alignment vertical="top"/>
    </xf>
    <xf numFmtId="0" fontId="4" fillId="4" borderId="17" xfId="0" applyFont="1" applyFill="1" applyBorder="1" applyAlignment="1">
      <alignment horizontal="center" vertical="top" wrapText="1"/>
    </xf>
    <xf numFmtId="0" fontId="4" fillId="4" borderId="18" xfId="0" applyFont="1" applyFill="1" applyBorder="1" applyAlignment="1">
      <alignment horizontal="center" vertical="top" wrapText="1"/>
    </xf>
    <xf numFmtId="0" fontId="4" fillId="4" borderId="16" xfId="0" applyFont="1" applyFill="1" applyBorder="1" applyAlignment="1">
      <alignment horizontal="center" vertical="top" wrapText="1"/>
    </xf>
    <xf numFmtId="0" fontId="0" fillId="0" borderId="0" xfId="0" applyAlignment="1">
      <alignment horizontal="left" vertical="top" wrapText="1"/>
    </xf>
    <xf numFmtId="0" fontId="2" fillId="0" borderId="21" xfId="0" applyFont="1" applyBorder="1"/>
    <xf numFmtId="0" fontId="0" fillId="0" borderId="13" xfId="0" applyBorder="1"/>
    <xf numFmtId="0" fontId="0" fillId="0" borderId="11" xfId="0" applyBorder="1" applyAlignment="1">
      <alignment horizontal="center"/>
    </xf>
    <xf numFmtId="0" fontId="0" fillId="0" borderId="9" xfId="0" applyBorder="1"/>
    <xf numFmtId="0" fontId="0" fillId="0" borderId="6" xfId="0" applyBorder="1" applyAlignment="1">
      <alignment horizontal="center"/>
    </xf>
    <xf numFmtId="0" fontId="0" fillId="0" borderId="16" xfId="0" applyBorder="1"/>
    <xf numFmtId="0" fontId="0" fillId="0" borderId="15" xfId="0" applyBorder="1" applyAlignment="1">
      <alignment horizontal="center"/>
    </xf>
    <xf numFmtId="0" fontId="0" fillId="0" borderId="4" xfId="0" applyBorder="1"/>
    <xf numFmtId="0" fontId="0" fillId="0" borderId="1" xfId="0" applyBorder="1" applyAlignment="1">
      <alignment horizontal="center"/>
    </xf>
    <xf numFmtId="0" fontId="2" fillId="0" borderId="22" xfId="0" applyFont="1" applyBorder="1" applyAlignment="1">
      <alignment horizontal="center"/>
    </xf>
    <xf numFmtId="0" fontId="2" fillId="0" borderId="14" xfId="0" applyFont="1" applyBorder="1" applyAlignment="1">
      <alignment vertical="top"/>
    </xf>
    <xf numFmtId="0" fontId="2" fillId="0" borderId="10" xfId="0" applyFont="1" applyBorder="1" applyAlignment="1">
      <alignment vertical="top"/>
    </xf>
    <xf numFmtId="0" fontId="5" fillId="0" borderId="10" xfId="0" applyFont="1" applyBorder="1" applyAlignment="1">
      <alignment vertical="top"/>
    </xf>
    <xf numFmtId="0" fontId="2" fillId="0" borderId="5" xfId="0" applyFont="1" applyBorder="1" applyAlignment="1">
      <alignment vertical="top"/>
    </xf>
    <xf numFmtId="0" fontId="6" fillId="0" borderId="10" xfId="0" applyFont="1" applyBorder="1" applyAlignment="1">
      <alignment vertical="top"/>
    </xf>
    <xf numFmtId="0" fontId="0" fillId="5" borderId="7" xfId="0" applyFill="1" applyBorder="1" applyAlignment="1">
      <alignment vertical="top"/>
    </xf>
    <xf numFmtId="0" fontId="3" fillId="5" borderId="6" xfId="0" applyFont="1" applyFill="1" applyBorder="1" applyAlignment="1">
      <alignment vertical="top" wrapText="1"/>
    </xf>
    <xf numFmtId="0" fontId="0" fillId="5" borderId="6" xfId="0" applyFill="1" applyBorder="1" applyAlignment="1">
      <alignment vertical="top" wrapText="1"/>
    </xf>
    <xf numFmtId="0" fontId="0" fillId="5" borderId="2" xfId="0" applyFill="1" applyBorder="1" applyAlignment="1">
      <alignment vertical="top"/>
    </xf>
    <xf numFmtId="0" fontId="0" fillId="5" borderId="1" xfId="0" applyFill="1" applyBorder="1" applyAlignment="1">
      <alignment vertical="top" wrapText="1"/>
    </xf>
    <xf numFmtId="0" fontId="0" fillId="5" borderId="23" xfId="0" applyFill="1" applyBorder="1" applyAlignment="1">
      <alignment vertical="top"/>
    </xf>
    <xf numFmtId="0" fontId="3" fillId="5" borderId="24" xfId="0" applyFont="1" applyFill="1" applyBorder="1" applyAlignment="1">
      <alignment vertical="top" wrapText="1"/>
    </xf>
    <xf numFmtId="0" fontId="2" fillId="5" borderId="4"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6" borderId="4" xfId="0" applyFont="1" applyFill="1" applyBorder="1" applyAlignment="1">
      <alignment horizontal="center" vertical="top" wrapText="1"/>
    </xf>
    <xf numFmtId="0" fontId="2" fillId="6" borderId="1" xfId="0" applyFont="1" applyFill="1" applyBorder="1" applyAlignment="1">
      <alignment horizontal="center" vertical="top" wrapText="1"/>
    </xf>
    <xf numFmtId="0" fontId="3" fillId="6" borderId="24" xfId="0" applyFont="1" applyFill="1" applyBorder="1" applyAlignment="1">
      <alignment vertical="top" wrapText="1"/>
    </xf>
    <xf numFmtId="0" fontId="0" fillId="6" borderId="7" xfId="0" applyFill="1" applyBorder="1" applyAlignment="1">
      <alignment vertical="top"/>
    </xf>
    <xf numFmtId="0" fontId="3" fillId="6" borderId="6" xfId="0" applyFont="1" applyFill="1" applyBorder="1" applyAlignment="1">
      <alignment vertical="top" wrapText="1"/>
    </xf>
    <xf numFmtId="0" fontId="0" fillId="6" borderId="6" xfId="0" applyFill="1" applyBorder="1" applyAlignment="1">
      <alignment vertical="top" wrapText="1"/>
    </xf>
    <xf numFmtId="0" fontId="0" fillId="6" borderId="2" xfId="0" applyFill="1" applyBorder="1" applyAlignment="1">
      <alignment vertical="top"/>
    </xf>
    <xf numFmtId="0" fontId="0" fillId="6" borderId="1" xfId="0" applyFill="1" applyBorder="1" applyAlignment="1">
      <alignment vertical="top" wrapText="1"/>
    </xf>
    <xf numFmtId="0" fontId="0" fillId="3" borderId="7" xfId="0" applyFill="1" applyBorder="1" applyAlignment="1">
      <alignment vertical="top"/>
    </xf>
    <xf numFmtId="0" fontId="0" fillId="3" borderId="23" xfId="0" applyFill="1" applyBorder="1" applyAlignment="1">
      <alignment vertical="top"/>
    </xf>
    <xf numFmtId="164" fontId="2" fillId="4" borderId="14" xfId="0" applyNumberFormat="1" applyFont="1" applyFill="1" applyBorder="1" applyAlignment="1">
      <alignment horizontal="center"/>
    </xf>
    <xf numFmtId="164" fontId="2" fillId="4" borderId="20" xfId="0" applyNumberFormat="1" applyFont="1" applyFill="1" applyBorder="1" applyAlignment="1">
      <alignment horizontal="center"/>
    </xf>
    <xf numFmtId="164" fontId="2" fillId="4" borderId="19" xfId="0" applyNumberFormat="1" applyFont="1" applyFill="1" applyBorder="1" applyAlignment="1">
      <alignment horizontal="center"/>
    </xf>
    <xf numFmtId="164" fontId="2" fillId="5" borderId="14" xfId="0" applyNumberFormat="1" applyFont="1" applyFill="1" applyBorder="1" applyAlignment="1">
      <alignment horizontal="center"/>
    </xf>
    <xf numFmtId="164" fontId="2" fillId="5" borderId="19" xfId="0" applyNumberFormat="1" applyFont="1" applyFill="1" applyBorder="1" applyAlignment="1">
      <alignment horizontal="center"/>
    </xf>
    <xf numFmtId="164" fontId="2" fillId="6" borderId="14" xfId="0" applyNumberFormat="1" applyFont="1" applyFill="1" applyBorder="1" applyAlignment="1">
      <alignment horizontal="center"/>
    </xf>
    <xf numFmtId="164" fontId="2" fillId="6" borderId="19"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FFCC"/>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May 2024 </a:t>
            </a:r>
            <a:r>
              <a:rPr lang="en-US" sz="1400" b="1" i="0" u="none" strike="noStrike" kern="1200" spc="0" baseline="0">
                <a:solidFill>
                  <a:sysClr val="windowText" lastClr="000000">
                    <a:lumMod val="65000"/>
                    <a:lumOff val="35000"/>
                  </a:sysClr>
                </a:solidFill>
              </a:rPr>
              <a:t>Pipeline Entry </a:t>
            </a:r>
            <a:r>
              <a:rPr lang="en-US" sz="1400" b="1" i="0" u="none" strike="noStrike" kern="1200" spc="0" baseline="0">
                <a:solidFill>
                  <a:sysClr val="windowText" lastClr="000000">
                    <a:lumMod val="65000"/>
                    <a:lumOff val="35000"/>
                  </a:sysClr>
                </a:solidFill>
                <a:latin typeface="+mn-lt"/>
                <a:ea typeface="+mn-ea"/>
                <a:cs typeface="+mn-cs"/>
              </a:rPr>
              <a:t>Survey</a:t>
            </a:r>
          </a:p>
        </c:rich>
      </c:tx>
      <c:overlay val="0"/>
    </c:title>
    <c:autoTitleDeleted val="0"/>
    <c:plotArea>
      <c:layout/>
      <c:barChart>
        <c:barDir val="col"/>
        <c:grouping val="clustered"/>
        <c:varyColors val="0"/>
        <c:ser>
          <c:idx val="0"/>
          <c:order val="0"/>
          <c:spPr>
            <a:solidFill>
              <a:schemeClr val="accent1"/>
            </a:solidFill>
            <a:ln>
              <a:prstDash val="solid"/>
            </a:ln>
          </c:spPr>
          <c:invertIfNegative val="0"/>
          <c:dPt>
            <c:idx val="0"/>
            <c:invertIfNegative val="0"/>
            <c:bubble3D val="0"/>
            <c:spPr>
              <a:solidFill>
                <a:srgbClr val="00B050"/>
              </a:solidFill>
              <a:ln>
                <a:prstDash val="solid"/>
              </a:ln>
            </c:spPr>
            <c:extLst>
              <c:ext xmlns:c16="http://schemas.microsoft.com/office/drawing/2014/chart" uri="{C3380CC4-5D6E-409C-BE32-E72D297353CC}">
                <c16:uniqueId val="{00000001-42BA-4E4F-9C1D-F63FBDAA78D6}"/>
              </c:ext>
            </c:extLst>
          </c:dPt>
          <c:dPt>
            <c:idx val="1"/>
            <c:invertIfNegative val="0"/>
            <c:bubble3D val="0"/>
            <c:extLst>
              <c:ext xmlns:c16="http://schemas.microsoft.com/office/drawing/2014/chart" uri="{C3380CC4-5D6E-409C-BE32-E72D297353CC}">
                <c16:uniqueId val="{00000002-42BA-4E4F-9C1D-F63FBDAA78D6}"/>
              </c:ext>
            </c:extLst>
          </c:dPt>
          <c:dPt>
            <c:idx val="3"/>
            <c:invertIfNegative val="0"/>
            <c:bubble3D val="0"/>
            <c:spPr>
              <a:solidFill>
                <a:srgbClr val="FFC000"/>
              </a:solidFill>
              <a:ln>
                <a:prstDash val="solid"/>
              </a:ln>
            </c:spPr>
            <c:extLst>
              <c:ext xmlns:c16="http://schemas.microsoft.com/office/drawing/2014/chart" uri="{C3380CC4-5D6E-409C-BE32-E72D297353CC}">
                <c16:uniqueId val="{00000006-42BA-4E4F-9C1D-F63FBDAA78D6}"/>
              </c:ext>
            </c:extLst>
          </c:dPt>
          <c:dPt>
            <c:idx val="4"/>
            <c:invertIfNegative val="0"/>
            <c:bubble3D val="0"/>
            <c:spPr>
              <a:solidFill>
                <a:schemeClr val="bg1">
                  <a:lumMod val="75000"/>
                </a:schemeClr>
              </a:solidFill>
              <a:ln>
                <a:prstDash val="solid"/>
              </a:ln>
            </c:spPr>
            <c:extLst>
              <c:ext xmlns:c16="http://schemas.microsoft.com/office/drawing/2014/chart" uri="{C3380CC4-5D6E-409C-BE32-E72D297353CC}">
                <c16:uniqueId val="{00000006-EB91-466C-9ECA-8D6F7B25186C}"/>
              </c:ext>
            </c:extLst>
          </c:dPt>
          <c:cat>
            <c:strRef>
              <c:f>'Survey Results'!$B$36:$B$40</c:f>
              <c:strCache>
                <c:ptCount val="5"/>
                <c:pt idx="0">
                  <c:v>Yes</c:v>
                </c:pt>
                <c:pt idx="1">
                  <c:v>No</c:v>
                </c:pt>
                <c:pt idx="2">
                  <c:v>Maybe</c:v>
                </c:pt>
                <c:pt idx="3">
                  <c:v>No line of sight</c:v>
                </c:pt>
                <c:pt idx="4">
                  <c:v>No response</c:v>
                </c:pt>
              </c:strCache>
            </c:strRef>
          </c:cat>
          <c:val>
            <c:numRef>
              <c:f>'Survey Results'!$C$36:$C$40</c:f>
              <c:numCache>
                <c:formatCode>General</c:formatCode>
                <c:ptCount val="5"/>
                <c:pt idx="0">
                  <c:v>6</c:v>
                </c:pt>
                <c:pt idx="1">
                  <c:v>0</c:v>
                </c:pt>
                <c:pt idx="2">
                  <c:v>7</c:v>
                </c:pt>
                <c:pt idx="3">
                  <c:v>9</c:v>
                </c:pt>
                <c:pt idx="4">
                  <c:v>0</c:v>
                </c:pt>
              </c:numCache>
            </c:numRef>
          </c:val>
          <c:extLst>
            <c:ext xmlns:c16="http://schemas.microsoft.com/office/drawing/2014/chart" uri="{C3380CC4-5D6E-409C-BE32-E72D297353CC}">
              <c16:uniqueId val="{00000007-42BA-4E4F-9C1D-F63FBDAA78D6}"/>
            </c:ext>
          </c:extLst>
        </c:ser>
        <c:dLbls>
          <c:showLegendKey val="0"/>
          <c:showVal val="0"/>
          <c:showCatName val="0"/>
          <c:showSerName val="0"/>
          <c:showPercent val="0"/>
          <c:showBubbleSize val="0"/>
        </c:dLbls>
        <c:gapWidth val="150"/>
        <c:axId val="10"/>
        <c:axId val="100"/>
      </c:barChart>
      <c:valAx>
        <c:axId val="100"/>
        <c:scaling>
          <c:orientation val="minMax"/>
          <c:max val="20"/>
        </c:scaling>
        <c:delete val="0"/>
        <c:axPos val="l"/>
        <c:majorGridlines>
          <c:spPr>
            <a:ln>
              <a:solidFill>
                <a:schemeClr val="bg1">
                  <a:lumMod val="75000"/>
                </a:schemeClr>
              </a:solidFill>
            </a:ln>
          </c:spPr>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2024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6DB4-44C5-8B0A-002657344974}"/>
              </c:ext>
            </c:extLst>
          </c:dPt>
          <c:dPt>
            <c:idx val="1"/>
            <c:invertIfNegative val="0"/>
            <c:bubble3D val="0"/>
            <c:spPr>
              <a:solidFill>
                <a:srgbClr val="FF0000"/>
              </a:solidFill>
              <a:ln>
                <a:noFill/>
              </a:ln>
              <a:effectLst/>
            </c:spPr>
            <c:extLst>
              <c:ext xmlns:c16="http://schemas.microsoft.com/office/drawing/2014/chart" uri="{C3380CC4-5D6E-409C-BE32-E72D297353CC}">
                <c16:uniqueId val="{00000003-6DB4-44C5-8B0A-002657344974}"/>
              </c:ext>
            </c:extLst>
          </c:dPt>
          <c:dPt>
            <c:idx val="3"/>
            <c:invertIfNegative val="0"/>
            <c:bubble3D val="0"/>
            <c:spPr>
              <a:solidFill>
                <a:srgbClr val="FFC000"/>
              </a:solidFill>
              <a:ln>
                <a:noFill/>
              </a:ln>
              <a:effectLst/>
            </c:spPr>
            <c:extLst>
              <c:ext xmlns:c16="http://schemas.microsoft.com/office/drawing/2014/chart" uri="{C3380CC4-5D6E-409C-BE32-E72D297353CC}">
                <c16:uniqueId val="{00000007-6DB4-44C5-8B0A-002657344974}"/>
              </c:ext>
            </c:extLst>
          </c:dPt>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7-8262-4E9E-9F3D-856753171B0A}"/>
              </c:ext>
            </c:extLst>
          </c:dPt>
          <c:cat>
            <c:strRef>
              <c:f>'Survey Results'!$E$36:$E$40</c:f>
              <c:strCache>
                <c:ptCount val="5"/>
                <c:pt idx="0">
                  <c:v>Yes</c:v>
                </c:pt>
                <c:pt idx="1">
                  <c:v>No</c:v>
                </c:pt>
                <c:pt idx="2">
                  <c:v>Maybe</c:v>
                </c:pt>
                <c:pt idx="3">
                  <c:v>No line of sight</c:v>
                </c:pt>
                <c:pt idx="4">
                  <c:v>No response</c:v>
                </c:pt>
              </c:strCache>
            </c:strRef>
          </c:cat>
          <c:val>
            <c:numRef>
              <c:f>'Survey Results'!$F$36:$F$40</c:f>
              <c:numCache>
                <c:formatCode>General</c:formatCode>
                <c:ptCount val="5"/>
                <c:pt idx="0">
                  <c:v>5</c:v>
                </c:pt>
                <c:pt idx="1">
                  <c:v>9</c:v>
                </c:pt>
                <c:pt idx="2">
                  <c:v>0</c:v>
                </c:pt>
                <c:pt idx="3">
                  <c:v>4</c:v>
                </c:pt>
                <c:pt idx="4">
                  <c:v>2</c:v>
                </c:pt>
              </c:numCache>
            </c:numRef>
          </c:val>
          <c:extLst>
            <c:ext xmlns:c16="http://schemas.microsoft.com/office/drawing/2014/chart" uri="{C3380CC4-5D6E-409C-BE32-E72D297353CC}">
              <c16:uniqueId val="{00000008-6DB4-44C5-8B0A-002657344974}"/>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max val="20"/>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2025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noFill/>
            </a:ln>
            <a:effectLst/>
          </c:spPr>
          <c:invertIfNegative val="0"/>
          <c:dPt>
            <c:idx val="2"/>
            <c:invertIfNegative val="0"/>
            <c:bubble3D val="0"/>
            <c:spPr>
              <a:solidFill>
                <a:srgbClr val="0070C0"/>
              </a:solidFill>
              <a:ln>
                <a:noFill/>
              </a:ln>
              <a:effectLst/>
            </c:spPr>
            <c:extLst>
              <c:ext xmlns:c16="http://schemas.microsoft.com/office/drawing/2014/chart" uri="{C3380CC4-5D6E-409C-BE32-E72D297353CC}">
                <c16:uniqueId val="{00000005-CE19-481F-AB13-0A09B9A49218}"/>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3-A881-4CC6-B203-EC6B27BBCA3C}"/>
              </c:ext>
            </c:extLst>
          </c:dPt>
          <c:cat>
            <c:strRef>
              <c:f>'Survey Results'!$G$36:$G$40</c:f>
              <c:strCache>
                <c:ptCount val="5"/>
                <c:pt idx="0">
                  <c:v>Yes</c:v>
                </c:pt>
                <c:pt idx="1">
                  <c:v>No</c:v>
                </c:pt>
                <c:pt idx="2">
                  <c:v>Maybe</c:v>
                </c:pt>
                <c:pt idx="3">
                  <c:v>No line of sight</c:v>
                </c:pt>
                <c:pt idx="4">
                  <c:v>No response</c:v>
                </c:pt>
              </c:strCache>
            </c:strRef>
          </c:cat>
          <c:val>
            <c:numRef>
              <c:f>'Survey Results'!$H$36:$H$40</c:f>
              <c:numCache>
                <c:formatCode>General</c:formatCode>
                <c:ptCount val="5"/>
                <c:pt idx="0">
                  <c:v>18</c:v>
                </c:pt>
                <c:pt idx="1">
                  <c:v>0</c:v>
                </c:pt>
                <c:pt idx="2">
                  <c:v>2</c:v>
                </c:pt>
                <c:pt idx="3">
                  <c:v>0</c:v>
                </c:pt>
                <c:pt idx="4">
                  <c:v>1</c:v>
                </c:pt>
              </c:numCache>
            </c:numRef>
          </c:val>
          <c:extLst>
            <c:ext xmlns:c16="http://schemas.microsoft.com/office/drawing/2014/chart" uri="{C3380CC4-5D6E-409C-BE32-E72D297353CC}">
              <c16:uniqueId val="{00000008-CE19-481F-AB13-0A09B9A49218}"/>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23812</xdr:colOff>
      <xdr:row>43</xdr:row>
      <xdr:rowOff>0</xdr:rowOff>
    </xdr:from>
    <xdr:ext cx="4536281" cy="2857499"/>
    <xdr:graphicFrame macro="">
      <xdr:nvGraphicFramePr>
        <xdr:cNvPr id="3" name="Chart 2">
          <a:extLst>
            <a:ext uri="{FF2B5EF4-FFF2-40B4-BE49-F238E27FC236}">
              <a16:creationId xmlns:a16="http://schemas.microsoft.com/office/drawing/2014/main" id="{8658A5FB-BFDD-4619-86BA-32931C34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4</xdr:col>
      <xdr:colOff>0</xdr:colOff>
      <xdr:row>43</xdr:row>
      <xdr:rowOff>-1</xdr:rowOff>
    </xdr:from>
    <xdr:to>
      <xdr:col>6</xdr:col>
      <xdr:colOff>0</xdr:colOff>
      <xdr:row>57</xdr:row>
      <xdr:rowOff>190498</xdr:rowOff>
    </xdr:to>
    <xdr:graphicFrame macro="">
      <xdr:nvGraphicFramePr>
        <xdr:cNvPr id="4" name="Chart 3">
          <a:extLst>
            <a:ext uri="{FF2B5EF4-FFF2-40B4-BE49-F238E27FC236}">
              <a16:creationId xmlns:a16="http://schemas.microsoft.com/office/drawing/2014/main" id="{6D18A9BF-6A45-4351-B0E6-61B6654A9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42</xdr:row>
      <xdr:rowOff>190499</xdr:rowOff>
    </xdr:from>
    <xdr:to>
      <xdr:col>8</xdr:col>
      <xdr:colOff>0</xdr:colOff>
      <xdr:row>57</xdr:row>
      <xdr:rowOff>190498</xdr:rowOff>
    </xdr:to>
    <xdr:graphicFrame macro="">
      <xdr:nvGraphicFramePr>
        <xdr:cNvPr id="2" name="Chart 1">
          <a:extLst>
            <a:ext uri="{FF2B5EF4-FFF2-40B4-BE49-F238E27FC236}">
              <a16:creationId xmlns:a16="http://schemas.microsoft.com/office/drawing/2014/main" id="{36F2C95A-14BD-42E7-A3B2-3F62E17B8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D268-BDFF-4894-B9C6-DC3E0E6DEA18}">
  <sheetPr>
    <pageSetUpPr fitToPage="1"/>
  </sheetPr>
  <dimension ref="A1:H42"/>
  <sheetViews>
    <sheetView tabSelected="1" zoomScale="80" zoomScaleNormal="80" workbookViewId="0">
      <pane xSplit="1" ySplit="2" topLeftCell="B3" activePane="bottomRight" state="frozen"/>
      <selection pane="topRight" activeCell="B1" sqref="B1"/>
      <selection pane="bottomLeft" activeCell="A3" sqref="A3"/>
      <selection pane="bottomRight" activeCell="L7" sqref="L7"/>
    </sheetView>
  </sheetViews>
  <sheetFormatPr defaultColWidth="9.1796875" defaultRowHeight="14.5" x14ac:dyDescent="0.35"/>
  <cols>
    <col min="1" max="1" width="15.54296875" customWidth="1"/>
    <col min="2" max="2" width="17.7265625" customWidth="1"/>
    <col min="3" max="4" width="50.7265625" customWidth="1"/>
    <col min="5" max="5" width="17.7265625" customWidth="1"/>
    <col min="6" max="6" width="50.7265625" customWidth="1"/>
    <col min="7" max="7" width="17.7265625" customWidth="1"/>
    <col min="8" max="8" width="50.7265625" customWidth="1"/>
  </cols>
  <sheetData>
    <row r="1" spans="1:8" x14ac:dyDescent="0.35">
      <c r="B1" s="51">
        <v>45413</v>
      </c>
      <c r="C1" s="52"/>
      <c r="D1" s="53"/>
      <c r="E1" s="54">
        <v>45597</v>
      </c>
      <c r="F1" s="55"/>
      <c r="G1" s="56">
        <v>45962</v>
      </c>
      <c r="H1" s="57"/>
    </row>
    <row r="2" spans="1:8" ht="60" customHeight="1" thickBot="1" x14ac:dyDescent="0.4">
      <c r="A2" s="16"/>
      <c r="B2" s="15" t="s">
        <v>51</v>
      </c>
      <c r="C2" s="14" t="s">
        <v>52</v>
      </c>
      <c r="D2" s="13" t="s">
        <v>34</v>
      </c>
      <c r="E2" s="39" t="s">
        <v>35</v>
      </c>
      <c r="F2" s="40" t="s">
        <v>36</v>
      </c>
      <c r="G2" s="41" t="s">
        <v>80</v>
      </c>
      <c r="H2" s="42" t="s">
        <v>36</v>
      </c>
    </row>
    <row r="3" spans="1:8" ht="159.5" x14ac:dyDescent="0.35">
      <c r="A3" s="27" t="s">
        <v>30</v>
      </c>
      <c r="B3" s="12" t="s">
        <v>1</v>
      </c>
      <c r="C3" s="11" t="s">
        <v>53</v>
      </c>
      <c r="D3" s="10" t="s">
        <v>54</v>
      </c>
      <c r="E3" s="37" t="s">
        <v>4</v>
      </c>
      <c r="F3" s="38" t="s">
        <v>45</v>
      </c>
      <c r="G3" s="50" t="s">
        <v>5</v>
      </c>
      <c r="H3" s="43" t="s">
        <v>83</v>
      </c>
    </row>
    <row r="4" spans="1:8" ht="58" x14ac:dyDescent="0.35">
      <c r="A4" s="28" t="s">
        <v>29</v>
      </c>
      <c r="B4" s="9" t="s">
        <v>5</v>
      </c>
      <c r="C4" s="8" t="s">
        <v>55</v>
      </c>
      <c r="D4" s="7" t="s">
        <v>56</v>
      </c>
      <c r="E4" s="32" t="s">
        <v>4</v>
      </c>
      <c r="F4" s="33" t="s">
        <v>50</v>
      </c>
      <c r="G4" s="49" t="s">
        <v>5</v>
      </c>
      <c r="H4" s="45" t="s">
        <v>100</v>
      </c>
    </row>
    <row r="5" spans="1:8" ht="58" x14ac:dyDescent="0.35">
      <c r="A5" s="28" t="s">
        <v>28</v>
      </c>
      <c r="B5" s="9" t="s">
        <v>5</v>
      </c>
      <c r="C5" s="8" t="s">
        <v>57</v>
      </c>
      <c r="D5" s="7" t="s">
        <v>58</v>
      </c>
      <c r="E5" s="32" t="s">
        <v>3</v>
      </c>
      <c r="F5" s="33" t="s">
        <v>48</v>
      </c>
      <c r="G5" s="49" t="s">
        <v>5</v>
      </c>
      <c r="H5" s="45" t="s">
        <v>85</v>
      </c>
    </row>
    <row r="6" spans="1:8" ht="43.5" x14ac:dyDescent="0.35">
      <c r="A6" s="28" t="s">
        <v>27</v>
      </c>
      <c r="B6" s="9" t="s">
        <v>1</v>
      </c>
      <c r="C6" s="8" t="s">
        <v>59</v>
      </c>
      <c r="D6" s="7" t="s">
        <v>60</v>
      </c>
      <c r="E6" s="32" t="s">
        <v>2</v>
      </c>
      <c r="F6" s="33"/>
      <c r="G6" s="44" t="s">
        <v>5</v>
      </c>
      <c r="H6" s="45" t="s">
        <v>91</v>
      </c>
    </row>
    <row r="7" spans="1:8" ht="195.75" customHeight="1" x14ac:dyDescent="0.35">
      <c r="A7" s="28" t="s">
        <v>26</v>
      </c>
      <c r="B7" s="9" t="s">
        <v>3</v>
      </c>
      <c r="C7" s="8"/>
      <c r="D7" s="7"/>
      <c r="E7" s="32" t="s">
        <v>3</v>
      </c>
      <c r="F7" s="33" t="s">
        <v>41</v>
      </c>
      <c r="G7" s="44" t="s">
        <v>1</v>
      </c>
      <c r="H7" s="45" t="s">
        <v>81</v>
      </c>
    </row>
    <row r="8" spans="1:8" ht="29" x14ac:dyDescent="0.35">
      <c r="A8" s="28" t="s">
        <v>25</v>
      </c>
      <c r="B8" s="9" t="s">
        <v>5</v>
      </c>
      <c r="C8" s="8" t="s">
        <v>61</v>
      </c>
      <c r="D8" s="7" t="s">
        <v>24</v>
      </c>
      <c r="E8" s="32" t="s">
        <v>4</v>
      </c>
      <c r="F8" s="33" t="s">
        <v>49</v>
      </c>
      <c r="G8" s="49" t="s">
        <v>5</v>
      </c>
      <c r="H8" s="45" t="s">
        <v>102</v>
      </c>
    </row>
    <row r="9" spans="1:8" ht="116" x14ac:dyDescent="0.35">
      <c r="A9" s="28" t="s">
        <v>23</v>
      </c>
      <c r="B9" s="9" t="s">
        <v>1</v>
      </c>
      <c r="C9" s="8" t="s">
        <v>62</v>
      </c>
      <c r="D9" s="7" t="s">
        <v>63</v>
      </c>
      <c r="E9" s="32" t="s">
        <v>4</v>
      </c>
      <c r="F9" s="33" t="s">
        <v>47</v>
      </c>
      <c r="G9" s="49" t="s">
        <v>5</v>
      </c>
      <c r="H9" s="45" t="s">
        <v>99</v>
      </c>
    </row>
    <row r="10" spans="1:8" x14ac:dyDescent="0.35">
      <c r="A10" s="29" t="s">
        <v>22</v>
      </c>
      <c r="B10" s="9" t="s">
        <v>32</v>
      </c>
      <c r="C10" s="8"/>
      <c r="D10" s="7"/>
      <c r="E10" s="32" t="s">
        <v>32</v>
      </c>
      <c r="F10" s="33"/>
      <c r="G10" s="44" t="s">
        <v>32</v>
      </c>
      <c r="H10" s="45"/>
    </row>
    <row r="11" spans="1:8" ht="43.5" x14ac:dyDescent="0.35">
      <c r="A11" s="28" t="s">
        <v>21</v>
      </c>
      <c r="B11" s="9" t="s">
        <v>1</v>
      </c>
      <c r="C11" s="8" t="s">
        <v>64</v>
      </c>
      <c r="D11" s="7" t="s">
        <v>65</v>
      </c>
      <c r="E11" s="32" t="s">
        <v>4</v>
      </c>
      <c r="F11" s="33" t="s">
        <v>39</v>
      </c>
      <c r="G11" s="49" t="s">
        <v>5</v>
      </c>
      <c r="H11" s="45" t="s">
        <v>90</v>
      </c>
    </row>
    <row r="12" spans="1:8" ht="159.5" x14ac:dyDescent="0.35">
      <c r="A12" s="31" t="s">
        <v>20</v>
      </c>
      <c r="B12" s="9" t="s">
        <v>5</v>
      </c>
      <c r="C12" s="8" t="s">
        <v>66</v>
      </c>
      <c r="D12" s="7" t="s">
        <v>67</v>
      </c>
      <c r="E12" s="32" t="s">
        <v>4</v>
      </c>
      <c r="F12" s="33" t="s">
        <v>43</v>
      </c>
      <c r="G12" s="49" t="s">
        <v>5</v>
      </c>
      <c r="H12" s="45" t="s">
        <v>89</v>
      </c>
    </row>
    <row r="13" spans="1:8" ht="92.25" customHeight="1" x14ac:dyDescent="0.35">
      <c r="A13" s="31" t="s">
        <v>19</v>
      </c>
      <c r="B13" s="9" t="s">
        <v>1</v>
      </c>
      <c r="C13" s="8" t="s">
        <v>68</v>
      </c>
      <c r="D13" s="7" t="s">
        <v>69</v>
      </c>
      <c r="E13" s="32" t="s">
        <v>5</v>
      </c>
      <c r="F13" s="34"/>
      <c r="G13" s="44" t="s">
        <v>5</v>
      </c>
      <c r="H13" s="46" t="s">
        <v>82</v>
      </c>
    </row>
    <row r="14" spans="1:8" x14ac:dyDescent="0.35">
      <c r="A14" s="28" t="s">
        <v>18</v>
      </c>
      <c r="B14" s="9" t="s">
        <v>3</v>
      </c>
      <c r="C14" s="8"/>
      <c r="D14" s="7"/>
      <c r="E14" s="32" t="s">
        <v>3</v>
      </c>
      <c r="F14" s="33"/>
      <c r="G14" s="44" t="s">
        <v>2</v>
      </c>
      <c r="H14" s="45"/>
    </row>
    <row r="15" spans="1:8" ht="152.25" customHeight="1" x14ac:dyDescent="0.35">
      <c r="A15" s="28" t="s">
        <v>86</v>
      </c>
      <c r="B15" s="9" t="s">
        <v>32</v>
      </c>
      <c r="C15" s="8"/>
      <c r="D15" s="7"/>
      <c r="E15" s="32" t="s">
        <v>32</v>
      </c>
      <c r="F15" s="33"/>
      <c r="G15" s="44" t="s">
        <v>5</v>
      </c>
      <c r="H15" s="46" t="s">
        <v>87</v>
      </c>
    </row>
    <row r="16" spans="1:8" x14ac:dyDescent="0.35">
      <c r="A16" s="29" t="s">
        <v>17</v>
      </c>
      <c r="B16" s="9" t="s">
        <v>3</v>
      </c>
      <c r="C16" s="8"/>
      <c r="D16" s="7"/>
      <c r="E16" s="32" t="s">
        <v>32</v>
      </c>
      <c r="F16" s="34"/>
      <c r="G16" s="44" t="s">
        <v>32</v>
      </c>
      <c r="H16" s="46"/>
    </row>
    <row r="17" spans="1:8" ht="116" x14ac:dyDescent="0.35">
      <c r="A17" s="28" t="s">
        <v>16</v>
      </c>
      <c r="B17" s="9" t="s">
        <v>1</v>
      </c>
      <c r="C17" s="8" t="s">
        <v>70</v>
      </c>
      <c r="D17" s="7" t="s">
        <v>71</v>
      </c>
      <c r="E17" s="32" t="s">
        <v>4</v>
      </c>
      <c r="F17" s="33" t="s">
        <v>46</v>
      </c>
      <c r="G17" s="49" t="s">
        <v>5</v>
      </c>
      <c r="H17" s="45" t="s">
        <v>97</v>
      </c>
    </row>
    <row r="18" spans="1:8" x14ac:dyDescent="0.35">
      <c r="A18" s="29" t="s">
        <v>15</v>
      </c>
      <c r="B18" s="9" t="s">
        <v>32</v>
      </c>
      <c r="C18" s="8"/>
      <c r="D18" s="7"/>
      <c r="E18" s="32" t="s">
        <v>32</v>
      </c>
      <c r="F18" s="34"/>
      <c r="G18" s="44" t="s">
        <v>32</v>
      </c>
      <c r="H18" s="46"/>
    </row>
    <row r="19" spans="1:8" ht="29" x14ac:dyDescent="0.35">
      <c r="A19" s="28" t="s">
        <v>92</v>
      </c>
      <c r="B19" s="9" t="s">
        <v>32</v>
      </c>
      <c r="C19" s="8"/>
      <c r="D19" s="7"/>
      <c r="E19" s="32" t="s">
        <v>32</v>
      </c>
      <c r="F19" s="34"/>
      <c r="G19" s="44" t="s">
        <v>5</v>
      </c>
      <c r="H19" s="45" t="s">
        <v>93</v>
      </c>
    </row>
    <row r="20" spans="1:8" ht="29" x14ac:dyDescent="0.35">
      <c r="A20" s="28" t="s">
        <v>14</v>
      </c>
      <c r="B20" s="9" t="s">
        <v>3</v>
      </c>
      <c r="C20" s="8"/>
      <c r="D20" s="7"/>
      <c r="E20" s="32" t="s">
        <v>5</v>
      </c>
      <c r="F20" s="34" t="s">
        <v>33</v>
      </c>
      <c r="G20" s="44" t="s">
        <v>32</v>
      </c>
      <c r="H20" s="46"/>
    </row>
    <row r="21" spans="1:8" ht="130.5" x14ac:dyDescent="0.35">
      <c r="A21" s="28" t="s">
        <v>94</v>
      </c>
      <c r="B21" s="9" t="s">
        <v>32</v>
      </c>
      <c r="C21" s="8"/>
      <c r="D21" s="7"/>
      <c r="E21" s="32" t="s">
        <v>32</v>
      </c>
      <c r="F21" s="34"/>
      <c r="G21" s="44" t="s">
        <v>5</v>
      </c>
      <c r="H21" s="46" t="s">
        <v>95</v>
      </c>
    </row>
    <row r="22" spans="1:8" x14ac:dyDescent="0.35">
      <c r="A22" s="29" t="s">
        <v>13</v>
      </c>
      <c r="B22" s="9" t="s">
        <v>3</v>
      </c>
      <c r="C22" s="8"/>
      <c r="D22" s="7"/>
      <c r="E22" s="32" t="s">
        <v>32</v>
      </c>
      <c r="F22" s="33"/>
      <c r="G22" s="44" t="s">
        <v>32</v>
      </c>
      <c r="H22" s="45"/>
    </row>
    <row r="23" spans="1:8" x14ac:dyDescent="0.35">
      <c r="A23" s="29" t="s">
        <v>12</v>
      </c>
      <c r="B23" s="9" t="s">
        <v>32</v>
      </c>
      <c r="C23" s="8"/>
      <c r="D23" s="7"/>
      <c r="E23" s="32" t="s">
        <v>32</v>
      </c>
      <c r="F23" s="34"/>
      <c r="G23" s="44" t="s">
        <v>32</v>
      </c>
      <c r="H23" s="46"/>
    </row>
    <row r="24" spans="1:8" ht="228.75" customHeight="1" x14ac:dyDescent="0.35">
      <c r="A24" s="28" t="s">
        <v>11</v>
      </c>
      <c r="B24" s="9" t="s">
        <v>3</v>
      </c>
      <c r="C24" s="8"/>
      <c r="D24" s="7"/>
      <c r="E24" s="32" t="s">
        <v>4</v>
      </c>
      <c r="F24" s="33" t="s">
        <v>38</v>
      </c>
      <c r="G24" s="44" t="s">
        <v>1</v>
      </c>
      <c r="H24" s="45" t="s">
        <v>96</v>
      </c>
    </row>
    <row r="25" spans="1:8" ht="159.5" x14ac:dyDescent="0.35">
      <c r="A25" s="28" t="s">
        <v>10</v>
      </c>
      <c r="B25" s="9" t="s">
        <v>1</v>
      </c>
      <c r="C25" s="8" t="s">
        <v>72</v>
      </c>
      <c r="D25" s="7" t="s">
        <v>73</v>
      </c>
      <c r="E25" s="32" t="s">
        <v>4</v>
      </c>
      <c r="F25" s="33" t="s">
        <v>40</v>
      </c>
      <c r="G25" s="49" t="s">
        <v>5</v>
      </c>
      <c r="H25" s="45" t="s">
        <v>98</v>
      </c>
    </row>
    <row r="26" spans="1:8" ht="116" x14ac:dyDescent="0.35">
      <c r="A26" s="28" t="s">
        <v>77</v>
      </c>
      <c r="B26" s="9" t="s">
        <v>5</v>
      </c>
      <c r="C26" s="8" t="s">
        <v>76</v>
      </c>
      <c r="D26" s="7"/>
      <c r="E26" s="32" t="s">
        <v>2</v>
      </c>
      <c r="F26" s="33"/>
      <c r="G26" s="44" t="s">
        <v>5</v>
      </c>
      <c r="H26" s="45"/>
    </row>
    <row r="27" spans="1:8" ht="58" x14ac:dyDescent="0.35">
      <c r="A27" s="28" t="s">
        <v>9</v>
      </c>
      <c r="B27" s="9" t="s">
        <v>3</v>
      </c>
      <c r="C27" s="8"/>
      <c r="D27" s="7"/>
      <c r="E27" s="32" t="s">
        <v>5</v>
      </c>
      <c r="F27" s="34" t="s">
        <v>37</v>
      </c>
      <c r="G27" s="44" t="s">
        <v>5</v>
      </c>
      <c r="H27" s="46" t="s">
        <v>88</v>
      </c>
    </row>
    <row r="28" spans="1:8" ht="72.5" x14ac:dyDescent="0.35">
      <c r="A28" s="29" t="s">
        <v>8</v>
      </c>
      <c r="B28" s="9" t="s">
        <v>3</v>
      </c>
      <c r="C28" s="8"/>
      <c r="D28" s="7"/>
      <c r="E28" s="32" t="s">
        <v>3</v>
      </c>
      <c r="F28" s="33" t="s">
        <v>44</v>
      </c>
      <c r="G28" s="44" t="s">
        <v>32</v>
      </c>
      <c r="H28" s="45"/>
    </row>
    <row r="29" spans="1:8" ht="29" x14ac:dyDescent="0.35">
      <c r="A29" s="28" t="s">
        <v>7</v>
      </c>
      <c r="B29" s="9" t="s">
        <v>5</v>
      </c>
      <c r="C29" s="8" t="s">
        <v>74</v>
      </c>
      <c r="D29" s="7" t="s">
        <v>75</v>
      </c>
      <c r="E29" s="32" t="s">
        <v>5</v>
      </c>
      <c r="F29" s="33" t="s">
        <v>42</v>
      </c>
      <c r="G29" s="44" t="s">
        <v>5</v>
      </c>
      <c r="H29" s="45" t="s">
        <v>101</v>
      </c>
    </row>
    <row r="30" spans="1:8" ht="73" thickBot="1" x14ac:dyDescent="0.4">
      <c r="A30" s="30" t="s">
        <v>6</v>
      </c>
      <c r="B30" s="6" t="s">
        <v>3</v>
      </c>
      <c r="C30" s="5"/>
      <c r="D30" s="4"/>
      <c r="E30" s="35" t="s">
        <v>5</v>
      </c>
      <c r="F30" s="36"/>
      <c r="G30" s="47" t="s">
        <v>5</v>
      </c>
      <c r="H30" s="48" t="s">
        <v>84</v>
      </c>
    </row>
    <row r="32" spans="1:8" x14ac:dyDescent="0.35">
      <c r="G32" s="3" t="s">
        <v>78</v>
      </c>
      <c r="H32" s="3"/>
    </row>
    <row r="33" spans="2:8" x14ac:dyDescent="0.35">
      <c r="G33" s="2" t="s">
        <v>79</v>
      </c>
      <c r="H33" s="2"/>
    </row>
    <row r="35" spans="2:8" ht="15" thickBot="1" x14ac:dyDescent="0.4"/>
    <row r="36" spans="2:8" x14ac:dyDescent="0.35">
      <c r="B36" s="18" t="s">
        <v>5</v>
      </c>
      <c r="C36" s="19">
        <f t="shared" ref="C36:C41" si="0">COUNTIF(B$3:B$30,B36)</f>
        <v>6</v>
      </c>
      <c r="D36" s="1"/>
      <c r="E36" s="18" t="s">
        <v>5</v>
      </c>
      <c r="F36" s="19">
        <f>COUNTIF(E$3:E$30,E36)</f>
        <v>5</v>
      </c>
      <c r="G36" s="18" t="s">
        <v>5</v>
      </c>
      <c r="H36" s="19">
        <f t="shared" ref="H36:H41" si="1">COUNTIF(G$3:G$30,G36)</f>
        <v>18</v>
      </c>
    </row>
    <row r="37" spans="2:8" x14ac:dyDescent="0.35">
      <c r="B37" s="20" t="s">
        <v>4</v>
      </c>
      <c r="C37" s="21">
        <f t="shared" si="0"/>
        <v>0</v>
      </c>
      <c r="E37" s="20" t="s">
        <v>4</v>
      </c>
      <c r="F37" s="21">
        <f>COUNTIF(E$3:E$30,E37)</f>
        <v>9</v>
      </c>
      <c r="G37" s="20" t="s">
        <v>4</v>
      </c>
      <c r="H37" s="21">
        <f t="shared" si="1"/>
        <v>0</v>
      </c>
    </row>
    <row r="38" spans="2:8" x14ac:dyDescent="0.35">
      <c r="B38" s="20" t="s">
        <v>1</v>
      </c>
      <c r="C38" s="21">
        <f t="shared" si="0"/>
        <v>7</v>
      </c>
      <c r="E38" s="20" t="s">
        <v>1</v>
      </c>
      <c r="F38" s="21" t="s">
        <v>0</v>
      </c>
      <c r="G38" s="20" t="s">
        <v>1</v>
      </c>
      <c r="H38" s="21">
        <f t="shared" si="1"/>
        <v>2</v>
      </c>
    </row>
    <row r="39" spans="2:8" x14ac:dyDescent="0.35">
      <c r="B39" s="20" t="s">
        <v>3</v>
      </c>
      <c r="C39" s="21">
        <f t="shared" si="0"/>
        <v>9</v>
      </c>
      <c r="E39" s="20" t="s">
        <v>3</v>
      </c>
      <c r="F39" s="21">
        <f>COUNTIF(E$3:E$30,E39)</f>
        <v>4</v>
      </c>
      <c r="G39" s="20" t="s">
        <v>3</v>
      </c>
      <c r="H39" s="21">
        <f t="shared" si="1"/>
        <v>0</v>
      </c>
    </row>
    <row r="40" spans="2:8" x14ac:dyDescent="0.35">
      <c r="B40" s="20" t="s">
        <v>2</v>
      </c>
      <c r="C40" s="21">
        <f t="shared" si="0"/>
        <v>0</v>
      </c>
      <c r="E40" s="20" t="s">
        <v>2</v>
      </c>
      <c r="F40" s="21">
        <f>COUNTIF(E$3:E$30,E40)</f>
        <v>2</v>
      </c>
      <c r="G40" s="20" t="s">
        <v>2</v>
      </c>
      <c r="H40" s="21">
        <f t="shared" si="1"/>
        <v>1</v>
      </c>
    </row>
    <row r="41" spans="2:8" ht="15" thickBot="1" x14ac:dyDescent="0.4">
      <c r="B41" s="22" t="s">
        <v>32</v>
      </c>
      <c r="C41" s="23">
        <f t="shared" si="0"/>
        <v>6</v>
      </c>
      <c r="E41" s="24" t="s">
        <v>32</v>
      </c>
      <c r="F41" s="25">
        <f>COUNTIF(E$3:E$30,E41)</f>
        <v>8</v>
      </c>
      <c r="G41" s="24" t="s">
        <v>32</v>
      </c>
      <c r="H41" s="25">
        <f t="shared" si="1"/>
        <v>7</v>
      </c>
    </row>
    <row r="42" spans="2:8" ht="15" thickBot="1" x14ac:dyDescent="0.4">
      <c r="B42" s="17" t="s">
        <v>31</v>
      </c>
      <c r="C42" s="26">
        <f>SUM(C36:C41)</f>
        <v>28</v>
      </c>
      <c r="E42" s="17" t="s">
        <v>31</v>
      </c>
      <c r="F42" s="26">
        <f>SUM(F36:F41)</f>
        <v>28</v>
      </c>
      <c r="G42" s="17" t="s">
        <v>31</v>
      </c>
      <c r="H42" s="26">
        <f>SUM(H36:H41)</f>
        <v>28</v>
      </c>
    </row>
  </sheetData>
  <autoFilter ref="A2:H30" xr:uid="{4B4FD268-BDFF-4894-B9C6-DC3E0E6DEA18}"/>
  <mergeCells count="3">
    <mergeCell ref="B1:D1"/>
    <mergeCell ref="E1:F1"/>
    <mergeCell ref="G1:H1"/>
  </mergeCells>
  <printOptions horizontalCentered="1"/>
  <pageMargins left="0.5" right="0.5" top="0.85" bottom="0.85" header="0.5" footer="0.5"/>
  <pageSetup scale="38" orientation="portrait" horizontalDpi="1200" verticalDpi="1200" r:id="rId1"/>
  <headerFooter>
    <oddHeader>&amp;C&amp;"-,Bold"&amp;20Phil Fish</oddHeader>
    <oddFooter>&amp;LFile: &amp;Z&amp;F
Sheet: &amp;A&amp;CPage &amp;P of &amp;N&amp;RPrint Date: &amp;D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B47998D0C784F41A0C2C4C0BC11B78D" ma:contentTypeVersion="8" ma:contentTypeDescription="Create a new document." ma:contentTypeScope="" ma:versionID="ad69c74bd5fc9ad2d81f27b977fe7b19">
  <xsd:schema xmlns:xsd="http://www.w3.org/2001/XMLSchema" xmlns:xs="http://www.w3.org/2001/XMLSchema" xmlns:p="http://schemas.microsoft.com/office/2006/metadata/properties" xmlns:ns2="d326613d-845a-4606-970a-eae884d2bc77" xmlns:ns3="b697abaa-05c9-4e92-a73c-0cb957524ef7" targetNamespace="http://schemas.microsoft.com/office/2006/metadata/properties" ma:root="true" ma:fieldsID="4208c0b624b5f20ac0c8f9d435267a8f" ns2:_="" ns3:_="">
    <xsd:import namespace="d326613d-845a-4606-970a-eae884d2bc77"/>
    <xsd:import namespace="b697abaa-05c9-4e92-a73c-0cb957524ef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26613d-845a-4606-970a-eae884d2bc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97abaa-05c9-4e92-a73c-0cb957524ef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C15D55-5723-4A35-96E5-52DF9B7C91F7}">
  <ds:schemaRefs>
    <ds:schemaRef ds:uri="http://schemas.microsoft.com/sharepoint/v3/contenttype/forms"/>
  </ds:schemaRefs>
</ds:datastoreItem>
</file>

<file path=customXml/itemProps2.xml><?xml version="1.0" encoding="utf-8"?>
<ds:datastoreItem xmlns:ds="http://schemas.openxmlformats.org/officeDocument/2006/customXml" ds:itemID="{68FCCD02-D0F8-4DF4-8BB0-6D30B73BEA72}">
  <ds:schemaRefs>
    <ds:schemaRef ds:uri="d326613d-845a-4606-970a-eae884d2bc77"/>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purl.org/dc/dcmitype/"/>
    <ds:schemaRef ds:uri="http://purl.org/dc/terms/"/>
    <ds:schemaRef ds:uri="http://schemas.microsoft.com/office/2006/metadata/properties"/>
    <ds:schemaRef ds:uri="b697abaa-05c9-4e92-a73c-0cb957524ef7"/>
    <ds:schemaRef ds:uri="http://www.w3.org/XML/1998/namespace"/>
  </ds:schemaRefs>
</ds:datastoreItem>
</file>

<file path=customXml/itemProps3.xml><?xml version="1.0" encoding="utf-8"?>
<ds:datastoreItem xmlns:ds="http://schemas.openxmlformats.org/officeDocument/2006/customXml" ds:itemID="{BA7045E6-CF7B-491F-A69E-5B472783B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26613d-845a-4606-970a-eae884d2bc77"/>
    <ds:schemaRef ds:uri="b697abaa-05c9-4e92-a73c-0cb957524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Taylor</dc:creator>
  <cp:lastModifiedBy>Kim A. Alfonsi</cp:lastModifiedBy>
  <cp:lastPrinted>2024-01-31T22:50:12Z</cp:lastPrinted>
  <dcterms:created xsi:type="dcterms:W3CDTF">2024-01-31T22:32:02Z</dcterms:created>
  <dcterms:modified xsi:type="dcterms:W3CDTF">2026-01-27T15:46:00Z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0x0101009B47998D0C784F41A0C2C4C0BC11B78D</vt:lpwstr>
  </property>
</Properties>
</file>