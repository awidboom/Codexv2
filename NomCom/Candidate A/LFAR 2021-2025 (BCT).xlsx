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arr.sharepoint.com/sites/PICdev/BCT/Shared Documents/"/>
    </mc:Choice>
  </mc:AlternateContent>
  <xr:revisionPtr revIDLastSave="27" documentId="8_{25FB635B-E3C8-4238-A5F8-6F60298EB10D}" xr6:coauthVersionLast="47" xr6:coauthVersionMax="47" xr10:uidLastSave="{366E8A93-778C-4B7F-97EC-336A9753E851}"/>
  <bookViews>
    <workbookView xWindow="-23148" yWindow="-108" windowWidth="23256" windowHeight="12456" xr2:uid="{08953BDB-D7FF-488D-A064-19604DA088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1" l="1"/>
  <c r="I64" i="1"/>
  <c r="I63" i="1"/>
  <c r="I62" i="1"/>
  <c r="I61" i="1"/>
  <c r="I60" i="1"/>
  <c r="I59" i="1"/>
  <c r="I58" i="1"/>
  <c r="I57" i="1"/>
  <c r="I56" i="1"/>
  <c r="I55" i="1"/>
  <c r="I54" i="1"/>
  <c r="I53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H66" i="1"/>
  <c r="G66" i="1"/>
  <c r="I66" i="1" s="1"/>
  <c r="E66" i="1"/>
  <c r="D66" i="1"/>
  <c r="F66" i="1" s="1"/>
  <c r="H52" i="1"/>
  <c r="G52" i="1"/>
  <c r="E52" i="1"/>
  <c r="D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1" i="1"/>
  <c r="I10" i="1"/>
  <c r="I9" i="1"/>
  <c r="I8" i="1"/>
  <c r="I7" i="1"/>
  <c r="I6" i="1"/>
  <c r="I5" i="1"/>
  <c r="I52" i="1" l="1"/>
  <c r="F52" i="1"/>
  <c r="H12" i="1"/>
  <c r="G12" i="1"/>
  <c r="I12" i="1" s="1"/>
  <c r="E12" i="1"/>
  <c r="D12" i="1"/>
  <c r="F12" i="1" s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3" i="1"/>
  <c r="F22" i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F7" i="1"/>
  <c r="F6" i="1"/>
  <c r="F5" i="1"/>
  <c r="H38" i="1"/>
  <c r="H24" i="1"/>
  <c r="E38" i="1"/>
  <c r="G38" i="1"/>
  <c r="I38" i="1" s="1"/>
  <c r="E24" i="1"/>
  <c r="G24" i="1"/>
  <c r="I24" i="1" s="1"/>
  <c r="D38" i="1"/>
  <c r="F38" i="1" s="1"/>
  <c r="D24" i="1"/>
  <c r="F24" i="1" s="1"/>
</calcChain>
</file>

<file path=xl/sharedStrings.xml><?xml version="1.0" encoding="utf-8"?>
<sst xmlns="http://schemas.openxmlformats.org/spreadsheetml/2006/main" count="130" uniqueCount="52">
  <si>
    <t>LFAR, Hours Managed and Variances for Beau Thurman (2021 - 2025)</t>
  </si>
  <si>
    <t>Year</t>
  </si>
  <si>
    <t>Client</t>
  </si>
  <si>
    <t>PIC</t>
  </si>
  <si>
    <t>LFAR</t>
  </si>
  <si>
    <t>Variances</t>
  </si>
  <si>
    <t>% Variance</t>
  </si>
  <si>
    <t>Hours Managed as PM</t>
  </si>
  <si>
    <t>Hours Worked</t>
  </si>
  <si>
    <t>% Worked by PM</t>
  </si>
  <si>
    <t>ArcelorMittal Minorca Mine Inc.</t>
  </si>
  <si>
    <t>ELB Boleman, Erik</t>
  </si>
  <si>
    <t>Cleveland-Cliffs Minorca Mine Inc.</t>
  </si>
  <si>
    <t>Minnesota Power</t>
  </si>
  <si>
    <t>Monroe Energy, LLC</t>
  </si>
  <si>
    <t>CDM Mead, Corey</t>
  </si>
  <si>
    <t>Superior Refining Company LLC</t>
  </si>
  <si>
    <t>TransCanada Pipelines, Ltd.</t>
  </si>
  <si>
    <t>RCH2 Hardegger, Richard</t>
  </si>
  <si>
    <t>BMR Renkas, Blaine</t>
  </si>
  <si>
    <t>2021 Total</t>
  </si>
  <si>
    <t>BASF Corporation</t>
  </si>
  <si>
    <t>BPG Greenwald, Brian</t>
  </si>
  <si>
    <t>HF Sinclair Corporation</t>
  </si>
  <si>
    <t>Tesoro Alaska Company</t>
  </si>
  <si>
    <t>JAT Trinkle, Joel</t>
  </si>
  <si>
    <t>Tesoro Refining &amp; Marketing Company, LLC</t>
  </si>
  <si>
    <t>AAW Widboom, Anthony</t>
  </si>
  <si>
    <t>TransCanada USA Pipeline Services LLC</t>
  </si>
  <si>
    <t>AMS Shoberg, Anthony</t>
  </si>
  <si>
    <t>Whiting Petroleum Corporation</t>
  </si>
  <si>
    <t>2022 Total</t>
  </si>
  <si>
    <t>3M</t>
  </si>
  <si>
    <t>ACD Driscoll, Adam</t>
  </si>
  <si>
    <t>Chord Energy</t>
  </si>
  <si>
    <t>Redlog Project Management Services LLC</t>
  </si>
  <si>
    <t>TC Oil PL Operations Inc.</t>
  </si>
  <si>
    <t>2023 Total</t>
  </si>
  <si>
    <t>Driscoll, Adam</t>
  </si>
  <si>
    <t>Greenwald, Brian</t>
  </si>
  <si>
    <t>Shoberg, Anthony</t>
  </si>
  <si>
    <t>Trinkle, Joel</t>
  </si>
  <si>
    <t>South Bow (Canada) LP</t>
  </si>
  <si>
    <t>Renkas, Blaine</t>
  </si>
  <si>
    <t>South Bow (USA) LP</t>
  </si>
  <si>
    <t>Widboom, Anthony</t>
  </si>
  <si>
    <t>2024 Total</t>
  </si>
  <si>
    <t>Marathon Petroleum Company LP</t>
  </si>
  <si>
    <t>Scranton Holding Company</t>
  </si>
  <si>
    <t>RDS Siats, Ryan</t>
  </si>
  <si>
    <t>2025 Total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</si>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</sst>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64" fontId="2" fillId="2" borderId="3" xfId="1" applyNumberFormat="1" applyFont="1" applyFill="1" applyBorder="1" applyAlignment="1">
      <alignment horizontal="center" vertical="top" wrapText="1"/>
    </xf>
    <xf numFmtId="165" fontId="2" fillId="2" borderId="3" xfId="1" applyNumberFormat="1" applyFont="1" applyFill="1" applyBorder="1" applyAlignment="1">
      <alignment horizontal="center" vertical="top" wrapText="1"/>
    </xf>
    <xf numFmtId="164" fontId="2" fillId="2" borderId="4" xfId="1" applyNumberFormat="1" applyFont="1" applyFill="1" applyBorder="1" applyAlignment="1">
      <alignment horizontal="center" vertical="top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1" applyNumberFormat="1" applyFont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165" fontId="0" fillId="0" borderId="6" xfId="1" applyNumberFormat="1" applyFont="1" applyBorder="1"/>
    <xf numFmtId="9" fontId="0" fillId="0" borderId="7" xfId="0" applyNumberFormat="1" applyBorder="1"/>
    <xf numFmtId="9" fontId="0" fillId="0" borderId="9" xfId="0" applyNumberFormat="1" applyBorder="1"/>
    <xf numFmtId="0" fontId="2" fillId="0" borderId="10" xfId="0" applyFont="1" applyBorder="1"/>
    <xf numFmtId="0" fontId="2" fillId="0" borderId="11" xfId="0" applyFont="1" applyBorder="1"/>
    <xf numFmtId="164" fontId="2" fillId="0" borderId="11" xfId="0" applyNumberFormat="1" applyFont="1" applyBorder="1"/>
    <xf numFmtId="165" fontId="2" fillId="0" borderId="11" xfId="0" applyNumberFormat="1" applyFont="1" applyBorder="1"/>
    <xf numFmtId="9" fontId="2" fillId="0" borderId="12" xfId="0" applyNumberFormat="1" applyFont="1" applyBorder="1"/>
    <xf numFmtId="0" fontId="2" fillId="0" borderId="13" xfId="0" applyFont="1" applyBorder="1"/>
    <xf numFmtId="0" fontId="2" fillId="0" borderId="14" xfId="0" applyFont="1" applyBorder="1"/>
    <xf numFmtId="164" fontId="2" fillId="0" borderId="14" xfId="0" applyNumberFormat="1" applyFont="1" applyBorder="1"/>
    <xf numFmtId="165" fontId="2" fillId="0" borderId="14" xfId="0" applyNumberFormat="1" applyFont="1" applyBorder="1"/>
    <xf numFmtId="9" fontId="2" fillId="0" borderId="15" xfId="0" applyNumberFormat="1" applyFont="1" applyBorder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9" fontId="0" fillId="0" borderId="6" xfId="2" applyFont="1" applyBorder="1"/>
    <xf numFmtId="9" fontId="0" fillId="0" borderId="1" xfId="2" applyFont="1" applyBorder="1"/>
    <xf numFmtId="9" fontId="2" fillId="0" borderId="14" xfId="2" applyFont="1" applyBorder="1"/>
    <xf numFmtId="9" fontId="2" fillId="0" borderId="11" xfId="2" applyFont="1" applyBorder="1"/>
    <xf numFmtId="166" fontId="0" fillId="0" borderId="0" xfId="3" applyNumberFormat="1" applyFont="1"/>
    <xf numFmtId="0" fontId="2" fillId="2" borderId="16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4" fillId="3" borderId="0" xfId="0" applyFont="1" applyFill="1" applyAlignment="1">
      <alignment horizontal="center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142012</xdr:colOff>
      <xdr:row>33</xdr:row>
      <xdr:rowOff>82908</xdr:rowOff>
    </xdr:from>
    <xdr:to>
      <xdr:col>22</xdr:col>
      <xdr:colOff>242977</xdr:colOff>
      <xdr:row>57</xdr:row>
      <xdr:rowOff>54192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668A7-38AA-510C-E99D-02056D79E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5330" y="6761614"/>
          <a:ext cx="8025765" cy="450742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27</xdr:row>
      <xdr:rowOff>40822</xdr:rowOff>
    </xdr:from>
    <xdr:to>
      <xdr:col>19</xdr:col>
      <xdr:colOff>160111</xdr:colOff>
      <xdr:row>34</xdr:row>
      <xdr:rowOff>11675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91A27E-6765-BAF5-B187-890B8DC4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1894" y="5674179"/>
          <a:ext cx="5674178" cy="1307528"/>
        </a:xfrm>
        <a:prstGeom prst="rect">
          <a:avLst/>
        </a:prstGeom>
      </xdr:spPr>
    </xdr:pic>
    <xdr:clientData/>
  </xdr:twoCellAnchor>
  <xdr:twoCellAnchor editAs="oneCell">
    <xdr:from>
      <xdr:col>9</xdr:col>
      <xdr:colOff>114636</xdr:colOff>
      <xdr:row>57</xdr:row>
      <xdr:rowOff>87743</xdr:rowOff>
    </xdr:from>
    <xdr:to>
      <xdr:col>22</xdr:col>
      <xdr:colOff>51880</xdr:colOff>
      <xdr:row>80</xdr:row>
      <xdr:rowOff>155611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323860-7346-DEC6-8C99-0988C6B54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77954" y="11302590"/>
          <a:ext cx="7862044" cy="4406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A66A-E124-4067-8AE7-EDE0ED566BED}">
  <sheetPr>
    <pageSetUpPr fitToPage="1"/>
  </sheetPr>
  <dimension ref="A1:AD79"/>
  <sheetViews>
    <sheetView tabSelected="1" zoomScale="85" zoomScaleNormal="85" workbookViewId="0">
      <pane ySplit="4" topLeftCell="A5" activePane="bottomLeft" state="frozen"/>
      <selection pane="bottomLeft" activeCell="P17" sqref="P17"/>
    </sheetView>
  </sheetViews>
  <sheetFormatPr defaultRowHeight="15" x14ac:dyDescent="0.25"/>
  <cols>
    <col min="2" max="2" width="39" bestFit="1" customWidth="1"/>
    <col min="3" max="3" width="23.28515625" bestFit="1" customWidth="1"/>
    <col min="4" max="9" width="10.7109375" customWidth="1"/>
  </cols>
  <sheetData>
    <row r="1" spans="1:9" ht="18.75" x14ac:dyDescent="0.3">
      <c r="A1" s="27" t="s">
        <v>0</v>
      </c>
      <c r="B1" s="26"/>
      <c r="C1" s="26"/>
      <c r="D1" s="26"/>
      <c r="E1" s="26"/>
      <c r="F1" s="26"/>
      <c r="G1" s="26"/>
      <c r="H1" s="26"/>
      <c r="I1" s="26"/>
    </row>
    <row r="3" spans="1:9" ht="15.75" thickBot="1" x14ac:dyDescent="0.3"/>
    <row r="4" spans="1:9" ht="45.75" thickBot="1" x14ac:dyDescent="0.3">
      <c r="A4" s="33" t="s">
        <v>1</v>
      </c>
      <c r="B4" s="1" t="s">
        <v>2</v>
      </c>
      <c r="C4" s="2" t="s">
        <v>3</v>
      </c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</row>
    <row r="5" spans="1:9" x14ac:dyDescent="0.25">
      <c r="A5" s="34">
        <v>2021</v>
      </c>
      <c r="B5" s="36" t="s">
        <v>10</v>
      </c>
      <c r="C5" s="10" t="s">
        <v>11</v>
      </c>
      <c r="D5" s="11"/>
      <c r="E5" s="11">
        <v>-22</v>
      </c>
      <c r="F5" s="28">
        <f>IF(D5&gt;0,E5/D5,)</f>
        <v>0</v>
      </c>
      <c r="G5" s="12"/>
      <c r="H5" s="13">
        <v>0</v>
      </c>
      <c r="I5" s="14">
        <f>IF(G5&gt;0,H5/G5,)</f>
        <v>0</v>
      </c>
    </row>
    <row r="6" spans="1:9" x14ac:dyDescent="0.25">
      <c r="A6" s="35">
        <v>2021</v>
      </c>
      <c r="B6" s="37" t="s">
        <v>12</v>
      </c>
      <c r="C6" s="6" t="s">
        <v>11</v>
      </c>
      <c r="D6" s="7">
        <v>28702.5</v>
      </c>
      <c r="E6" s="7">
        <v>-0.5</v>
      </c>
      <c r="F6" s="29">
        <f t="shared" ref="F6:F38" si="0">IF(D6&gt;0,E6/D6,)</f>
        <v>-1.7420085358418256E-5</v>
      </c>
      <c r="G6" s="8">
        <v>192.29999999999998</v>
      </c>
      <c r="H6" s="9">
        <v>114.1</v>
      </c>
      <c r="I6" s="15">
        <f t="shared" ref="I6:I38" si="1">IF(G6&gt;0,H6/G6,)</f>
        <v>0.59334373374935001</v>
      </c>
    </row>
    <row r="7" spans="1:9" x14ac:dyDescent="0.25">
      <c r="A7" s="35">
        <v>2021</v>
      </c>
      <c r="B7" s="37" t="s">
        <v>13</v>
      </c>
      <c r="C7" s="6" t="s">
        <v>11</v>
      </c>
      <c r="D7" s="7">
        <v>6120.5</v>
      </c>
      <c r="E7" s="7">
        <v>-33</v>
      </c>
      <c r="F7" s="29">
        <f t="shared" si="0"/>
        <v>-5.3917163630422347E-3</v>
      </c>
      <c r="G7" s="8">
        <v>34.199999999999996</v>
      </c>
      <c r="H7" s="9">
        <v>21.4</v>
      </c>
      <c r="I7" s="15">
        <f t="shared" si="1"/>
        <v>0.6257309941520468</v>
      </c>
    </row>
    <row r="8" spans="1:9" x14ac:dyDescent="0.25">
      <c r="A8" s="35">
        <v>2021</v>
      </c>
      <c r="B8" s="37" t="s">
        <v>14</v>
      </c>
      <c r="C8" s="6" t="s">
        <v>15</v>
      </c>
      <c r="D8" s="7">
        <v>195486</v>
      </c>
      <c r="E8" s="7"/>
      <c r="F8" s="29">
        <f t="shared" si="0"/>
        <v>0</v>
      </c>
      <c r="G8" s="8">
        <v>1309</v>
      </c>
      <c r="H8" s="9">
        <v>163.1</v>
      </c>
      <c r="I8" s="15">
        <f t="shared" si="1"/>
        <v>0.12459893048128341</v>
      </c>
    </row>
    <row r="9" spans="1:9" x14ac:dyDescent="0.25">
      <c r="A9" s="35">
        <v>2021</v>
      </c>
      <c r="B9" s="37" t="s">
        <v>16</v>
      </c>
      <c r="C9" s="6" t="s">
        <v>15</v>
      </c>
      <c r="D9" s="7">
        <v>16890.91</v>
      </c>
      <c r="E9" s="7">
        <v>-29.770000000000003</v>
      </c>
      <c r="F9" s="29">
        <f t="shared" si="0"/>
        <v>-1.7624864498123549E-3</v>
      </c>
      <c r="G9" s="8">
        <v>120.3</v>
      </c>
      <c r="H9" s="9">
        <v>61.3</v>
      </c>
      <c r="I9" s="15">
        <f t="shared" si="1"/>
        <v>0.50955943474646714</v>
      </c>
    </row>
    <row r="10" spans="1:9" x14ac:dyDescent="0.25">
      <c r="A10" s="35">
        <v>2021</v>
      </c>
      <c r="B10" s="37" t="s">
        <v>17</v>
      </c>
      <c r="C10" s="6" t="s">
        <v>18</v>
      </c>
      <c r="D10" s="7">
        <v>167.18</v>
      </c>
      <c r="E10" s="7">
        <v>-57.8</v>
      </c>
      <c r="F10" s="29">
        <f t="shared" si="0"/>
        <v>-0.34573513578179205</v>
      </c>
      <c r="G10" s="8">
        <v>1.1000000000000001</v>
      </c>
      <c r="H10" s="9">
        <v>0.6</v>
      </c>
      <c r="I10" s="15">
        <f t="shared" si="1"/>
        <v>0.54545454545454541</v>
      </c>
    </row>
    <row r="11" spans="1:9" x14ac:dyDescent="0.25">
      <c r="A11" s="35">
        <v>2021</v>
      </c>
      <c r="B11" s="37" t="s">
        <v>17</v>
      </c>
      <c r="C11" s="6" t="s">
        <v>19</v>
      </c>
      <c r="D11" s="7">
        <v>3829.11</v>
      </c>
      <c r="E11" s="7"/>
      <c r="F11" s="29">
        <f t="shared" si="0"/>
        <v>0</v>
      </c>
      <c r="G11" s="8">
        <v>27</v>
      </c>
      <c r="H11" s="9">
        <v>13.6</v>
      </c>
      <c r="I11" s="15">
        <f t="shared" si="1"/>
        <v>0.50370370370370365</v>
      </c>
    </row>
    <row r="12" spans="1:9" ht="15.75" thickBot="1" x14ac:dyDescent="0.3">
      <c r="B12" s="21" t="s">
        <v>20</v>
      </c>
      <c r="C12" s="22"/>
      <c r="D12" s="23">
        <f>SUM(D5:D11)</f>
        <v>251196.19999999998</v>
      </c>
      <c r="E12" s="23">
        <f>SUM(E5:E11)</f>
        <v>-143.07</v>
      </c>
      <c r="F12" s="30">
        <f t="shared" si="0"/>
        <v>-5.6955479422061321E-4</v>
      </c>
      <c r="G12" s="24">
        <f t="shared" ref="G12:H12" si="2">SUM(G5:G11)</f>
        <v>1683.8999999999999</v>
      </c>
      <c r="H12" s="24">
        <f t="shared" si="2"/>
        <v>374.10000000000008</v>
      </c>
      <c r="I12" s="25">
        <f t="shared" si="1"/>
        <v>0.2221628362729379</v>
      </c>
    </row>
    <row r="13" spans="1:9" x14ac:dyDescent="0.25">
      <c r="A13" s="34">
        <v>2022</v>
      </c>
      <c r="B13" s="36" t="s">
        <v>21</v>
      </c>
      <c r="C13" s="10" t="s">
        <v>22</v>
      </c>
      <c r="D13" s="11">
        <v>42592.5</v>
      </c>
      <c r="E13" s="11"/>
      <c r="F13" s="28">
        <f t="shared" si="0"/>
        <v>0</v>
      </c>
      <c r="G13" s="12">
        <v>254.8</v>
      </c>
      <c r="H13" s="13">
        <v>72.7</v>
      </c>
      <c r="I13" s="14">
        <f t="shared" si="1"/>
        <v>0.28532182103610676</v>
      </c>
    </row>
    <row r="14" spans="1:9" x14ac:dyDescent="0.25">
      <c r="A14" s="35">
        <v>2022</v>
      </c>
      <c r="B14" s="37" t="s">
        <v>12</v>
      </c>
      <c r="C14" s="6" t="s">
        <v>11</v>
      </c>
      <c r="D14" s="7">
        <v>11194.5</v>
      </c>
      <c r="E14" s="7">
        <v>-20</v>
      </c>
      <c r="F14" s="29">
        <f t="shared" si="0"/>
        <v>-1.7865916298182142E-3</v>
      </c>
      <c r="G14" s="8">
        <v>69.099999999999994</v>
      </c>
      <c r="H14" s="9">
        <v>48.6</v>
      </c>
      <c r="I14" s="15">
        <f t="shared" si="1"/>
        <v>0.70332850940665714</v>
      </c>
    </row>
    <row r="15" spans="1:9" x14ac:dyDescent="0.25">
      <c r="A15" s="35">
        <v>2022</v>
      </c>
      <c r="B15" s="37" t="s">
        <v>23</v>
      </c>
      <c r="C15" s="6" t="s">
        <v>15</v>
      </c>
      <c r="D15" s="7">
        <v>20417.5</v>
      </c>
      <c r="E15" s="7"/>
      <c r="F15" s="29">
        <f t="shared" si="0"/>
        <v>0</v>
      </c>
      <c r="G15" s="8">
        <v>120.60000000000001</v>
      </c>
      <c r="H15" s="9">
        <v>92</v>
      </c>
      <c r="I15" s="15">
        <f t="shared" si="1"/>
        <v>0.76285240464344939</v>
      </c>
    </row>
    <row r="16" spans="1:9" x14ac:dyDescent="0.25">
      <c r="A16" s="35">
        <v>2022</v>
      </c>
      <c r="B16" s="37" t="s">
        <v>13</v>
      </c>
      <c r="C16" s="6" t="s">
        <v>11</v>
      </c>
      <c r="D16" s="7">
        <v>2090</v>
      </c>
      <c r="E16" s="7">
        <v>-414.2</v>
      </c>
      <c r="F16" s="29">
        <f t="shared" si="0"/>
        <v>-0.19818181818181818</v>
      </c>
      <c r="G16" s="8">
        <v>9.7999999999999989</v>
      </c>
      <c r="H16" s="9">
        <v>1.9</v>
      </c>
      <c r="I16" s="15">
        <f t="shared" si="1"/>
        <v>0.19387755102040818</v>
      </c>
    </row>
    <row r="17" spans="1:9" x14ac:dyDescent="0.25">
      <c r="A17" s="35">
        <v>2022</v>
      </c>
      <c r="B17" s="37" t="s">
        <v>14</v>
      </c>
      <c r="C17" s="6" t="s">
        <v>15</v>
      </c>
      <c r="D17" s="7">
        <v>198163</v>
      </c>
      <c r="E17" s="7"/>
      <c r="F17" s="29">
        <f t="shared" si="0"/>
        <v>0</v>
      </c>
      <c r="G17" s="8">
        <v>1272.3999999999999</v>
      </c>
      <c r="H17" s="9">
        <v>82.9</v>
      </c>
      <c r="I17" s="15">
        <f t="shared" si="1"/>
        <v>6.5152467777428488E-2</v>
      </c>
    </row>
    <row r="18" spans="1:9" x14ac:dyDescent="0.25">
      <c r="A18" s="35">
        <v>2022</v>
      </c>
      <c r="B18" s="37" t="s">
        <v>16</v>
      </c>
      <c r="C18" s="6" t="s">
        <v>15</v>
      </c>
      <c r="D18" s="7">
        <v>38533.620000000003</v>
      </c>
      <c r="E18" s="7">
        <v>-97.61</v>
      </c>
      <c r="F18" s="29">
        <f t="shared" si="0"/>
        <v>-2.5331126429336249E-3</v>
      </c>
      <c r="G18" s="8">
        <v>302.40000000000003</v>
      </c>
      <c r="H18" s="9">
        <v>120.1</v>
      </c>
      <c r="I18" s="15">
        <f t="shared" si="1"/>
        <v>0.3971560846560846</v>
      </c>
    </row>
    <row r="19" spans="1:9" x14ac:dyDescent="0.25">
      <c r="A19" s="35">
        <v>2022</v>
      </c>
      <c r="B19" s="37" t="s">
        <v>24</v>
      </c>
      <c r="C19" s="6" t="s">
        <v>25</v>
      </c>
      <c r="D19" s="7">
        <v>61654.32</v>
      </c>
      <c r="E19" s="7">
        <v>-83.16</v>
      </c>
      <c r="F19" s="29">
        <f t="shared" si="0"/>
        <v>-1.3488105942941224E-3</v>
      </c>
      <c r="G19" s="8">
        <v>368.7</v>
      </c>
      <c r="H19" s="9">
        <v>134.5</v>
      </c>
      <c r="I19" s="15">
        <f t="shared" si="1"/>
        <v>0.36479522647138596</v>
      </c>
    </row>
    <row r="20" spans="1:9" x14ac:dyDescent="0.25">
      <c r="A20" s="35">
        <v>2022</v>
      </c>
      <c r="B20" s="37" t="s">
        <v>26</v>
      </c>
      <c r="C20" s="6" t="s">
        <v>27</v>
      </c>
      <c r="D20" s="7">
        <v>3801.7200000000003</v>
      </c>
      <c r="E20" s="7">
        <v>-47.25</v>
      </c>
      <c r="F20" s="29">
        <f t="shared" si="0"/>
        <v>-1.2428584956282945E-2</v>
      </c>
      <c r="G20" s="8">
        <v>21.599999999999998</v>
      </c>
      <c r="H20" s="9">
        <v>20.7</v>
      </c>
      <c r="I20" s="15">
        <f t="shared" si="1"/>
        <v>0.95833333333333337</v>
      </c>
    </row>
    <row r="21" spans="1:9" x14ac:dyDescent="0.25">
      <c r="A21" s="35">
        <v>2022</v>
      </c>
      <c r="B21" s="37" t="s">
        <v>17</v>
      </c>
      <c r="C21" s="6" t="s">
        <v>19</v>
      </c>
      <c r="D21" s="7">
        <v>1754.1699999999998</v>
      </c>
      <c r="E21" s="7">
        <v>-165.04</v>
      </c>
      <c r="F21" s="29">
        <f t="shared" si="0"/>
        <v>-9.408438178739803E-2</v>
      </c>
      <c r="G21" s="8">
        <v>10.199999999999999</v>
      </c>
      <c r="H21" s="9">
        <v>9.5</v>
      </c>
      <c r="I21" s="15">
        <f t="shared" si="1"/>
        <v>0.93137254901960786</v>
      </c>
    </row>
    <row r="22" spans="1:9" x14ac:dyDescent="0.25">
      <c r="A22" s="35">
        <v>2022</v>
      </c>
      <c r="B22" s="37" t="s">
        <v>28</v>
      </c>
      <c r="C22" s="6" t="s">
        <v>29</v>
      </c>
      <c r="D22" s="7">
        <v>21148.9</v>
      </c>
      <c r="E22" s="7"/>
      <c r="F22" s="29">
        <f t="shared" si="0"/>
        <v>0</v>
      </c>
      <c r="G22" s="8">
        <v>138.30000000000001</v>
      </c>
      <c r="H22" s="9">
        <v>86</v>
      </c>
      <c r="I22" s="15">
        <f t="shared" si="1"/>
        <v>0.62183658712942869</v>
      </c>
    </row>
    <row r="23" spans="1:9" x14ac:dyDescent="0.25">
      <c r="A23" s="35">
        <v>2022</v>
      </c>
      <c r="B23" s="37" t="s">
        <v>30</v>
      </c>
      <c r="C23" s="6" t="s">
        <v>29</v>
      </c>
      <c r="D23" s="7">
        <v>48500</v>
      </c>
      <c r="E23" s="7">
        <v>-127.5</v>
      </c>
      <c r="F23" s="29">
        <f t="shared" si="0"/>
        <v>-2.6288659793814433E-3</v>
      </c>
      <c r="G23" s="8">
        <v>307.09999999999991</v>
      </c>
      <c r="H23" s="9">
        <v>127.1</v>
      </c>
      <c r="I23" s="15">
        <f t="shared" si="1"/>
        <v>0.41387170302832965</v>
      </c>
    </row>
    <row r="24" spans="1:9" ht="15.75" thickBot="1" x14ac:dyDescent="0.3">
      <c r="B24" s="21" t="s">
        <v>31</v>
      </c>
      <c r="C24" s="22"/>
      <c r="D24" s="23">
        <f>SUM(D13:D23)</f>
        <v>449850.23</v>
      </c>
      <c r="E24" s="23">
        <f t="shared" ref="E24:H24" si="3">SUM(E13:E23)</f>
        <v>-954.75999999999988</v>
      </c>
      <c r="F24" s="30">
        <f t="shared" si="0"/>
        <v>-2.1223952691988173E-3</v>
      </c>
      <c r="G24" s="24">
        <f t="shared" si="3"/>
        <v>2874.9999999999995</v>
      </c>
      <c r="H24" s="24">
        <f t="shared" si="3"/>
        <v>796.00000000000011</v>
      </c>
      <c r="I24" s="25">
        <f t="shared" si="1"/>
        <v>0.27686956521739137</v>
      </c>
    </row>
    <row r="25" spans="1:9" x14ac:dyDescent="0.25">
      <c r="A25" s="34">
        <v>2023</v>
      </c>
      <c r="B25" s="36" t="s">
        <v>32</v>
      </c>
      <c r="C25" s="10" t="s">
        <v>33</v>
      </c>
      <c r="D25" s="11">
        <v>38183.899999999994</v>
      </c>
      <c r="E25" s="11"/>
      <c r="F25" s="28">
        <f t="shared" si="0"/>
        <v>0</v>
      </c>
      <c r="G25" s="12">
        <v>207.59999999999997</v>
      </c>
      <c r="H25" s="13">
        <v>54.2</v>
      </c>
      <c r="I25" s="14">
        <f t="shared" si="1"/>
        <v>0.26107899807321777</v>
      </c>
    </row>
    <row r="26" spans="1:9" x14ac:dyDescent="0.25">
      <c r="A26" s="35">
        <v>2023</v>
      </c>
      <c r="B26" s="37" t="s">
        <v>21</v>
      </c>
      <c r="C26" s="6" t="s">
        <v>22</v>
      </c>
      <c r="D26" s="7">
        <v>35653.5</v>
      </c>
      <c r="E26" s="7">
        <v>-348</v>
      </c>
      <c r="F26" s="29">
        <f t="shared" si="0"/>
        <v>-9.7606125625815145E-3</v>
      </c>
      <c r="G26" s="8">
        <v>215</v>
      </c>
      <c r="H26" s="9">
        <v>79.8</v>
      </c>
      <c r="I26" s="15">
        <f t="shared" si="1"/>
        <v>0.37116279069767438</v>
      </c>
    </row>
    <row r="27" spans="1:9" x14ac:dyDescent="0.25">
      <c r="A27" s="35">
        <v>2023</v>
      </c>
      <c r="B27" s="37" t="s">
        <v>34</v>
      </c>
      <c r="C27" s="6" t="s">
        <v>29</v>
      </c>
      <c r="D27" s="7">
        <v>11735</v>
      </c>
      <c r="E27" s="7">
        <v>-215.5</v>
      </c>
      <c r="F27" s="29">
        <f t="shared" si="0"/>
        <v>-1.836386876864082E-2</v>
      </c>
      <c r="G27" s="8">
        <v>85</v>
      </c>
      <c r="H27" s="9">
        <v>27</v>
      </c>
      <c r="I27" s="15">
        <f t="shared" si="1"/>
        <v>0.31764705882352939</v>
      </c>
    </row>
    <row r="28" spans="1:9" x14ac:dyDescent="0.25">
      <c r="A28" s="35">
        <v>2023</v>
      </c>
      <c r="B28" s="37" t="s">
        <v>12</v>
      </c>
      <c r="C28" s="6" t="s">
        <v>11</v>
      </c>
      <c r="D28" s="7">
        <v>4216.5</v>
      </c>
      <c r="E28" s="7">
        <v>-314.5</v>
      </c>
      <c r="F28" s="29">
        <f t="shared" si="0"/>
        <v>-7.4587928376615681E-2</v>
      </c>
      <c r="G28" s="8">
        <v>22</v>
      </c>
      <c r="H28" s="9">
        <v>17.2</v>
      </c>
      <c r="I28" s="15">
        <f t="shared" si="1"/>
        <v>0.78181818181818175</v>
      </c>
    </row>
    <row r="29" spans="1:9" x14ac:dyDescent="0.25">
      <c r="A29" s="35">
        <v>2023</v>
      </c>
      <c r="B29" s="37" t="s">
        <v>23</v>
      </c>
      <c r="C29" s="6" t="s">
        <v>15</v>
      </c>
      <c r="D29" s="7">
        <v>10195.5</v>
      </c>
      <c r="E29" s="7">
        <v>-44</v>
      </c>
      <c r="F29" s="29">
        <f t="shared" si="0"/>
        <v>-4.3156294443627095E-3</v>
      </c>
      <c r="G29" s="8">
        <v>53.7</v>
      </c>
      <c r="H29" s="9">
        <v>48.6</v>
      </c>
      <c r="I29" s="15">
        <f t="shared" si="1"/>
        <v>0.90502793296089379</v>
      </c>
    </row>
    <row r="30" spans="1:9" x14ac:dyDescent="0.25">
      <c r="A30" s="35">
        <v>2023</v>
      </c>
      <c r="B30" s="37" t="s">
        <v>14</v>
      </c>
      <c r="C30" s="6" t="s">
        <v>15</v>
      </c>
      <c r="D30" s="7">
        <v>30340</v>
      </c>
      <c r="E30" s="7"/>
      <c r="F30" s="29">
        <f t="shared" si="0"/>
        <v>0</v>
      </c>
      <c r="G30" s="8">
        <v>180.10000000000002</v>
      </c>
      <c r="H30" s="9">
        <v>12</v>
      </c>
      <c r="I30" s="15">
        <f t="shared" si="1"/>
        <v>6.6629650194336476E-2</v>
      </c>
    </row>
    <row r="31" spans="1:9" x14ac:dyDescent="0.25">
      <c r="A31" s="35">
        <v>2023</v>
      </c>
      <c r="B31" s="37" t="s">
        <v>14</v>
      </c>
      <c r="C31" s="6" t="s">
        <v>25</v>
      </c>
      <c r="D31" s="7">
        <v>161396</v>
      </c>
      <c r="E31" s="7"/>
      <c r="F31" s="29">
        <f t="shared" si="0"/>
        <v>0</v>
      </c>
      <c r="G31" s="8">
        <v>1033.9000000000001</v>
      </c>
      <c r="H31" s="9">
        <v>40.6</v>
      </c>
      <c r="I31" s="15">
        <f t="shared" si="1"/>
        <v>3.9268788083953961E-2</v>
      </c>
    </row>
    <row r="32" spans="1:9" x14ac:dyDescent="0.25">
      <c r="A32" s="35">
        <v>2023</v>
      </c>
      <c r="B32" s="37" t="s">
        <v>35</v>
      </c>
      <c r="C32" s="6" t="s">
        <v>29</v>
      </c>
      <c r="D32" s="7">
        <v>5166.5</v>
      </c>
      <c r="E32" s="7">
        <v>-167.5</v>
      </c>
      <c r="F32" s="29">
        <f t="shared" si="0"/>
        <v>-3.2420400658085748E-2</v>
      </c>
      <c r="G32" s="8">
        <v>33</v>
      </c>
      <c r="H32" s="9">
        <v>15.1</v>
      </c>
      <c r="I32" s="15">
        <f t="shared" si="1"/>
        <v>0.45757575757575758</v>
      </c>
    </row>
    <row r="33" spans="1:30" x14ac:dyDescent="0.25">
      <c r="A33" s="35">
        <v>2023</v>
      </c>
      <c r="B33" s="37" t="s">
        <v>16</v>
      </c>
      <c r="C33" s="6" t="s">
        <v>15</v>
      </c>
      <c r="D33" s="7">
        <v>-36.72</v>
      </c>
      <c r="E33" s="7">
        <v>-22.5</v>
      </c>
      <c r="F33" s="29">
        <f t="shared" si="0"/>
        <v>0</v>
      </c>
      <c r="G33" s="8">
        <v>0</v>
      </c>
      <c r="H33" s="9">
        <v>0</v>
      </c>
      <c r="I33" s="15">
        <f t="shared" si="1"/>
        <v>0</v>
      </c>
    </row>
    <row r="34" spans="1:30" x14ac:dyDescent="0.25">
      <c r="A34" s="35">
        <v>2023</v>
      </c>
      <c r="B34" s="37" t="s">
        <v>16</v>
      </c>
      <c r="C34" s="6" t="s">
        <v>25</v>
      </c>
      <c r="D34" s="7">
        <v>39532.310000000005</v>
      </c>
      <c r="E34" s="7"/>
      <c r="F34" s="29">
        <f t="shared" si="0"/>
        <v>0</v>
      </c>
      <c r="G34" s="8">
        <v>268.29999999999995</v>
      </c>
      <c r="H34" s="9">
        <v>124.3</v>
      </c>
      <c r="I34" s="15">
        <f t="shared" si="1"/>
        <v>0.46328736489004851</v>
      </c>
    </row>
    <row r="35" spans="1:30" x14ac:dyDescent="0.25">
      <c r="A35" s="35">
        <v>2023</v>
      </c>
      <c r="B35" s="37" t="s">
        <v>36</v>
      </c>
      <c r="C35" s="6" t="s">
        <v>29</v>
      </c>
      <c r="D35" s="7">
        <v>3441.1</v>
      </c>
      <c r="E35" s="7"/>
      <c r="F35" s="29">
        <f t="shared" si="0"/>
        <v>0</v>
      </c>
      <c r="G35" s="8">
        <v>24.299999999999997</v>
      </c>
      <c r="H35" s="9">
        <v>7.5</v>
      </c>
      <c r="I35" s="15">
        <f t="shared" si="1"/>
        <v>0.30864197530864201</v>
      </c>
    </row>
    <row r="36" spans="1:30" x14ac:dyDescent="0.25">
      <c r="A36" s="35">
        <v>2023</v>
      </c>
      <c r="B36" s="37" t="s">
        <v>17</v>
      </c>
      <c r="C36" s="6" t="s">
        <v>19</v>
      </c>
      <c r="D36" s="7">
        <v>2489.91</v>
      </c>
      <c r="E36" s="7"/>
      <c r="F36" s="29">
        <f t="shared" si="0"/>
        <v>0</v>
      </c>
      <c r="G36" s="8">
        <v>14.100000000000001</v>
      </c>
      <c r="H36" s="9">
        <v>11.3</v>
      </c>
      <c r="I36" s="15">
        <f t="shared" si="1"/>
        <v>0.80141843971631199</v>
      </c>
    </row>
    <row r="37" spans="1:30" x14ac:dyDescent="0.25">
      <c r="A37" s="35">
        <v>2023</v>
      </c>
      <c r="B37" s="37" t="s">
        <v>28</v>
      </c>
      <c r="C37" s="6" t="s">
        <v>29</v>
      </c>
      <c r="D37" s="7">
        <v>20798.399999999998</v>
      </c>
      <c r="E37" s="7"/>
      <c r="F37" s="29">
        <f t="shared" si="0"/>
        <v>0</v>
      </c>
      <c r="G37" s="8">
        <v>133.6</v>
      </c>
      <c r="H37" s="9">
        <v>86.1</v>
      </c>
      <c r="I37" s="15">
        <f t="shared" si="1"/>
        <v>0.64446107784431139</v>
      </c>
    </row>
    <row r="38" spans="1:30" ht="15.75" thickBot="1" x14ac:dyDescent="0.3">
      <c r="B38" s="16" t="s">
        <v>37</v>
      </c>
      <c r="C38" s="17"/>
      <c r="D38" s="18">
        <f>SUM(D25:D37)</f>
        <v>363111.9</v>
      </c>
      <c r="E38" s="18">
        <f t="shared" ref="E38:H38" si="4">SUM(E25:E37)</f>
        <v>-1112</v>
      </c>
      <c r="F38" s="31">
        <f t="shared" si="0"/>
        <v>-3.0624168472583794E-3</v>
      </c>
      <c r="G38" s="19">
        <f t="shared" si="4"/>
        <v>2270.6000000000004</v>
      </c>
      <c r="H38" s="19">
        <f t="shared" si="4"/>
        <v>523.70000000000005</v>
      </c>
      <c r="I38" s="20">
        <f t="shared" si="1"/>
        <v>0.23064388267418301</v>
      </c>
    </row>
    <row r="39" spans="1:30" x14ac:dyDescent="0.25">
      <c r="A39" s="34">
        <v>2024</v>
      </c>
      <c r="B39" s="36" t="s">
        <v>32</v>
      </c>
      <c r="C39" s="10" t="s">
        <v>38</v>
      </c>
      <c r="D39" s="11">
        <v>21487.48</v>
      </c>
      <c r="E39" s="11"/>
      <c r="F39" s="28">
        <f t="shared" ref="F39:F65" si="5">IF(D39&gt;0,E39/D39,)</f>
        <v>0</v>
      </c>
      <c r="G39" s="12">
        <v>109.2</v>
      </c>
      <c r="H39" s="13">
        <v>52.8</v>
      </c>
      <c r="I39" s="14">
        <f t="shared" ref="I39:I65" si="6">IF(G39&gt;0,H39/G39,)</f>
        <v>0.48351648351648346</v>
      </c>
    </row>
    <row r="40" spans="1:30" x14ac:dyDescent="0.25">
      <c r="A40" s="35">
        <v>2024</v>
      </c>
      <c r="B40" s="37" t="s">
        <v>21</v>
      </c>
      <c r="C40" s="6" t="s">
        <v>39</v>
      </c>
      <c r="D40" s="7">
        <v>32564</v>
      </c>
      <c r="E40" s="7"/>
      <c r="F40" s="29">
        <f t="shared" si="5"/>
        <v>0</v>
      </c>
      <c r="G40" s="8">
        <v>250.70000000000002</v>
      </c>
      <c r="H40" s="9">
        <v>53</v>
      </c>
      <c r="I40" s="15">
        <f t="shared" si="6"/>
        <v>0.21140805743917032</v>
      </c>
      <c r="Y40" s="38"/>
      <c r="Z40" s="38"/>
      <c r="AA40" s="38"/>
      <c r="AB40" s="38"/>
      <c r="AC40" s="38"/>
      <c r="AD40" s="38"/>
    </row>
    <row r="41" spans="1:30" x14ac:dyDescent="0.25">
      <c r="A41" s="35">
        <v>2024</v>
      </c>
      <c r="B41" s="37" t="s">
        <v>34</v>
      </c>
      <c r="C41" s="6" t="s">
        <v>40</v>
      </c>
      <c r="D41" s="7">
        <v>47211</v>
      </c>
      <c r="E41" s="7"/>
      <c r="F41" s="29">
        <f t="shared" si="5"/>
        <v>0</v>
      </c>
      <c r="G41" s="8">
        <v>273.59999999999997</v>
      </c>
      <c r="H41" s="9">
        <v>123.7</v>
      </c>
      <c r="I41" s="15">
        <f t="shared" si="6"/>
        <v>0.45211988304093575</v>
      </c>
      <c r="Y41" s="38"/>
      <c r="Z41" s="38"/>
      <c r="AA41" s="38"/>
      <c r="AB41" s="38"/>
      <c r="AC41" s="38"/>
      <c r="AD41" s="38"/>
    </row>
    <row r="42" spans="1:30" x14ac:dyDescent="0.25">
      <c r="A42" s="35">
        <v>2024</v>
      </c>
      <c r="B42" s="37" t="s">
        <v>23</v>
      </c>
      <c r="C42" s="6" t="s">
        <v>41</v>
      </c>
      <c r="D42" s="7">
        <v>16065</v>
      </c>
      <c r="E42" s="7">
        <v>-3950</v>
      </c>
      <c r="F42" s="29">
        <f t="shared" si="5"/>
        <v>-0.2458761282290694</v>
      </c>
      <c r="G42" s="8">
        <v>81.3</v>
      </c>
      <c r="H42" s="9">
        <v>60.8</v>
      </c>
      <c r="I42" s="15">
        <f t="shared" si="6"/>
        <v>0.74784747847478472</v>
      </c>
      <c r="Y42" s="38"/>
      <c r="Z42" s="38"/>
      <c r="AA42" s="38"/>
      <c r="AB42" s="38"/>
      <c r="AC42" s="38"/>
      <c r="AD42" s="38"/>
    </row>
    <row r="43" spans="1:30" x14ac:dyDescent="0.25">
      <c r="A43" s="35">
        <v>2024</v>
      </c>
      <c r="B43" s="37" t="s">
        <v>14</v>
      </c>
      <c r="C43" s="6" t="s">
        <v>41</v>
      </c>
      <c r="D43" s="7">
        <v>229884.5</v>
      </c>
      <c r="E43" s="7"/>
      <c r="F43" s="29">
        <f t="shared" si="5"/>
        <v>0</v>
      </c>
      <c r="G43" s="8">
        <v>1452.8000000000002</v>
      </c>
      <c r="H43" s="9">
        <v>73.400000000000006</v>
      </c>
      <c r="I43" s="15">
        <f t="shared" si="6"/>
        <v>5.0523127753303962E-2</v>
      </c>
    </row>
    <row r="44" spans="1:30" x14ac:dyDescent="0.25">
      <c r="A44" s="35">
        <v>2024</v>
      </c>
      <c r="B44" s="37" t="s">
        <v>42</v>
      </c>
      <c r="C44" s="6" t="s">
        <v>43</v>
      </c>
      <c r="D44" s="7">
        <v>381.66</v>
      </c>
      <c r="E44" s="7"/>
      <c r="F44" s="29">
        <f t="shared" si="5"/>
        <v>0</v>
      </c>
      <c r="G44" s="8">
        <v>1.9</v>
      </c>
      <c r="H44" s="9">
        <v>1.9</v>
      </c>
      <c r="I44" s="15">
        <f t="shared" si="6"/>
        <v>1</v>
      </c>
    </row>
    <row r="45" spans="1:30" x14ac:dyDescent="0.25">
      <c r="A45" s="35">
        <v>2024</v>
      </c>
      <c r="B45" s="37" t="s">
        <v>44</v>
      </c>
      <c r="C45" s="6" t="s">
        <v>41</v>
      </c>
      <c r="D45" s="7">
        <v>8411.4</v>
      </c>
      <c r="E45" s="7"/>
      <c r="F45" s="29">
        <f t="shared" si="5"/>
        <v>0</v>
      </c>
      <c r="G45" s="8">
        <v>42.8</v>
      </c>
      <c r="H45" s="9">
        <v>36.6</v>
      </c>
      <c r="I45" s="15">
        <f t="shared" si="6"/>
        <v>0.85514018691588789</v>
      </c>
    </row>
    <row r="46" spans="1:30" x14ac:dyDescent="0.25">
      <c r="A46" s="35">
        <v>2024</v>
      </c>
      <c r="B46" s="37" t="s">
        <v>44</v>
      </c>
      <c r="C46" s="6" t="s">
        <v>40</v>
      </c>
      <c r="D46" s="7">
        <v>22789.1</v>
      </c>
      <c r="E46" s="7"/>
      <c r="F46" s="29">
        <f t="shared" si="5"/>
        <v>0</v>
      </c>
      <c r="G46" s="8">
        <v>135.4</v>
      </c>
      <c r="H46" s="9">
        <v>74.8</v>
      </c>
      <c r="I46" s="15">
        <f t="shared" si="6"/>
        <v>0.55243722304283605</v>
      </c>
    </row>
    <row r="47" spans="1:30" x14ac:dyDescent="0.25">
      <c r="A47" s="35">
        <v>2024</v>
      </c>
      <c r="B47" s="37" t="s">
        <v>16</v>
      </c>
      <c r="C47" s="6" t="s">
        <v>41</v>
      </c>
      <c r="D47" s="7">
        <v>47413.39</v>
      </c>
      <c r="E47" s="7"/>
      <c r="F47" s="29">
        <f t="shared" si="5"/>
        <v>0</v>
      </c>
      <c r="G47" s="8">
        <v>311.40000000000003</v>
      </c>
      <c r="H47" s="9">
        <v>133</v>
      </c>
      <c r="I47" s="15">
        <f t="shared" si="6"/>
        <v>0.42710340398201663</v>
      </c>
    </row>
    <row r="48" spans="1:30" x14ac:dyDescent="0.25">
      <c r="A48" s="35">
        <v>2024</v>
      </c>
      <c r="B48" s="37" t="s">
        <v>36</v>
      </c>
      <c r="C48" s="6" t="s">
        <v>40</v>
      </c>
      <c r="D48" s="7">
        <v>-587.20000000000005</v>
      </c>
      <c r="E48" s="7">
        <v>-63.78</v>
      </c>
      <c r="F48" s="29">
        <f t="shared" si="5"/>
        <v>0</v>
      </c>
      <c r="G48" s="8">
        <v>-3.1</v>
      </c>
      <c r="H48" s="9">
        <v>-2.7</v>
      </c>
      <c r="I48" s="15">
        <f t="shared" si="6"/>
        <v>0</v>
      </c>
    </row>
    <row r="49" spans="1:9" x14ac:dyDescent="0.25">
      <c r="A49" s="35">
        <v>2024</v>
      </c>
      <c r="B49" s="37" t="s">
        <v>26</v>
      </c>
      <c r="C49" s="6" t="s">
        <v>45</v>
      </c>
      <c r="D49" s="7">
        <v>35851.199999999997</v>
      </c>
      <c r="E49" s="7"/>
      <c r="F49" s="29">
        <f t="shared" si="5"/>
        <v>0</v>
      </c>
      <c r="G49" s="8">
        <v>165.3</v>
      </c>
      <c r="H49" s="9">
        <v>16</v>
      </c>
      <c r="I49" s="15">
        <f t="shared" si="6"/>
        <v>9.6793708408953405E-2</v>
      </c>
    </row>
    <row r="50" spans="1:9" x14ac:dyDescent="0.25">
      <c r="A50" s="35">
        <v>2024</v>
      </c>
      <c r="B50" s="37" t="s">
        <v>17</v>
      </c>
      <c r="C50" s="6" t="s">
        <v>43</v>
      </c>
      <c r="D50" s="7">
        <v>-43.83</v>
      </c>
      <c r="E50" s="7"/>
      <c r="F50" s="29">
        <f t="shared" si="5"/>
        <v>0</v>
      </c>
      <c r="G50" s="8">
        <v>-0.4</v>
      </c>
      <c r="H50" s="9">
        <v>0</v>
      </c>
      <c r="I50" s="15">
        <f t="shared" si="6"/>
        <v>0</v>
      </c>
    </row>
    <row r="51" spans="1:9" x14ac:dyDescent="0.25">
      <c r="A51" s="35">
        <v>2024</v>
      </c>
      <c r="B51" s="37" t="s">
        <v>28</v>
      </c>
      <c r="C51" s="6" t="s">
        <v>40</v>
      </c>
      <c r="D51" s="7">
        <v>-1606.6</v>
      </c>
      <c r="E51" s="7">
        <v>-31.200000000000003</v>
      </c>
      <c r="F51" s="29">
        <f t="shared" si="5"/>
        <v>0</v>
      </c>
      <c r="G51" s="8">
        <v>-8.6999999999999993</v>
      </c>
      <c r="H51" s="9">
        <v>-4</v>
      </c>
      <c r="I51" s="15">
        <f t="shared" si="6"/>
        <v>0</v>
      </c>
    </row>
    <row r="52" spans="1:9" ht="15.75" thickBot="1" x14ac:dyDescent="0.3">
      <c r="B52" s="16" t="s">
        <v>46</v>
      </c>
      <c r="C52" s="17"/>
      <c r="D52" s="18">
        <f>SUM(D39:D51)</f>
        <v>459821.1</v>
      </c>
      <c r="E52" s="18">
        <f t="shared" ref="E52" si="7">SUM(E39:E51)</f>
        <v>-4044.98</v>
      </c>
      <c r="F52" s="31">
        <f t="shared" si="5"/>
        <v>-8.7968559946466143E-3</v>
      </c>
      <c r="G52" s="19">
        <f t="shared" ref="G52:H52" si="8">SUM(G39:G51)</f>
        <v>2812.2000000000012</v>
      </c>
      <c r="H52" s="19">
        <f t="shared" si="8"/>
        <v>619.29999999999995</v>
      </c>
      <c r="I52" s="20">
        <f t="shared" si="6"/>
        <v>0.22021904558708474</v>
      </c>
    </row>
    <row r="53" spans="1:9" x14ac:dyDescent="0.25">
      <c r="A53" s="35">
        <v>2025</v>
      </c>
      <c r="B53" s="37" t="s">
        <v>32</v>
      </c>
      <c r="C53" s="6" t="s">
        <v>33</v>
      </c>
      <c r="D53" s="7">
        <v>5410.1</v>
      </c>
      <c r="E53" s="7">
        <v>-122.5</v>
      </c>
      <c r="F53" s="29">
        <f t="shared" si="5"/>
        <v>-2.2642834698064728E-2</v>
      </c>
      <c r="G53" s="8">
        <v>28.7</v>
      </c>
      <c r="H53" s="9">
        <v>8.5</v>
      </c>
      <c r="I53" s="15">
        <f t="shared" si="6"/>
        <v>0.29616724738675959</v>
      </c>
    </row>
    <row r="54" spans="1:9" x14ac:dyDescent="0.25">
      <c r="A54" s="35">
        <v>2025</v>
      </c>
      <c r="B54" s="37" t="s">
        <v>21</v>
      </c>
      <c r="C54" s="6" t="s">
        <v>22</v>
      </c>
      <c r="D54" s="7">
        <v>23066.5</v>
      </c>
      <c r="E54" s="7"/>
      <c r="F54" s="29">
        <f t="shared" si="5"/>
        <v>0</v>
      </c>
      <c r="G54" s="8">
        <v>195.3</v>
      </c>
      <c r="H54" s="9">
        <v>25.8</v>
      </c>
      <c r="I54" s="15">
        <f t="shared" si="6"/>
        <v>0.13210445468509985</v>
      </c>
    </row>
    <row r="55" spans="1:9" x14ac:dyDescent="0.25">
      <c r="A55" s="35">
        <v>2025</v>
      </c>
      <c r="B55" s="37" t="s">
        <v>34</v>
      </c>
      <c r="C55" s="6" t="s">
        <v>29</v>
      </c>
      <c r="D55" s="7">
        <v>1585</v>
      </c>
      <c r="E55" s="7">
        <v>-23</v>
      </c>
      <c r="F55" s="29">
        <f t="shared" si="5"/>
        <v>-1.4511041009463722E-2</v>
      </c>
      <c r="G55" s="8">
        <v>13.5</v>
      </c>
      <c r="H55" s="9">
        <v>7.9</v>
      </c>
      <c r="I55" s="15">
        <f t="shared" si="6"/>
        <v>0.58518518518518525</v>
      </c>
    </row>
    <row r="56" spans="1:9" x14ac:dyDescent="0.25">
      <c r="A56" s="35">
        <v>2025</v>
      </c>
      <c r="B56" s="37" t="s">
        <v>12</v>
      </c>
      <c r="C56" s="6" t="s">
        <v>11</v>
      </c>
      <c r="D56" s="7">
        <v>16959</v>
      </c>
      <c r="E56" s="7">
        <v>-716.5</v>
      </c>
      <c r="F56" s="29">
        <f t="shared" si="5"/>
        <v>-4.2248953358098945E-2</v>
      </c>
      <c r="G56" s="8">
        <v>85.7</v>
      </c>
      <c r="H56" s="9">
        <v>32.5</v>
      </c>
      <c r="I56" s="15">
        <f t="shared" si="6"/>
        <v>0.37922987164527422</v>
      </c>
    </row>
    <row r="57" spans="1:9" x14ac:dyDescent="0.25">
      <c r="A57" s="35">
        <v>2025</v>
      </c>
      <c r="B57" s="37" t="s">
        <v>23</v>
      </c>
      <c r="C57" s="6" t="s">
        <v>25</v>
      </c>
      <c r="D57" s="7">
        <v>110627</v>
      </c>
      <c r="E57" s="7">
        <v>-129.72</v>
      </c>
      <c r="F57" s="29">
        <f t="shared" si="5"/>
        <v>-1.1725889701429126E-3</v>
      </c>
      <c r="G57" s="8">
        <v>558.29999999999995</v>
      </c>
      <c r="H57" s="9">
        <v>411.5</v>
      </c>
      <c r="I57" s="15">
        <f t="shared" si="6"/>
        <v>0.73705892889127711</v>
      </c>
    </row>
    <row r="58" spans="1:9" x14ac:dyDescent="0.25">
      <c r="A58" s="35">
        <v>2025</v>
      </c>
      <c r="B58" s="37" t="s">
        <v>23</v>
      </c>
      <c r="C58" s="6" t="s">
        <v>11</v>
      </c>
      <c r="D58" s="7">
        <v>23372.5</v>
      </c>
      <c r="E58" s="7"/>
      <c r="F58" s="29">
        <f t="shared" si="5"/>
        <v>0</v>
      </c>
      <c r="G58" s="8">
        <v>144.39999999999998</v>
      </c>
      <c r="H58" s="9">
        <v>31</v>
      </c>
      <c r="I58" s="15">
        <f t="shared" si="6"/>
        <v>0.21468144044321333</v>
      </c>
    </row>
    <row r="59" spans="1:9" x14ac:dyDescent="0.25">
      <c r="A59" s="35">
        <v>2025</v>
      </c>
      <c r="B59" s="37" t="s">
        <v>47</v>
      </c>
      <c r="C59" s="6" t="s">
        <v>25</v>
      </c>
      <c r="D59" s="7">
        <v>29047.200000000004</v>
      </c>
      <c r="E59" s="7">
        <v>-10.4</v>
      </c>
      <c r="F59" s="29">
        <f t="shared" si="5"/>
        <v>-3.580379520229144E-4</v>
      </c>
      <c r="G59" s="8">
        <v>155.39999999999998</v>
      </c>
      <c r="H59" s="9">
        <v>56.3</v>
      </c>
      <c r="I59" s="15">
        <f t="shared" si="6"/>
        <v>0.36229086229086233</v>
      </c>
    </row>
    <row r="60" spans="1:9" x14ac:dyDescent="0.25">
      <c r="A60" s="35">
        <v>2025</v>
      </c>
      <c r="B60" s="37" t="s">
        <v>14</v>
      </c>
      <c r="C60" s="6" t="s">
        <v>25</v>
      </c>
      <c r="D60" s="7">
        <v>204421.5</v>
      </c>
      <c r="E60" s="7"/>
      <c r="F60" s="29">
        <f t="shared" si="5"/>
        <v>0</v>
      </c>
      <c r="G60" s="8">
        <v>1194.5</v>
      </c>
      <c r="H60" s="9">
        <v>39.799999999999997</v>
      </c>
      <c r="I60" s="15">
        <f t="shared" si="6"/>
        <v>3.331938049393051E-2</v>
      </c>
    </row>
    <row r="61" spans="1:9" x14ac:dyDescent="0.25">
      <c r="A61" s="35">
        <v>2025</v>
      </c>
      <c r="B61" s="37" t="s">
        <v>48</v>
      </c>
      <c r="C61" s="6" t="s">
        <v>49</v>
      </c>
      <c r="D61" s="7">
        <v>836724</v>
      </c>
      <c r="E61" s="7"/>
      <c r="F61" s="29">
        <f t="shared" si="5"/>
        <v>0</v>
      </c>
      <c r="G61" s="8">
        <v>4963.1000000000022</v>
      </c>
      <c r="H61" s="9">
        <v>605.6</v>
      </c>
      <c r="I61" s="15">
        <f t="shared" si="6"/>
        <v>0.12202051137393963</v>
      </c>
    </row>
    <row r="62" spans="1:9" x14ac:dyDescent="0.25">
      <c r="A62" s="35">
        <v>2025</v>
      </c>
      <c r="B62" s="37" t="s">
        <v>42</v>
      </c>
      <c r="C62" s="6" t="s">
        <v>19</v>
      </c>
      <c r="D62" s="7">
        <v>4785.57</v>
      </c>
      <c r="E62" s="7"/>
      <c r="F62" s="29">
        <f t="shared" si="5"/>
        <v>0</v>
      </c>
      <c r="G62" s="8">
        <v>31.900000000000002</v>
      </c>
      <c r="H62" s="9">
        <v>8.1999999999999993</v>
      </c>
      <c r="I62" s="15">
        <f t="shared" si="6"/>
        <v>0.25705329153605011</v>
      </c>
    </row>
    <row r="63" spans="1:9" x14ac:dyDescent="0.25">
      <c r="A63" s="35">
        <v>2025</v>
      </c>
      <c r="B63" s="37" t="s">
        <v>44</v>
      </c>
      <c r="C63" s="6" t="s">
        <v>29</v>
      </c>
      <c r="D63" s="7">
        <v>19462.5</v>
      </c>
      <c r="E63" s="7">
        <v>-274.74</v>
      </c>
      <c r="F63" s="29">
        <f t="shared" si="5"/>
        <v>-1.4116377649325627E-2</v>
      </c>
      <c r="G63" s="8">
        <v>117.8</v>
      </c>
      <c r="H63" s="9">
        <v>40.6</v>
      </c>
      <c r="I63" s="15">
        <f t="shared" si="6"/>
        <v>0.34465195246179969</v>
      </c>
    </row>
    <row r="64" spans="1:9" x14ac:dyDescent="0.25">
      <c r="A64" s="35">
        <v>2025</v>
      </c>
      <c r="B64" s="37" t="s">
        <v>16</v>
      </c>
      <c r="C64" s="6" t="s">
        <v>25</v>
      </c>
      <c r="D64" s="7">
        <v>97030.680000000022</v>
      </c>
      <c r="E64" s="7">
        <v>-164.9</v>
      </c>
      <c r="F64" s="29">
        <f t="shared" si="5"/>
        <v>-1.6994624792900552E-3</v>
      </c>
      <c r="G64" s="8">
        <v>674.5</v>
      </c>
      <c r="H64" s="9">
        <v>127.3</v>
      </c>
      <c r="I64" s="15">
        <f t="shared" si="6"/>
        <v>0.18873239436619718</v>
      </c>
    </row>
    <row r="65" spans="1:9" x14ac:dyDescent="0.25">
      <c r="A65" s="35">
        <v>2025</v>
      </c>
      <c r="B65" s="37" t="s">
        <v>26</v>
      </c>
      <c r="C65" s="6" t="s">
        <v>27</v>
      </c>
      <c r="D65" s="7">
        <v>8331.1</v>
      </c>
      <c r="E65" s="7">
        <v>-373.5</v>
      </c>
      <c r="F65" s="29">
        <f t="shared" si="5"/>
        <v>-4.4832014980014642E-2</v>
      </c>
      <c r="G65" s="8">
        <v>45.3</v>
      </c>
      <c r="H65" s="9">
        <v>15.7</v>
      </c>
      <c r="I65" s="15">
        <f t="shared" si="6"/>
        <v>0.34657836644591611</v>
      </c>
    </row>
    <row r="66" spans="1:9" ht="15.75" thickBot="1" x14ac:dyDescent="0.3">
      <c r="B66" s="16" t="s">
        <v>50</v>
      </c>
      <c r="C66" s="17"/>
      <c r="D66" s="18">
        <f>SUM(D53:D65)</f>
        <v>1380822.6500000001</v>
      </c>
      <c r="E66" s="18">
        <f t="shared" ref="E66" si="9">SUM(E53:E65)</f>
        <v>-1815.2600000000002</v>
      </c>
      <c r="F66" s="31">
        <f t="shared" ref="F66" si="10">IF(D66&gt;0,E66/D66,)</f>
        <v>-1.3146221203715047E-3</v>
      </c>
      <c r="G66" s="19">
        <f t="shared" ref="G66:H66" si="11">SUM(G53:G65)</f>
        <v>8208.4000000000015</v>
      </c>
      <c r="H66" s="19">
        <f t="shared" si="11"/>
        <v>1410.7</v>
      </c>
      <c r="I66" s="20">
        <f t="shared" ref="I66" si="12">IF(G66&gt;0,H66/G66,)</f>
        <v>0.17186053311242139</v>
      </c>
    </row>
    <row r="67" spans="1:9" x14ac:dyDescent="0.25">
      <c r="D67" s="32"/>
    </row>
    <row r="68" spans="1:9" x14ac:dyDescent="0.25">
      <c r="C68" t="s">
        <v>51</v>
      </c>
      <c r="D68" s="32"/>
    </row>
    <row r="69" spans="1:9" x14ac:dyDescent="0.25">
      <c r="D69" s="32"/>
    </row>
    <row r="70" spans="1:9" x14ac:dyDescent="0.25">
      <c r="D70" s="32"/>
    </row>
    <row r="71" spans="1:9" x14ac:dyDescent="0.25">
      <c r="D71" s="32"/>
    </row>
    <row r="72" spans="1:9" x14ac:dyDescent="0.25">
      <c r="D72" s="32"/>
    </row>
    <row r="73" spans="1:9" x14ac:dyDescent="0.25">
      <c r="D73" s="32"/>
    </row>
    <row r="74" spans="1:9" x14ac:dyDescent="0.25">
      <c r="D74" s="32"/>
    </row>
    <row r="75" spans="1:9" x14ac:dyDescent="0.25">
      <c r="D75" s="32"/>
    </row>
    <row r="76" spans="1:9" x14ac:dyDescent="0.25">
      <c r="D76" s="32"/>
    </row>
    <row r="77" spans="1:9" x14ac:dyDescent="0.25">
      <c r="D77" s="32"/>
    </row>
    <row r="78" spans="1:9" x14ac:dyDescent="0.25">
      <c r="D78" s="32"/>
    </row>
    <row r="79" spans="1:9" x14ac:dyDescent="0.25">
      <c r="D79" s="32"/>
    </row>
  </sheetData>
  <sortState xmlns:xlrd2="http://schemas.microsoft.com/office/spreadsheetml/2017/richdata2" ref="A49:D79">
    <sortCondition descending="1" ref="D49:D79"/>
  </sortState>
  <mergeCells count="1">
    <mergeCell ref="Y40:AD42"/>
  </mergeCells>
  <pageMargins left="0.7" right="0.7" top="0.75" bottom="0.75" header="0.3" footer="0.3"/>
  <pageSetup scale="82" orientation="landscape" horizontalDpi="1200" verticalDpi="1200" r:id="rId1"/>
  <headerFooter>
    <oddFooter>&amp;LFile: &amp;Z&amp;F&amp;CPage &amp;P of &amp;N&amp;RPrint Date: 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B718E0ADAA244A05A0CDBBD4E8C1C" ma:contentTypeVersion="4" ma:contentTypeDescription="Create a new document." ma:contentTypeScope="" ma:versionID="8b7e8933f5d1e8070beb343a82cdfc30">
  <xsd:schema xmlns:xsd="http://www.w3.org/2001/XMLSchema" xmlns:xs="http://www.w3.org/2001/XMLSchema" xmlns:p="http://schemas.microsoft.com/office/2006/metadata/properties" xmlns:ns2="87040525-7e23-4725-ba85-9fbfb51da173" targetNamespace="http://schemas.microsoft.com/office/2006/metadata/properties" ma:root="true" ma:fieldsID="ba88a6cb20825a2a11cb09e759d609ad" ns2:_="">
    <xsd:import namespace="87040525-7e23-4725-ba85-9fbfb51da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40525-7e23-4725-ba85-9fbfb51da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65AA4C-8D98-4022-BA2E-FA126AEB0C49}">
  <ds:schemaRefs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87040525-7e23-4725-ba85-9fbfb51da173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8BC437D-32C6-492C-8A58-5D28A7F660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C4D936-545C-435E-A255-D95C98BA30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40525-7e23-4725-ba85-9fbfb51da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Taylor</dc:creator>
  <cp:keywords/>
  <dc:description/>
  <cp:lastModifiedBy>Beau Thurman</cp:lastModifiedBy>
  <cp:revision/>
  <dcterms:created xsi:type="dcterms:W3CDTF">2024-07-09T23:20:48Z</dcterms:created>
  <dcterms:modified xsi:type="dcterms:W3CDTF">2026-01-21T21:47:00Z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0x010100CF7B718E0ADAA244A05A0CDBBD4E8C1C</vt:lpwstr>
  </property>
</Properties>
</file>