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r.sharepoint.com/sites/PICdev/SLJ2/Shared Documents/"/>
    </mc:Choice>
  </mc:AlternateContent>
  <xr:revisionPtr revIDLastSave="51" documentId="8_{FC312F5F-197F-4E47-91A4-96FC4277F343}" xr6:coauthVersionLast="47" xr6:coauthVersionMax="47" xr10:uidLastSave="{0095A268-8E6A-41A4-8D39-F8CBA52403DB}"/>
  <bookViews>
    <workbookView xWindow="30435" yWindow="315" windowWidth="26385" windowHeight="14790" xr2:uid="{08953BDB-D7FF-488D-A064-19604DA088D5}"/>
  </bookViews>
  <sheets>
    <sheet name="Sheet1" sheetId="1" r:id="rId1"/>
    <sheet name="Sheet2" sheetId="2" r:id="rId2"/>
  </sheets>
  <definedNames>
    <definedName name="_xlnm._FilterDatabase" localSheetId="0" hidden="1">Sheet1!$A$1:$I$37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H64" i="1"/>
  <c r="I64" i="1" s="1"/>
  <c r="G64" i="1"/>
  <c r="E64" i="1"/>
  <c r="D64" i="1"/>
  <c r="I45" i="1"/>
  <c r="F45" i="1"/>
  <c r="I48" i="1"/>
  <c r="I47" i="1"/>
  <c r="I46" i="1"/>
  <c r="I43" i="1"/>
  <c r="I42" i="1"/>
  <c r="I41" i="1"/>
  <c r="I40" i="1"/>
  <c r="I39" i="1"/>
  <c r="I38" i="1"/>
  <c r="F44" i="1"/>
  <c r="F48" i="1"/>
  <c r="F49" i="1"/>
  <c r="F39" i="1"/>
  <c r="F40" i="1"/>
  <c r="F41" i="1"/>
  <c r="F42" i="1"/>
  <c r="F43" i="1"/>
  <c r="F46" i="1"/>
  <c r="F47" i="1"/>
  <c r="F38" i="1"/>
  <c r="G50" i="1"/>
  <c r="E50" i="1"/>
  <c r="E48" i="2"/>
  <c r="E47" i="2"/>
  <c r="E46" i="2"/>
  <c r="E45" i="2"/>
  <c r="E44" i="2"/>
  <c r="E43" i="2"/>
  <c r="E42" i="2"/>
  <c r="E41" i="2"/>
  <c r="E40" i="2"/>
  <c r="E39" i="2"/>
  <c r="E38" i="2"/>
  <c r="G48" i="2"/>
  <c r="G47" i="2"/>
  <c r="G46" i="2"/>
  <c r="G45" i="2"/>
  <c r="G44" i="2"/>
  <c r="G43" i="2"/>
  <c r="G42" i="2"/>
  <c r="G41" i="2"/>
  <c r="G40" i="2"/>
  <c r="G39" i="2"/>
  <c r="G38" i="2"/>
  <c r="F49" i="2"/>
  <c r="H49" i="2"/>
  <c r="D49" i="2"/>
  <c r="C49" i="2"/>
  <c r="H37" i="2"/>
  <c r="D37" i="2"/>
  <c r="F37" i="2"/>
  <c r="C37" i="2"/>
  <c r="E36" i="2"/>
  <c r="G36" i="2"/>
  <c r="E35" i="2"/>
  <c r="G35" i="2"/>
  <c r="E34" i="2"/>
  <c r="G34" i="2"/>
  <c r="E33" i="2"/>
  <c r="G33" i="2"/>
  <c r="E32" i="2"/>
  <c r="G32" i="2"/>
  <c r="E31" i="2"/>
  <c r="G31" i="2"/>
  <c r="E30" i="2"/>
  <c r="G30" i="2"/>
  <c r="E29" i="2"/>
  <c r="G29" i="2"/>
  <c r="E28" i="2"/>
  <c r="G28" i="2"/>
  <c r="E27" i="2"/>
  <c r="G27" i="2"/>
  <c r="E26" i="2"/>
  <c r="G26" i="2"/>
  <c r="E25" i="2"/>
  <c r="G25" i="2"/>
  <c r="E24" i="2"/>
  <c r="G24" i="2"/>
  <c r="E23" i="2"/>
  <c r="G23" i="2"/>
  <c r="E22" i="2"/>
  <c r="G22" i="2"/>
  <c r="H21" i="2"/>
  <c r="D21" i="2"/>
  <c r="E21" i="2" s="1"/>
  <c r="F21" i="2"/>
  <c r="C21" i="2"/>
  <c r="E20" i="2"/>
  <c r="G20" i="2"/>
  <c r="E19" i="2"/>
  <c r="G19" i="2"/>
  <c r="E18" i="2"/>
  <c r="G18" i="2"/>
  <c r="E17" i="2"/>
  <c r="G17" i="2"/>
  <c r="E16" i="2"/>
  <c r="G16" i="2"/>
  <c r="E15" i="2"/>
  <c r="G15" i="2"/>
  <c r="E14" i="2"/>
  <c r="G14" i="2"/>
  <c r="E13" i="2"/>
  <c r="G13" i="2"/>
  <c r="E12" i="2"/>
  <c r="G12" i="2"/>
  <c r="E11" i="2"/>
  <c r="G11" i="2"/>
  <c r="E10" i="2"/>
  <c r="G10" i="2"/>
  <c r="E9" i="2"/>
  <c r="G9" i="2"/>
  <c r="H8" i="2"/>
  <c r="D8" i="2"/>
  <c r="E8" i="2" s="1"/>
  <c r="F8" i="2"/>
  <c r="C8" i="2"/>
  <c r="E7" i="2"/>
  <c r="G7" i="2"/>
  <c r="E6" i="2"/>
  <c r="G6" i="2"/>
  <c r="E5" i="2"/>
  <c r="G5" i="2"/>
  <c r="E4" i="2"/>
  <c r="G4" i="2"/>
  <c r="E3" i="2"/>
  <c r="G3" i="2"/>
  <c r="E2" i="2"/>
  <c r="G2" i="2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0" i="1"/>
  <c r="I19" i="1"/>
  <c r="I18" i="1"/>
  <c r="I17" i="1"/>
  <c r="I16" i="1"/>
  <c r="I15" i="1"/>
  <c r="I14" i="1"/>
  <c r="I13" i="1"/>
  <c r="I12" i="1"/>
  <c r="I11" i="1"/>
  <c r="I10" i="1"/>
  <c r="I9" i="1"/>
  <c r="I7" i="1"/>
  <c r="I6" i="1"/>
  <c r="I5" i="1"/>
  <c r="I4" i="1"/>
  <c r="I3" i="1"/>
  <c r="I2" i="1"/>
  <c r="F64" i="1" l="1"/>
  <c r="H50" i="1"/>
  <c r="I50" i="1" s="1"/>
  <c r="E49" i="2"/>
  <c r="G49" i="2"/>
  <c r="F50" i="1"/>
  <c r="G37" i="2"/>
  <c r="G21" i="2"/>
  <c r="G8" i="2"/>
  <c r="E37" i="2"/>
  <c r="H8" i="1"/>
  <c r="G8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0" i="1"/>
  <c r="F19" i="1"/>
  <c r="F18" i="1"/>
  <c r="F17" i="1"/>
  <c r="F16" i="1"/>
  <c r="F15" i="1"/>
  <c r="F14" i="1"/>
  <c r="F13" i="1"/>
  <c r="F12" i="1"/>
  <c r="F11" i="1"/>
  <c r="F10" i="1"/>
  <c r="F9" i="1"/>
  <c r="F7" i="1"/>
  <c r="F6" i="1"/>
  <c r="F5" i="1"/>
  <c r="F4" i="1"/>
  <c r="F3" i="1"/>
  <c r="F2" i="1"/>
  <c r="D8" i="1"/>
  <c r="E8" i="1"/>
  <c r="H37" i="1"/>
  <c r="H21" i="1"/>
  <c r="E37" i="1"/>
  <c r="G37" i="1"/>
  <c r="E21" i="1"/>
  <c r="G21" i="1"/>
  <c r="D37" i="1"/>
  <c r="D21" i="1"/>
  <c r="F8" i="1" l="1"/>
  <c r="I37" i="1"/>
  <c r="F21" i="1"/>
  <c r="F37" i="1"/>
  <c r="I21" i="1"/>
  <c r="I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Taylor</author>
  </authors>
  <commentList>
    <comment ref="E58" authorId="0" shapeId="0" xr:uid="{DB4BE384-F904-49C4-97F8-91A5F95CBDDA}">
      <text>
        <r>
          <rPr>
            <b/>
            <sz val="9"/>
            <color indexed="81"/>
            <rFont val="Tahoma"/>
            <charset val="1"/>
          </rPr>
          <t>Paul Taylor:</t>
        </r>
        <r>
          <rPr>
            <sz val="9"/>
            <color indexed="81"/>
            <rFont val="Tahoma"/>
            <charset val="1"/>
          </rPr>
          <t xml:space="preserve">
moved to Minnesota Public Utilities Commission/SRB2 per 1/21/2026 email discussion between SLJ2/KAA2 and RPT.</t>
        </r>
      </text>
    </comment>
    <comment ref="E60" authorId="0" shapeId="0" xr:uid="{8CE5366B-B1B7-499B-9146-E7B2F53E80D0}">
      <text>
        <r>
          <rPr>
            <b/>
            <sz val="9"/>
            <color indexed="81"/>
            <rFont val="Tahoma"/>
            <charset val="1"/>
          </rPr>
          <t>Paul Taylor:</t>
        </r>
        <r>
          <rPr>
            <sz val="9"/>
            <color indexed="81"/>
            <rFont val="Tahoma"/>
            <charset val="1"/>
          </rPr>
          <t xml:space="preserve">
moved from Minnesota Department of Commerce/SRB2 per 1/21/2026 email discussion between SLJ2/KAA2 and RPT.</t>
        </r>
      </text>
    </comment>
  </commentList>
</comments>
</file>

<file path=xl/sharedStrings.xml><?xml version="1.0" encoding="utf-8"?>
<sst xmlns="http://schemas.openxmlformats.org/spreadsheetml/2006/main" count="238" uniqueCount="69">
  <si>
    <t>Year</t>
  </si>
  <si>
    <t>Client</t>
  </si>
  <si>
    <t>PIC</t>
  </si>
  <si>
    <t>LFAR</t>
  </si>
  <si>
    <t>Variances</t>
  </si>
  <si>
    <t>Hours Managed as PM</t>
  </si>
  <si>
    <t>Hours Worked</t>
  </si>
  <si>
    <t>% Worked by PM</t>
  </si>
  <si>
    <t>2021 Total</t>
  </si>
  <si>
    <t>JAT Trinkle, Joel</t>
  </si>
  <si>
    <t>2022 Total</t>
  </si>
  <si>
    <t>2023 Total</t>
  </si>
  <si>
    <t>% Variance</t>
  </si>
  <si>
    <t>AMH2 Heydt, Alina</t>
  </si>
  <si>
    <t>Enbridge Energy, Limited Partnership</t>
  </si>
  <si>
    <t>Enbridge Employee Services, Inc.</t>
  </si>
  <si>
    <t>Flint Hills Resources Pine Bend, LLC</t>
  </si>
  <si>
    <t>Minnkota Power Cooperative, Inc.</t>
  </si>
  <si>
    <t>JTL Lee, John</t>
  </si>
  <si>
    <t>North Dakota Industrial Commission</t>
  </si>
  <si>
    <t>NBN Nelson, Nicholas</t>
  </si>
  <si>
    <t>Novis Renewables, LLC</t>
  </si>
  <si>
    <t>RAP Polzin, Andy</t>
  </si>
  <si>
    <t>Twin Metals Minnesota LLC</t>
  </si>
  <si>
    <t>TJG Greenleaf, Timothy</t>
  </si>
  <si>
    <t>Enbridge Inc.</t>
  </si>
  <si>
    <t>Iowa Fertilizer Company LLC</t>
  </si>
  <si>
    <t>Martin County Solar Project, LLC</t>
  </si>
  <si>
    <t>MPLX, LP</t>
  </si>
  <si>
    <t>Navigator CO2 Ventures LLC</t>
  </si>
  <si>
    <t>North American Coal Corporation</t>
  </si>
  <si>
    <t>Warrior Met Coal</t>
  </si>
  <si>
    <t>AES Clean Energy Development, LLC</t>
  </si>
  <si>
    <t>Aurora Solar LLC</t>
  </si>
  <si>
    <t>Elm Creek Wind II LLC</t>
  </si>
  <si>
    <t>Martin County II Solar Project, LLC</t>
  </si>
  <si>
    <t>Nicholas County Solar Project, LLC</t>
  </si>
  <si>
    <t>Savion LLC</t>
  </si>
  <si>
    <t>SunVest New Energy, LLC</t>
  </si>
  <si>
    <t>Alina Heydt</t>
  </si>
  <si>
    <t>Joel Trinkle</t>
  </si>
  <si>
    <t>John Lee</t>
  </si>
  <si>
    <t>Nick Nelson</t>
  </si>
  <si>
    <t>Andy Polzin</t>
  </si>
  <si>
    <t>Tim Greenleaf</t>
  </si>
  <si>
    <t>Allison Pearson</t>
  </si>
  <si>
    <t>Travis Davidsavor</t>
  </si>
  <si>
    <t>Rachael Shetka</t>
  </si>
  <si>
    <t>Todd Fasking</t>
  </si>
  <si>
    <t>Enbridge Holdings (New Energy) L.L.C.</t>
  </si>
  <si>
    <t>Minnesota Department of Commerce</t>
  </si>
  <si>
    <t>Sun Tribe Development</t>
  </si>
  <si>
    <t>Fasking, Todd</t>
  </si>
  <si>
    <t>exclude from long form and PowerPoint</t>
  </si>
  <si>
    <t>2024 Total</t>
  </si>
  <si>
    <t>Shanna Braun</t>
  </si>
  <si>
    <t>Laramide Resources Ltd.</t>
  </si>
  <si>
    <t>Adapture Renewables, Inc</t>
  </si>
  <si>
    <t>Louisiana Pacific Corporation</t>
  </si>
  <si>
    <t>Minnesota Power</t>
  </si>
  <si>
    <t>Minnesota Public Utilities Commission</t>
  </si>
  <si>
    <t>Omni Conversion Technologies, Inc</t>
  </si>
  <si>
    <t>Swift Current Energy</t>
  </si>
  <si>
    <t>Xcel Energy</t>
  </si>
  <si>
    <t xml:space="preserve"> </t>
  </si>
  <si>
    <t>2025 Total</t>
  </si>
  <si>
    <t>Ryan Siats</t>
  </si>
  <si>
    <t>Erik Boleman</t>
  </si>
  <si>
    <t>Adam Driscoll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</si>
</sst>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164" fontId="2" fillId="2" borderId="3" xfId="1" applyNumberFormat="1" applyFont="1" applyFill="1" applyBorder="1" applyAlignment="1">
      <alignment horizontal="center" vertical="top" wrapText="1"/>
    </xf>
    <xf numFmtId="165" fontId="2" fillId="2" borderId="3" xfId="1" applyNumberFormat="1" applyFont="1" applyFill="1" applyBorder="1" applyAlignment="1">
      <alignment horizontal="center" vertical="top" wrapText="1"/>
    </xf>
    <xf numFmtId="164" fontId="2" fillId="2" borderId="4" xfId="1" applyNumberFormat="1" applyFont="1" applyFill="1" applyBorder="1" applyAlignment="1">
      <alignment horizontal="center" vertical="top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5" fontId="0" fillId="0" borderId="1" xfId="1" applyNumberFormat="1" applyFont="1" applyBorder="1"/>
    <xf numFmtId="0" fontId="0" fillId="0" borderId="5" xfId="0" applyBorder="1" applyAlignment="1">
      <alignment horizontal="center"/>
    </xf>
    <xf numFmtId="0" fontId="0" fillId="0" borderId="6" xfId="0" applyBorder="1"/>
    <xf numFmtId="164" fontId="0" fillId="0" borderId="6" xfId="0" applyNumberFormat="1" applyBorder="1"/>
    <xf numFmtId="165" fontId="0" fillId="0" borderId="6" xfId="0" applyNumberFormat="1" applyBorder="1"/>
    <xf numFmtId="165" fontId="0" fillId="0" borderId="6" xfId="1" applyNumberFormat="1" applyFont="1" applyBorder="1"/>
    <xf numFmtId="9" fontId="0" fillId="0" borderId="7" xfId="0" applyNumberFormat="1" applyBorder="1"/>
    <xf numFmtId="0" fontId="0" fillId="0" borderId="8" xfId="0" applyBorder="1" applyAlignment="1">
      <alignment horizontal="center"/>
    </xf>
    <xf numFmtId="9" fontId="0" fillId="0" borderId="9" xfId="0" applyNumberFormat="1" applyBorder="1"/>
    <xf numFmtId="0" fontId="2" fillId="0" borderId="10" xfId="0" applyFont="1" applyBorder="1"/>
    <xf numFmtId="0" fontId="2" fillId="0" borderId="11" xfId="0" applyFont="1" applyBorder="1"/>
    <xf numFmtId="164" fontId="2" fillId="0" borderId="11" xfId="0" applyNumberFormat="1" applyFont="1" applyBorder="1"/>
    <xf numFmtId="165" fontId="2" fillId="0" borderId="11" xfId="0" applyNumberFormat="1" applyFont="1" applyBorder="1"/>
    <xf numFmtId="9" fontId="2" fillId="0" borderId="12" xfId="0" applyNumberFormat="1" applyFont="1" applyBorder="1"/>
    <xf numFmtId="0" fontId="2" fillId="0" borderId="13" xfId="0" applyFont="1" applyBorder="1"/>
    <xf numFmtId="0" fontId="2" fillId="0" borderId="14" xfId="0" applyFont="1" applyBorder="1"/>
    <xf numFmtId="164" fontId="2" fillId="0" borderId="14" xfId="0" applyNumberFormat="1" applyFont="1" applyBorder="1"/>
    <xf numFmtId="165" fontId="2" fillId="0" borderId="14" xfId="0" applyNumberFormat="1" applyFont="1" applyBorder="1"/>
    <xf numFmtId="9" fontId="2" fillId="0" borderId="15" xfId="0" applyNumberFormat="1" applyFont="1" applyBorder="1"/>
    <xf numFmtId="9" fontId="0" fillId="0" borderId="6" xfId="2" applyFont="1" applyBorder="1"/>
    <xf numFmtId="9" fontId="0" fillId="0" borderId="1" xfId="2" applyFont="1" applyBorder="1"/>
    <xf numFmtId="9" fontId="2" fillId="0" borderId="14" xfId="2" applyFont="1" applyBorder="1"/>
    <xf numFmtId="9" fontId="2" fillId="0" borderId="11" xfId="2" applyFont="1" applyBorder="1"/>
    <xf numFmtId="165" fontId="0" fillId="0" borderId="16" xfId="0" applyNumberFormat="1" applyBorder="1"/>
    <xf numFmtId="165" fontId="0" fillId="0" borderId="16" xfId="1" applyNumberFormat="1" applyFont="1" applyBorder="1"/>
    <xf numFmtId="0" fontId="0" fillId="0" borderId="1" xfId="0" applyFill="1" applyBorder="1"/>
    <xf numFmtId="164" fontId="0" fillId="0" borderId="1" xfId="0" applyNumberFormat="1" applyFill="1" applyBorder="1"/>
    <xf numFmtId="9" fontId="0" fillId="0" borderId="1" xfId="2" applyFont="1" applyFill="1" applyBorder="1"/>
    <xf numFmtId="165" fontId="0" fillId="0" borderId="16" xfId="0" applyNumberFormat="1" applyFill="1" applyBorder="1"/>
    <xf numFmtId="165" fontId="0" fillId="0" borderId="16" xfId="1" applyNumberFormat="1" applyFont="1" applyFill="1" applyBorder="1"/>
    <xf numFmtId="9" fontId="0" fillId="0" borderId="9" xfId="0" applyNumberForma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A66A-E124-4067-8AE7-EDE0ED566BED}">
  <sheetPr>
    <pageSetUpPr fitToPage="1"/>
  </sheetPr>
  <dimension ref="A1:K64"/>
  <sheetViews>
    <sheetView tabSelected="1" zoomScaleNormal="100" workbookViewId="0">
      <pane ySplit="1" topLeftCell="A37" activePane="bottomLeft" state="frozen"/>
      <selection pane="bottomLeft" activeCell="K54" sqref="K54"/>
    </sheetView>
  </sheetViews>
  <sheetFormatPr defaultRowHeight="15" x14ac:dyDescent="0.25"/>
  <cols>
    <col min="2" max="2" width="39" bestFit="1" customWidth="1"/>
    <col min="3" max="3" width="23.28515625" customWidth="1"/>
    <col min="4" max="9" width="10.7109375" customWidth="1"/>
  </cols>
  <sheetData>
    <row r="1" spans="1:9" ht="45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12</v>
      </c>
      <c r="G1" s="4" t="s">
        <v>5</v>
      </c>
      <c r="H1" s="4" t="s">
        <v>6</v>
      </c>
      <c r="I1" s="5" t="s">
        <v>7</v>
      </c>
    </row>
    <row r="2" spans="1:9" x14ac:dyDescent="0.25">
      <c r="A2" s="10">
        <v>2021</v>
      </c>
      <c r="B2" s="11" t="s">
        <v>14</v>
      </c>
      <c r="C2" s="11" t="s">
        <v>13</v>
      </c>
      <c r="D2" s="12">
        <v>220251.14000000007</v>
      </c>
      <c r="E2" s="12">
        <v>-140.11000000000001</v>
      </c>
      <c r="F2" s="28">
        <f>IF(D2&gt;0,E2/D2,)</f>
        <v>-6.3613745654165501E-4</v>
      </c>
      <c r="G2" s="13">
        <v>1439</v>
      </c>
      <c r="H2" s="14">
        <v>135.19999999999999</v>
      </c>
      <c r="I2" s="15">
        <f>IF(G2&gt;0,H2/G2,)</f>
        <v>9.3954134815844331E-2</v>
      </c>
    </row>
    <row r="3" spans="1:9" x14ac:dyDescent="0.25">
      <c r="A3" s="16">
        <v>2021</v>
      </c>
      <c r="B3" s="6" t="s">
        <v>16</v>
      </c>
      <c r="C3" s="6" t="s">
        <v>9</v>
      </c>
      <c r="D3" s="7">
        <v>25136</v>
      </c>
      <c r="E3" s="7">
        <v>-448</v>
      </c>
      <c r="F3" s="29">
        <f t="shared" ref="F3:F63" si="0">IF(D3&gt;0,E3/D3,)</f>
        <v>-1.7823042647994908E-2</v>
      </c>
      <c r="G3" s="8">
        <v>202.40000000000003</v>
      </c>
      <c r="H3" s="9">
        <v>22.9</v>
      </c>
      <c r="I3" s="17">
        <f t="shared" ref="I3:I48" si="1">IF(G3&gt;0,H3/G3,)</f>
        <v>0.11314229249011855</v>
      </c>
    </row>
    <row r="4" spans="1:9" x14ac:dyDescent="0.25">
      <c r="A4" s="16">
        <v>2021</v>
      </c>
      <c r="B4" s="6" t="s">
        <v>17</v>
      </c>
      <c r="C4" s="6" t="s">
        <v>18</v>
      </c>
      <c r="D4" s="7">
        <v>4302.5</v>
      </c>
      <c r="E4" s="7">
        <v>3697.5</v>
      </c>
      <c r="F4" s="29">
        <f t="shared" si="0"/>
        <v>0.85938407902382341</v>
      </c>
      <c r="G4" s="8">
        <v>33.4</v>
      </c>
      <c r="H4" s="9">
        <v>20.2</v>
      </c>
      <c r="I4" s="17">
        <f t="shared" si="1"/>
        <v>0.60479041916167664</v>
      </c>
    </row>
    <row r="5" spans="1:9" x14ac:dyDescent="0.25">
      <c r="A5" s="16">
        <v>2021</v>
      </c>
      <c r="B5" s="6" t="s">
        <v>19</v>
      </c>
      <c r="C5" s="6" t="s">
        <v>20</v>
      </c>
      <c r="D5" s="7">
        <v>41076.5</v>
      </c>
      <c r="E5" s="7"/>
      <c r="F5" s="29">
        <f t="shared" si="0"/>
        <v>0</v>
      </c>
      <c r="G5" s="8">
        <v>279.09999999999997</v>
      </c>
      <c r="H5" s="9">
        <v>67.099999999999994</v>
      </c>
      <c r="I5" s="17">
        <f t="shared" si="1"/>
        <v>0.2404156216409889</v>
      </c>
    </row>
    <row r="6" spans="1:9" x14ac:dyDescent="0.25">
      <c r="A6" s="16">
        <v>2021</v>
      </c>
      <c r="B6" s="6" t="s">
        <v>21</v>
      </c>
      <c r="C6" s="6" t="s">
        <v>22</v>
      </c>
      <c r="D6" s="7">
        <v>83346</v>
      </c>
      <c r="E6" s="7">
        <v>13596.67</v>
      </c>
      <c r="F6" s="29">
        <f t="shared" si="0"/>
        <v>0.16313524344299665</v>
      </c>
      <c r="G6" s="8">
        <v>654.1</v>
      </c>
      <c r="H6" s="9">
        <v>32.700000000000003</v>
      </c>
      <c r="I6" s="17">
        <f t="shared" si="1"/>
        <v>4.9992355908882437E-2</v>
      </c>
    </row>
    <row r="7" spans="1:9" x14ac:dyDescent="0.25">
      <c r="A7" s="16">
        <v>2021</v>
      </c>
      <c r="B7" s="6" t="s">
        <v>23</v>
      </c>
      <c r="C7" s="6" t="s">
        <v>24</v>
      </c>
      <c r="D7" s="7">
        <v>21582.190000000002</v>
      </c>
      <c r="E7" s="7">
        <v>-610.03</v>
      </c>
      <c r="F7" s="29">
        <f t="shared" si="0"/>
        <v>-2.8265435528090518E-2</v>
      </c>
      <c r="G7" s="8">
        <v>149.19999999999999</v>
      </c>
      <c r="H7" s="9">
        <v>55.5</v>
      </c>
      <c r="I7" s="17">
        <f t="shared" si="1"/>
        <v>0.37198391420911531</v>
      </c>
    </row>
    <row r="8" spans="1:9" ht="15.75" thickBot="1" x14ac:dyDescent="0.3">
      <c r="B8" s="23" t="s">
        <v>8</v>
      </c>
      <c r="C8" s="24"/>
      <c r="D8" s="25">
        <f>SUM(D2:D7)</f>
        <v>395694.33000000007</v>
      </c>
      <c r="E8" s="25">
        <f>SUM(E2:E7)</f>
        <v>16096.03</v>
      </c>
      <c r="F8" s="30">
        <f t="shared" si="0"/>
        <v>4.0677939458975812E-2</v>
      </c>
      <c r="G8" s="26">
        <f t="shared" ref="G8:H8" si="2">SUM(G2:G7)</f>
        <v>2757.2</v>
      </c>
      <c r="H8" s="26">
        <f t="shared" si="2"/>
        <v>333.59999999999997</v>
      </c>
      <c r="I8" s="27">
        <f t="shared" si="1"/>
        <v>0.12099231104018569</v>
      </c>
    </row>
    <row r="9" spans="1:9" x14ac:dyDescent="0.25">
      <c r="A9" s="10">
        <v>2022</v>
      </c>
      <c r="B9" s="11" t="s">
        <v>15</v>
      </c>
      <c r="C9" s="11" t="s">
        <v>39</v>
      </c>
      <c r="D9" s="12">
        <v>229401.78000000006</v>
      </c>
      <c r="E9" s="12">
        <v>-471.28999999999996</v>
      </c>
      <c r="F9" s="28">
        <f t="shared" si="0"/>
        <v>-2.054430440775132E-3</v>
      </c>
      <c r="G9" s="13">
        <v>1599.8</v>
      </c>
      <c r="H9" s="14">
        <v>237.6</v>
      </c>
      <c r="I9" s="15">
        <f t="shared" si="1"/>
        <v>0.14851856482060258</v>
      </c>
    </row>
    <row r="10" spans="1:9" x14ac:dyDescent="0.25">
      <c r="A10" s="16">
        <v>2022</v>
      </c>
      <c r="B10" s="6" t="s">
        <v>25</v>
      </c>
      <c r="C10" s="6" t="s">
        <v>39</v>
      </c>
      <c r="D10" s="7">
        <v>43555.930000000008</v>
      </c>
      <c r="E10" s="7">
        <v>-35.79</v>
      </c>
      <c r="F10" s="29">
        <f t="shared" si="0"/>
        <v>-8.2170211955065573E-4</v>
      </c>
      <c r="G10" s="8">
        <v>336.7</v>
      </c>
      <c r="H10" s="9">
        <v>116.7</v>
      </c>
      <c r="I10" s="17">
        <f t="shared" si="1"/>
        <v>0.3465993465993466</v>
      </c>
    </row>
    <row r="11" spans="1:9" x14ac:dyDescent="0.25">
      <c r="A11" s="16">
        <v>2022</v>
      </c>
      <c r="B11" s="6" t="s">
        <v>16</v>
      </c>
      <c r="C11" s="6" t="s">
        <v>40</v>
      </c>
      <c r="D11" s="7">
        <v>89549</v>
      </c>
      <c r="E11" s="7">
        <v>-435.5</v>
      </c>
      <c r="F11" s="29">
        <f t="shared" si="0"/>
        <v>-4.8632592212085003E-3</v>
      </c>
      <c r="G11" s="8">
        <v>685.3</v>
      </c>
      <c r="H11" s="9">
        <v>118.5</v>
      </c>
      <c r="I11" s="17">
        <f t="shared" si="1"/>
        <v>0.17291697066977968</v>
      </c>
    </row>
    <row r="12" spans="1:9" x14ac:dyDescent="0.25">
      <c r="A12" s="16">
        <v>2022</v>
      </c>
      <c r="B12" s="6" t="s">
        <v>26</v>
      </c>
      <c r="C12" s="6" t="s">
        <v>45</v>
      </c>
      <c r="D12" s="7">
        <v>4653.5</v>
      </c>
      <c r="E12" s="7"/>
      <c r="F12" s="29">
        <f t="shared" si="0"/>
        <v>0</v>
      </c>
      <c r="G12" s="8">
        <v>30.3</v>
      </c>
      <c r="H12" s="9">
        <v>15.5</v>
      </c>
      <c r="I12" s="17">
        <f t="shared" si="1"/>
        <v>0.51155115511551152</v>
      </c>
    </row>
    <row r="13" spans="1:9" x14ac:dyDescent="0.25">
      <c r="A13" s="16">
        <v>2022</v>
      </c>
      <c r="B13" s="6" t="s">
        <v>27</v>
      </c>
      <c r="C13" s="6" t="s">
        <v>46</v>
      </c>
      <c r="D13" s="7">
        <v>15581.5</v>
      </c>
      <c r="E13" s="7"/>
      <c r="F13" s="29">
        <f t="shared" si="0"/>
        <v>0</v>
      </c>
      <c r="G13" s="8">
        <v>83.199999999999989</v>
      </c>
      <c r="H13" s="9">
        <v>3.4</v>
      </c>
      <c r="I13" s="17">
        <f t="shared" si="1"/>
        <v>4.0865384615384623E-2</v>
      </c>
    </row>
    <row r="14" spans="1:9" x14ac:dyDescent="0.25">
      <c r="A14" s="16">
        <v>2022</v>
      </c>
      <c r="B14" s="6" t="s">
        <v>28</v>
      </c>
      <c r="C14" s="6" t="s">
        <v>47</v>
      </c>
      <c r="D14" s="7">
        <v>41571.5</v>
      </c>
      <c r="E14" s="7"/>
      <c r="F14" s="29">
        <f t="shared" si="0"/>
        <v>0</v>
      </c>
      <c r="G14" s="8">
        <v>295.49999999999994</v>
      </c>
      <c r="H14" s="9">
        <v>43.7</v>
      </c>
      <c r="I14" s="17">
        <f t="shared" si="1"/>
        <v>0.14788494077834183</v>
      </c>
    </row>
    <row r="15" spans="1:9" x14ac:dyDescent="0.25">
      <c r="A15" s="16">
        <v>2022</v>
      </c>
      <c r="B15" s="6" t="s">
        <v>29</v>
      </c>
      <c r="C15" s="6" t="s">
        <v>47</v>
      </c>
      <c r="D15" s="7">
        <v>34318.5</v>
      </c>
      <c r="E15" s="7"/>
      <c r="F15" s="29">
        <f t="shared" si="0"/>
        <v>0</v>
      </c>
      <c r="G15" s="8">
        <v>268.8</v>
      </c>
      <c r="H15" s="9">
        <v>83.2</v>
      </c>
      <c r="I15" s="17">
        <f t="shared" si="1"/>
        <v>0.30952380952380953</v>
      </c>
    </row>
    <row r="16" spans="1:9" x14ac:dyDescent="0.25">
      <c r="A16" s="16">
        <v>2022</v>
      </c>
      <c r="B16" s="6" t="s">
        <v>30</v>
      </c>
      <c r="C16" s="6" t="s">
        <v>48</v>
      </c>
      <c r="D16" s="7">
        <v>4583.5</v>
      </c>
      <c r="E16" s="7">
        <v>-683.5</v>
      </c>
      <c r="F16" s="29">
        <f t="shared" si="0"/>
        <v>-0.14912185011454129</v>
      </c>
      <c r="G16" s="8">
        <v>32.299999999999997</v>
      </c>
      <c r="H16" s="9">
        <v>2.8</v>
      </c>
      <c r="I16" s="17">
        <f t="shared" si="1"/>
        <v>8.6687306501547989E-2</v>
      </c>
    </row>
    <row r="17" spans="1:11" x14ac:dyDescent="0.25">
      <c r="A17" s="16">
        <v>2022</v>
      </c>
      <c r="B17" s="6" t="s">
        <v>19</v>
      </c>
      <c r="C17" s="6" t="s">
        <v>42</v>
      </c>
      <c r="D17" s="7">
        <v>7626</v>
      </c>
      <c r="E17" s="7">
        <v>-52.5</v>
      </c>
      <c r="F17" s="29">
        <f t="shared" si="0"/>
        <v>-6.8843430369787571E-3</v>
      </c>
      <c r="G17" s="8">
        <v>49.6</v>
      </c>
      <c r="H17" s="9">
        <v>18.399999999999999</v>
      </c>
      <c r="I17" s="17">
        <f t="shared" si="1"/>
        <v>0.37096774193548382</v>
      </c>
    </row>
    <row r="18" spans="1:11" x14ac:dyDescent="0.25">
      <c r="A18" s="16">
        <v>2022</v>
      </c>
      <c r="B18" s="6" t="s">
        <v>21</v>
      </c>
      <c r="C18" s="6" t="s">
        <v>43</v>
      </c>
      <c r="D18" s="7">
        <v>160</v>
      </c>
      <c r="E18" s="7">
        <v>561</v>
      </c>
      <c r="F18" s="29">
        <f t="shared" si="0"/>
        <v>3.5062500000000001</v>
      </c>
      <c r="G18" s="8">
        <v>1.2</v>
      </c>
      <c r="H18" s="9">
        <v>0.7</v>
      </c>
      <c r="I18" s="17">
        <f t="shared" si="1"/>
        <v>0.58333333333333337</v>
      </c>
    </row>
    <row r="19" spans="1:11" x14ac:dyDescent="0.25">
      <c r="A19" s="16">
        <v>2022</v>
      </c>
      <c r="B19" s="6" t="s">
        <v>31</v>
      </c>
      <c r="C19" s="6" t="s">
        <v>43</v>
      </c>
      <c r="D19" s="7">
        <v>840.5</v>
      </c>
      <c r="E19" s="7">
        <v>-252.63</v>
      </c>
      <c r="F19" s="29">
        <f t="shared" si="0"/>
        <v>-0.30057108863771564</v>
      </c>
      <c r="G19" s="8">
        <v>5.5</v>
      </c>
      <c r="H19" s="9">
        <v>3.3</v>
      </c>
      <c r="I19" s="17">
        <f t="shared" si="1"/>
        <v>0.6</v>
      </c>
    </row>
    <row r="20" spans="1:11" x14ac:dyDescent="0.25">
      <c r="A20" s="16">
        <v>2022</v>
      </c>
      <c r="B20" s="6" t="s">
        <v>31</v>
      </c>
      <c r="C20" s="6" t="s">
        <v>48</v>
      </c>
      <c r="D20" s="7">
        <v>111915</v>
      </c>
      <c r="E20" s="7"/>
      <c r="F20" s="29">
        <f t="shared" si="0"/>
        <v>0</v>
      </c>
      <c r="G20" s="8">
        <v>702.4</v>
      </c>
      <c r="H20" s="9">
        <v>209.3</v>
      </c>
      <c r="I20" s="17">
        <f t="shared" si="1"/>
        <v>0.29797835990888383</v>
      </c>
    </row>
    <row r="21" spans="1:11" ht="15.75" thickBot="1" x14ac:dyDescent="0.3">
      <c r="B21" s="23" t="s">
        <v>10</v>
      </c>
      <c r="C21" s="24"/>
      <c r="D21" s="25">
        <f>SUM(D9:D20)</f>
        <v>583756.71000000008</v>
      </c>
      <c r="E21" s="25">
        <f>SUM(E9:E20)</f>
        <v>-1370.21</v>
      </c>
      <c r="F21" s="30">
        <f t="shared" si="0"/>
        <v>-2.3472278374324809E-3</v>
      </c>
      <c r="G21" s="26">
        <f>SUM(G9:G20)</f>
        <v>4090.6000000000004</v>
      </c>
      <c r="H21" s="26">
        <f>SUM(H9:H20)</f>
        <v>853.09999999999991</v>
      </c>
      <c r="I21" s="27">
        <f t="shared" si="1"/>
        <v>0.20855131276585337</v>
      </c>
    </row>
    <row r="22" spans="1:11" x14ac:dyDescent="0.25">
      <c r="A22" s="10">
        <v>2023</v>
      </c>
      <c r="B22" s="11" t="s">
        <v>32</v>
      </c>
      <c r="C22" s="11" t="s">
        <v>47</v>
      </c>
      <c r="D22" s="12">
        <v>216660</v>
      </c>
      <c r="E22" s="12">
        <v>-1709</v>
      </c>
      <c r="F22" s="28">
        <f t="shared" si="0"/>
        <v>-7.8879350133850279E-3</v>
      </c>
      <c r="G22" s="13">
        <v>1592.2000000000005</v>
      </c>
      <c r="H22" s="14">
        <v>347.7</v>
      </c>
      <c r="I22" s="15">
        <f t="shared" si="1"/>
        <v>0.21837708830548919</v>
      </c>
    </row>
    <row r="23" spans="1:11" x14ac:dyDescent="0.25">
      <c r="A23" s="16">
        <v>2023</v>
      </c>
      <c r="B23" s="6" t="s">
        <v>33</v>
      </c>
      <c r="C23" s="6" t="s">
        <v>47</v>
      </c>
      <c r="D23" s="7">
        <v>47096</v>
      </c>
      <c r="E23" s="7"/>
      <c r="F23" s="29">
        <f t="shared" si="0"/>
        <v>0</v>
      </c>
      <c r="G23" s="8">
        <v>369.20000000000005</v>
      </c>
      <c r="H23" s="9">
        <v>53.5</v>
      </c>
      <c r="I23" s="17">
        <f t="shared" si="1"/>
        <v>0.14490790899241601</v>
      </c>
    </row>
    <row r="24" spans="1:11" x14ac:dyDescent="0.25">
      <c r="A24" s="16">
        <v>2023</v>
      </c>
      <c r="B24" s="6" t="s">
        <v>34</v>
      </c>
      <c r="C24" s="6" t="s">
        <v>47</v>
      </c>
      <c r="D24" s="7">
        <v>148924.12</v>
      </c>
      <c r="E24" s="7"/>
      <c r="F24" s="29">
        <f t="shared" si="0"/>
        <v>0</v>
      </c>
      <c r="G24" s="8">
        <v>1096.0999999999999</v>
      </c>
      <c r="H24" s="9">
        <v>182.8</v>
      </c>
      <c r="I24" s="17">
        <f t="shared" si="1"/>
        <v>0.1667731046437369</v>
      </c>
    </row>
    <row r="25" spans="1:11" x14ac:dyDescent="0.25">
      <c r="A25" s="16">
        <v>2023</v>
      </c>
      <c r="B25" s="6" t="s">
        <v>15</v>
      </c>
      <c r="C25" s="6" t="s">
        <v>39</v>
      </c>
      <c r="D25" s="7">
        <v>176024.92</v>
      </c>
      <c r="E25" s="7">
        <v>-71.400000000000091</v>
      </c>
      <c r="F25" s="29">
        <f t="shared" si="0"/>
        <v>-4.0562438545633248E-4</v>
      </c>
      <c r="G25" s="8">
        <v>1287.6999999999994</v>
      </c>
      <c r="H25" s="9">
        <v>333.6</v>
      </c>
      <c r="I25" s="17">
        <f t="shared" si="1"/>
        <v>0.2590665527685021</v>
      </c>
    </row>
    <row r="26" spans="1:11" x14ac:dyDescent="0.25">
      <c r="A26" s="16">
        <v>2023</v>
      </c>
      <c r="B26" s="6" t="s">
        <v>25</v>
      </c>
      <c r="C26" s="6" t="s">
        <v>39</v>
      </c>
      <c r="D26" s="7">
        <v>60168.160000000003</v>
      </c>
      <c r="E26" s="7">
        <v>-108.86</v>
      </c>
      <c r="F26" s="29">
        <f t="shared" si="0"/>
        <v>-1.8092625734275403E-3</v>
      </c>
      <c r="G26" s="8">
        <v>394.7</v>
      </c>
      <c r="H26" s="9">
        <v>91.6</v>
      </c>
      <c r="I26" s="17">
        <f t="shared" si="1"/>
        <v>0.23207499366607548</v>
      </c>
    </row>
    <row r="27" spans="1:11" x14ac:dyDescent="0.25">
      <c r="A27" s="16">
        <v>2023</v>
      </c>
      <c r="B27" s="6" t="s">
        <v>16</v>
      </c>
      <c r="C27" s="6" t="s">
        <v>40</v>
      </c>
      <c r="D27" s="7">
        <v>6965</v>
      </c>
      <c r="E27" s="7"/>
      <c r="F27" s="29">
        <f t="shared" si="0"/>
        <v>0</v>
      </c>
      <c r="G27" s="8">
        <v>51.800000000000004</v>
      </c>
      <c r="H27" s="9">
        <v>15.1</v>
      </c>
      <c r="I27" s="17">
        <f t="shared" si="1"/>
        <v>0.29150579150579148</v>
      </c>
    </row>
    <row r="28" spans="1:11" x14ac:dyDescent="0.25">
      <c r="A28" s="16">
        <v>2023</v>
      </c>
      <c r="B28" s="6" t="s">
        <v>26</v>
      </c>
      <c r="C28" s="6" t="s">
        <v>45</v>
      </c>
      <c r="D28" s="7">
        <v>0</v>
      </c>
      <c r="E28" s="7">
        <v>-44</v>
      </c>
      <c r="F28" s="29">
        <f t="shared" si="0"/>
        <v>0</v>
      </c>
      <c r="G28" s="8"/>
      <c r="H28" s="9">
        <v>0</v>
      </c>
      <c r="I28" s="17">
        <f t="shared" si="1"/>
        <v>0</v>
      </c>
      <c r="K28" t="s">
        <v>53</v>
      </c>
    </row>
    <row r="29" spans="1:11" x14ac:dyDescent="0.25">
      <c r="A29" s="16">
        <v>2023</v>
      </c>
      <c r="B29" s="6" t="s">
        <v>35</v>
      </c>
      <c r="C29" s="6" t="s">
        <v>46</v>
      </c>
      <c r="D29" s="7">
        <v>32210.5</v>
      </c>
      <c r="E29" s="7">
        <v>3289.5</v>
      </c>
      <c r="F29" s="29">
        <f t="shared" si="0"/>
        <v>0.10212508343552568</v>
      </c>
      <c r="G29" s="8">
        <v>176.8</v>
      </c>
      <c r="H29" s="9">
        <v>1.6</v>
      </c>
      <c r="I29" s="17">
        <f t="shared" si="1"/>
        <v>9.0497737556561077E-3</v>
      </c>
    </row>
    <row r="30" spans="1:11" x14ac:dyDescent="0.25">
      <c r="A30" s="16">
        <v>2023</v>
      </c>
      <c r="B30" s="6" t="s">
        <v>27</v>
      </c>
      <c r="C30" s="6" t="s">
        <v>46</v>
      </c>
      <c r="D30" s="7">
        <v>35001</v>
      </c>
      <c r="E30" s="7">
        <v>1183.5</v>
      </c>
      <c r="F30" s="29">
        <f t="shared" si="0"/>
        <v>3.3813319619439446E-2</v>
      </c>
      <c r="G30" s="8">
        <v>184.10000000000002</v>
      </c>
      <c r="H30" s="9">
        <v>3.1</v>
      </c>
      <c r="I30" s="17">
        <f t="shared" si="1"/>
        <v>1.6838674633351439E-2</v>
      </c>
    </row>
    <row r="31" spans="1:11" x14ac:dyDescent="0.25">
      <c r="A31" s="16">
        <v>2023</v>
      </c>
      <c r="B31" s="6" t="s">
        <v>28</v>
      </c>
      <c r="C31" s="6" t="s">
        <v>47</v>
      </c>
      <c r="D31" s="7">
        <v>40292</v>
      </c>
      <c r="E31" s="7">
        <v>-155</v>
      </c>
      <c r="F31" s="29">
        <f t="shared" si="0"/>
        <v>-3.8469175022336939E-3</v>
      </c>
      <c r="G31" s="8">
        <v>259.5</v>
      </c>
      <c r="H31" s="9">
        <v>101.1</v>
      </c>
      <c r="I31" s="17">
        <f t="shared" si="1"/>
        <v>0.38959537572254332</v>
      </c>
    </row>
    <row r="32" spans="1:11" x14ac:dyDescent="0.25">
      <c r="A32" s="16">
        <v>2023</v>
      </c>
      <c r="B32" s="6" t="s">
        <v>29</v>
      </c>
      <c r="C32" s="6" t="s">
        <v>47</v>
      </c>
      <c r="D32" s="7">
        <v>94226.5</v>
      </c>
      <c r="E32" s="7">
        <v>-115.5</v>
      </c>
      <c r="F32" s="29">
        <f t="shared" si="0"/>
        <v>-1.2257698205918716E-3</v>
      </c>
      <c r="G32" s="8">
        <v>653.59999999999991</v>
      </c>
      <c r="H32" s="9">
        <v>150.1</v>
      </c>
      <c r="I32" s="17">
        <f t="shared" si="1"/>
        <v>0.22965116279069769</v>
      </c>
    </row>
    <row r="33" spans="1:11" x14ac:dyDescent="0.25">
      <c r="A33" s="16">
        <v>2023</v>
      </c>
      <c r="B33" s="6" t="s">
        <v>36</v>
      </c>
      <c r="C33" s="6" t="s">
        <v>46</v>
      </c>
      <c r="D33" s="7">
        <v>21669</v>
      </c>
      <c r="E33" s="7"/>
      <c r="F33" s="29">
        <f t="shared" si="0"/>
        <v>0</v>
      </c>
      <c r="G33" s="8">
        <v>110.1</v>
      </c>
      <c r="H33" s="9">
        <v>8.5</v>
      </c>
      <c r="I33" s="17">
        <f t="shared" si="1"/>
        <v>7.7202543142597641E-2</v>
      </c>
    </row>
    <row r="34" spans="1:11" x14ac:dyDescent="0.25">
      <c r="A34" s="16">
        <v>2023</v>
      </c>
      <c r="B34" s="6" t="s">
        <v>37</v>
      </c>
      <c r="C34" s="6" t="s">
        <v>46</v>
      </c>
      <c r="D34" s="7">
        <v>0</v>
      </c>
      <c r="E34" s="7">
        <v>-1898.25</v>
      </c>
      <c r="F34" s="29">
        <f t="shared" si="0"/>
        <v>0</v>
      </c>
      <c r="G34" s="8"/>
      <c r="H34" s="9">
        <v>0</v>
      </c>
      <c r="I34" s="17">
        <f t="shared" si="1"/>
        <v>0</v>
      </c>
    </row>
    <row r="35" spans="1:11" x14ac:dyDescent="0.25">
      <c r="A35" s="16">
        <v>2023</v>
      </c>
      <c r="B35" s="6" t="s">
        <v>38</v>
      </c>
      <c r="C35" s="6" t="s">
        <v>46</v>
      </c>
      <c r="D35" s="7">
        <v>15582</v>
      </c>
      <c r="E35" s="7">
        <v>-589.5</v>
      </c>
      <c r="F35" s="29">
        <f t="shared" si="0"/>
        <v>-3.7832113977666539E-2</v>
      </c>
      <c r="G35" s="8">
        <v>85</v>
      </c>
      <c r="H35" s="9">
        <v>1.2</v>
      </c>
      <c r="I35" s="17">
        <f t="shared" si="1"/>
        <v>1.4117647058823528E-2</v>
      </c>
    </row>
    <row r="36" spans="1:11" x14ac:dyDescent="0.25">
      <c r="A36" s="16">
        <v>2023</v>
      </c>
      <c r="B36" s="6" t="s">
        <v>31</v>
      </c>
      <c r="C36" s="6" t="s">
        <v>48</v>
      </c>
      <c r="D36" s="7">
        <v>52437.5</v>
      </c>
      <c r="E36" s="7">
        <v>-3221</v>
      </c>
      <c r="F36" s="29">
        <f t="shared" si="0"/>
        <v>-6.1425506555423122E-2</v>
      </c>
      <c r="G36" s="8">
        <v>287.90000000000003</v>
      </c>
      <c r="H36" s="9">
        <v>30.8</v>
      </c>
      <c r="I36" s="17">
        <f t="shared" si="1"/>
        <v>0.10698159083014935</v>
      </c>
    </row>
    <row r="37" spans="1:11" ht="15.75" thickBot="1" x14ac:dyDescent="0.3">
      <c r="B37" s="18" t="s">
        <v>11</v>
      </c>
      <c r="C37" s="19"/>
      <c r="D37" s="20">
        <f>SUM(D22:D36)</f>
        <v>947256.70000000007</v>
      </c>
      <c r="E37" s="20">
        <f t="shared" ref="E37:H37" si="3">SUM(E22:E36)</f>
        <v>-3439.51</v>
      </c>
      <c r="F37" s="31">
        <f t="shared" si="0"/>
        <v>-3.6310220872547007E-3</v>
      </c>
      <c r="G37" s="21">
        <f t="shared" si="3"/>
        <v>6548.7000000000007</v>
      </c>
      <c r="H37" s="21">
        <f t="shared" si="3"/>
        <v>1320.6999999999996</v>
      </c>
      <c r="I37" s="22">
        <f t="shared" si="1"/>
        <v>0.20167361461053329</v>
      </c>
    </row>
    <row r="38" spans="1:11" x14ac:dyDescent="0.25">
      <c r="A38" s="16">
        <v>2024</v>
      </c>
      <c r="B38" s="6" t="s">
        <v>32</v>
      </c>
      <c r="C38" s="6" t="s">
        <v>39</v>
      </c>
      <c r="D38" s="7">
        <v>87713.5</v>
      </c>
      <c r="E38" s="7"/>
      <c r="F38" s="29">
        <f t="shared" si="0"/>
        <v>0</v>
      </c>
      <c r="G38" s="8">
        <v>597.29999999999995</v>
      </c>
      <c r="H38" s="9">
        <v>183.2</v>
      </c>
      <c r="I38" s="17">
        <f t="shared" si="1"/>
        <v>0.30671354428260506</v>
      </c>
    </row>
    <row r="39" spans="1:11" x14ac:dyDescent="0.25">
      <c r="A39" s="16">
        <v>2024</v>
      </c>
      <c r="B39" s="6" t="s">
        <v>32</v>
      </c>
      <c r="C39" s="6" t="s">
        <v>47</v>
      </c>
      <c r="D39" s="7">
        <v>4540</v>
      </c>
      <c r="E39" s="7">
        <v>867.99999999999989</v>
      </c>
      <c r="F39" s="29">
        <f t="shared" si="0"/>
        <v>0.1911894273127753</v>
      </c>
      <c r="G39" s="8">
        <v>25.699999999999996</v>
      </c>
      <c r="H39" s="9">
        <v>23.1</v>
      </c>
      <c r="I39" s="17">
        <f t="shared" si="1"/>
        <v>0.89883268482490297</v>
      </c>
    </row>
    <row r="40" spans="1:11" x14ac:dyDescent="0.25">
      <c r="A40" s="16">
        <v>2024</v>
      </c>
      <c r="B40" s="6" t="s">
        <v>33</v>
      </c>
      <c r="C40" s="6" t="s">
        <v>39</v>
      </c>
      <c r="D40" s="7">
        <v>22621</v>
      </c>
      <c r="E40" s="7">
        <v>-367.5</v>
      </c>
      <c r="F40" s="29">
        <f t="shared" si="0"/>
        <v>-1.6245966137659697E-2</v>
      </c>
      <c r="G40" s="8">
        <v>155.69999999999999</v>
      </c>
      <c r="H40" s="9">
        <v>65.099999999999994</v>
      </c>
      <c r="I40" s="17">
        <f t="shared" si="1"/>
        <v>0.41811175337186895</v>
      </c>
    </row>
    <row r="41" spans="1:11" x14ac:dyDescent="0.25">
      <c r="A41" s="16">
        <v>2024</v>
      </c>
      <c r="B41" s="6" t="s">
        <v>34</v>
      </c>
      <c r="C41" s="6" t="s">
        <v>39</v>
      </c>
      <c r="D41" s="7">
        <v>15848.330000000002</v>
      </c>
      <c r="E41" s="7">
        <v>-157.07</v>
      </c>
      <c r="F41" s="29">
        <f t="shared" si="0"/>
        <v>-9.9108234116780745E-3</v>
      </c>
      <c r="G41" s="8">
        <v>98.4</v>
      </c>
      <c r="H41" s="9">
        <v>51.4</v>
      </c>
      <c r="I41" s="17">
        <f t="shared" si="1"/>
        <v>0.52235772357723576</v>
      </c>
    </row>
    <row r="42" spans="1:11" x14ac:dyDescent="0.25">
      <c r="A42" s="16">
        <v>2024</v>
      </c>
      <c r="B42" s="6" t="s">
        <v>15</v>
      </c>
      <c r="C42" s="6" t="s">
        <v>39</v>
      </c>
      <c r="D42" s="7">
        <v>16223.42</v>
      </c>
      <c r="E42" s="7">
        <v>0</v>
      </c>
      <c r="F42" s="29">
        <f t="shared" si="0"/>
        <v>0</v>
      </c>
      <c r="G42" s="8">
        <v>107.9</v>
      </c>
      <c r="H42" s="9">
        <v>53.1</v>
      </c>
      <c r="I42" s="17">
        <f t="shared" si="1"/>
        <v>0.49212233549582945</v>
      </c>
    </row>
    <row r="43" spans="1:11" x14ac:dyDescent="0.25">
      <c r="A43" s="16">
        <v>2024</v>
      </c>
      <c r="B43" s="6" t="s">
        <v>49</v>
      </c>
      <c r="C43" s="6" t="s">
        <v>39</v>
      </c>
      <c r="D43" s="7">
        <v>2360.85</v>
      </c>
      <c r="E43" s="7">
        <v>0</v>
      </c>
      <c r="F43" s="29">
        <f t="shared" si="0"/>
        <v>0</v>
      </c>
      <c r="G43" s="8">
        <v>15.4</v>
      </c>
      <c r="H43" s="9">
        <v>8.9</v>
      </c>
      <c r="I43" s="17">
        <f t="shared" si="1"/>
        <v>0.57792207792207795</v>
      </c>
    </row>
    <row r="44" spans="1:11" x14ac:dyDescent="0.25">
      <c r="A44" s="16">
        <v>2024</v>
      </c>
      <c r="B44" s="6" t="s">
        <v>25</v>
      </c>
      <c r="C44" s="6" t="s">
        <v>39</v>
      </c>
      <c r="D44" s="7">
        <v>0</v>
      </c>
      <c r="E44" s="7">
        <v>-10</v>
      </c>
      <c r="F44" s="29">
        <f t="shared" si="0"/>
        <v>0</v>
      </c>
      <c r="G44" s="32"/>
      <c r="H44" s="33"/>
      <c r="I44" s="17"/>
      <c r="K44" t="s">
        <v>53</v>
      </c>
    </row>
    <row r="45" spans="1:11" x14ac:dyDescent="0.25">
      <c r="A45" s="16">
        <v>2024</v>
      </c>
      <c r="B45" s="34" t="s">
        <v>56</v>
      </c>
      <c r="C45" s="6" t="s">
        <v>55</v>
      </c>
      <c r="D45" s="35">
        <v>15218</v>
      </c>
      <c r="E45" s="35"/>
      <c r="F45" s="36">
        <f t="shared" si="0"/>
        <v>0</v>
      </c>
      <c r="G45" s="37">
        <v>95.3</v>
      </c>
      <c r="H45" s="38">
        <v>0</v>
      </c>
      <c r="I45" s="39">
        <f t="shared" si="1"/>
        <v>0</v>
      </c>
    </row>
    <row r="46" spans="1:11" x14ac:dyDescent="0.25">
      <c r="A46" s="16">
        <v>2024</v>
      </c>
      <c r="B46" s="6" t="s">
        <v>50</v>
      </c>
      <c r="C46" s="6" t="s">
        <v>55</v>
      </c>
      <c r="D46" s="7">
        <v>677874.5</v>
      </c>
      <c r="E46" s="7">
        <v>-714.81</v>
      </c>
      <c r="F46" s="29">
        <f t="shared" si="0"/>
        <v>-1.0544872244051073E-3</v>
      </c>
      <c r="G46" s="8">
        <v>5304</v>
      </c>
      <c r="H46" s="9">
        <v>1144.5999999999999</v>
      </c>
      <c r="I46" s="17">
        <f t="shared" si="1"/>
        <v>0.21579939668174961</v>
      </c>
    </row>
    <row r="47" spans="1:11" x14ac:dyDescent="0.25">
      <c r="A47" s="16">
        <v>2024</v>
      </c>
      <c r="B47" s="6" t="s">
        <v>50</v>
      </c>
      <c r="C47" s="6" t="s">
        <v>39</v>
      </c>
      <c r="D47" s="7">
        <v>63858</v>
      </c>
      <c r="E47" s="7"/>
      <c r="F47" s="29">
        <f t="shared" si="0"/>
        <v>0</v>
      </c>
      <c r="G47" s="8">
        <v>525.6</v>
      </c>
      <c r="H47" s="9">
        <v>81.3</v>
      </c>
      <c r="I47" s="17">
        <f t="shared" si="1"/>
        <v>0.15468036529680365</v>
      </c>
    </row>
    <row r="48" spans="1:11" x14ac:dyDescent="0.25">
      <c r="A48" s="16">
        <v>2024</v>
      </c>
      <c r="B48" s="6" t="s">
        <v>51</v>
      </c>
      <c r="C48" s="6" t="s">
        <v>46</v>
      </c>
      <c r="D48" s="7">
        <v>38625</v>
      </c>
      <c r="E48" s="7">
        <v>-3125</v>
      </c>
      <c r="F48" s="29">
        <f t="shared" si="0"/>
        <v>-8.0906148867313912E-2</v>
      </c>
      <c r="G48" s="8">
        <v>266.5</v>
      </c>
      <c r="H48" s="9">
        <v>1.7</v>
      </c>
      <c r="I48" s="17">
        <f t="shared" si="1"/>
        <v>6.3789868667917448E-3</v>
      </c>
    </row>
    <row r="49" spans="1:11" x14ac:dyDescent="0.25">
      <c r="A49" s="16">
        <v>2024</v>
      </c>
      <c r="B49" s="6" t="s">
        <v>31</v>
      </c>
      <c r="C49" s="6" t="s">
        <v>48</v>
      </c>
      <c r="D49" s="7">
        <v>29</v>
      </c>
      <c r="E49" s="7">
        <v>-29</v>
      </c>
      <c r="F49" s="29">
        <f t="shared" si="0"/>
        <v>-1</v>
      </c>
      <c r="G49" s="8">
        <v>0.2</v>
      </c>
      <c r="H49" s="9">
        <v>0</v>
      </c>
      <c r="I49" s="17">
        <v>0</v>
      </c>
      <c r="K49" t="s">
        <v>53</v>
      </c>
    </row>
    <row r="50" spans="1:11" ht="15.75" thickBot="1" x14ac:dyDescent="0.3">
      <c r="B50" s="18" t="s">
        <v>54</v>
      </c>
      <c r="C50" s="19"/>
      <c r="D50" s="20">
        <f>SUM(D38:D49)</f>
        <v>944911.6</v>
      </c>
      <c r="E50" s="20">
        <f>SUM(E38:E49)</f>
        <v>-3535.38</v>
      </c>
      <c r="F50" s="31">
        <f t="shared" ref="F50" si="4">IF(D50&gt;0,E50/D50,)</f>
        <v>-3.7414928549929964E-3</v>
      </c>
      <c r="G50" s="20">
        <f>SUM(G38:G49)</f>
        <v>7192</v>
      </c>
      <c r="H50" s="20">
        <f>SUM(H38:H49)</f>
        <v>1612.3999999999999</v>
      </c>
      <c r="I50" s="22">
        <f t="shared" ref="I50" si="5">IF(G50&gt;0,H50/G50,)</f>
        <v>0.22419354838709676</v>
      </c>
    </row>
    <row r="51" spans="1:11" x14ac:dyDescent="0.25">
      <c r="A51" s="16">
        <v>2025</v>
      </c>
      <c r="B51" s="6" t="s">
        <v>57</v>
      </c>
      <c r="C51" s="6" t="s">
        <v>66</v>
      </c>
      <c r="D51" s="7">
        <v>41249</v>
      </c>
      <c r="E51" s="7"/>
      <c r="F51" s="29">
        <f t="shared" si="0"/>
        <v>0</v>
      </c>
      <c r="G51" s="8">
        <v>289.7</v>
      </c>
      <c r="H51" s="9">
        <v>31.2</v>
      </c>
      <c r="I51" s="17">
        <v>0.10769761822575077</v>
      </c>
    </row>
    <row r="52" spans="1:11" x14ac:dyDescent="0.25">
      <c r="A52" s="16">
        <v>2025</v>
      </c>
      <c r="B52" s="6" t="s">
        <v>32</v>
      </c>
      <c r="C52" s="6" t="s">
        <v>39</v>
      </c>
      <c r="D52" s="7">
        <v>3947</v>
      </c>
      <c r="E52" s="7">
        <v>-62</v>
      </c>
      <c r="F52" s="29">
        <f t="shared" si="0"/>
        <v>-1.5708132759057511E-2</v>
      </c>
      <c r="G52" s="8">
        <v>28.6</v>
      </c>
      <c r="H52" s="9">
        <v>19.5</v>
      </c>
      <c r="I52" s="17">
        <v>0.68181818181818177</v>
      </c>
    </row>
    <row r="53" spans="1:11" x14ac:dyDescent="0.25">
      <c r="A53" s="16">
        <v>2025</v>
      </c>
      <c r="B53" s="6" t="s">
        <v>34</v>
      </c>
      <c r="C53" s="6" t="s">
        <v>39</v>
      </c>
      <c r="D53" s="7">
        <v>93435.629999999961</v>
      </c>
      <c r="E53" s="7">
        <v>-8215.3899999999976</v>
      </c>
      <c r="F53" s="29">
        <f t="shared" si="0"/>
        <v>-8.792566604409903E-2</v>
      </c>
      <c r="G53" s="8">
        <v>621.10000000000014</v>
      </c>
      <c r="H53" s="9">
        <v>186.4</v>
      </c>
      <c r="I53" s="17">
        <v>0.30011270326839473</v>
      </c>
    </row>
    <row r="54" spans="1:11" x14ac:dyDescent="0.25">
      <c r="A54" s="16">
        <v>2025</v>
      </c>
      <c r="B54" s="6" t="s">
        <v>49</v>
      </c>
      <c r="C54" s="6" t="s">
        <v>39</v>
      </c>
      <c r="D54" s="7">
        <v>0</v>
      </c>
      <c r="E54" s="7">
        <v>-63.7</v>
      </c>
      <c r="F54" s="29">
        <f t="shared" si="0"/>
        <v>0</v>
      </c>
      <c r="G54" s="8"/>
      <c r="H54" s="9">
        <v>0</v>
      </c>
      <c r="I54" s="17" t="s">
        <v>64</v>
      </c>
      <c r="K54" t="s">
        <v>53</v>
      </c>
    </row>
    <row r="55" spans="1:11" x14ac:dyDescent="0.25">
      <c r="A55" s="16">
        <v>2025</v>
      </c>
      <c r="B55" s="6" t="s">
        <v>56</v>
      </c>
      <c r="C55" s="6" t="s">
        <v>55</v>
      </c>
      <c r="D55" s="7">
        <v>58378</v>
      </c>
      <c r="E55" s="7"/>
      <c r="F55" s="29">
        <f t="shared" si="0"/>
        <v>0</v>
      </c>
      <c r="G55" s="8">
        <v>309.7</v>
      </c>
      <c r="H55" s="9">
        <v>5.0999999999999996</v>
      </c>
      <c r="I55" s="17">
        <v>1.6467549241201161E-2</v>
      </c>
    </row>
    <row r="56" spans="1:11" x14ac:dyDescent="0.25">
      <c r="A56" s="16">
        <v>2025</v>
      </c>
      <c r="B56" s="6" t="s">
        <v>58</v>
      </c>
      <c r="C56" s="6" t="s">
        <v>67</v>
      </c>
      <c r="D56" s="7">
        <v>23674.5</v>
      </c>
      <c r="E56" s="7">
        <v>-55.5</v>
      </c>
      <c r="F56" s="29">
        <f t="shared" si="0"/>
        <v>-2.3442944940759046E-3</v>
      </c>
      <c r="G56" s="8">
        <v>266</v>
      </c>
      <c r="H56" s="9">
        <v>55.4</v>
      </c>
      <c r="I56" s="17">
        <v>0.20827067669172933</v>
      </c>
    </row>
    <row r="57" spans="1:11" x14ac:dyDescent="0.25">
      <c r="A57" s="16">
        <v>2025</v>
      </c>
      <c r="B57" s="6" t="s">
        <v>50</v>
      </c>
      <c r="C57" s="6" t="s">
        <v>39</v>
      </c>
      <c r="D57" s="7">
        <v>1610</v>
      </c>
      <c r="E57" s="7"/>
      <c r="F57" s="29">
        <f t="shared" si="0"/>
        <v>0</v>
      </c>
      <c r="G57" s="8">
        <v>10.3</v>
      </c>
      <c r="H57" s="9">
        <v>5.6</v>
      </c>
      <c r="I57" s="17">
        <v>0.5436893203883495</v>
      </c>
    </row>
    <row r="58" spans="1:11" x14ac:dyDescent="0.25">
      <c r="A58" s="16">
        <v>2025</v>
      </c>
      <c r="B58" s="6" t="s">
        <v>50</v>
      </c>
      <c r="C58" s="6" t="s">
        <v>55</v>
      </c>
      <c r="D58" s="7">
        <v>48595.5</v>
      </c>
      <c r="E58" s="7"/>
      <c r="F58" s="29">
        <f t="shared" si="0"/>
        <v>0</v>
      </c>
      <c r="G58" s="8">
        <v>311.09999999999997</v>
      </c>
      <c r="H58" s="9">
        <v>114.3</v>
      </c>
      <c r="I58" s="17">
        <v>0.36740597878495662</v>
      </c>
    </row>
    <row r="59" spans="1:11" x14ac:dyDescent="0.25">
      <c r="A59" s="16">
        <v>2025</v>
      </c>
      <c r="B59" s="6" t="s">
        <v>59</v>
      </c>
      <c r="C59" s="6" t="s">
        <v>39</v>
      </c>
      <c r="D59" s="7">
        <v>59453</v>
      </c>
      <c r="E59" s="7"/>
      <c r="F59" s="29">
        <f t="shared" si="0"/>
        <v>0</v>
      </c>
      <c r="G59" s="8">
        <v>544.4</v>
      </c>
      <c r="H59" s="9">
        <v>157.80000000000001</v>
      </c>
      <c r="I59" s="17">
        <v>0.28986039676708308</v>
      </c>
    </row>
    <row r="60" spans="1:11" x14ac:dyDescent="0.25">
      <c r="A60" s="16">
        <v>2025</v>
      </c>
      <c r="B60" s="6" t="s">
        <v>60</v>
      </c>
      <c r="C60" s="6" t="s">
        <v>55</v>
      </c>
      <c r="D60" s="7">
        <v>329375.5</v>
      </c>
      <c r="E60" s="7">
        <v>-10967</v>
      </c>
      <c r="F60" s="29">
        <f t="shared" si="0"/>
        <v>-3.3296344142172078E-2</v>
      </c>
      <c r="G60" s="8">
        <v>2329.9000000000005</v>
      </c>
      <c r="H60" s="9">
        <v>393.1</v>
      </c>
      <c r="I60" s="17">
        <v>0.16871968754023775</v>
      </c>
    </row>
    <row r="61" spans="1:11" x14ac:dyDescent="0.25">
      <c r="A61" s="16">
        <v>2025</v>
      </c>
      <c r="B61" s="6" t="s">
        <v>61</v>
      </c>
      <c r="C61" s="6" t="s">
        <v>68</v>
      </c>
      <c r="D61" s="7">
        <v>2347.5</v>
      </c>
      <c r="E61" s="7"/>
      <c r="F61" s="29">
        <f t="shared" si="0"/>
        <v>0</v>
      </c>
      <c r="G61" s="8">
        <v>12.5</v>
      </c>
      <c r="H61" s="9">
        <v>1.1000000000000001</v>
      </c>
      <c r="I61" s="17">
        <v>8.8000000000000009E-2</v>
      </c>
    </row>
    <row r="62" spans="1:11" x14ac:dyDescent="0.25">
      <c r="A62" s="16">
        <v>2025</v>
      </c>
      <c r="B62" s="6" t="s">
        <v>62</v>
      </c>
      <c r="C62" s="6" t="s">
        <v>39</v>
      </c>
      <c r="D62" s="7">
        <v>237</v>
      </c>
      <c r="E62" s="7">
        <v>-237</v>
      </c>
      <c r="F62" s="29">
        <f t="shared" si="0"/>
        <v>-1</v>
      </c>
      <c r="G62" s="8">
        <v>1.4000000000000001</v>
      </c>
      <c r="H62" s="9">
        <v>1</v>
      </c>
      <c r="I62" s="17">
        <v>0.71428571428571419</v>
      </c>
      <c r="K62" t="s">
        <v>53</v>
      </c>
    </row>
    <row r="63" spans="1:11" x14ac:dyDescent="0.25">
      <c r="A63" s="16">
        <v>2025</v>
      </c>
      <c r="B63" s="6" t="s">
        <v>63</v>
      </c>
      <c r="C63" s="6" t="s">
        <v>55</v>
      </c>
      <c r="D63" s="7">
        <v>10267.5</v>
      </c>
      <c r="E63" s="7"/>
      <c r="F63" s="29">
        <f t="shared" si="0"/>
        <v>0</v>
      </c>
      <c r="G63" s="8">
        <v>60.900000000000006</v>
      </c>
      <c r="H63" s="9">
        <v>20.6</v>
      </c>
      <c r="I63" s="17">
        <v>0.33825944170771755</v>
      </c>
    </row>
    <row r="64" spans="1:11" ht="15.75" thickBot="1" x14ac:dyDescent="0.3">
      <c r="B64" s="18" t="s">
        <v>65</v>
      </c>
      <c r="C64" s="19"/>
      <c r="D64" s="20">
        <f>SUM(D51:D63)</f>
        <v>672570.12999999989</v>
      </c>
      <c r="E64" s="20">
        <f>SUM(E51:E63)</f>
        <v>-19600.589999999997</v>
      </c>
      <c r="F64" s="31">
        <f t="shared" ref="F64" si="6">IF(D64&gt;0,E64/D64,)</f>
        <v>-2.9142819649156885E-2</v>
      </c>
      <c r="G64" s="20">
        <f>SUM(G51:G63)</f>
        <v>4785.6000000000004</v>
      </c>
      <c r="H64" s="20">
        <f>SUM(H51:H63)</f>
        <v>991.10000000000014</v>
      </c>
      <c r="I64" s="22">
        <f t="shared" ref="I64" si="7">IF(G64&gt;0,H64/G64,)</f>
        <v>0.20710046807087931</v>
      </c>
    </row>
  </sheetData>
  <autoFilter ref="A1:I37" xr:uid="{4504A66A-E124-4067-8AE7-EDE0ED566BED}"/>
  <pageMargins left="0.7" right="0.7" top="0.75" bottom="0.75" header="0.3" footer="0.3"/>
  <pageSetup scale="78" orientation="landscape" horizontalDpi="1200" verticalDpi="1200" r:id="rId1"/>
  <headerFooter>
    <oddFooter>&amp;LFile: &amp;Z&amp;F&amp;CPage &amp;P of &amp;N&amp;RPrint Date: &amp;D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EF5D-C4ED-42AD-99D1-A16E800B4827}">
  <dimension ref="A1:J49"/>
  <sheetViews>
    <sheetView workbookViewId="0">
      <pane ySplit="1" topLeftCell="A31" activePane="bottomLeft" state="frozen"/>
      <selection pane="bottomLeft" activeCell="C38" sqref="C38:C47"/>
    </sheetView>
  </sheetViews>
  <sheetFormatPr defaultRowHeight="15" x14ac:dyDescent="0.25"/>
  <cols>
    <col min="1" max="1" width="39" bestFit="1" customWidth="1"/>
    <col min="2" max="2" width="23.28515625" bestFit="1" customWidth="1"/>
    <col min="3" max="8" width="10.7109375" customWidth="1"/>
  </cols>
  <sheetData>
    <row r="1" spans="1:8" ht="45.75" thickBot="1" x14ac:dyDescent="0.3">
      <c r="A1" s="2" t="s">
        <v>1</v>
      </c>
      <c r="B1" s="2" t="s">
        <v>2</v>
      </c>
      <c r="C1" s="3" t="s">
        <v>3</v>
      </c>
      <c r="D1" s="4" t="s">
        <v>5</v>
      </c>
      <c r="E1" s="5" t="s">
        <v>7</v>
      </c>
      <c r="F1" s="4" t="s">
        <v>4</v>
      </c>
      <c r="G1" s="4" t="s">
        <v>12</v>
      </c>
      <c r="H1" s="4" t="s">
        <v>6</v>
      </c>
    </row>
    <row r="2" spans="1:8" x14ac:dyDescent="0.25">
      <c r="A2" s="11" t="s">
        <v>14</v>
      </c>
      <c r="B2" s="11" t="s">
        <v>39</v>
      </c>
      <c r="C2" s="12">
        <v>220251.14000000007</v>
      </c>
      <c r="D2" s="13">
        <v>1439</v>
      </c>
      <c r="E2" s="15">
        <f t="shared" ref="E2:E48" si="0">IF(D2&gt;0,H2/D2,)</f>
        <v>9.3954134815844331E-2</v>
      </c>
      <c r="F2" s="12">
        <v>-140.11000000000001</v>
      </c>
      <c r="G2" s="28">
        <f>IF(C2&gt;0,F2/C2,)</f>
        <v>-6.3613745654165501E-4</v>
      </c>
      <c r="H2" s="14">
        <v>135.19999999999999</v>
      </c>
    </row>
    <row r="3" spans="1:8" x14ac:dyDescent="0.25">
      <c r="A3" s="6" t="s">
        <v>16</v>
      </c>
      <c r="B3" s="6" t="s">
        <v>40</v>
      </c>
      <c r="C3" s="7">
        <v>25136</v>
      </c>
      <c r="D3" s="8">
        <v>202.40000000000003</v>
      </c>
      <c r="E3" s="17">
        <f t="shared" si="0"/>
        <v>0.11314229249011855</v>
      </c>
      <c r="F3" s="7">
        <v>-448</v>
      </c>
      <c r="G3" s="29">
        <f t="shared" ref="G3:G48" si="1">IF(C3&gt;0,F3/C3,)</f>
        <v>-1.7823042647994908E-2</v>
      </c>
      <c r="H3" s="9">
        <v>22.9</v>
      </c>
    </row>
    <row r="4" spans="1:8" x14ac:dyDescent="0.25">
      <c r="A4" s="6" t="s">
        <v>17</v>
      </c>
      <c r="B4" s="6" t="s">
        <v>41</v>
      </c>
      <c r="C4" s="7">
        <v>4302.5</v>
      </c>
      <c r="D4" s="8">
        <v>33.4</v>
      </c>
      <c r="E4" s="17">
        <f t="shared" si="0"/>
        <v>0.60479041916167664</v>
      </c>
      <c r="F4" s="7">
        <v>3697.5</v>
      </c>
      <c r="G4" s="29">
        <f t="shared" si="1"/>
        <v>0.85938407902382341</v>
      </c>
      <c r="H4" s="9">
        <v>20.2</v>
      </c>
    </row>
    <row r="5" spans="1:8" x14ac:dyDescent="0.25">
      <c r="A5" s="6" t="s">
        <v>19</v>
      </c>
      <c r="B5" s="6" t="s">
        <v>42</v>
      </c>
      <c r="C5" s="7">
        <v>41076.5</v>
      </c>
      <c r="D5" s="8">
        <v>279.09999999999997</v>
      </c>
      <c r="E5" s="17">
        <f t="shared" si="0"/>
        <v>0.2404156216409889</v>
      </c>
      <c r="F5" s="7"/>
      <c r="G5" s="29">
        <f t="shared" si="1"/>
        <v>0</v>
      </c>
      <c r="H5" s="9">
        <v>67.099999999999994</v>
      </c>
    </row>
    <row r="6" spans="1:8" x14ac:dyDescent="0.25">
      <c r="A6" s="6" t="s">
        <v>21</v>
      </c>
      <c r="B6" s="6" t="s">
        <v>43</v>
      </c>
      <c r="C6" s="7">
        <v>83346</v>
      </c>
      <c r="D6" s="8">
        <v>654.1</v>
      </c>
      <c r="E6" s="17">
        <f t="shared" si="0"/>
        <v>4.9992355908882437E-2</v>
      </c>
      <c r="F6" s="7">
        <v>13596.67</v>
      </c>
      <c r="G6" s="29">
        <f t="shared" si="1"/>
        <v>0.16313524344299665</v>
      </c>
      <c r="H6" s="9">
        <v>32.700000000000003</v>
      </c>
    </row>
    <row r="7" spans="1:8" x14ac:dyDescent="0.25">
      <c r="A7" s="6" t="s">
        <v>23</v>
      </c>
      <c r="B7" s="6" t="s">
        <v>44</v>
      </c>
      <c r="C7" s="7">
        <v>21582.190000000002</v>
      </c>
      <c r="D7" s="8">
        <v>149.19999999999999</v>
      </c>
      <c r="E7" s="17">
        <f t="shared" si="0"/>
        <v>0.37198391420911531</v>
      </c>
      <c r="F7" s="7">
        <v>-610.03</v>
      </c>
      <c r="G7" s="29">
        <f t="shared" si="1"/>
        <v>-2.8265435528090518E-2</v>
      </c>
      <c r="H7" s="9">
        <v>55.5</v>
      </c>
    </row>
    <row r="8" spans="1:8" ht="15.75" thickBot="1" x14ac:dyDescent="0.3">
      <c r="A8" s="23" t="s">
        <v>8</v>
      </c>
      <c r="B8" s="24"/>
      <c r="C8" s="25">
        <f>SUM(C2:C7)</f>
        <v>395694.33000000007</v>
      </c>
      <c r="D8" s="26">
        <f>SUM(D2:D7)</f>
        <v>2757.2</v>
      </c>
      <c r="E8" s="27">
        <f t="shared" si="0"/>
        <v>0.12099231104018569</v>
      </c>
      <c r="F8" s="25">
        <f>SUM(F2:F7)</f>
        <v>16096.03</v>
      </c>
      <c r="G8" s="30">
        <f t="shared" si="1"/>
        <v>4.0677939458975812E-2</v>
      </c>
      <c r="H8" s="26">
        <f t="shared" ref="H8" si="2">SUM(H2:H7)</f>
        <v>333.59999999999997</v>
      </c>
    </row>
    <row r="9" spans="1:8" x14ac:dyDescent="0.25">
      <c r="A9" s="11" t="s">
        <v>15</v>
      </c>
      <c r="B9" s="11" t="s">
        <v>39</v>
      </c>
      <c r="C9" s="12">
        <v>229401.78000000006</v>
      </c>
      <c r="D9" s="13">
        <v>1599.8</v>
      </c>
      <c r="E9" s="15">
        <f t="shared" si="0"/>
        <v>0.14851856482060258</v>
      </c>
      <c r="F9" s="12">
        <v>-471.28999999999996</v>
      </c>
      <c r="G9" s="28">
        <f t="shared" si="1"/>
        <v>-2.054430440775132E-3</v>
      </c>
      <c r="H9" s="14">
        <v>237.6</v>
      </c>
    </row>
    <row r="10" spans="1:8" x14ac:dyDescent="0.25">
      <c r="A10" s="6" t="s">
        <v>25</v>
      </c>
      <c r="B10" s="6" t="s">
        <v>39</v>
      </c>
      <c r="C10" s="7">
        <v>43555.930000000008</v>
      </c>
      <c r="D10" s="8">
        <v>336.7</v>
      </c>
      <c r="E10" s="17">
        <f t="shared" si="0"/>
        <v>0.3465993465993466</v>
      </c>
      <c r="F10" s="7">
        <v>-35.79</v>
      </c>
      <c r="G10" s="29">
        <f t="shared" si="1"/>
        <v>-8.2170211955065573E-4</v>
      </c>
      <c r="H10" s="9">
        <v>116.7</v>
      </c>
    </row>
    <row r="11" spans="1:8" x14ac:dyDescent="0.25">
      <c r="A11" s="6" t="s">
        <v>16</v>
      </c>
      <c r="B11" s="6" t="s">
        <v>40</v>
      </c>
      <c r="C11" s="7">
        <v>89549</v>
      </c>
      <c r="D11" s="8">
        <v>685.3</v>
      </c>
      <c r="E11" s="17">
        <f t="shared" si="0"/>
        <v>0.17291697066977968</v>
      </c>
      <c r="F11" s="7">
        <v>-435.5</v>
      </c>
      <c r="G11" s="29">
        <f t="shared" si="1"/>
        <v>-4.8632592212085003E-3</v>
      </c>
      <c r="H11" s="9">
        <v>118.5</v>
      </c>
    </row>
    <row r="12" spans="1:8" x14ac:dyDescent="0.25">
      <c r="A12" s="6" t="s">
        <v>26</v>
      </c>
      <c r="B12" s="6" t="s">
        <v>45</v>
      </c>
      <c r="C12" s="7">
        <v>4653.5</v>
      </c>
      <c r="D12" s="8">
        <v>30.3</v>
      </c>
      <c r="E12" s="17">
        <f t="shared" si="0"/>
        <v>0.51155115511551152</v>
      </c>
      <c r="F12" s="7"/>
      <c r="G12" s="29">
        <f t="shared" si="1"/>
        <v>0</v>
      </c>
      <c r="H12" s="9">
        <v>15.5</v>
      </c>
    </row>
    <row r="13" spans="1:8" x14ac:dyDescent="0.25">
      <c r="A13" s="6" t="s">
        <v>27</v>
      </c>
      <c r="B13" s="6" t="s">
        <v>46</v>
      </c>
      <c r="C13" s="7">
        <v>15581.5</v>
      </c>
      <c r="D13" s="8">
        <v>83.199999999999989</v>
      </c>
      <c r="E13" s="17">
        <f t="shared" si="0"/>
        <v>4.0865384615384623E-2</v>
      </c>
      <c r="F13" s="7"/>
      <c r="G13" s="29">
        <f t="shared" si="1"/>
        <v>0</v>
      </c>
      <c r="H13" s="9">
        <v>3.4</v>
      </c>
    </row>
    <row r="14" spans="1:8" x14ac:dyDescent="0.25">
      <c r="A14" s="6" t="s">
        <v>28</v>
      </c>
      <c r="B14" s="6" t="s">
        <v>47</v>
      </c>
      <c r="C14" s="7">
        <v>41571.5</v>
      </c>
      <c r="D14" s="8">
        <v>295.49999999999994</v>
      </c>
      <c r="E14" s="17">
        <f t="shared" si="0"/>
        <v>0.14788494077834183</v>
      </c>
      <c r="F14" s="7"/>
      <c r="G14" s="29">
        <f t="shared" si="1"/>
        <v>0</v>
      </c>
      <c r="H14" s="9">
        <v>43.7</v>
      </c>
    </row>
    <row r="15" spans="1:8" x14ac:dyDescent="0.25">
      <c r="A15" s="6" t="s">
        <v>29</v>
      </c>
      <c r="B15" s="6" t="s">
        <v>47</v>
      </c>
      <c r="C15" s="7">
        <v>34318.5</v>
      </c>
      <c r="D15" s="8">
        <v>268.8</v>
      </c>
      <c r="E15" s="17">
        <f t="shared" si="0"/>
        <v>0.30952380952380953</v>
      </c>
      <c r="F15" s="7"/>
      <c r="G15" s="29">
        <f t="shared" si="1"/>
        <v>0</v>
      </c>
      <c r="H15" s="9">
        <v>83.2</v>
      </c>
    </row>
    <row r="16" spans="1:8" x14ac:dyDescent="0.25">
      <c r="A16" s="6" t="s">
        <v>30</v>
      </c>
      <c r="B16" s="6" t="s">
        <v>48</v>
      </c>
      <c r="C16" s="7">
        <v>4583.5</v>
      </c>
      <c r="D16" s="8">
        <v>32.299999999999997</v>
      </c>
      <c r="E16" s="17">
        <f t="shared" si="0"/>
        <v>8.6687306501547989E-2</v>
      </c>
      <c r="F16" s="7">
        <v>-683.5</v>
      </c>
      <c r="G16" s="29">
        <f t="shared" si="1"/>
        <v>-0.14912185011454129</v>
      </c>
      <c r="H16" s="9">
        <v>2.8</v>
      </c>
    </row>
    <row r="17" spans="1:8" x14ac:dyDescent="0.25">
      <c r="A17" s="6" t="s">
        <v>19</v>
      </c>
      <c r="B17" s="6" t="s">
        <v>42</v>
      </c>
      <c r="C17" s="7">
        <v>7626</v>
      </c>
      <c r="D17" s="8">
        <v>49.6</v>
      </c>
      <c r="E17" s="17">
        <f t="shared" si="0"/>
        <v>0.37096774193548382</v>
      </c>
      <c r="F17" s="7">
        <v>-52.5</v>
      </c>
      <c r="G17" s="29">
        <f t="shared" si="1"/>
        <v>-6.8843430369787571E-3</v>
      </c>
      <c r="H17" s="9">
        <v>18.399999999999999</v>
      </c>
    </row>
    <row r="18" spans="1:8" x14ac:dyDescent="0.25">
      <c r="A18" s="6" t="s">
        <v>21</v>
      </c>
      <c r="B18" s="6" t="s">
        <v>43</v>
      </c>
      <c r="C18" s="7">
        <v>160</v>
      </c>
      <c r="D18" s="8">
        <v>1.2</v>
      </c>
      <c r="E18" s="17">
        <f t="shared" si="0"/>
        <v>0.58333333333333337</v>
      </c>
      <c r="F18" s="7">
        <v>561</v>
      </c>
      <c r="G18" s="29">
        <f t="shared" si="1"/>
        <v>3.5062500000000001</v>
      </c>
      <c r="H18" s="9">
        <v>0.7</v>
      </c>
    </row>
    <row r="19" spans="1:8" x14ac:dyDescent="0.25">
      <c r="A19" s="6" t="s">
        <v>31</v>
      </c>
      <c r="B19" s="6" t="s">
        <v>43</v>
      </c>
      <c r="C19" s="7">
        <v>840.5</v>
      </c>
      <c r="D19" s="8">
        <v>5.5</v>
      </c>
      <c r="E19" s="17">
        <f t="shared" si="0"/>
        <v>0.6</v>
      </c>
      <c r="F19" s="7">
        <v>-252.63</v>
      </c>
      <c r="G19" s="29">
        <f t="shared" si="1"/>
        <v>-0.30057108863771564</v>
      </c>
      <c r="H19" s="9">
        <v>3.3</v>
      </c>
    </row>
    <row r="20" spans="1:8" x14ac:dyDescent="0.25">
      <c r="A20" s="6" t="s">
        <v>31</v>
      </c>
      <c r="B20" s="6" t="s">
        <v>48</v>
      </c>
      <c r="C20" s="7">
        <v>111915</v>
      </c>
      <c r="D20" s="8">
        <v>702.4</v>
      </c>
      <c r="E20" s="17">
        <f t="shared" si="0"/>
        <v>0.29797835990888383</v>
      </c>
      <c r="F20" s="7"/>
      <c r="G20" s="29">
        <f t="shared" si="1"/>
        <v>0</v>
      </c>
      <c r="H20" s="9">
        <v>209.3</v>
      </c>
    </row>
    <row r="21" spans="1:8" ht="15.75" thickBot="1" x14ac:dyDescent="0.3">
      <c r="A21" s="23" t="s">
        <v>10</v>
      </c>
      <c r="B21" s="24"/>
      <c r="C21" s="25">
        <f>SUM(C9:C20)</f>
        <v>583756.71000000008</v>
      </c>
      <c r="D21" s="26">
        <f>SUM(D9:D20)</f>
        <v>4090.6000000000004</v>
      </c>
      <c r="E21" s="27">
        <f t="shared" si="0"/>
        <v>0.20855131276585337</v>
      </c>
      <c r="F21" s="25">
        <f>SUM(F9:F20)</f>
        <v>-1370.21</v>
      </c>
      <c r="G21" s="30">
        <f t="shared" si="1"/>
        <v>-2.3472278374324809E-3</v>
      </c>
      <c r="H21" s="26">
        <f>SUM(H9:H20)</f>
        <v>853.09999999999991</v>
      </c>
    </row>
    <row r="22" spans="1:8" x14ac:dyDescent="0.25">
      <c r="A22" s="11" t="s">
        <v>32</v>
      </c>
      <c r="B22" s="11" t="s">
        <v>47</v>
      </c>
      <c r="C22" s="12">
        <v>216660</v>
      </c>
      <c r="D22" s="13">
        <v>1592.2000000000005</v>
      </c>
      <c r="E22" s="15">
        <f t="shared" si="0"/>
        <v>0.21837708830548919</v>
      </c>
      <c r="F22" s="12">
        <v>-1709</v>
      </c>
      <c r="G22" s="28">
        <f t="shared" si="1"/>
        <v>-7.8879350133850279E-3</v>
      </c>
      <c r="H22" s="14">
        <v>347.7</v>
      </c>
    </row>
    <row r="23" spans="1:8" x14ac:dyDescent="0.25">
      <c r="A23" s="6" t="s">
        <v>33</v>
      </c>
      <c r="B23" s="6" t="s">
        <v>47</v>
      </c>
      <c r="C23" s="7">
        <v>47096</v>
      </c>
      <c r="D23" s="8">
        <v>369.20000000000005</v>
      </c>
      <c r="E23" s="17">
        <f t="shared" si="0"/>
        <v>0.14490790899241601</v>
      </c>
      <c r="F23" s="7"/>
      <c r="G23" s="29">
        <f t="shared" si="1"/>
        <v>0</v>
      </c>
      <c r="H23" s="9">
        <v>53.5</v>
      </c>
    </row>
    <row r="24" spans="1:8" x14ac:dyDescent="0.25">
      <c r="A24" s="6" t="s">
        <v>34</v>
      </c>
      <c r="B24" s="6" t="s">
        <v>47</v>
      </c>
      <c r="C24" s="7">
        <v>148924.12</v>
      </c>
      <c r="D24" s="8">
        <v>1096.0999999999999</v>
      </c>
      <c r="E24" s="17">
        <f t="shared" si="0"/>
        <v>0.1667731046437369</v>
      </c>
      <c r="F24" s="7"/>
      <c r="G24" s="29">
        <f t="shared" si="1"/>
        <v>0</v>
      </c>
      <c r="H24" s="9">
        <v>182.8</v>
      </c>
    </row>
    <row r="25" spans="1:8" x14ac:dyDescent="0.25">
      <c r="A25" s="6" t="s">
        <v>15</v>
      </c>
      <c r="B25" s="6" t="s">
        <v>39</v>
      </c>
      <c r="C25" s="7">
        <v>176024.92</v>
      </c>
      <c r="D25" s="8">
        <v>1287.6999999999994</v>
      </c>
      <c r="E25" s="17">
        <f t="shared" si="0"/>
        <v>0.2590665527685021</v>
      </c>
      <c r="F25" s="7">
        <v>-71.400000000000091</v>
      </c>
      <c r="G25" s="29">
        <f t="shared" si="1"/>
        <v>-4.0562438545633248E-4</v>
      </c>
      <c r="H25" s="9">
        <v>333.6</v>
      </c>
    </row>
    <row r="26" spans="1:8" x14ac:dyDescent="0.25">
      <c r="A26" s="6" t="s">
        <v>25</v>
      </c>
      <c r="B26" s="6" t="s">
        <v>39</v>
      </c>
      <c r="C26" s="7">
        <v>60168.160000000003</v>
      </c>
      <c r="D26" s="8">
        <v>394.7</v>
      </c>
      <c r="E26" s="17">
        <f t="shared" si="0"/>
        <v>0.23207499366607548</v>
      </c>
      <c r="F26" s="7">
        <v>-108.86</v>
      </c>
      <c r="G26" s="29">
        <f t="shared" si="1"/>
        <v>-1.8092625734275403E-3</v>
      </c>
      <c r="H26" s="9">
        <v>91.6</v>
      </c>
    </row>
    <row r="27" spans="1:8" x14ac:dyDescent="0.25">
      <c r="A27" s="6" t="s">
        <v>16</v>
      </c>
      <c r="B27" s="6" t="s">
        <v>40</v>
      </c>
      <c r="C27" s="7">
        <v>6965</v>
      </c>
      <c r="D27" s="8">
        <v>51.800000000000004</v>
      </c>
      <c r="E27" s="17">
        <f t="shared" si="0"/>
        <v>0.29150579150579148</v>
      </c>
      <c r="F27" s="7"/>
      <c r="G27" s="29">
        <f t="shared" si="1"/>
        <v>0</v>
      </c>
      <c r="H27" s="9">
        <v>15.1</v>
      </c>
    </row>
    <row r="28" spans="1:8" x14ac:dyDescent="0.25">
      <c r="A28" s="6" t="s">
        <v>26</v>
      </c>
      <c r="B28" s="6" t="s">
        <v>45</v>
      </c>
      <c r="C28" s="7">
        <v>0</v>
      </c>
      <c r="D28" s="8"/>
      <c r="E28" s="17">
        <f t="shared" si="0"/>
        <v>0</v>
      </c>
      <c r="F28" s="7">
        <v>-44</v>
      </c>
      <c r="G28" s="29">
        <f t="shared" si="1"/>
        <v>0</v>
      </c>
      <c r="H28" s="9">
        <v>0</v>
      </c>
    </row>
    <row r="29" spans="1:8" x14ac:dyDescent="0.25">
      <c r="A29" s="6" t="s">
        <v>35</v>
      </c>
      <c r="B29" s="6" t="s">
        <v>46</v>
      </c>
      <c r="C29" s="7">
        <v>32210.5</v>
      </c>
      <c r="D29" s="8">
        <v>176.8</v>
      </c>
      <c r="E29" s="17">
        <f t="shared" si="0"/>
        <v>9.0497737556561077E-3</v>
      </c>
      <c r="F29" s="7">
        <v>3289.5</v>
      </c>
      <c r="G29" s="29">
        <f t="shared" si="1"/>
        <v>0.10212508343552568</v>
      </c>
      <c r="H29" s="9">
        <v>1.6</v>
      </c>
    </row>
    <row r="30" spans="1:8" x14ac:dyDescent="0.25">
      <c r="A30" s="6" t="s">
        <v>27</v>
      </c>
      <c r="B30" s="6" t="s">
        <v>46</v>
      </c>
      <c r="C30" s="7">
        <v>35001</v>
      </c>
      <c r="D30" s="8">
        <v>184.10000000000002</v>
      </c>
      <c r="E30" s="17">
        <f t="shared" si="0"/>
        <v>1.6838674633351439E-2</v>
      </c>
      <c r="F30" s="7">
        <v>1183.5</v>
      </c>
      <c r="G30" s="29">
        <f t="shared" si="1"/>
        <v>3.3813319619439446E-2</v>
      </c>
      <c r="H30" s="9">
        <v>3.1</v>
      </c>
    </row>
    <row r="31" spans="1:8" x14ac:dyDescent="0.25">
      <c r="A31" s="6" t="s">
        <v>28</v>
      </c>
      <c r="B31" s="6" t="s">
        <v>47</v>
      </c>
      <c r="C31" s="7">
        <v>40292</v>
      </c>
      <c r="D31" s="8">
        <v>259.5</v>
      </c>
      <c r="E31" s="17">
        <f t="shared" si="0"/>
        <v>0.38959537572254332</v>
      </c>
      <c r="F31" s="7">
        <v>-155</v>
      </c>
      <c r="G31" s="29">
        <f t="shared" si="1"/>
        <v>-3.8469175022336939E-3</v>
      </c>
      <c r="H31" s="9">
        <v>101.1</v>
      </c>
    </row>
    <row r="32" spans="1:8" x14ac:dyDescent="0.25">
      <c r="A32" s="6" t="s">
        <v>29</v>
      </c>
      <c r="B32" s="6" t="s">
        <v>47</v>
      </c>
      <c r="C32" s="7">
        <v>94226.5</v>
      </c>
      <c r="D32" s="8">
        <v>653.59999999999991</v>
      </c>
      <c r="E32" s="17">
        <f t="shared" si="0"/>
        <v>0.22965116279069769</v>
      </c>
      <c r="F32" s="7">
        <v>-115.5</v>
      </c>
      <c r="G32" s="29">
        <f t="shared" si="1"/>
        <v>-1.2257698205918716E-3</v>
      </c>
      <c r="H32" s="9">
        <v>150.1</v>
      </c>
    </row>
    <row r="33" spans="1:10" x14ac:dyDescent="0.25">
      <c r="A33" s="6" t="s">
        <v>36</v>
      </c>
      <c r="B33" s="6" t="s">
        <v>46</v>
      </c>
      <c r="C33" s="7">
        <v>21669</v>
      </c>
      <c r="D33" s="8">
        <v>110.1</v>
      </c>
      <c r="E33" s="17">
        <f t="shared" si="0"/>
        <v>7.7202543142597641E-2</v>
      </c>
      <c r="F33" s="7"/>
      <c r="G33" s="29">
        <f t="shared" si="1"/>
        <v>0</v>
      </c>
      <c r="H33" s="9">
        <v>8.5</v>
      </c>
    </row>
    <row r="34" spans="1:10" x14ac:dyDescent="0.25">
      <c r="A34" s="6" t="s">
        <v>37</v>
      </c>
      <c r="B34" s="6" t="s">
        <v>46</v>
      </c>
      <c r="C34" s="7">
        <v>0</v>
      </c>
      <c r="D34" s="8"/>
      <c r="E34" s="17">
        <f t="shared" si="0"/>
        <v>0</v>
      </c>
      <c r="F34" s="7">
        <v>-1898.25</v>
      </c>
      <c r="G34" s="29">
        <f t="shared" si="1"/>
        <v>0</v>
      </c>
      <c r="H34" s="9">
        <v>0</v>
      </c>
    </row>
    <row r="35" spans="1:10" x14ac:dyDescent="0.25">
      <c r="A35" s="6" t="s">
        <v>38</v>
      </c>
      <c r="B35" s="6" t="s">
        <v>46</v>
      </c>
      <c r="C35" s="7">
        <v>15582</v>
      </c>
      <c r="D35" s="8">
        <v>85</v>
      </c>
      <c r="E35" s="17">
        <f t="shared" si="0"/>
        <v>1.4117647058823528E-2</v>
      </c>
      <c r="F35" s="7">
        <v>-589.5</v>
      </c>
      <c r="G35" s="29">
        <f t="shared" si="1"/>
        <v>-3.7832113977666539E-2</v>
      </c>
      <c r="H35" s="9">
        <v>1.2</v>
      </c>
    </row>
    <row r="36" spans="1:10" x14ac:dyDescent="0.25">
      <c r="A36" s="6" t="s">
        <v>31</v>
      </c>
      <c r="B36" s="6" t="s">
        <v>48</v>
      </c>
      <c r="C36" s="7">
        <v>52437.5</v>
      </c>
      <c r="D36" s="8">
        <v>287.90000000000003</v>
      </c>
      <c r="E36" s="17">
        <f t="shared" si="0"/>
        <v>0.10698159083014935</v>
      </c>
      <c r="F36" s="7">
        <v>-3221</v>
      </c>
      <c r="G36" s="29">
        <f t="shared" si="1"/>
        <v>-6.1425506555423122E-2</v>
      </c>
      <c r="H36" s="9">
        <v>30.8</v>
      </c>
    </row>
    <row r="37" spans="1:10" ht="15.75" thickBot="1" x14ac:dyDescent="0.3">
      <c r="A37" s="18" t="s">
        <v>11</v>
      </c>
      <c r="B37" s="19"/>
      <c r="C37" s="20">
        <f>SUM(C22:C36)</f>
        <v>947256.70000000007</v>
      </c>
      <c r="D37" s="21">
        <f>SUM(D22:D36)</f>
        <v>6548.7000000000007</v>
      </c>
      <c r="E37" s="22">
        <f t="shared" si="0"/>
        <v>0.20167361461053329</v>
      </c>
      <c r="F37" s="20">
        <f t="shared" ref="F37:H37" si="3">SUM(F22:F36)</f>
        <v>-3439.51</v>
      </c>
      <c r="G37" s="31">
        <f t="shared" si="1"/>
        <v>-3.6310220872547007E-3</v>
      </c>
      <c r="H37" s="21">
        <f t="shared" si="3"/>
        <v>1320.6999999999996</v>
      </c>
    </row>
    <row r="38" spans="1:10" x14ac:dyDescent="0.25">
      <c r="A38" s="6" t="s">
        <v>32</v>
      </c>
      <c r="B38" s="6" t="s">
        <v>39</v>
      </c>
      <c r="C38" s="7">
        <v>87713.5</v>
      </c>
      <c r="D38" s="8">
        <v>597.29999999999995</v>
      </c>
      <c r="E38" s="17">
        <f t="shared" si="0"/>
        <v>0.30671354428260506</v>
      </c>
      <c r="F38" s="7"/>
      <c r="G38" s="29">
        <f t="shared" si="1"/>
        <v>0</v>
      </c>
      <c r="H38" s="9">
        <v>183.2</v>
      </c>
    </row>
    <row r="39" spans="1:10" x14ac:dyDescent="0.25">
      <c r="A39" s="6" t="s">
        <v>32</v>
      </c>
      <c r="B39" s="6" t="s">
        <v>47</v>
      </c>
      <c r="C39" s="7">
        <v>4540</v>
      </c>
      <c r="D39" s="8">
        <v>25.699999999999996</v>
      </c>
      <c r="E39" s="17">
        <f t="shared" si="0"/>
        <v>0.89883268482490297</v>
      </c>
      <c r="F39" s="7">
        <v>868</v>
      </c>
      <c r="G39" s="29">
        <f t="shared" si="1"/>
        <v>0.19118942731277533</v>
      </c>
      <c r="H39" s="9">
        <v>23.1</v>
      </c>
    </row>
    <row r="40" spans="1:10" x14ac:dyDescent="0.25">
      <c r="A40" s="6" t="s">
        <v>33</v>
      </c>
      <c r="B40" s="6" t="s">
        <v>39</v>
      </c>
      <c r="C40" s="7">
        <v>22621</v>
      </c>
      <c r="D40" s="8">
        <v>155.69999999999999</v>
      </c>
      <c r="E40" s="17">
        <f t="shared" si="0"/>
        <v>0.41811175337186895</v>
      </c>
      <c r="F40" s="7">
        <v>-367.5</v>
      </c>
      <c r="G40" s="29">
        <f t="shared" si="1"/>
        <v>-1.6245966137659697E-2</v>
      </c>
      <c r="H40" s="9">
        <v>65.099999999999994</v>
      </c>
    </row>
    <row r="41" spans="1:10" x14ac:dyDescent="0.25">
      <c r="A41" s="6" t="s">
        <v>34</v>
      </c>
      <c r="B41" s="6" t="s">
        <v>39</v>
      </c>
      <c r="C41" s="7">
        <v>15848.330000000002</v>
      </c>
      <c r="D41" s="8">
        <v>98.4</v>
      </c>
      <c r="E41" s="17">
        <f t="shared" si="0"/>
        <v>0.52235772357723576</v>
      </c>
      <c r="F41" s="7">
        <v>-157.07</v>
      </c>
      <c r="G41" s="29">
        <f t="shared" si="1"/>
        <v>-9.9108234116780745E-3</v>
      </c>
      <c r="H41" s="9">
        <v>51.4</v>
      </c>
    </row>
    <row r="42" spans="1:10" x14ac:dyDescent="0.25">
      <c r="A42" s="6" t="s">
        <v>15</v>
      </c>
      <c r="B42" s="6" t="s">
        <v>39</v>
      </c>
      <c r="C42" s="7">
        <v>16223.42</v>
      </c>
      <c r="D42" s="8">
        <v>107.9</v>
      </c>
      <c r="E42" s="17">
        <f t="shared" si="0"/>
        <v>0.49212233549582945</v>
      </c>
      <c r="F42" s="7"/>
      <c r="G42" s="29">
        <f t="shared" si="1"/>
        <v>0</v>
      </c>
      <c r="H42" s="9">
        <v>53.1</v>
      </c>
    </row>
    <row r="43" spans="1:10" x14ac:dyDescent="0.25">
      <c r="A43" s="6" t="s">
        <v>49</v>
      </c>
      <c r="B43" s="6" t="s">
        <v>39</v>
      </c>
      <c r="C43" s="7">
        <v>2360.85</v>
      </c>
      <c r="D43" s="8">
        <v>15.4</v>
      </c>
      <c r="E43" s="17">
        <f t="shared" si="0"/>
        <v>0.57792207792207795</v>
      </c>
      <c r="F43" s="7"/>
      <c r="G43" s="29">
        <f t="shared" si="1"/>
        <v>0</v>
      </c>
      <c r="H43" s="9">
        <v>8.9</v>
      </c>
    </row>
    <row r="44" spans="1:10" hidden="1" x14ac:dyDescent="0.25">
      <c r="A44" s="6" t="s">
        <v>25</v>
      </c>
      <c r="B44" s="6" t="s">
        <v>13</v>
      </c>
      <c r="C44" s="7">
        <v>0</v>
      </c>
      <c r="D44" s="8"/>
      <c r="E44" s="17">
        <f t="shared" si="0"/>
        <v>0</v>
      </c>
      <c r="F44" s="7">
        <v>-10</v>
      </c>
      <c r="G44" s="29">
        <f t="shared" si="1"/>
        <v>0</v>
      </c>
      <c r="H44" s="9">
        <v>0</v>
      </c>
      <c r="J44" t="s">
        <v>53</v>
      </c>
    </row>
    <row r="45" spans="1:10" x14ac:dyDescent="0.25">
      <c r="A45" s="6" t="s">
        <v>50</v>
      </c>
      <c r="B45" s="6" t="s">
        <v>55</v>
      </c>
      <c r="C45" s="7">
        <v>677874.5</v>
      </c>
      <c r="D45" s="8">
        <v>5304</v>
      </c>
      <c r="E45" s="17">
        <f t="shared" si="0"/>
        <v>0.21579939668174961</v>
      </c>
      <c r="F45" s="7">
        <v>-714.81</v>
      </c>
      <c r="G45" s="29">
        <f t="shared" si="1"/>
        <v>-1.0544872244051073E-3</v>
      </c>
      <c r="H45" s="9">
        <v>1144.5999999999999</v>
      </c>
    </row>
    <row r="46" spans="1:10" x14ac:dyDescent="0.25">
      <c r="A46" s="6" t="s">
        <v>50</v>
      </c>
      <c r="B46" s="6" t="s">
        <v>39</v>
      </c>
      <c r="C46" s="7">
        <v>63858</v>
      </c>
      <c r="D46" s="8">
        <v>525.6</v>
      </c>
      <c r="E46" s="17">
        <f t="shared" si="0"/>
        <v>0.15468036529680365</v>
      </c>
      <c r="F46" s="7"/>
      <c r="G46" s="29">
        <f t="shared" si="1"/>
        <v>0</v>
      </c>
      <c r="H46" s="9">
        <v>81.3</v>
      </c>
    </row>
    <row r="47" spans="1:10" x14ac:dyDescent="0.25">
      <c r="A47" s="6" t="s">
        <v>51</v>
      </c>
      <c r="B47" s="6" t="s">
        <v>46</v>
      </c>
      <c r="C47" s="7">
        <v>38625</v>
      </c>
      <c r="D47" s="8">
        <v>266.5</v>
      </c>
      <c r="E47" s="17">
        <f t="shared" si="0"/>
        <v>6.3789868667917448E-3</v>
      </c>
      <c r="F47" s="7">
        <v>-3125</v>
      </c>
      <c r="G47" s="29">
        <f t="shared" si="1"/>
        <v>-8.0906148867313912E-2</v>
      </c>
      <c r="H47" s="9">
        <v>1.7</v>
      </c>
    </row>
    <row r="48" spans="1:10" hidden="1" x14ac:dyDescent="0.25">
      <c r="A48" s="6" t="s">
        <v>31</v>
      </c>
      <c r="B48" s="6" t="s">
        <v>52</v>
      </c>
      <c r="C48" s="7">
        <v>29</v>
      </c>
      <c r="D48" s="8">
        <v>0.2</v>
      </c>
      <c r="E48" s="17">
        <f t="shared" si="0"/>
        <v>0</v>
      </c>
      <c r="F48" s="7">
        <v>-29</v>
      </c>
      <c r="G48" s="29">
        <f t="shared" si="1"/>
        <v>-1</v>
      </c>
      <c r="H48" s="9">
        <v>0</v>
      </c>
      <c r="J48" t="s">
        <v>53</v>
      </c>
    </row>
    <row r="49" spans="1:8" ht="15.75" thickBot="1" x14ac:dyDescent="0.3">
      <c r="A49" s="18" t="s">
        <v>54</v>
      </c>
      <c r="B49" s="19"/>
      <c r="C49" s="20">
        <f>SUM(C38:C48)</f>
        <v>929693.6</v>
      </c>
      <c r="D49" s="21">
        <f>SUM(D38:D48)</f>
        <v>7096.7</v>
      </c>
      <c r="E49" s="22">
        <f t="shared" ref="E49" si="4">IF(D49&gt;0,H49/D49,)</f>
        <v>0.22720419349838655</v>
      </c>
      <c r="F49" s="20">
        <f>SUM(F38:F48)</f>
        <v>-3535.38</v>
      </c>
      <c r="G49" s="31">
        <f t="shared" ref="G49" si="5">IF(C49&gt;0,F49/C49,)</f>
        <v>-3.8027367296063997E-3</v>
      </c>
      <c r="H49" s="20">
        <f>SUM(H38:H48)</f>
        <v>1612.3999999999999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106034EF23654B9CA7A362EEB3F5EF" ma:contentTypeVersion="4" ma:contentTypeDescription="Create a new document." ma:contentTypeScope="" ma:versionID="0516814805978e717df724ab6c5c1e59">
  <xsd:schema xmlns:xsd="http://www.w3.org/2001/XMLSchema" xmlns:xs="http://www.w3.org/2001/XMLSchema" xmlns:p="http://schemas.microsoft.com/office/2006/metadata/properties" xmlns:ns2="447ce1fc-9806-4364-b711-8cffa1c7b43e" targetNamespace="http://schemas.microsoft.com/office/2006/metadata/properties" ma:root="true" ma:fieldsID="f6c883bbd439aff838ffd6fc2e9c1d58" ns2:_="">
    <xsd:import namespace="447ce1fc-9806-4364-b711-8cffa1c7b4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ce1fc-9806-4364-b711-8cffa1c7b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122664-5B63-4FB3-AA35-C0526BEB99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7ce1fc-9806-4364-b711-8cffa1c7b4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5B7368-B594-4AFF-8630-C7E0128557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5F7CA5-2FCE-4F21-83AF-0ACD298CCDED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47ce1fc-9806-4364-b711-8cffa1c7b43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Taylor</dc:creator>
  <cp:lastModifiedBy>Paul Taylor</cp:lastModifiedBy>
  <cp:lastPrinted>2024-07-09T23:47:27Z</cp:lastPrinted>
  <dcterms:created xsi:type="dcterms:W3CDTF">2024-07-09T23:20:48Z</dcterms:created>
  <dcterms:modified xsi:type="dcterms:W3CDTF">2026-01-22T20:36:02Z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0x010100DB106034EF23654B9CA7A362EEB3F5EF</vt:lpwstr>
  </property>
</Properties>
</file>