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barr.sharepoint.com/sites/PICdev/EM/Shared Documents/2026 Nominating Committee - SECURED/EM Officer Surveys/"/>
    </mc:Choice>
  </mc:AlternateContent>
  <xr:revisionPtr revIDLastSave="3" documentId="8_{3A5249CB-EBF5-4CD4-A047-EA8E0E3D7572}" xr6:coauthVersionLast="47" xr6:coauthVersionMax="47" xr10:uidLastSave="{9138EC7D-6D25-457B-B4C1-4A817AD92A43}"/>
  <bookViews>
    <workbookView xWindow="30015" yWindow="720" windowWidth="26745" windowHeight="14745" xr2:uid="{8EC9082B-1A61-4CF1-9C70-D9745AAA11B9}"/>
  </bookViews>
  <sheets>
    <sheet name="Survey Results" sheetId="1" r:id="rId1"/>
  </sheets>
  <definedNames>
    <definedName name="_xlnm._FilterDatabase" localSheetId="0" hidden="1">'Survey Results'!$A$2:$H$30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H41" i="1"/>
  <c r="H40" i="1"/>
  <c r="H39" i="1"/>
  <c r="H37" i="1"/>
  <c r="H36" i="1"/>
  <c r="F41" i="1"/>
  <c r="F40" i="1"/>
  <c r="F39" i="1"/>
  <c r="F37" i="1"/>
  <c r="F36" i="1"/>
  <c r="C38" i="1"/>
  <c r="H42" i="1" l="1"/>
  <c r="F42" i="1"/>
  <c r="C36" i="1"/>
  <c r="C37" i="1"/>
  <c r="C39" i="1"/>
  <c r="C40" i="1"/>
  <c r="C41" i="1"/>
  <c r="C42" i="1" l="1"/>
</calcChain>
</file>

<file path=xl/sharedStrings.xml><?xml version="1.0" encoding="utf-8"?>
<sst xmlns="http://schemas.openxmlformats.org/spreadsheetml/2006/main" count="200" uniqueCount="101">
  <si>
    <t>Not an option</t>
  </si>
  <si>
    <t>Maybe</t>
  </si>
  <si>
    <t>No response</t>
  </si>
  <si>
    <t>No line of sight</t>
  </si>
  <si>
    <t>No</t>
  </si>
  <si>
    <t>Yes</t>
  </si>
  <si>
    <t>TMR</t>
  </si>
  <si>
    <t>TMF</t>
  </si>
  <si>
    <t>TLK2</t>
  </si>
  <si>
    <t>TAK</t>
  </si>
  <si>
    <t>RPT</t>
  </si>
  <si>
    <t>RDS</t>
  </si>
  <si>
    <t>RCH2</t>
  </si>
  <si>
    <t>RAS</t>
  </si>
  <si>
    <t>NBN</t>
  </si>
  <si>
    <t>KEH</t>
  </si>
  <si>
    <t>KAA2</t>
  </si>
  <si>
    <t>JPB</t>
  </si>
  <si>
    <t>JDB</t>
  </si>
  <si>
    <t>JAT</t>
  </si>
  <si>
    <t>ELB</t>
  </si>
  <si>
    <t>CPT</t>
  </si>
  <si>
    <t>CDM</t>
  </si>
  <si>
    <t>BPG</t>
  </si>
  <si>
    <t>TBD</t>
  </si>
  <si>
    <t>BMR</t>
  </si>
  <si>
    <t>ARM3</t>
  </si>
  <si>
    <t>AMS</t>
  </si>
  <si>
    <t>ALO2</t>
  </si>
  <si>
    <t>ACD</t>
  </si>
  <si>
    <t>AAW</t>
  </si>
  <si>
    <t>Total</t>
  </si>
  <si>
    <t>N/A</t>
  </si>
  <si>
    <t>SES2</t>
  </si>
  <si>
    <t>Improvement in position, Nov-2024 to Nov-2025</t>
  </si>
  <si>
    <t>Worsening of position, Nov-2024 to Nov-2025</t>
  </si>
  <si>
    <t>Would you nominate Sarah into the pipeline in 2024?</t>
  </si>
  <si>
    <t>What is your rationale for supporting or not supporting Sarah's entry to the pipeline?</t>
  </si>
  <si>
    <t>Provide at least one development need for Sarah</t>
  </si>
  <si>
    <t>Would you support the nomination of Sarah as an officer in 2025?</t>
  </si>
  <si>
    <t>Please provide additional information if you indicated "No" or have anything else to share regarding your view on Sarah's 2025 potential nomination:</t>
  </si>
  <si>
    <t>Vote is a combination of need &amp; readiness. Sarah can wear multiple hats across PGs and is willing to work in various geographies. From my limited experience, Sarah has a mindset consistent with our "business builders", provides great client service, has good BD experience, and actively coaches &amp; mentors. She is also well leveraged on her projects.</t>
  </si>
  <si>
    <t>from my limited point of view, I would be interested in hearing more about any long-term client relationships she's built, would like to hear more about how she's supported integration w/ Ecosphere, and how she addresses risk.  Due to my limited view it's unclear if these are development items or if I just need to be informed.</t>
  </si>
  <si>
    <t>Have witnessed Sarah as an effective leader, connecting people to opportunities, representing Barr well for clients/opportunities.</t>
  </si>
  <si>
    <t>I do not have any directly, but would continue to seek the input of a coaching team to determine needed development</t>
  </si>
  <si>
    <t>Sarah is hands down the top choice for me.  Her technical performance and PM skills have been strong for years.  She has taken on increased company roles while maintaining a strong workload.  She is looked at by team members and peers and a leader/go-to source for help with especially difficult projects/clients/issues.</t>
  </si>
  <si>
    <t>Look for opportunities to continue supporting Four Corners staff or entry level staff.</t>
  </si>
  <si>
    <t xml:space="preserve">She supports a large book of business, and seems to have a lot of support in the officer cohort. </t>
  </si>
  <si>
    <t xml:space="preserve">It would be great to see her demonstrate longer term team and client relationships. </t>
  </si>
  <si>
    <t>I still need to know more about Sarah before it can make a decision</t>
  </si>
  <si>
    <t>Strong project/technical leadership. Cross-BU collaboration. Coaching. Business building mentality.</t>
  </si>
  <si>
    <t>Increase project line of sight with EM PICs.</t>
  </si>
  <si>
    <t>I have not worked closely with Sarah in the past few years so I have limited line of site. I don't know who are her major clients or who is on her project teams. But what I do know about Sarah is that she loves digging into details. She likes developing new things.</t>
  </si>
  <si>
    <t>Unsure</t>
  </si>
  <si>
    <t>Very strong project management and communication skills. Good network of team members that respect her.</t>
  </si>
  <si>
    <t>I do not have one in mind off-hand. I would like Rachael's POV on this.</t>
  </si>
  <si>
    <t>Sarah is meeting many/most of the officer criteria and has been a strong PM, business developer and technical leader with teams.</t>
  </si>
  <si>
    <t>Others have noted this, but the main challenge for Sarah appears to be her long-term engagement in areas. This could potentially be managed if she has partners to bring along with hand-offs over time.</t>
  </si>
  <si>
    <t xml:space="preserve">o	Strategic thinker with vision for area of practice  o	Effectively executes projects and manages clients with little support  o	Actively engaged in building skillsets of colleagues   o	Successfully develops business and pursues new clients/projects with measured risks  o	Collaborates across BUs and offices very effectively  o	Strong communication skills   </t>
  </si>
  <si>
    <t xml:space="preserve">Continuing to expand risk management/contracting experience </t>
  </si>
  <si>
    <t xml:space="preserve">Sarah is a very strong PM. Strategic thinker. </t>
  </si>
  <si>
    <t>demonstrate some long-term commitment</t>
  </si>
  <si>
    <t>It has been a couple of years since Sarah and I spoke about either BD or PIC officer role. She seems to fit both roles, but may be a better fit for BD with the need to continue to try new projects/clients.</t>
  </si>
  <si>
    <t>Determine what pipeline she would like to pursue.</t>
  </si>
  <si>
    <t>from strat plan “We aim to build loyal relationships with clients who value our approach to consulting and consider us trusted advisors. Build, sustain, and expand relationships among Barr staff and clients”  Sustain relationships with clients – sustain and build client contacts – otherwise tech or bd track</t>
  </si>
  <si>
    <t xml:space="preserve">I do not have a good grasp on what Sarah is doing and how it is contributing to our success.  I am skeptical about Sarah's readiness.  I know very little, but do know that Sarah left and returned to Barr, which is fine.  However, upon return I remember Sarah having interest in the BD officer role.  If that is true, what has changed?  I do appreciate Sarah's leadership in continued efforts to support and strengthen our environmental review practice.  That leadership might speak to readiness and may be needed, but I need to learn more. </t>
  </si>
  <si>
    <t>It will be easy to compare to Rachael S's situation, whatever that was, to make sure Sarah does not bolt a second time, but we need to understand head-on if there is relevancy in what happened with Rachel and also why Sarah left the first time. Otherwise, I think she has demonstrated the skills to succeed as a PIC.</t>
  </si>
  <si>
    <t xml:space="preserve">Work on development needs for contracting and risk management, risk with complex projects, follow through </t>
  </si>
  <si>
    <t>Sarah is close but I think a second cycle in the pipeline is appropriate.</t>
  </si>
  <si>
    <t>I would support the coaching team's recommendation I - want to make sure she is pursuing the path that makes sense for her as she has had an interest in BD and PIC.</t>
  </si>
  <si>
    <t xml:space="preserve">I look forward to seeing her pipeline materials. </t>
  </si>
  <si>
    <t>close call  - not sure how she has totally addressed all development needs.</t>
  </si>
  <si>
    <t>I know Sarah and appreciate the work she does, but I don't know much about her PIC development progress</t>
  </si>
  <si>
    <t>Have not dug into details on Sarah and do not work with her.</t>
  </si>
  <si>
    <t xml:space="preserve">I think Sarah is making good progress on identifying development needs but will need some additional time over 2025 to work on risk management skills with her coaching team and document strong examples throughout the upcoming year. </t>
  </si>
  <si>
    <t xml:space="preserve">No real experience with Sarah since her time as EM Annual Planning Coordinator. Would like to hear more about her development goals and progress, as her written materials on the candidate page seem limited. </t>
  </si>
  <si>
    <t>My answer is dependent on review of her long form and her coaching team recommendatation</t>
  </si>
  <si>
    <t>Activities and progress speak to things she will be doing rather than has done. Upon successful completion, should be ready.</t>
  </si>
  <si>
    <t>Would you support the nomination of Sarah as an officer in 2026?</t>
  </si>
  <si>
    <t>JMH3</t>
  </si>
  <si>
    <t>MJN</t>
  </si>
  <si>
    <t>PJF2</t>
  </si>
  <si>
    <t>Long form was complete and compelling</t>
  </si>
  <si>
    <t>Long form demonstrates meeting criteria, good progress relative to development goals, coaching team supports.</t>
  </si>
  <si>
    <t>great PM; leader in her practice</t>
  </si>
  <si>
    <t>She has provided numerous examples of progress towards the development items identified in the last cycle.</t>
  </si>
  <si>
    <t>I haven't worked with her directly on projects, but Sarah has thoughtful contributions in group meetings, such as planning discussions and EM Duluth huddles. I supported her last year because she exhibits leadership qualities.</t>
  </si>
  <si>
    <t>I think she was likely ready this year, and based on the development log she has kept she has made strides in exploring the PIC role this year</t>
  </si>
  <si>
    <t>Based on what I am hearing she is ready to move forward.  I still need to read her long form again</t>
  </si>
  <si>
    <t>Sarah was a good candidate in the past cycle. It seems that she has continued to take on more responsibility and act as a PIC in her project and overhead efforts. Excellent technical skillsets and has taken on more leadership roles.</t>
  </si>
  <si>
    <t>I worked with Sarah on a big project this year and saw, first hand, her leadership and ability. I believe she is ready.</t>
  </si>
  <si>
    <t>I have not worked much with Sarah this year, but my interactions with her directly and for clients has demonstrated genuine care and professional service. I look forward to her balancing her conservative style on decisions and strategy with practical solution development and implementation.</t>
  </si>
  <si>
    <t>Sarah and I have interacted frequently for most of her Barr career. She is a strong leader within our environmental review practice, who is very knowledgeable and highly effective at leading projects and who also invests significantly in mentoring team members. I've directly observed her strategic thinking on both projects and multiple internal initiatives. We've also had multiple specific conversations related to the pipeline process and the principal role, from which I feel very comfortable with supporting her nomination.</t>
  </si>
  <si>
    <t>I believe Sarah meets all officer readiness criteria and has embraced working with Alina and Shanna in a PIC-like role over the last year.  She has stepped up to thinking more strategically for her practice, particularly with upcoming changes in structural evolution. She continues to develop client relationships and build/mentor her team.</t>
  </si>
  <si>
    <t>Would like to have a conversation with her or other officers that know her.</t>
  </si>
  <si>
    <t>While I have not had direct experience working with her on project work, my understanding is that she is continuing step up as a leader in the Env Review practice area by working collaboratively with Shanna on staff development, project execution, and business development. I have not heard or seen anything that would give me pause regarding whether she is ready.</t>
  </si>
  <si>
    <t>Sarah has further progressed and practiced around her development needs, acting more as a PIC on opps/projects, not jumping in to solve the problem but coaching the team and letting them work through.</t>
  </si>
  <si>
    <t>Sarah is a high-performing PM who shows initiative in recognizing and pursuing opportunities with new and existing clients.  She has responded well to feedback throughout the PIC pipeline process and has demonstrated (and documented) progress on her development needs (functioning as a PIC and growing her PMs/teams, and providing strategic thinking and leadership in her area of practice). She has worked diligently to prepare a comprehensive "long form" that demonstrates how she satisfies all eight PIC criteria. I'm confident that she will make a great EM PIC.</t>
  </si>
  <si>
    <t>Solid technical history gaining trust of clients. Gracefully recovering from errors with clients to their satisfaction and implementation of improvement to prevent re-occurances.  Acting as PIC in some cases. Delegation evident by her hours worked on her “PM” projects.  Significant book of business. Involvement with internal functions/needs. Her conduct and demeanor satisfy any concerns about Barr loyalty</t>
  </si>
  <si>
    <t>She has continued to demonstrate commitment to Barr's strategy around repeat clients/business</t>
  </si>
  <si>
    <t>I admire Sarah's leadership in important markets and the demonstrated ability to turn opportunities with new and existing clients into interesting projects.  Sarah has also demonstrated the ability to build and support strong teams across disciplines as needed for the succeful execution of complex projects. I am willing to trust the recommendation of the coaching team and colleagues that have a more direct line of site or experience working with Sarah.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</si>
</sst>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b/>
      <sz val="11"/>
      <color rgb="FF333333"/>
      <name val="Calibri"/>
      <family val="2"/>
      <scheme val="minor"/>
    </font>
    <font>
      <b/>
      <strike/>
      <sz val="11"/>
      <color rgb="FFFF0000"/>
      <name val="Calibri"/>
      <family val="2"/>
      <scheme val="minor"/>
    </font>
    <font>
      <b/>
      <sz val="1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CCFF"/>
        <bgColor indexed="64"/>
      </patternFill>
    </fill>
    <fill>
      <patternFill patternType="solid">
        <fgColor rgb="FFFFFFCC"/>
        <bgColor indexed="64"/>
      </patternFill>
    </fill>
  </fills>
  <borders count="24">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9" fontId="0" fillId="0" borderId="0" xfId="1" applyFont="1" applyAlignment="1">
      <alignment horizontal="center"/>
    </xf>
    <xf numFmtId="0" fontId="0" fillId="2" borderId="0" xfId="0" applyFill="1"/>
    <xf numFmtId="0" fontId="0" fillId="3" borderId="0" xfId="0" applyFill="1"/>
    <xf numFmtId="0" fontId="0" fillId="4" borderId="1" xfId="0" applyFill="1" applyBorder="1" applyAlignment="1">
      <alignmen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5" xfId="0" applyFill="1" applyBorder="1" applyAlignment="1">
      <alignment vertical="top" wrapText="1"/>
    </xf>
    <xf numFmtId="0" fontId="0" fillId="4" borderId="6" xfId="0" applyFill="1" applyBorder="1" applyAlignment="1">
      <alignment vertical="top" wrapText="1"/>
    </xf>
    <xf numFmtId="0" fontId="0" fillId="4" borderId="7" xfId="0" applyFill="1" applyBorder="1" applyAlignment="1">
      <alignment vertical="top"/>
    </xf>
    <xf numFmtId="0" fontId="0" fillId="4" borderId="9" xfId="0" applyFill="1" applyBorder="1" applyAlignment="1">
      <alignment vertical="top" wrapText="1"/>
    </xf>
    <xf numFmtId="0" fontId="0" fillId="4" borderId="10" xfId="0" applyFill="1" applyBorder="1" applyAlignment="1">
      <alignment vertical="top" wrapText="1"/>
    </xf>
    <xf numFmtId="0" fontId="0" fillId="4" borderId="11" xfId="0" applyFill="1" applyBorder="1" applyAlignment="1">
      <alignment vertical="top"/>
    </xf>
    <xf numFmtId="0" fontId="0" fillId="0" borderId="0" xfId="0" applyAlignment="1">
      <alignment horizontal="left" vertical="top" wrapText="1"/>
    </xf>
    <xf numFmtId="0" fontId="2" fillId="0" borderId="17" xfId="0" applyFont="1" applyBorder="1"/>
    <xf numFmtId="0" fontId="0" fillId="0" borderId="11" xfId="0" applyBorder="1"/>
    <xf numFmtId="0" fontId="0" fillId="0" borderId="9" xfId="0" applyBorder="1" applyAlignment="1">
      <alignment horizontal="center"/>
    </xf>
    <xf numFmtId="0" fontId="0" fillId="0" borderId="7" xfId="0" applyBorder="1"/>
    <xf numFmtId="0" fontId="0" fillId="0" borderId="5" xfId="0" applyBorder="1" applyAlignment="1">
      <alignment horizontal="center"/>
    </xf>
    <xf numFmtId="0" fontId="0" fillId="0" borderId="14" xfId="0" applyBorder="1"/>
    <xf numFmtId="0" fontId="0" fillId="0" borderId="13" xfId="0" applyBorder="1" applyAlignment="1">
      <alignment horizontal="center"/>
    </xf>
    <xf numFmtId="0" fontId="0" fillId="0" borderId="3" xfId="0" applyBorder="1"/>
    <xf numFmtId="0" fontId="0" fillId="0" borderId="1" xfId="0" applyBorder="1" applyAlignment="1">
      <alignment horizontal="center"/>
    </xf>
    <xf numFmtId="0" fontId="2" fillId="0" borderId="18" xfId="0" applyFont="1" applyBorder="1" applyAlignment="1">
      <alignment horizontal="center"/>
    </xf>
    <xf numFmtId="0" fontId="2" fillId="0" borderId="12" xfId="0" applyFont="1" applyBorder="1" applyAlignment="1">
      <alignment vertical="top"/>
    </xf>
    <xf numFmtId="0" fontId="2" fillId="0" borderId="8" xfId="0" applyFont="1" applyBorder="1" applyAlignment="1">
      <alignment vertical="top"/>
    </xf>
    <xf numFmtId="0" fontId="5" fillId="0" borderId="8" xfId="0" applyFont="1" applyBorder="1" applyAlignment="1">
      <alignment vertical="top"/>
    </xf>
    <xf numFmtId="0" fontId="2" fillId="0" borderId="4" xfId="0" applyFont="1" applyBorder="1" applyAlignment="1">
      <alignment vertical="top"/>
    </xf>
    <xf numFmtId="0" fontId="6" fillId="0" borderId="8" xfId="0" applyFont="1" applyBorder="1" applyAlignment="1">
      <alignment vertical="top"/>
    </xf>
    <xf numFmtId="0" fontId="3" fillId="5" borderId="9" xfId="0" applyFont="1" applyFill="1" applyBorder="1" applyAlignment="1">
      <alignment vertical="top"/>
    </xf>
    <xf numFmtId="0" fontId="3" fillId="5" borderId="5" xfId="0" applyFont="1" applyFill="1" applyBorder="1" applyAlignment="1">
      <alignment vertical="top" wrapText="1"/>
    </xf>
    <xf numFmtId="0" fontId="0" fillId="5" borderId="5" xfId="0" applyFill="1" applyBorder="1" applyAlignment="1">
      <alignment vertical="top" wrapText="1"/>
    </xf>
    <xf numFmtId="0" fontId="0" fillId="5" borderId="1" xfId="0" applyFill="1" applyBorder="1" applyAlignment="1">
      <alignment vertical="top" wrapText="1"/>
    </xf>
    <xf numFmtId="0" fontId="0" fillId="0" borderId="0" xfId="0" applyAlignment="1">
      <alignment vertical="top"/>
    </xf>
    <xf numFmtId="0" fontId="0" fillId="5" borderId="11" xfId="0" applyFill="1" applyBorder="1" applyAlignment="1">
      <alignment vertical="top"/>
    </xf>
    <xf numFmtId="0" fontId="0" fillId="5" borderId="7" xfId="0" applyFill="1" applyBorder="1" applyAlignment="1">
      <alignment vertical="top"/>
    </xf>
    <xf numFmtId="0" fontId="0" fillId="5" borderId="3" xfId="0" applyFill="1" applyBorder="1" applyAlignment="1">
      <alignment vertical="top"/>
    </xf>
    <xf numFmtId="0" fontId="3" fillId="6" borderId="5" xfId="0" applyFont="1" applyFill="1" applyBorder="1" applyAlignment="1">
      <alignment vertical="top" wrapText="1"/>
    </xf>
    <xf numFmtId="0" fontId="0" fillId="6" borderId="5" xfId="0" applyFill="1" applyBorder="1" applyAlignment="1">
      <alignment vertical="top" wrapText="1"/>
    </xf>
    <xf numFmtId="0" fontId="0" fillId="6" borderId="1" xfId="0" applyFill="1" applyBorder="1" applyAlignment="1">
      <alignment vertical="top" wrapText="1"/>
    </xf>
    <xf numFmtId="0" fontId="0" fillId="5" borderId="19" xfId="0" applyFill="1" applyBorder="1" applyAlignment="1">
      <alignment vertical="top"/>
    </xf>
    <xf numFmtId="0" fontId="3" fillId="6" borderId="21" xfId="0" applyFont="1" applyFill="1" applyBorder="1" applyAlignment="1">
      <alignment vertical="top" wrapText="1"/>
    </xf>
    <xf numFmtId="0" fontId="0" fillId="6" borderId="19" xfId="0" applyFill="1" applyBorder="1" applyAlignment="1">
      <alignment vertical="top"/>
    </xf>
    <xf numFmtId="0" fontId="0" fillId="6" borderId="22" xfId="0" applyFill="1" applyBorder="1" applyAlignment="1">
      <alignment vertical="top"/>
    </xf>
    <xf numFmtId="0" fontId="2" fillId="6" borderId="3" xfId="0" applyFont="1" applyFill="1" applyBorder="1" applyAlignment="1">
      <alignment horizontal="center" vertical="top" wrapText="1"/>
    </xf>
    <xf numFmtId="0" fontId="2" fillId="6" borderId="1"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23" xfId="0" applyFont="1" applyFill="1" applyBorder="1" applyAlignment="1">
      <alignment horizontal="center" vertical="top" wrapText="1"/>
    </xf>
    <xf numFmtId="0" fontId="2" fillId="5" borderId="3" xfId="0" applyFont="1" applyFill="1" applyBorder="1" applyAlignment="1">
      <alignment horizontal="center" vertical="top" wrapText="1"/>
    </xf>
    <xf numFmtId="0" fontId="2" fillId="5" borderId="1" xfId="0" applyFont="1" applyFill="1" applyBorder="1" applyAlignment="1">
      <alignment horizontal="center" vertical="top" wrapText="1"/>
    </xf>
    <xf numFmtId="0" fontId="0" fillId="3" borderId="19" xfId="0" applyFill="1" applyBorder="1" applyAlignment="1">
      <alignment vertical="top"/>
    </xf>
    <xf numFmtId="0" fontId="0" fillId="3" borderId="20" xfId="0" applyFill="1" applyBorder="1" applyAlignment="1">
      <alignment vertical="top"/>
    </xf>
    <xf numFmtId="164" fontId="2" fillId="4" borderId="12" xfId="0" applyNumberFormat="1" applyFont="1" applyFill="1" applyBorder="1" applyAlignment="1">
      <alignment horizontal="center"/>
    </xf>
    <xf numFmtId="164" fontId="2" fillId="4" borderId="16" xfId="0" applyNumberFormat="1" applyFont="1" applyFill="1" applyBorder="1" applyAlignment="1">
      <alignment horizontal="center"/>
    </xf>
    <xf numFmtId="164" fontId="2" fillId="4" borderId="15" xfId="0" applyNumberFormat="1" applyFont="1" applyFill="1" applyBorder="1" applyAlignment="1">
      <alignment horizontal="center"/>
    </xf>
    <xf numFmtId="164" fontId="2" fillId="5" borderId="12" xfId="0" applyNumberFormat="1" applyFont="1" applyFill="1" applyBorder="1" applyAlignment="1">
      <alignment horizontal="center"/>
    </xf>
    <xf numFmtId="164" fontId="2" fillId="5" borderId="15" xfId="0" applyNumberFormat="1" applyFont="1" applyFill="1" applyBorder="1" applyAlignment="1">
      <alignment horizontal="center"/>
    </xf>
    <xf numFmtId="164" fontId="2" fillId="6" borderId="12" xfId="0" applyNumberFormat="1" applyFont="1" applyFill="1" applyBorder="1" applyAlignment="1">
      <alignment horizontal="center"/>
    </xf>
    <xf numFmtId="164" fontId="2" fillId="6" borderId="15"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May 2024 Pipeline Entry Survey</a:t>
            </a:r>
          </a:p>
        </c:rich>
      </c:tx>
      <c:overlay val="0"/>
    </c:title>
    <c:autoTitleDeleted val="0"/>
    <c:plotArea>
      <c:layout/>
      <c:barChart>
        <c:barDir val="col"/>
        <c:grouping val="clustered"/>
        <c:varyColors val="0"/>
        <c:ser>
          <c:idx val="0"/>
          <c:order val="0"/>
          <c:spPr>
            <a:solidFill>
              <a:schemeClr val="accent1"/>
            </a:solidFill>
            <a:ln>
              <a:prstDash val="solid"/>
            </a:ln>
          </c:spPr>
          <c:invertIfNegative val="0"/>
          <c:dPt>
            <c:idx val="0"/>
            <c:invertIfNegative val="0"/>
            <c:bubble3D val="0"/>
            <c:spPr>
              <a:solidFill>
                <a:srgbClr val="00B050"/>
              </a:solidFill>
              <a:ln>
                <a:prstDash val="solid"/>
              </a:ln>
            </c:spPr>
            <c:extLst>
              <c:ext xmlns:c16="http://schemas.microsoft.com/office/drawing/2014/chart" uri="{C3380CC4-5D6E-409C-BE32-E72D297353CC}">
                <c16:uniqueId val="{00000001-42BA-4E4F-9C1D-F63FBDAA78D6}"/>
              </c:ext>
            </c:extLst>
          </c:dPt>
          <c:dPt>
            <c:idx val="1"/>
            <c:invertIfNegative val="0"/>
            <c:bubble3D val="0"/>
            <c:spPr>
              <a:solidFill>
                <a:srgbClr val="FF0000"/>
              </a:solidFill>
              <a:ln>
                <a:prstDash val="solid"/>
              </a:ln>
            </c:spPr>
            <c:extLst>
              <c:ext xmlns:c16="http://schemas.microsoft.com/office/drawing/2014/chart" uri="{C3380CC4-5D6E-409C-BE32-E72D297353CC}">
                <c16:uniqueId val="{00000002-42BA-4E4F-9C1D-F63FBDAA78D6}"/>
              </c:ext>
            </c:extLst>
          </c:dPt>
          <c:dPt>
            <c:idx val="3"/>
            <c:invertIfNegative val="0"/>
            <c:bubble3D val="0"/>
            <c:spPr>
              <a:solidFill>
                <a:srgbClr val="FFC000"/>
              </a:solidFill>
              <a:ln>
                <a:prstDash val="solid"/>
              </a:ln>
            </c:spPr>
            <c:extLst>
              <c:ext xmlns:c16="http://schemas.microsoft.com/office/drawing/2014/chart" uri="{C3380CC4-5D6E-409C-BE32-E72D297353CC}">
                <c16:uniqueId val="{00000006-42BA-4E4F-9C1D-F63FBDAA78D6}"/>
              </c:ext>
            </c:extLst>
          </c:dPt>
          <c:dPt>
            <c:idx val="4"/>
            <c:invertIfNegative val="0"/>
            <c:bubble3D val="0"/>
            <c:spPr>
              <a:solidFill>
                <a:schemeClr val="bg1">
                  <a:lumMod val="75000"/>
                </a:schemeClr>
              </a:solidFill>
              <a:ln>
                <a:prstDash val="solid"/>
              </a:ln>
            </c:spPr>
            <c:extLst>
              <c:ext xmlns:c16="http://schemas.microsoft.com/office/drawing/2014/chart" uri="{C3380CC4-5D6E-409C-BE32-E72D297353CC}">
                <c16:uniqueId val="{00000007-4EAC-4333-ADE3-A31D788D522D}"/>
              </c:ext>
            </c:extLst>
          </c:dPt>
          <c:cat>
            <c:strRef>
              <c:f>'Survey Results'!$B$36:$B$40</c:f>
              <c:strCache>
                <c:ptCount val="5"/>
                <c:pt idx="0">
                  <c:v>Yes</c:v>
                </c:pt>
                <c:pt idx="1">
                  <c:v>No</c:v>
                </c:pt>
                <c:pt idx="2">
                  <c:v>Maybe</c:v>
                </c:pt>
                <c:pt idx="3">
                  <c:v>No line of sight</c:v>
                </c:pt>
                <c:pt idx="4">
                  <c:v>No response</c:v>
                </c:pt>
              </c:strCache>
            </c:strRef>
          </c:cat>
          <c:val>
            <c:numRef>
              <c:f>'Survey Results'!$C$36:$C$40</c:f>
              <c:numCache>
                <c:formatCode>General</c:formatCode>
                <c:ptCount val="5"/>
                <c:pt idx="0">
                  <c:v>7</c:v>
                </c:pt>
                <c:pt idx="1">
                  <c:v>2</c:v>
                </c:pt>
                <c:pt idx="2">
                  <c:v>5</c:v>
                </c:pt>
                <c:pt idx="3">
                  <c:v>8</c:v>
                </c:pt>
                <c:pt idx="4">
                  <c:v>0</c:v>
                </c:pt>
              </c:numCache>
            </c:numRef>
          </c:val>
          <c:extLst>
            <c:ext xmlns:c16="http://schemas.microsoft.com/office/drawing/2014/chart" uri="{C3380CC4-5D6E-409C-BE32-E72D297353CC}">
              <c16:uniqueId val="{00000007-42BA-4E4F-9C1D-F63FBDAA78D6}"/>
            </c:ext>
          </c:extLst>
        </c:ser>
        <c:dLbls>
          <c:showLegendKey val="0"/>
          <c:showVal val="0"/>
          <c:showCatName val="0"/>
          <c:showSerName val="0"/>
          <c:showPercent val="0"/>
          <c:showBubbleSize val="0"/>
        </c:dLbls>
        <c:gapWidth val="150"/>
        <c:axId val="10"/>
        <c:axId val="100"/>
      </c:barChart>
      <c:valAx>
        <c:axId val="100"/>
        <c:scaling>
          <c:orientation val="minMax"/>
          <c:max val="20"/>
        </c:scaling>
        <c:delete val="0"/>
        <c:axPos val="l"/>
        <c:majorGridlines>
          <c:spPr>
            <a:ln>
              <a:solidFill>
                <a:schemeClr val="bg1">
                  <a:lumMod val="75000"/>
                </a:schemeClr>
              </a:solidFill>
            </a:ln>
          </c:spPr>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2024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DB4-44C5-8B0A-002657344974}"/>
              </c:ext>
            </c:extLst>
          </c:dPt>
          <c:dPt>
            <c:idx val="1"/>
            <c:invertIfNegative val="0"/>
            <c:bubble3D val="0"/>
            <c:spPr>
              <a:solidFill>
                <a:srgbClr val="FF0000"/>
              </a:solidFill>
              <a:ln>
                <a:noFill/>
              </a:ln>
              <a:effectLst/>
            </c:spPr>
            <c:extLst>
              <c:ext xmlns:c16="http://schemas.microsoft.com/office/drawing/2014/chart" uri="{C3380CC4-5D6E-409C-BE32-E72D297353CC}">
                <c16:uniqueId val="{00000003-6DB4-44C5-8B0A-002657344974}"/>
              </c:ext>
            </c:extLst>
          </c:dPt>
          <c:dPt>
            <c:idx val="3"/>
            <c:invertIfNegative val="0"/>
            <c:bubble3D val="0"/>
            <c:spPr>
              <a:solidFill>
                <a:srgbClr val="FFC000"/>
              </a:solidFill>
              <a:ln>
                <a:noFill/>
              </a:ln>
              <a:effectLst/>
            </c:spPr>
            <c:extLst>
              <c:ext xmlns:c16="http://schemas.microsoft.com/office/drawing/2014/chart" uri="{C3380CC4-5D6E-409C-BE32-E72D297353CC}">
                <c16:uniqueId val="{00000007-6DB4-44C5-8B0A-002657344974}"/>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E181-42F9-82FD-043496E19690}"/>
              </c:ext>
            </c:extLst>
          </c:dPt>
          <c:cat>
            <c:strRef>
              <c:f>'Survey Results'!$E$36:$E$40</c:f>
              <c:strCache>
                <c:ptCount val="5"/>
                <c:pt idx="0">
                  <c:v>Yes</c:v>
                </c:pt>
                <c:pt idx="1">
                  <c:v>No</c:v>
                </c:pt>
                <c:pt idx="2">
                  <c:v>Maybe</c:v>
                </c:pt>
                <c:pt idx="3">
                  <c:v>No line of sight</c:v>
                </c:pt>
                <c:pt idx="4">
                  <c:v>No response</c:v>
                </c:pt>
              </c:strCache>
            </c:strRef>
          </c:cat>
          <c:val>
            <c:numRef>
              <c:f>'Survey Results'!$F$36:$F$40</c:f>
              <c:numCache>
                <c:formatCode>General</c:formatCode>
                <c:ptCount val="5"/>
                <c:pt idx="0">
                  <c:v>6</c:v>
                </c:pt>
                <c:pt idx="1">
                  <c:v>5</c:v>
                </c:pt>
                <c:pt idx="2">
                  <c:v>0</c:v>
                </c:pt>
                <c:pt idx="3">
                  <c:v>7</c:v>
                </c:pt>
                <c:pt idx="4">
                  <c:v>2</c:v>
                </c:pt>
              </c:numCache>
            </c:numRef>
          </c:val>
          <c:extLst>
            <c:ext xmlns:c16="http://schemas.microsoft.com/office/drawing/2014/chart" uri="{C3380CC4-5D6E-409C-BE32-E72D297353CC}">
              <c16:uniqueId val="{00000008-6DB4-44C5-8B0A-002657344974}"/>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2025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626-4D95-9795-FA7285C8E2E7}"/>
              </c:ext>
            </c:extLst>
          </c:dPt>
          <c:dPt>
            <c:idx val="3"/>
            <c:invertIfNegative val="0"/>
            <c:bubble3D val="0"/>
            <c:spPr>
              <a:solidFill>
                <a:srgbClr val="FFC000"/>
              </a:solidFill>
              <a:ln>
                <a:noFill/>
              </a:ln>
              <a:effectLst/>
            </c:spPr>
            <c:extLst>
              <c:ext xmlns:c16="http://schemas.microsoft.com/office/drawing/2014/chart" uri="{C3380CC4-5D6E-409C-BE32-E72D297353CC}">
                <c16:uniqueId val="{00000005-6626-4D95-9795-FA7285C8E2E7}"/>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6626-4D95-9795-FA7285C8E2E7}"/>
              </c:ext>
            </c:extLst>
          </c:dPt>
          <c:cat>
            <c:strRef>
              <c:f>'Survey Results'!$G$36:$G$40</c:f>
              <c:strCache>
                <c:ptCount val="5"/>
                <c:pt idx="0">
                  <c:v>Yes</c:v>
                </c:pt>
                <c:pt idx="1">
                  <c:v>No</c:v>
                </c:pt>
                <c:pt idx="2">
                  <c:v>Maybe</c:v>
                </c:pt>
                <c:pt idx="3">
                  <c:v>No line of sight</c:v>
                </c:pt>
                <c:pt idx="4">
                  <c:v>No response</c:v>
                </c:pt>
              </c:strCache>
            </c:strRef>
          </c:cat>
          <c:val>
            <c:numRef>
              <c:f>'Survey Results'!$H$36:$H$40</c:f>
              <c:numCache>
                <c:formatCode>General</c:formatCode>
                <c:ptCount val="5"/>
                <c:pt idx="0">
                  <c:v>19</c:v>
                </c:pt>
                <c:pt idx="1">
                  <c:v>0</c:v>
                </c:pt>
                <c:pt idx="2">
                  <c:v>0</c:v>
                </c:pt>
                <c:pt idx="3">
                  <c:v>1</c:v>
                </c:pt>
                <c:pt idx="4">
                  <c:v>1</c:v>
                </c:pt>
              </c:numCache>
            </c:numRef>
          </c:val>
          <c:extLst>
            <c:ext xmlns:c16="http://schemas.microsoft.com/office/drawing/2014/chart" uri="{C3380CC4-5D6E-409C-BE32-E72D297353CC}">
              <c16:uniqueId val="{00000008-6626-4D95-9795-FA7285C8E2E7}"/>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35718</xdr:colOff>
      <xdr:row>43</xdr:row>
      <xdr:rowOff>0</xdr:rowOff>
    </xdr:from>
    <xdr:ext cx="4536281" cy="2857499"/>
    <xdr:graphicFrame macro="">
      <xdr:nvGraphicFramePr>
        <xdr:cNvPr id="3" name="Chart 2">
          <a:extLst>
            <a:ext uri="{FF2B5EF4-FFF2-40B4-BE49-F238E27FC236}">
              <a16:creationId xmlns:a16="http://schemas.microsoft.com/office/drawing/2014/main" id="{8658A5FB-BFDD-4619-86BA-32931C34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4</xdr:col>
      <xdr:colOff>0</xdr:colOff>
      <xdr:row>43</xdr:row>
      <xdr:rowOff>-1</xdr:rowOff>
    </xdr:from>
    <xdr:to>
      <xdr:col>6</xdr:col>
      <xdr:colOff>0</xdr:colOff>
      <xdr:row>57</xdr:row>
      <xdr:rowOff>190498</xdr:rowOff>
    </xdr:to>
    <xdr:graphicFrame macro="">
      <xdr:nvGraphicFramePr>
        <xdr:cNvPr id="4" name="Chart 3">
          <a:extLst>
            <a:ext uri="{FF2B5EF4-FFF2-40B4-BE49-F238E27FC236}">
              <a16:creationId xmlns:a16="http://schemas.microsoft.com/office/drawing/2014/main" id="{6D18A9BF-6A45-4351-B0E6-61B6654A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43</xdr:row>
      <xdr:rowOff>-1</xdr:rowOff>
    </xdr:from>
    <xdr:to>
      <xdr:col>8</xdr:col>
      <xdr:colOff>0</xdr:colOff>
      <xdr:row>57</xdr:row>
      <xdr:rowOff>190498</xdr:rowOff>
    </xdr:to>
    <xdr:graphicFrame macro="">
      <xdr:nvGraphicFramePr>
        <xdr:cNvPr id="2" name="Chart 1">
          <a:extLst>
            <a:ext uri="{FF2B5EF4-FFF2-40B4-BE49-F238E27FC236}">
              <a16:creationId xmlns:a16="http://schemas.microsoft.com/office/drawing/2014/main" id="{EC96C127-2B0C-4D1A-85E5-62870AFEC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D268-BDFF-4894-B9C6-DC3E0E6DEA18}">
  <sheetPr>
    <pageSetUpPr fitToPage="1"/>
  </sheetPr>
  <dimension ref="A1:M42"/>
  <sheetViews>
    <sheetView tabSelected="1" zoomScale="80" zoomScaleNormal="80" workbookViewId="0">
      <pane xSplit="1" ySplit="2" topLeftCell="B7" activePane="bottomRight" state="frozen"/>
      <selection pane="topRight" activeCell="B1" sqref="B1"/>
      <selection pane="bottomLeft" activeCell="A3" sqref="A3"/>
      <selection pane="bottomRight" activeCell="H37" sqref="H37:H38"/>
    </sheetView>
  </sheetViews>
  <sheetFormatPr defaultColWidth="9.140625" defaultRowHeight="15" x14ac:dyDescent="0.25"/>
  <cols>
    <col min="1" max="1" width="15.5703125" customWidth="1"/>
    <col min="2" max="2" width="17.7109375" customWidth="1"/>
    <col min="3" max="3" width="50.7109375" customWidth="1"/>
    <col min="4" max="4" width="29.42578125" customWidth="1"/>
    <col min="5" max="5" width="17.7109375" customWidth="1"/>
    <col min="6" max="6" width="50.7109375" customWidth="1"/>
    <col min="7" max="7" width="17.7109375" customWidth="1"/>
    <col min="8" max="8" width="50.7109375" customWidth="1"/>
  </cols>
  <sheetData>
    <row r="1" spans="1:13" x14ac:dyDescent="0.25">
      <c r="B1" s="53">
        <v>45413</v>
      </c>
      <c r="C1" s="54"/>
      <c r="D1" s="55"/>
      <c r="E1" s="56">
        <v>45597</v>
      </c>
      <c r="F1" s="57"/>
      <c r="G1" s="58">
        <v>45962</v>
      </c>
      <c r="H1" s="59"/>
    </row>
    <row r="2" spans="1:13" ht="75.75" thickBot="1" x14ac:dyDescent="0.3">
      <c r="A2" s="13"/>
      <c r="B2" s="46" t="s">
        <v>36</v>
      </c>
      <c r="C2" s="47" t="s">
        <v>37</v>
      </c>
      <c r="D2" s="48" t="s">
        <v>38</v>
      </c>
      <c r="E2" s="49" t="s">
        <v>39</v>
      </c>
      <c r="F2" s="50" t="s">
        <v>40</v>
      </c>
      <c r="G2" s="44" t="s">
        <v>78</v>
      </c>
      <c r="H2" s="45" t="s">
        <v>40</v>
      </c>
    </row>
    <row r="3" spans="1:13" ht="165" x14ac:dyDescent="0.25">
      <c r="A3" s="24" t="s">
        <v>30</v>
      </c>
      <c r="B3" s="12" t="s">
        <v>5</v>
      </c>
      <c r="C3" s="11" t="s">
        <v>41</v>
      </c>
      <c r="D3" s="10" t="s">
        <v>42</v>
      </c>
      <c r="E3" s="34" t="s">
        <v>3</v>
      </c>
      <c r="F3" s="29" t="s">
        <v>73</v>
      </c>
      <c r="G3" s="52" t="s">
        <v>5</v>
      </c>
      <c r="H3" s="41" t="s">
        <v>84</v>
      </c>
      <c r="K3" s="33"/>
      <c r="L3" s="33"/>
      <c r="M3" s="33"/>
    </row>
    <row r="4" spans="1:13" ht="70.150000000000006" customHeight="1" x14ac:dyDescent="0.25">
      <c r="A4" s="25" t="s">
        <v>29</v>
      </c>
      <c r="B4" s="9" t="s">
        <v>5</v>
      </c>
      <c r="C4" s="8" t="s">
        <v>43</v>
      </c>
      <c r="D4" s="7" t="s">
        <v>44</v>
      </c>
      <c r="E4" s="35" t="s">
        <v>4</v>
      </c>
      <c r="F4" s="30" t="s">
        <v>77</v>
      </c>
      <c r="G4" s="51" t="s">
        <v>5</v>
      </c>
      <c r="H4" s="37" t="s">
        <v>85</v>
      </c>
      <c r="K4" s="33"/>
      <c r="L4" s="33"/>
      <c r="M4" s="33"/>
    </row>
    <row r="5" spans="1:13" ht="28.9" customHeight="1" x14ac:dyDescent="0.25">
      <c r="A5" s="25" t="s">
        <v>28</v>
      </c>
      <c r="B5" s="9" t="s">
        <v>5</v>
      </c>
      <c r="C5" s="8" t="s">
        <v>45</v>
      </c>
      <c r="D5" s="7" t="s">
        <v>46</v>
      </c>
      <c r="E5" s="35" t="s">
        <v>5</v>
      </c>
      <c r="F5" s="30"/>
      <c r="G5" s="42" t="s">
        <v>5</v>
      </c>
      <c r="H5" s="37" t="s">
        <v>82</v>
      </c>
      <c r="K5" s="33"/>
      <c r="L5" s="33"/>
      <c r="M5" s="33"/>
    </row>
    <row r="6" spans="1:13" ht="75" x14ac:dyDescent="0.25">
      <c r="A6" s="25" t="s">
        <v>27</v>
      </c>
      <c r="B6" s="9" t="s">
        <v>3</v>
      </c>
      <c r="C6" s="8"/>
      <c r="D6" s="7"/>
      <c r="E6" s="35" t="s">
        <v>2</v>
      </c>
      <c r="F6" s="30"/>
      <c r="G6" s="42" t="s">
        <v>5</v>
      </c>
      <c r="H6" s="37" t="s">
        <v>86</v>
      </c>
    </row>
    <row r="7" spans="1:13" ht="45" x14ac:dyDescent="0.25">
      <c r="A7" s="25" t="s">
        <v>26</v>
      </c>
      <c r="B7" s="9" t="s">
        <v>1</v>
      </c>
      <c r="C7" s="8" t="s">
        <v>47</v>
      </c>
      <c r="D7" s="7" t="s">
        <v>48</v>
      </c>
      <c r="E7" s="35" t="s">
        <v>3</v>
      </c>
      <c r="F7" s="30" t="s">
        <v>70</v>
      </c>
      <c r="G7" s="51" t="s">
        <v>5</v>
      </c>
      <c r="H7" s="37" t="s">
        <v>87</v>
      </c>
      <c r="K7" s="33"/>
      <c r="L7" s="33"/>
      <c r="M7" s="33"/>
    </row>
    <row r="8" spans="1:13" ht="30" x14ac:dyDescent="0.25">
      <c r="A8" s="25" t="s">
        <v>25</v>
      </c>
      <c r="B8" s="9" t="s">
        <v>1</v>
      </c>
      <c r="C8" s="8" t="s">
        <v>49</v>
      </c>
      <c r="D8" s="7" t="s">
        <v>24</v>
      </c>
      <c r="E8" s="35" t="s">
        <v>4</v>
      </c>
      <c r="F8" s="30" t="s">
        <v>76</v>
      </c>
      <c r="G8" s="51" t="s">
        <v>5</v>
      </c>
      <c r="H8" s="37" t="s">
        <v>88</v>
      </c>
      <c r="K8" s="33"/>
      <c r="L8" s="33"/>
      <c r="M8" s="33"/>
    </row>
    <row r="9" spans="1:13" ht="75" x14ac:dyDescent="0.25">
      <c r="A9" s="25" t="s">
        <v>23</v>
      </c>
      <c r="B9" s="9" t="s">
        <v>3</v>
      </c>
      <c r="C9" s="8"/>
      <c r="D9" s="7"/>
      <c r="E9" s="35" t="s">
        <v>3</v>
      </c>
      <c r="F9" s="30" t="s">
        <v>75</v>
      </c>
      <c r="G9" s="51" t="s">
        <v>5</v>
      </c>
      <c r="H9" s="37" t="s">
        <v>89</v>
      </c>
      <c r="K9" s="33"/>
      <c r="L9" s="33"/>
      <c r="M9" s="33"/>
    </row>
    <row r="10" spans="1:13" x14ac:dyDescent="0.25">
      <c r="A10" s="26" t="s">
        <v>22</v>
      </c>
      <c r="B10" s="9" t="s">
        <v>32</v>
      </c>
      <c r="C10" s="8"/>
      <c r="D10" s="7"/>
      <c r="E10" s="35" t="s">
        <v>32</v>
      </c>
      <c r="F10" s="30"/>
      <c r="G10" s="42" t="s">
        <v>32</v>
      </c>
      <c r="H10" s="37"/>
    </row>
    <row r="11" spans="1:13" ht="45" x14ac:dyDescent="0.25">
      <c r="A11" s="25" t="s">
        <v>21</v>
      </c>
      <c r="B11" s="9" t="s">
        <v>5</v>
      </c>
      <c r="C11" s="8" t="s">
        <v>50</v>
      </c>
      <c r="D11" s="7" t="s">
        <v>51</v>
      </c>
      <c r="E11" s="35" t="s">
        <v>5</v>
      </c>
      <c r="F11" s="30"/>
      <c r="G11" s="42" t="s">
        <v>5</v>
      </c>
      <c r="H11" s="37" t="s">
        <v>83</v>
      </c>
      <c r="K11" s="33"/>
      <c r="L11" s="33"/>
      <c r="M11" s="33"/>
    </row>
    <row r="12" spans="1:13" ht="75" x14ac:dyDescent="0.25">
      <c r="A12" s="28" t="s">
        <v>20</v>
      </c>
      <c r="B12" s="9" t="s">
        <v>1</v>
      </c>
      <c r="C12" s="8" t="s">
        <v>52</v>
      </c>
      <c r="D12" s="7" t="s">
        <v>53</v>
      </c>
      <c r="E12" s="35" t="s">
        <v>3</v>
      </c>
      <c r="F12" s="30" t="s">
        <v>72</v>
      </c>
      <c r="G12" s="51" t="s">
        <v>5</v>
      </c>
      <c r="H12" s="37" t="s">
        <v>90</v>
      </c>
      <c r="K12" s="33"/>
      <c r="L12" s="33"/>
      <c r="M12" s="33"/>
    </row>
    <row r="13" spans="1:13" ht="60" customHeight="1" x14ac:dyDescent="0.25">
      <c r="A13" s="28" t="s">
        <v>19</v>
      </c>
      <c r="B13" s="9" t="s">
        <v>5</v>
      </c>
      <c r="C13" s="8" t="s">
        <v>54</v>
      </c>
      <c r="D13" s="7" t="s">
        <v>55</v>
      </c>
      <c r="E13" s="35" t="s">
        <v>5</v>
      </c>
      <c r="F13" s="31" t="s">
        <v>66</v>
      </c>
      <c r="G13" s="42" t="s">
        <v>5</v>
      </c>
      <c r="H13" s="38" t="s">
        <v>91</v>
      </c>
      <c r="K13" s="33"/>
      <c r="L13" s="33"/>
      <c r="M13" s="33"/>
    </row>
    <row r="14" spans="1:13" x14ac:dyDescent="0.25">
      <c r="A14" s="25" t="s">
        <v>18</v>
      </c>
      <c r="B14" s="9" t="s">
        <v>3</v>
      </c>
      <c r="C14" s="8"/>
      <c r="D14" s="7"/>
      <c r="E14" s="35" t="s">
        <v>3</v>
      </c>
      <c r="F14" s="30"/>
      <c r="G14" s="42" t="s">
        <v>2</v>
      </c>
      <c r="H14" s="37"/>
      <c r="K14" s="33"/>
      <c r="L14" s="33"/>
      <c r="M14" s="33"/>
    </row>
    <row r="15" spans="1:13" ht="21.6" customHeight="1" x14ac:dyDescent="0.25">
      <c r="A15" s="25" t="s">
        <v>79</v>
      </c>
      <c r="B15" s="9" t="s">
        <v>32</v>
      </c>
      <c r="C15" s="8"/>
      <c r="D15" s="7"/>
      <c r="E15" s="40" t="s">
        <v>32</v>
      </c>
      <c r="F15" s="30"/>
      <c r="G15" s="42" t="s">
        <v>5</v>
      </c>
      <c r="H15" s="38" t="s">
        <v>92</v>
      </c>
      <c r="K15" s="33"/>
      <c r="L15" s="33"/>
      <c r="M15" s="33"/>
    </row>
    <row r="16" spans="1:13" x14ac:dyDescent="0.25">
      <c r="A16" s="26" t="s">
        <v>17</v>
      </c>
      <c r="B16" s="9" t="s">
        <v>3</v>
      </c>
      <c r="C16" s="8"/>
      <c r="D16" s="7"/>
      <c r="E16" s="35" t="s">
        <v>32</v>
      </c>
      <c r="F16" s="31"/>
      <c r="G16" s="42" t="s">
        <v>32</v>
      </c>
      <c r="H16" s="38"/>
    </row>
    <row r="17" spans="1:13" ht="105" x14ac:dyDescent="0.25">
      <c r="A17" s="25" t="s">
        <v>16</v>
      </c>
      <c r="B17" s="9" t="s">
        <v>3</v>
      </c>
      <c r="C17" s="8"/>
      <c r="D17" s="7"/>
      <c r="E17" s="35" t="s">
        <v>4</v>
      </c>
      <c r="F17" s="30" t="s">
        <v>74</v>
      </c>
      <c r="G17" s="51" t="s">
        <v>5</v>
      </c>
      <c r="H17" s="37" t="s">
        <v>93</v>
      </c>
      <c r="K17" s="33"/>
      <c r="L17" s="33"/>
      <c r="M17" s="33"/>
    </row>
    <row r="18" spans="1:13" x14ac:dyDescent="0.25">
      <c r="A18" s="26" t="s">
        <v>15</v>
      </c>
      <c r="B18" s="9" t="s">
        <v>32</v>
      </c>
      <c r="C18" s="8"/>
      <c r="D18" s="7"/>
      <c r="E18" s="35" t="s">
        <v>32</v>
      </c>
      <c r="F18" s="31"/>
      <c r="G18" s="42" t="s">
        <v>32</v>
      </c>
      <c r="H18" s="38"/>
    </row>
    <row r="19" spans="1:13" ht="30" x14ac:dyDescent="0.25">
      <c r="A19" s="25" t="s">
        <v>80</v>
      </c>
      <c r="B19" s="9" t="s">
        <v>32</v>
      </c>
      <c r="C19" s="8"/>
      <c r="D19" s="7"/>
      <c r="E19" s="40" t="s">
        <v>32</v>
      </c>
      <c r="F19" s="31"/>
      <c r="G19" s="42" t="s">
        <v>3</v>
      </c>
      <c r="H19" s="37" t="s">
        <v>94</v>
      </c>
    </row>
    <row r="20" spans="1:13" ht="105" x14ac:dyDescent="0.25">
      <c r="A20" s="25" t="s">
        <v>14</v>
      </c>
      <c r="B20" s="9" t="s">
        <v>5</v>
      </c>
      <c r="C20" s="8" t="s">
        <v>56</v>
      </c>
      <c r="D20" s="7" t="s">
        <v>57</v>
      </c>
      <c r="E20" s="35" t="s">
        <v>5</v>
      </c>
      <c r="F20" s="31" t="s">
        <v>69</v>
      </c>
      <c r="G20" s="42" t="s">
        <v>32</v>
      </c>
      <c r="H20" s="38"/>
      <c r="K20" s="33"/>
      <c r="L20" s="33"/>
      <c r="M20" s="33"/>
    </row>
    <row r="21" spans="1:13" ht="120.75" customHeight="1" x14ac:dyDescent="0.25">
      <c r="A21" s="25" t="s">
        <v>81</v>
      </c>
      <c r="B21" s="9" t="s">
        <v>32</v>
      </c>
      <c r="C21" s="8"/>
      <c r="D21" s="7"/>
      <c r="E21" s="40" t="s">
        <v>32</v>
      </c>
      <c r="F21" s="31"/>
      <c r="G21" s="42" t="s">
        <v>5</v>
      </c>
      <c r="H21" s="38" t="s">
        <v>95</v>
      </c>
      <c r="K21" s="33"/>
      <c r="L21" s="33"/>
      <c r="M21" s="33"/>
    </row>
    <row r="22" spans="1:13" ht="105" x14ac:dyDescent="0.25">
      <c r="A22" s="26" t="s">
        <v>13</v>
      </c>
      <c r="B22" s="9" t="s">
        <v>5</v>
      </c>
      <c r="C22" s="8" t="s">
        <v>58</v>
      </c>
      <c r="D22" s="7" t="s">
        <v>59</v>
      </c>
      <c r="E22" s="35" t="s">
        <v>32</v>
      </c>
      <c r="F22" s="30"/>
      <c r="G22" s="42" t="s">
        <v>32</v>
      </c>
      <c r="H22" s="37"/>
    </row>
    <row r="23" spans="1:13" x14ac:dyDescent="0.25">
      <c r="A23" s="26" t="s">
        <v>12</v>
      </c>
      <c r="B23" s="9" t="s">
        <v>32</v>
      </c>
      <c r="C23" s="8"/>
      <c r="D23" s="7"/>
      <c r="E23" s="35" t="s">
        <v>32</v>
      </c>
      <c r="F23" s="31"/>
      <c r="G23" s="42" t="s">
        <v>32</v>
      </c>
      <c r="H23" s="38"/>
    </row>
    <row r="24" spans="1:13" ht="75.75" customHeight="1" x14ac:dyDescent="0.25">
      <c r="A24" s="25" t="s">
        <v>11</v>
      </c>
      <c r="B24" s="9" t="s">
        <v>3</v>
      </c>
      <c r="C24" s="8"/>
      <c r="D24" s="7"/>
      <c r="E24" s="35" t="s">
        <v>4</v>
      </c>
      <c r="F24" s="30" t="s">
        <v>67</v>
      </c>
      <c r="G24" s="51" t="s">
        <v>5</v>
      </c>
      <c r="H24" s="37" t="s">
        <v>96</v>
      </c>
      <c r="K24" s="33"/>
      <c r="L24" s="33"/>
      <c r="M24" s="33"/>
    </row>
    <row r="25" spans="1:13" ht="180" x14ac:dyDescent="0.25">
      <c r="A25" s="25" t="s">
        <v>10</v>
      </c>
      <c r="B25" s="9" t="s">
        <v>3</v>
      </c>
      <c r="C25" s="8"/>
      <c r="D25" s="7"/>
      <c r="E25" s="35" t="s">
        <v>4</v>
      </c>
      <c r="F25" s="30" t="s">
        <v>68</v>
      </c>
      <c r="G25" s="51" t="s">
        <v>5</v>
      </c>
      <c r="H25" s="37" t="s">
        <v>97</v>
      </c>
      <c r="K25" s="33"/>
      <c r="L25" s="33"/>
      <c r="M25" s="33"/>
    </row>
    <row r="26" spans="1:13" ht="30" x14ac:dyDescent="0.25">
      <c r="A26" s="25" t="s">
        <v>33</v>
      </c>
      <c r="B26" s="9" t="s">
        <v>1</v>
      </c>
      <c r="C26" s="8" t="s">
        <v>60</v>
      </c>
      <c r="D26" s="7" t="s">
        <v>61</v>
      </c>
      <c r="E26" s="35" t="s">
        <v>2</v>
      </c>
      <c r="F26" s="30"/>
      <c r="G26" s="51" t="s">
        <v>5</v>
      </c>
      <c r="H26" s="37"/>
    </row>
    <row r="27" spans="1:13" ht="138" customHeight="1" x14ac:dyDescent="0.25">
      <c r="A27" s="25" t="s">
        <v>9</v>
      </c>
      <c r="B27" s="9" t="s">
        <v>3</v>
      </c>
      <c r="C27" s="8"/>
      <c r="D27" s="7"/>
      <c r="E27" s="35" t="s">
        <v>3</v>
      </c>
      <c r="F27" s="31"/>
      <c r="G27" s="51" t="s">
        <v>5</v>
      </c>
      <c r="H27" s="38" t="s">
        <v>98</v>
      </c>
      <c r="K27" s="33"/>
      <c r="L27" s="33"/>
      <c r="M27" s="33"/>
    </row>
    <row r="28" spans="1:13" ht="60" x14ac:dyDescent="0.25">
      <c r="A28" s="26" t="s">
        <v>8</v>
      </c>
      <c r="B28" s="9" t="s">
        <v>1</v>
      </c>
      <c r="C28" s="8" t="s">
        <v>62</v>
      </c>
      <c r="D28" s="7" t="s">
        <v>63</v>
      </c>
      <c r="E28" s="35" t="s">
        <v>3</v>
      </c>
      <c r="F28" s="30"/>
      <c r="G28" s="42" t="s">
        <v>32</v>
      </c>
      <c r="H28" s="37"/>
      <c r="K28" s="33"/>
      <c r="L28" s="33"/>
      <c r="M28" s="33"/>
    </row>
    <row r="29" spans="1:13" ht="90" x14ac:dyDescent="0.25">
      <c r="A29" s="25" t="s">
        <v>7</v>
      </c>
      <c r="B29" s="9" t="s">
        <v>4</v>
      </c>
      <c r="C29" s="8" t="s">
        <v>64</v>
      </c>
      <c r="D29" s="7"/>
      <c r="E29" s="35" t="s">
        <v>5</v>
      </c>
      <c r="F29" s="30" t="s">
        <v>71</v>
      </c>
      <c r="G29" s="42" t="s">
        <v>5</v>
      </c>
      <c r="H29" s="37" t="s">
        <v>99</v>
      </c>
      <c r="K29" s="33"/>
      <c r="L29" s="33"/>
      <c r="M29" s="33"/>
    </row>
    <row r="30" spans="1:13" ht="165.75" thickBot="1" x14ac:dyDescent="0.3">
      <c r="A30" s="27" t="s">
        <v>6</v>
      </c>
      <c r="B30" s="6" t="s">
        <v>4</v>
      </c>
      <c r="C30" s="5" t="s">
        <v>65</v>
      </c>
      <c r="D30" s="4"/>
      <c r="E30" s="36" t="s">
        <v>5</v>
      </c>
      <c r="F30" s="32"/>
      <c r="G30" s="43" t="s">
        <v>5</v>
      </c>
      <c r="H30" s="39" t="s">
        <v>100</v>
      </c>
      <c r="K30" s="33"/>
      <c r="L30" s="33"/>
      <c r="M30" s="33"/>
    </row>
    <row r="32" spans="1:13" x14ac:dyDescent="0.25">
      <c r="G32" s="3" t="s">
        <v>34</v>
      </c>
      <c r="H32" s="3"/>
    </row>
    <row r="33" spans="2:8" x14ac:dyDescent="0.25">
      <c r="G33" s="2" t="s">
        <v>35</v>
      </c>
      <c r="H33" s="2"/>
    </row>
    <row r="35" spans="2:8" ht="15.75" thickBot="1" x14ac:dyDescent="0.3"/>
    <row r="36" spans="2:8" x14ac:dyDescent="0.25">
      <c r="B36" s="15" t="s">
        <v>5</v>
      </c>
      <c r="C36" s="16">
        <f t="shared" ref="C36:C41" si="0">COUNTIF(B$3:B$30,B36)</f>
        <v>7</v>
      </c>
      <c r="D36" s="1"/>
      <c r="E36" s="15" t="s">
        <v>5</v>
      </c>
      <c r="F36" s="16">
        <f>COUNTIF(E$3:E$30,E36)</f>
        <v>6</v>
      </c>
      <c r="G36" s="15" t="s">
        <v>5</v>
      </c>
      <c r="H36" s="16">
        <f t="shared" ref="H36:H41" si="1">COUNTIF(G$3:G$30,G36)</f>
        <v>19</v>
      </c>
    </row>
    <row r="37" spans="2:8" x14ac:dyDescent="0.25">
      <c r="B37" s="17" t="s">
        <v>4</v>
      </c>
      <c r="C37" s="18">
        <f t="shared" si="0"/>
        <v>2</v>
      </c>
      <c r="E37" s="17" t="s">
        <v>4</v>
      </c>
      <c r="F37" s="18">
        <f>COUNTIF(E$3:E$30,E37)</f>
        <v>5</v>
      </c>
      <c r="G37" s="17" t="s">
        <v>4</v>
      </c>
      <c r="H37" s="18">
        <f t="shared" si="1"/>
        <v>0</v>
      </c>
    </row>
    <row r="38" spans="2:8" x14ac:dyDescent="0.25">
      <c r="B38" s="17" t="s">
        <v>1</v>
      </c>
      <c r="C38" s="18">
        <f>COUNTIF(B$3:B$30,B38)</f>
        <v>5</v>
      </c>
      <c r="E38" s="17" t="s">
        <v>1</v>
      </c>
      <c r="F38" s="18" t="s">
        <v>0</v>
      </c>
      <c r="G38" s="17" t="s">
        <v>1</v>
      </c>
      <c r="H38" s="18">
        <f t="shared" si="1"/>
        <v>0</v>
      </c>
    </row>
    <row r="39" spans="2:8" x14ac:dyDescent="0.25">
      <c r="B39" s="17" t="s">
        <v>3</v>
      </c>
      <c r="C39" s="18">
        <f t="shared" si="0"/>
        <v>8</v>
      </c>
      <c r="E39" s="17" t="s">
        <v>3</v>
      </c>
      <c r="F39" s="18">
        <f>COUNTIF(E$3:E$30,E39)</f>
        <v>7</v>
      </c>
      <c r="G39" s="17" t="s">
        <v>3</v>
      </c>
      <c r="H39" s="18">
        <f t="shared" si="1"/>
        <v>1</v>
      </c>
    </row>
    <row r="40" spans="2:8" x14ac:dyDescent="0.25">
      <c r="B40" s="17" t="s">
        <v>2</v>
      </c>
      <c r="C40" s="18">
        <f t="shared" si="0"/>
        <v>0</v>
      </c>
      <c r="E40" s="17" t="s">
        <v>2</v>
      </c>
      <c r="F40" s="18">
        <f>COUNTIF(E$3:E$30,E40)</f>
        <v>2</v>
      </c>
      <c r="G40" s="17" t="s">
        <v>2</v>
      </c>
      <c r="H40" s="18">
        <f t="shared" si="1"/>
        <v>1</v>
      </c>
    </row>
    <row r="41" spans="2:8" ht="15.75" thickBot="1" x14ac:dyDescent="0.3">
      <c r="B41" s="19" t="s">
        <v>32</v>
      </c>
      <c r="C41" s="20">
        <f t="shared" si="0"/>
        <v>6</v>
      </c>
      <c r="E41" s="21" t="s">
        <v>32</v>
      </c>
      <c r="F41" s="22">
        <f>COUNTIF(E$3:E$30,E41)</f>
        <v>8</v>
      </c>
      <c r="G41" s="21" t="s">
        <v>32</v>
      </c>
      <c r="H41" s="22">
        <f t="shared" si="1"/>
        <v>7</v>
      </c>
    </row>
    <row r="42" spans="2:8" ht="15.75" thickBot="1" x14ac:dyDescent="0.3">
      <c r="B42" s="14" t="s">
        <v>31</v>
      </c>
      <c r="C42" s="23">
        <f>SUM(C36:C41)</f>
        <v>28</v>
      </c>
      <c r="E42" s="14" t="s">
        <v>31</v>
      </c>
      <c r="F42" s="23">
        <f>SUM(F36:F41)</f>
        <v>28</v>
      </c>
      <c r="G42" s="14" t="s">
        <v>31</v>
      </c>
      <c r="H42" s="23">
        <f>SUM(H36:H41)</f>
        <v>28</v>
      </c>
    </row>
  </sheetData>
  <autoFilter ref="A2:H30" xr:uid="{4B4FD268-BDFF-4894-B9C6-DC3E0E6DEA18}"/>
  <sortState xmlns:xlrd2="http://schemas.microsoft.com/office/spreadsheetml/2017/richdata2" ref="K3:M23">
    <sortCondition ref="K3:K23"/>
  </sortState>
  <mergeCells count="3">
    <mergeCell ref="B1:D1"/>
    <mergeCell ref="E1:F1"/>
    <mergeCell ref="G1:H1"/>
  </mergeCells>
  <printOptions horizontalCentered="1"/>
  <pageMargins left="0.5" right="0.5" top="0.85" bottom="0.85" header="0.5" footer="0.5"/>
  <pageSetup scale="38" orientation="portrait" horizontalDpi="1200" verticalDpi="1200" r:id="rId1"/>
  <headerFooter>
    <oddHeader>&amp;C&amp;"-,Bold"&amp;20Phil Fish</oddHeader>
    <oddFooter>&amp;LFile: &amp;Z&amp;F
Sheet: &amp;A&amp;CPage &amp;P of &amp;N&amp;RPrint Date: &amp;D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47998D0C784F41A0C2C4C0BC11B78D" ma:contentTypeVersion="8" ma:contentTypeDescription="Create a new document." ma:contentTypeScope="" ma:versionID="ad69c74bd5fc9ad2d81f27b977fe7b19">
  <xsd:schema xmlns:xsd="http://www.w3.org/2001/XMLSchema" xmlns:xs="http://www.w3.org/2001/XMLSchema" xmlns:p="http://schemas.microsoft.com/office/2006/metadata/properties" xmlns:ns2="d326613d-845a-4606-970a-eae884d2bc77" xmlns:ns3="b697abaa-05c9-4e92-a73c-0cb957524ef7" targetNamespace="http://schemas.microsoft.com/office/2006/metadata/properties" ma:root="true" ma:fieldsID="4208c0b624b5f20ac0c8f9d435267a8f" ns2:_="" ns3:_="">
    <xsd:import namespace="d326613d-845a-4606-970a-eae884d2bc77"/>
    <xsd:import namespace="b697abaa-05c9-4e92-a73c-0cb957524ef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26613d-845a-4606-970a-eae884d2bc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97abaa-05c9-4e92-a73c-0cb957524ef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FF2F08-89FA-4D0F-A083-5C09BC84E7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26613d-845a-4606-970a-eae884d2bc77"/>
    <ds:schemaRef ds:uri="b697abaa-05c9-4e92-a73c-0cb957524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C15D55-5723-4A35-96E5-52DF9B7C91F7}">
  <ds:schemaRefs>
    <ds:schemaRef ds:uri="http://schemas.microsoft.com/sharepoint/v3/contenttype/forms"/>
  </ds:schemaRefs>
</ds:datastoreItem>
</file>

<file path=customXml/itemProps3.xml><?xml version="1.0" encoding="utf-8"?>
<ds:datastoreItem xmlns:ds="http://schemas.openxmlformats.org/officeDocument/2006/customXml" ds:itemID="{68FCCD02-D0F8-4DF4-8BB0-6D30B73BEA72}">
  <ds:schemaRefs>
    <ds:schemaRef ds:uri="http://www.w3.org/XML/1998/namespace"/>
    <ds:schemaRef ds:uri="http://purl.org/dc/terms/"/>
    <ds:schemaRef ds:uri="http://purl.org/dc/elements/1.1/"/>
    <ds:schemaRef ds:uri="http://schemas.microsoft.com/office/2006/metadata/properties"/>
    <ds:schemaRef ds:uri="http://purl.org/dc/dcmitype/"/>
    <ds:schemaRef ds:uri="http://schemas.microsoft.com/office/2006/documentManagement/types"/>
    <ds:schemaRef ds:uri="d326613d-845a-4606-970a-eae884d2bc77"/>
    <ds:schemaRef ds:uri="http://schemas.microsoft.com/office/infopath/2007/PartnerControls"/>
    <ds:schemaRef ds:uri="http://schemas.openxmlformats.org/package/2006/metadata/core-properties"/>
    <ds:schemaRef ds:uri="b697abaa-05c9-4e92-a73c-0cb957524e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Taylor</dc:creator>
  <cp:lastModifiedBy>Brian P. Greenwald</cp:lastModifiedBy>
  <cp:lastPrinted>2024-01-31T22:50:12Z</cp:lastPrinted>
  <dcterms:created xsi:type="dcterms:W3CDTF">2024-01-31T22:32:02Z</dcterms:created>
  <dcterms:modified xsi:type="dcterms:W3CDTF">2026-02-01T13:33:47Z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0x0101009B47998D0C784F41A0C2C4C0BC11B78D</vt:lpwstr>
  </property>
</Properties>
</file>