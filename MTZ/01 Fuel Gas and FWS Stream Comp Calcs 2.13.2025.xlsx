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Mpls\05 CA\07\05071018 Confidential\WorkFiles\FWS App\Incompleteness Letter 1.14.2025\Response\Attachments\"/>
    </mc:Choice>
  </mc:AlternateContent>
  <xr:revisionPtr revIDLastSave="0" documentId="13_ncr:1_{DE0ED6F3-4DFF-4B0C-BBC5-D1EA828A4161}" xr6:coauthVersionLast="47" xr6:coauthVersionMax="47" xr10:uidLastSave="{00000000-0000-0000-0000-000000000000}"/>
  <bookViews>
    <workbookView xWindow="-120" yWindow="-120" windowWidth="29040" windowHeight="15720" xr2:uid="{F5C2BEEC-5154-4AE7-8452-B77CD00D43DC}"/>
  </bookViews>
  <sheets>
    <sheet name="Compositions" sheetId="7" r:id="rId1"/>
    <sheet name="Fuel Gas Props" sheetId="5" state="hidden" r:id="rId2"/>
  </sheets>
  <definedNames>
    <definedName name="_1" localSheetId="1" hidden="1">#REF!</definedName>
    <definedName name="_1" hidden="1">#REF!</definedName>
    <definedName name="_1_new" localSheetId="1" hidden="1">#REF!</definedName>
    <definedName name="_1_new" hidden="1">#REF!</definedName>
    <definedName name="_1ajs" hidden="1">#REF!</definedName>
    <definedName name="_2" hidden="1">#REF!</definedName>
    <definedName name="_2_new" hidden="1">#REF!</definedName>
    <definedName name="_300" hidden="1">#REF!</definedName>
    <definedName name="_31">31</definedName>
    <definedName name="_AMO_UniqueIdentifier" hidden="1">"'22a8cb35-69ac-4aee-a712-734a2ca4843e'"</definedName>
    <definedName name="_Fill" hidden="1">#REF!</definedName>
    <definedName name="_Fill2" hidden="1">#REF!</definedName>
    <definedName name="_xlnm._FilterDatabase" hidden="1">#REF!</definedName>
    <definedName name="_Key1" hidden="1">#REF!</definedName>
    <definedName name="_Key1_new" hidden="1">#REF!</definedName>
    <definedName name="_Key10" hidden="1">#REF!</definedName>
    <definedName name="_Key10_new" hidden="1">#REF!</definedName>
    <definedName name="_Order1" hidden="1">255</definedName>
    <definedName name="_Order2" hidden="1">255</definedName>
    <definedName name="_Sort" hidden="1">#REF!</definedName>
    <definedName name="_Sort_new" hidden="1">#REF!</definedName>
    <definedName name="_sort2" hidden="1">#REF!</definedName>
    <definedName name="a" hidden="1">#REF!</definedName>
    <definedName name="Access_Button" hidden="1">"ChemCatAdd00_MSDS_List"</definedName>
    <definedName name="Access_Button1" hidden="1">"ChemCatAdd00_MSDS_List"</definedName>
    <definedName name="Access_Button2" hidden="1">"ChemCatAdd00_MSDS_List"</definedName>
    <definedName name="AccessDatabase" hidden="1">"H:\DATA\EXCEL\ChemCatAdd00.mdb"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b" localSheetId="1" hidden="1">{"summ",#N/A,FALSE,"VOCs";"misc",#N/A,FALSE,"VOCs";"fugs",#N/A,FALSE,"VOCs"}</definedName>
    <definedName name="b" hidden="1">{"summ",#N/A,FALSE,"VOCs";"misc",#N/A,FALSE,"VOCs";"fugs",#N/A,FALSE,"VOCs"}</definedName>
    <definedName name="BG_Del" hidden="1">15</definedName>
    <definedName name="BG_Ins" hidden="1">4</definedName>
    <definedName name="BG_Mod" hidden="1">6</definedName>
    <definedName name="BSIWhichPageSetup" hidden="1">1</definedName>
    <definedName name="BSIWhichPageSetup_0" hidden="1">"0þ"</definedName>
    <definedName name="dfg" hidden="1">30</definedName>
    <definedName name="dfsd" hidden="1">"BWP"</definedName>
    <definedName name="EV__EVCOM_OPTIONS__" hidden="1">8</definedName>
    <definedName name="EV__EXPOPTIONS__" hidden="1">0</definedName>
    <definedName name="EV__LASTREFTIME__" hidden="1">41856.4816203704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134217740</definedName>
    <definedName name="EV__WBVERSION__" hidden="1">0</definedName>
    <definedName name="EV_LASTREFTIME_STAR" hidden="1">42145.4055902778</definedName>
    <definedName name="f" localSheetId="1" hidden="1">{"summ",#N/A,FALSE,"VOCs";"misc",#N/A,FALSE,"VOCs";"fugs",#N/A,FALSE,"VOCs"}</definedName>
    <definedName name="f" hidden="1">{"summ",#N/A,FALSE,"VOCs";"misc",#N/A,FALSE,"VOCs";"fugs",#N/A,FALSE,"VOCs"}</definedName>
    <definedName name="fill" hidden="1">#REF!</definedName>
    <definedName name="hap" hidden="1">#REF!</definedName>
    <definedName name="ListUnits">#REF!</definedName>
    <definedName name="MDP_ARBComments" localSheetId="0">OFFSET(MDP_Flows,0,5)</definedName>
    <definedName name="MDP_ARBComments" localSheetId="1">OFFSET(MDP_Flows,0,5)</definedName>
    <definedName name="MDP_ARBComments">OFFSET(MDP_Flows,0,5)</definedName>
    <definedName name="MDP_Flags" localSheetId="0">OFFSET(MDP_Flows,0,1)</definedName>
    <definedName name="MDP_Flags" localSheetId="1">OFFSET(MDP_Flows,0,1)</definedName>
    <definedName name="MDP_Flags">OFFSET(MDP_Flows,0,1)</definedName>
    <definedName name="_xlnm.Print_Area" localSheetId="0">Compositions!$A$1:$M$127</definedName>
    <definedName name="_xlnm.Print_Area" localSheetId="1">'Fuel Gas Props'!$B$1:$T$52</definedName>
    <definedName name="_xlnm.Print_Area">#N/A</definedName>
    <definedName name="_xlnm.Print_Titles" localSheetId="0">Compositions!$B:$B,Compositions!$1:$3</definedName>
    <definedName name="_xlnm.Print_Titles" localSheetId="1">'Fuel Gas Props'!$1:$2</definedName>
    <definedName name="RepYr">2015</definedName>
    <definedName name="S100_Materials">#REF!</definedName>
    <definedName name="SAPBEXhrIndnt" hidden="1">"Wide"</definedName>
    <definedName name="SAPBEXrevision" hidden="1">30</definedName>
    <definedName name="SAPBEXsysID" hidden="1">"BWP"</definedName>
    <definedName name="SAPBEXwbID" hidden="1">"5SB61HUAPF7F2OSXW35MH765L"</definedName>
    <definedName name="SAPsysID" hidden="1">"708C5W7SBKP804JT78WJ0JNKI"</definedName>
    <definedName name="SAPwbID" hidden="1">"ARS"</definedName>
    <definedName name="SpecData" localSheetId="0">OFFSET(SpecCASNo,2,0,ROWS(SpecList))</definedName>
    <definedName name="SpecData" localSheetId="1">OFFSET(SpecCASNo,2,0,ROWS(SpecList))</definedName>
    <definedName name="SpecData">OFFSET(SpecCASNo,2,0,ROWS(SpecList))</definedName>
    <definedName name="TankCalc_TankList">#REF!</definedName>
    <definedName name="tblCompoundProp" localSheetId="0">OFFSET(hdrCompoundProp,1,0,COUNTA(#REF!))</definedName>
    <definedName name="tblCompoundProp" localSheetId="1">OFFSET(hdrCompoundProp,1,0,COUNTA(#REF!))</definedName>
    <definedName name="tblCompoundProp">OFFSET(hdrCompoundProp,1,0,COUNTA(#REF!))</definedName>
    <definedName name="tblkpUnitID">#REF!</definedName>
    <definedName name="UNI_AA_VERSION" hidden="1">"150.2.0"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FORMANCES1R1C13" hidden="1">#REF!</definedName>
    <definedName name="UNIFORMANCES1R1C8" hidden="1">#REF!</definedName>
    <definedName name="wrn.all3." localSheetId="1">{"summ",#N/A,FALSE,"VOCs";"misc",#N/A,FALSE,"VOCs";"fugs",#N/A,FALSE,"VOCs"}</definedName>
    <definedName name="wrn.all3.">{"summ",#N/A,FALSE,"VOCs";"misc",#N/A,FALSE,"VOCs";"fugs",#N/A,FALSE,"VOCs"}</definedName>
    <definedName name="wrn.all4." localSheetId="1" hidden="1">{"summ",#N/A,FALSE,"VOCs";"misc",#N/A,FALSE,"VOCs";"fugs",#N/A,FALSE,"VOCs"}</definedName>
    <definedName name="wrn.all4." hidden="1">{"summ",#N/A,FALSE,"VOCs";"misc",#N/A,FALSE,"VOCs";"fugs",#N/A,FALSE,"VOCs"}</definedName>
    <definedName name="wrn.CrudeDifferentials." localSheetId="1" hidden="1">{"CrudePage1",#N/A,FALSE,"CrudeBasis"}</definedName>
    <definedName name="wrn.CrudeDifferentials." hidden="1">{"CrudePage1",#N/A,FALSE,"CrudeBasis"}</definedName>
    <definedName name="wrn.DailyPricesNew." localSheetId="1" hidden="1">{#N/A,#N/A,TRUE,"Sum";#N/A,#N/A,TRUE,"USGC";#N/A,#N/A,TRUE,"Can";#N/A,#N/A,TRUE,"Cat";#N/A,#N/A,TRUE,"Det";#N/A,#N/A,TRUE,"Gvl";#N/A,#N/A,TRUE,"Rob";#N/A,#N/A,TRUE,"StP";#N/A,#N/A,TRUE,"TxC"}</definedName>
    <definedName name="wrn.DailyPricesNew." hidden="1">{#N/A,#N/A,TRUE,"Sum";#N/A,#N/A,TRUE,"USGC";#N/A,#N/A,TRUE,"Can";#N/A,#N/A,TRUE,"Cat";#N/A,#N/A,TRUE,"Det";#N/A,#N/A,TRUE,"Gvl";#N/A,#N/A,TRUE,"Rob";#N/A,#N/A,TRUE,"StP";#N/A,#N/A,TRUE,"TxC"}</definedName>
    <definedName name="wrn.DETQTR." localSheetId="1" hidden="1">{#N/A,#N/A,FALSE,"QTR"}</definedName>
    <definedName name="wrn.DETQTR." hidden="1">{#N/A,#N/A,FALSE,"QTR"}</definedName>
    <definedName name="wrn.ESDETP1." localSheetId="1" hidden="1">{"esdet1",#N/A,FALSE,"REPORT"}</definedName>
    <definedName name="wrn.ESDETP1." hidden="1">{"esdet1",#N/A,FALSE,"REPORT"}</definedName>
    <definedName name="wrn.ESDETP2." localSheetId="1" hidden="1">{"esdet2",#N/A,FALSE,"REPORT"}</definedName>
    <definedName name="wrn.ESDETP2." hidden="1">{"esdet2",#N/A,FALSE,"REPORT"}</definedName>
    <definedName name="wrn.Fuel._.Determination." localSheetId="1" hidden="1">{"Fuel Determination",#N/A,FALSE,"NOx &amp; SOx (1)"}</definedName>
    <definedName name="wrn.Fuel._.Determination." hidden="1">{"Fuel Determination",#N/A,FALSE,"NOx &amp; SOx (1)"}</definedName>
    <definedName name="wrn.Fuel._.Limits." localSheetId="1" hidden="1">{"Fuel Limit",#N/A,FALSE,"NOx &amp; SOx"}</definedName>
    <definedName name="wrn.Fuel._.Limits." hidden="1">{"Fuel Limit",#N/A,FALSE,"NOx &amp; SOx"}</definedName>
    <definedName name="wrn.Fugitive._.VOCs." localSheetId="1">{"summary",#N/A,TRUE,"Fugitive VOC";"fugitives",#N/A,TRUE,"Fugitives";"facility fugitives",#N/A,TRUE,"Fugitive VOC";"compressor",#N/A,TRUE,"Fugitive VOC";"compressors",#N/A,TRUE,"Fugitive VOC";"cpi_separator",#N/A,TRUE,"Fugitive VOC";"blowdown",#N/A,TRUE,"Fugitive VOC";"waste treatment",#N/A,TRUE,"Fugitive VOC"}</definedName>
    <definedName name="wrn.Fugitive._.VOCs.">{"summary",#N/A,TRUE,"Fugitive VOC";"fugitives",#N/A,TRUE,"Fugitives";"facility fugitives",#N/A,TRUE,"Fugitive VOC";"compressor",#N/A,TRUE,"Fugitive VOC";"compressors",#N/A,TRUE,"Fugitive VOC";"cpi_separator",#N/A,TRUE,"Fugitive VOC";"blowdown",#N/A,TRUE,"Fugitive VOC";"waste treatment",#N/A,TRUE,"Fugitive VOC"}</definedName>
    <definedName name="wrn.hist." localSheetId="1" hidden="1">{"histcost",#N/A,FALSE,"hist-$";"histenergy",#N/A,FALSE,"hist-$"}</definedName>
    <definedName name="wrn.hist." hidden="1">{"histcost",#N/A,FALSE,"hist-$";"histenergy",#N/A,FALSE,"hist-$"}</definedName>
    <definedName name="wrn.Inventory." localSheetId="1">{#N/A,#N/A,FALSE,"Summary";#N/A,#N/A,FALSE,"Painting Summary";#N/A,#N/A,FALSE,"Painting Tank 921";#N/A,#N/A,FALSE,"Painting Tank 561";#N/A,#N/A,FALSE,"Painting Tank 560";#N/A,#N/A,FALSE,"Refrigerants";#N/A,#N/A,FALSE,"Diesel ICE";#N/A,#N/A,FALSE,"Diesel EF";#N/A,#N/A,FALSE,"Natural Gas Combustion";#N/A,#N/A,FALSE,"Nat.Gas-Ext. EF";#N/A,#N/A,FALSE,"Oil-Water Separator";#N/A,#N/A,FALSE,"Fuel Dispensing";#N/A,#N/A,FALSE,"Loading";#N/A,#N/A,FALSE,"Tanks";#N/A,#N/A,FALSE,"Chemicals Throughput";#N/A,#N/A,FALSE,"Fuels Throughput";#N/A,#N/A,FALSE,"Tank Controls";#N/A,#N/A,FALSE,"Degassing";#N/A,#N/A,FALSE,"Fugitives";#N/A,#N/A,FALSE,"Fugitives Fuels and Chemical";#N/A,#N/A,FALSE,"Fugitives Laboratory";#N/A,#N/A,FALSE,"Fugitive Components";#N/A,#N/A,FALSE,"Heavy Components";#N/A,#N/A,FALSE,"Transmix and MAK.GLY";#N/A,#N/A,FALSE,"Oxy_Hydro_CW Speciation";#N/A,#N/A,FALSE,"Speciation";#N/A,#N/A,FALSE,"Headspace"}</definedName>
    <definedName name="wrn.Inventory.">{#N/A,#N/A,FALSE,"Summary";#N/A,#N/A,FALSE,"Painting Summary";#N/A,#N/A,FALSE,"Painting Tank 921";#N/A,#N/A,FALSE,"Painting Tank 561";#N/A,#N/A,FALSE,"Painting Tank 560";#N/A,#N/A,FALSE,"Refrigerants";#N/A,#N/A,FALSE,"Diesel ICE";#N/A,#N/A,FALSE,"Diesel EF";#N/A,#N/A,FALSE,"Natural Gas Combustion";#N/A,#N/A,FALSE,"Nat.Gas-Ext. EF";#N/A,#N/A,FALSE,"Oil-Water Separator";#N/A,#N/A,FALSE,"Fuel Dispensing";#N/A,#N/A,FALSE,"Loading";#N/A,#N/A,FALSE,"Tanks";#N/A,#N/A,FALSE,"Chemicals Throughput";#N/A,#N/A,FALSE,"Fuels Throughput";#N/A,#N/A,FALSE,"Tank Controls";#N/A,#N/A,FALSE,"Degassing";#N/A,#N/A,FALSE,"Fugitives";#N/A,#N/A,FALSE,"Fugitives Fuels and Chemical";#N/A,#N/A,FALSE,"Fugitives Laboratory";#N/A,#N/A,FALSE,"Fugitive Components";#N/A,#N/A,FALSE,"Heavy Components";#N/A,#N/A,FALSE,"Transmix and MAK.GLY";#N/A,#N/A,FALSE,"Oxy_Hydro_CW Speciation";#N/A,#N/A,FALSE,"Speciation";#N/A,#N/A,FALSE,"Headspace"}</definedName>
    <definedName name="wrn.Jan." localSheetId="1" hidden="1">{"detj",#N/A,FALSE,"A";"fpjan",#N/A,FALSE,"A";"garj",#N/A,FALSE,"A";"robj",#N/A,FALSE,"A";"texj",#N/A,FALSE,"A"}</definedName>
    <definedName name="wrn.Jan." hidden="1">{"detj",#N/A,FALSE,"A";"fpjan",#N/A,FALSE,"A";"garj",#N/A,FALSE,"A";"robj",#N/A,FALSE,"A";"texj",#N/A,FALSE,"A"}</definedName>
    <definedName name="wrn.NOx._.and._.SO2." localSheetId="1" hidden="1">{"NOx and SO2",#N/A,FALSE,"NOx &amp; SOx (1)";"NOx and SO2",#N/A,FALSE,"NOx &amp; SOx (2)";"NOx and SO2",#N/A,FALSE,"NOx &amp; SOx (3)"}</definedName>
    <definedName name="wrn.NOx._.and._.SO2." hidden="1">{"NOx and SO2",#N/A,FALSE,"NOx &amp; SOx (1)";"NOx and SO2",#N/A,FALSE,"NOx &amp; SOx (2)";"NOx and SO2",#N/A,FALSE,"NOx &amp; SOx (3)"}</definedName>
    <definedName name="wrn.pap85." localSheetId="1" hidden="1">{#N/A,#N/A,FALSE,"Sheet1";#N/A,#N/A,FALSE,"Sheet2";#N/A,#N/A,FALSE,"Sheet3"}</definedName>
    <definedName name="wrn.pap85." hidden="1">{#N/A,#N/A,FALSE,"Sheet1";#N/A,#N/A,FALSE,"Sheet2";#N/A,#N/A,FALSE,"Sheet3"}</definedName>
    <definedName name="wrn.Permit._.Modification." localSheetId="1" hidden="1">{#N/A,#N/A,FALSE,"Sheet1";#N/A,#N/A,FALSE,"Sheet2";#N/A,#N/A,FALSE,"Sheet3"}</definedName>
    <definedName name="wrn.Permit._.Modification." hidden="1">{#N/A,#N/A,FALSE,"Sheet1";#N/A,#N/A,FALSE,"Sheet2";#N/A,#N/A,FALSE,"Sheet3"}</definedName>
    <definedName name="wrn.Remaining._.Fuel." localSheetId="1" hidden="1">{"Remaining Fuel",#N/A,FALSE,"NOx &amp; SOx"}</definedName>
    <definedName name="wrn.Remaining._.Fuel." hidden="1">{"Remaining Fuel",#N/A,FALSE,"NOx &amp; SOx"}</definedName>
    <definedName name="wrn.Roller._.Mills." localSheetId="1" hidden="1">{#N/A,#N/A,FALSE,"Roller Mills 1";#N/A,#N/A,FALSE,"Roller Mills 2";#N/A,#N/A,FALSE,"Roller Mills 3"}</definedName>
    <definedName name="wrn.Roller._.Mills." hidden="1">{#N/A,#N/A,FALSE,"Roller Mills 1";#N/A,#N/A,FALSE,"Roller Mills 2";#N/A,#N/A,FALSE,"Roller Mills 3"}</definedName>
    <definedName name="wrn.Summary." localSheetId="1">{"CO",#N/A,FALSE,"Summary Sheet";"H2S",#N/A,FALSE,"Summary Sheet";"NOx",#N/A,FALSE,"Summary Sheet";"SO2",#N/A,FALSE,"Summary Sheet";"PM",#N/A,FALSE,"Summary Sheet";"TRS",#N/A,FALSE,"Summary Sheet";"VOCs",#N/A,FALSE,"Summary Sheet"}</definedName>
    <definedName name="wrn.Summary.">{"CO",#N/A,FALSE,"Summary Sheet";"H2S",#N/A,FALSE,"Summary Sheet";"NOx",#N/A,FALSE,"Summary Sheet";"SO2",#N/A,FALSE,"Summary Sheet";"PM",#N/A,FALSE,"Summary Sheet";"TRS",#N/A,FALSE,"Summary Sheet";"VOCs",#N/A,FALSE,"Summary Sheet"}</definedName>
    <definedName name="wrn.T5COMBO._.Report." localSheetId="1">{#N/A,#N/A,FALSE,"Reconciled Quantified Sources";#N/A,#N/A,FALSE,"Source Group Splitting";#N/A,#N/A,FALSE,"CO";#N/A,#N/A,FALSE,"H2S";#N/A,#N/A,FALSE,"NOx";#N/A,#N/A,FALSE,"Other TRS";#N/A,#N/A,FALSE,"SO2";#N/A,#N/A,FALSE,"PM";#N/A,#N/A,FALSE,"VOC";#N/A,#N/A,FALSE,"Other Toxics"}</definedName>
    <definedName name="wrn.T5COMBO._.Report.">{#N/A,#N/A,FALSE,"Reconciled Quantified Sources";#N/A,#N/A,FALSE,"Source Group Splitting";#N/A,#N/A,FALSE,"CO";#N/A,#N/A,FALSE,"H2S";#N/A,#N/A,FALSE,"NOx";#N/A,#N/A,FALSE,"Other TRS";#N/A,#N/A,FALSE,"SO2";#N/A,#N/A,FALSE,"PM";#N/A,#N/A,FALSE,"VOC";#N/A,#N/A,FALSE,"Other Toxics"}</definedName>
    <definedName name="wrn.WorldScaleTrans." localSheetId="1" hidden="1">{"CrudePage2",#N/A,FALSE,"CrudeBasis"}</definedName>
    <definedName name="wrn.WorldScaleTrans." hidden="1">{"CrudePage2",#N/A,FALSE,"CrudeBasis"}</definedName>
    <definedName name="Z_4A691D42_3B2D_11D4_B614_006008A1A1C0_.wvu.PrintArea" hidden="1">#REF!</definedName>
    <definedName name="Z_4A691D4D_3B2D_11D4_B614_006008A1A1C0_.wvu.PrintArea" hidden="1">#REF!</definedName>
    <definedName name="Z_822069C1_5A8E_11D5_B117_006097B6F5C5_.wvu.Cols" hidden="1">#REF!</definedName>
    <definedName name="Z_B8156B4B_0907_11D5_A3D5_0090273149B6_.wvu.PrintTitles" hidden="1">#REF!,#REF!</definedName>
    <definedName name="Z_B8156B4B_0907_11D5_A3D5_0090273149B6_.wvu.Rows" hidden="1">#REF!,#REF!,#REF!,#REF!,#REF!,#REF!,#REF!,#REF!,#REF!,#REF!,#REF!,#REF!,#REF!,#REF!,#REF!,#REF!</definedName>
    <definedName name="Z_DC66756E_0709_11D5_8931_F69EA8DDEA18_.wvu.PrintArea" hidden="1">#REF!</definedName>
    <definedName name="Z_EE5BAD4A_58D6_11D5_B2FD_00805F578C8B_.wvu.PrintTitles" hidden="1">#REF!,#REF!</definedName>
    <definedName name="Z_EE5BAD4A_58D6_11D5_B2FD_00805F578C8B_.wvu.Rows" hidden="1">#REF!,#REF!,#REF!,#REF!,#REF!,#REF!,#REF!,#REF!,#REF!,#REF!,#REF!,#REF!,#REF!,#REF!,#REF!,#REF!</definedName>
    <definedName name="Z_F085D2F4_0CC7_11D5_B841_00B0D03E13D1_.wvu.Cols" hidden="1">#REF!,#REF!</definedName>
    <definedName name="Z_F085D2F4_0CC7_11D5_B841_00B0D03E13D1_.wvu.PrintTitles" hidden="1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7" l="1"/>
  <c r="H68" i="7"/>
  <c r="H69" i="7"/>
  <c r="G83" i="7"/>
  <c r="H48" i="7" s="1"/>
  <c r="E83" i="7"/>
  <c r="F57" i="7" s="1"/>
  <c r="F66" i="7"/>
  <c r="F67" i="7"/>
  <c r="AA30" i="7"/>
  <c r="AB30" i="7" s="1"/>
  <c r="AC30" i="7" s="1"/>
  <c r="AD30" i="7" s="1"/>
  <c r="AE30" i="7" s="1"/>
  <c r="AG38" i="7"/>
  <c r="AF38" i="7"/>
  <c r="AO34" i="7"/>
  <c r="AN34" i="7"/>
  <c r="AM34" i="7"/>
  <c r="AL34" i="7"/>
  <c r="AK34" i="7"/>
  <c r="AJ34" i="7"/>
  <c r="AI34" i="7"/>
  <c r="AH34" i="7"/>
  <c r="AP22" i="7"/>
  <c r="AI23" i="7" s="1"/>
  <c r="AI38" i="7" s="1"/>
  <c r="AG20" i="7"/>
  <c r="AF20" i="7"/>
  <c r="X20" i="7"/>
  <c r="C16" i="7"/>
  <c r="H25" i="5"/>
  <c r="H7" i="5"/>
  <c r="G7" i="5"/>
  <c r="J7" i="5"/>
  <c r="F48" i="7" l="1"/>
  <c r="F47" i="7"/>
  <c r="F82" i="7"/>
  <c r="F65" i="7"/>
  <c r="I65" i="7" s="1"/>
  <c r="K65" i="7" s="1"/>
  <c r="F81" i="7"/>
  <c r="I81" i="7" s="1"/>
  <c r="F61" i="7"/>
  <c r="F54" i="7"/>
  <c r="F72" i="7"/>
  <c r="I72" i="7" s="1"/>
  <c r="F53" i="7"/>
  <c r="H76" i="7"/>
  <c r="J76" i="7" s="1"/>
  <c r="H52" i="7"/>
  <c r="J52" i="7" s="1"/>
  <c r="H65" i="7"/>
  <c r="J65" i="7" s="1"/>
  <c r="F64" i="7"/>
  <c r="I64" i="7" s="1"/>
  <c r="H64" i="7"/>
  <c r="H45" i="7"/>
  <c r="J45" i="7" s="1"/>
  <c r="F60" i="7"/>
  <c r="H58" i="7"/>
  <c r="F77" i="7"/>
  <c r="I77" i="7" s="1"/>
  <c r="H81" i="7"/>
  <c r="J81" i="7" s="1"/>
  <c r="F76" i="7"/>
  <c r="F56" i="7"/>
  <c r="I56" i="7" s="1"/>
  <c r="K56" i="7" s="1"/>
  <c r="H56" i="7"/>
  <c r="F73" i="7"/>
  <c r="I73" i="7" s="1"/>
  <c r="H53" i="7"/>
  <c r="J53" i="7" s="1"/>
  <c r="F70" i="7"/>
  <c r="I70" i="7" s="1"/>
  <c r="F52" i="7"/>
  <c r="H71" i="7"/>
  <c r="J71" i="7" s="1"/>
  <c r="H47" i="7"/>
  <c r="F79" i="7"/>
  <c r="H59" i="7"/>
  <c r="J59" i="7" s="1"/>
  <c r="F78" i="7"/>
  <c r="I78" i="7" s="1"/>
  <c r="H82" i="7"/>
  <c r="F58" i="7"/>
  <c r="I58" i="7" s="1"/>
  <c r="H80" i="7"/>
  <c r="J80" i="7" s="1"/>
  <c r="H77" i="7"/>
  <c r="J77" i="7" s="1"/>
  <c r="F69" i="7"/>
  <c r="F51" i="7"/>
  <c r="I51" i="7" s="1"/>
  <c r="H70" i="7"/>
  <c r="H46" i="7"/>
  <c r="J46" i="7" s="1"/>
  <c r="H57" i="7"/>
  <c r="J57" i="7" s="1"/>
  <c r="AP20" i="7"/>
  <c r="AE21" i="7" s="1"/>
  <c r="F75" i="7"/>
  <c r="I75" i="7" s="1"/>
  <c r="K75" i="7" s="1"/>
  <c r="F63" i="7"/>
  <c r="I63" i="7" s="1"/>
  <c r="F50" i="7"/>
  <c r="I50" i="7" s="1"/>
  <c r="H79" i="7"/>
  <c r="J79" i="7" s="1"/>
  <c r="H67" i="7"/>
  <c r="J67" i="7" s="1"/>
  <c r="H55" i="7"/>
  <c r="J55" i="7" s="1"/>
  <c r="I82" i="7"/>
  <c r="I47" i="7"/>
  <c r="F74" i="7"/>
  <c r="I74" i="7" s="1"/>
  <c r="F62" i="7"/>
  <c r="I62" i="7" s="1"/>
  <c r="F49" i="7"/>
  <c r="I49" i="7" s="1"/>
  <c r="H78" i="7"/>
  <c r="J78" i="7" s="1"/>
  <c r="H66" i="7"/>
  <c r="J66" i="7" s="1"/>
  <c r="H54" i="7"/>
  <c r="J54" i="7" s="1"/>
  <c r="I69" i="7"/>
  <c r="I57" i="7"/>
  <c r="J48" i="7"/>
  <c r="J47" i="7"/>
  <c r="I79" i="7"/>
  <c r="J58" i="7"/>
  <c r="F45" i="7"/>
  <c r="F71" i="7"/>
  <c r="I71" i="7" s="1"/>
  <c r="F59" i="7"/>
  <c r="I59" i="7" s="1"/>
  <c r="F46" i="7"/>
  <c r="I46" i="7" s="1"/>
  <c r="H75" i="7"/>
  <c r="J75" i="7" s="1"/>
  <c r="H63" i="7"/>
  <c r="J63" i="7" s="1"/>
  <c r="H51" i="7"/>
  <c r="J51" i="7" s="1"/>
  <c r="I66" i="7"/>
  <c r="I54" i="7"/>
  <c r="J69" i="7"/>
  <c r="I48" i="7"/>
  <c r="J82" i="7"/>
  <c r="H74" i="7"/>
  <c r="J74" i="7" s="1"/>
  <c r="H62" i="7"/>
  <c r="J62" i="7" s="1"/>
  <c r="H50" i="7"/>
  <c r="J50" i="7" s="1"/>
  <c r="I53" i="7"/>
  <c r="K53" i="7" s="1"/>
  <c r="J68" i="7"/>
  <c r="J56" i="7"/>
  <c r="I67" i="7"/>
  <c r="J70" i="7"/>
  <c r="H73" i="7"/>
  <c r="J73" i="7" s="1"/>
  <c r="H61" i="7"/>
  <c r="J61" i="7" s="1"/>
  <c r="H49" i="7"/>
  <c r="I76" i="7"/>
  <c r="I52" i="7"/>
  <c r="I60" i="7"/>
  <c r="F80" i="7"/>
  <c r="I80" i="7" s="1"/>
  <c r="F68" i="7"/>
  <c r="I68" i="7" s="1"/>
  <c r="K68" i="7" s="1"/>
  <c r="F55" i="7"/>
  <c r="I55" i="7" s="1"/>
  <c r="H72" i="7"/>
  <c r="J72" i="7" s="1"/>
  <c r="H60" i="7"/>
  <c r="J60" i="7" s="1"/>
  <c r="I61" i="7"/>
  <c r="J64" i="7"/>
  <c r="AE34" i="7"/>
  <c r="V23" i="7"/>
  <c r="V38" i="7" s="1"/>
  <c r="K23" i="7"/>
  <c r="K38" i="7" s="1"/>
  <c r="L23" i="7"/>
  <c r="L38" i="7" s="1"/>
  <c r="M23" i="7"/>
  <c r="M38" i="7" s="1"/>
  <c r="AK23" i="7"/>
  <c r="AK38" i="7" s="1"/>
  <c r="AC23" i="7"/>
  <c r="AC38" i="7" s="1"/>
  <c r="AJ23" i="7"/>
  <c r="AJ38" i="7" s="1"/>
  <c r="O23" i="7"/>
  <c r="O38" i="7" s="1"/>
  <c r="AL23" i="7"/>
  <c r="T23" i="7"/>
  <c r="T38" i="7" s="1"/>
  <c r="C23" i="7"/>
  <c r="C38" i="7" s="1"/>
  <c r="J23" i="7"/>
  <c r="J38" i="7" s="1"/>
  <c r="AH23" i="7"/>
  <c r="AH38" i="7" s="1"/>
  <c r="AM23" i="7"/>
  <c r="AM38" i="7" s="1"/>
  <c r="N21" i="7"/>
  <c r="N34" i="7" s="1"/>
  <c r="Q21" i="7"/>
  <c r="Q34" i="7" s="1"/>
  <c r="P23" i="7"/>
  <c r="Q23" i="7"/>
  <c r="Q38" i="7" s="1"/>
  <c r="D23" i="7"/>
  <c r="D38" i="7" s="1"/>
  <c r="W23" i="7"/>
  <c r="W38" i="7" s="1"/>
  <c r="E23" i="7"/>
  <c r="E38" i="7" s="1"/>
  <c r="X23" i="7"/>
  <c r="X38" i="7" s="1"/>
  <c r="H23" i="7"/>
  <c r="H38" i="7" s="1"/>
  <c r="Y23" i="7"/>
  <c r="Y38" i="7" s="1"/>
  <c r="AE24" i="7"/>
  <c r="AO24" i="7"/>
  <c r="AN24" i="7"/>
  <c r="AL24" i="7"/>
  <c r="AK24" i="7"/>
  <c r="AJ24" i="7"/>
  <c r="AI24" i="7"/>
  <c r="AM24" i="7"/>
  <c r="AH24" i="7"/>
  <c r="AG25" i="7"/>
  <c r="AF25" i="7"/>
  <c r="E21" i="7"/>
  <c r="E34" i="7" s="1"/>
  <c r="AC21" i="7"/>
  <c r="AC34" i="7" s="1"/>
  <c r="U21" i="7"/>
  <c r="U34" i="7" s="1"/>
  <c r="Z21" i="7"/>
  <c r="Z34" i="7" s="1"/>
  <c r="G21" i="7"/>
  <c r="G34" i="7" s="1"/>
  <c r="AD21" i="7"/>
  <c r="AD34" i="7" s="1"/>
  <c r="R21" i="7"/>
  <c r="R34" i="7" s="1"/>
  <c r="F21" i="7"/>
  <c r="F34" i="7" s="1"/>
  <c r="AB21" i="7"/>
  <c r="AB34" i="7" s="1"/>
  <c r="P21" i="7"/>
  <c r="P34" i="7" s="1"/>
  <c r="D21" i="7"/>
  <c r="D34" i="7" s="1"/>
  <c r="AA21" i="7"/>
  <c r="AA34" i="7" s="1"/>
  <c r="O21" i="7"/>
  <c r="O34" i="7" s="1"/>
  <c r="C21" i="7"/>
  <c r="C34" i="7" s="1"/>
  <c r="Y21" i="7"/>
  <c r="Y34" i="7" s="1"/>
  <c r="M21" i="7"/>
  <c r="M34" i="7" s="1"/>
  <c r="X21" i="7"/>
  <c r="X34" i="7" s="1"/>
  <c r="L21" i="7"/>
  <c r="L34" i="7" s="1"/>
  <c r="W21" i="7"/>
  <c r="W34" i="7" s="1"/>
  <c r="K21" i="7"/>
  <c r="K34" i="7" s="1"/>
  <c r="H21" i="7"/>
  <c r="H34" i="7" s="1"/>
  <c r="AF21" i="7"/>
  <c r="AF34" i="7" s="1"/>
  <c r="V21" i="7"/>
  <c r="V34" i="7" s="1"/>
  <c r="I21" i="7"/>
  <c r="I34" i="7" s="1"/>
  <c r="AG21" i="7"/>
  <c r="AG34" i="7" s="1"/>
  <c r="J21" i="7"/>
  <c r="J34" i="7" s="1"/>
  <c r="AI25" i="7"/>
  <c r="N23" i="7"/>
  <c r="Z23" i="7"/>
  <c r="Z38" i="7" s="1"/>
  <c r="AN23" i="7"/>
  <c r="AA23" i="7"/>
  <c r="AA38" i="7" s="1"/>
  <c r="AO23" i="7"/>
  <c r="AO38" i="7" s="1"/>
  <c r="AB23" i="7"/>
  <c r="AB38" i="7" s="1"/>
  <c r="F23" i="7"/>
  <c r="F38" i="7" s="1"/>
  <c r="R23" i="7"/>
  <c r="R38" i="7" s="1"/>
  <c r="AD23" i="7"/>
  <c r="AD38" i="7" s="1"/>
  <c r="G23" i="7"/>
  <c r="G38" i="7" s="1"/>
  <c r="S23" i="7"/>
  <c r="S38" i="7" s="1"/>
  <c r="AE23" i="7"/>
  <c r="AE38" i="7" s="1"/>
  <c r="I23" i="7"/>
  <c r="I38" i="7" s="1"/>
  <c r="U23" i="7"/>
  <c r="U38" i="7" s="1"/>
  <c r="J27" i="5"/>
  <c r="C103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R68" i="5"/>
  <c r="Q68" i="5"/>
  <c r="P68" i="5"/>
  <c r="L68" i="5"/>
  <c r="K68" i="5"/>
  <c r="J68" i="5"/>
  <c r="H68" i="5"/>
  <c r="G68" i="5"/>
  <c r="F68" i="5"/>
  <c r="C68" i="5"/>
  <c r="U67" i="5"/>
  <c r="U68" i="5" s="1"/>
  <c r="T67" i="5"/>
  <c r="T68" i="5" s="1"/>
  <c r="S67" i="5"/>
  <c r="S68" i="5" s="1"/>
  <c r="R67" i="5"/>
  <c r="Q67" i="5"/>
  <c r="P67" i="5"/>
  <c r="O67" i="5"/>
  <c r="O68" i="5" s="1"/>
  <c r="N67" i="5"/>
  <c r="N68" i="5" s="1"/>
  <c r="M67" i="5"/>
  <c r="M68" i="5" s="1"/>
  <c r="L67" i="5"/>
  <c r="K67" i="5"/>
  <c r="J67" i="5"/>
  <c r="I67" i="5"/>
  <c r="I68" i="5" s="1"/>
  <c r="F67" i="5"/>
  <c r="C67" i="5"/>
  <c r="Q65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C50" i="5"/>
  <c r="F50" i="5" s="1"/>
  <c r="F48" i="5"/>
  <c r="C48" i="5"/>
  <c r="C47" i="5"/>
  <c r="F47" i="5" s="1"/>
  <c r="F46" i="5"/>
  <c r="F45" i="5"/>
  <c r="C45" i="5"/>
  <c r="C44" i="5"/>
  <c r="F44" i="5" s="1"/>
  <c r="F42" i="5"/>
  <c r="C42" i="5"/>
  <c r="C41" i="5"/>
  <c r="F41" i="5" s="1"/>
  <c r="C39" i="5"/>
  <c r="F39" i="5" s="1"/>
  <c r="C38" i="5"/>
  <c r="F38" i="5" s="1"/>
  <c r="F36" i="5"/>
  <c r="C36" i="5"/>
  <c r="O35" i="5"/>
  <c r="F34" i="5"/>
  <c r="C33" i="5"/>
  <c r="F33" i="5" s="1"/>
  <c r="E27" i="5"/>
  <c r="D27" i="5"/>
  <c r="J26" i="5"/>
  <c r="H26" i="5"/>
  <c r="F26" i="5"/>
  <c r="E26" i="5"/>
  <c r="C51" i="5" s="1"/>
  <c r="F51" i="5" s="1"/>
  <c r="J25" i="5"/>
  <c r="F25" i="5"/>
  <c r="E25" i="5"/>
  <c r="K25" i="5" s="1"/>
  <c r="J24" i="5"/>
  <c r="H24" i="5"/>
  <c r="F24" i="5"/>
  <c r="E24" i="5"/>
  <c r="C49" i="5" s="1"/>
  <c r="F49" i="5" s="1"/>
  <c r="J20" i="5"/>
  <c r="H20" i="5"/>
  <c r="F20" i="5"/>
  <c r="E20" i="5"/>
  <c r="K20" i="5" s="1"/>
  <c r="J19" i="5"/>
  <c r="H19" i="5"/>
  <c r="F19" i="5"/>
  <c r="E19" i="5"/>
  <c r="C43" i="5" s="1"/>
  <c r="F43" i="5" s="1"/>
  <c r="J17" i="5"/>
  <c r="H17" i="5"/>
  <c r="F17" i="5"/>
  <c r="E17" i="5"/>
  <c r="C46" i="5" s="1"/>
  <c r="J16" i="5"/>
  <c r="H16" i="5"/>
  <c r="F16" i="5"/>
  <c r="E16" i="5"/>
  <c r="K16" i="5" s="1"/>
  <c r="J15" i="5"/>
  <c r="H15" i="5"/>
  <c r="F15" i="5"/>
  <c r="E15" i="5"/>
  <c r="C40" i="5" s="1"/>
  <c r="F40" i="5" s="1"/>
  <c r="J14" i="5"/>
  <c r="H14" i="5"/>
  <c r="F14" i="5"/>
  <c r="E14" i="5"/>
  <c r="K14" i="5" s="1"/>
  <c r="J13" i="5"/>
  <c r="H13" i="5"/>
  <c r="F13" i="5"/>
  <c r="E13" i="5"/>
  <c r="K13" i="5" s="1"/>
  <c r="J12" i="5"/>
  <c r="H12" i="5"/>
  <c r="F12" i="5"/>
  <c r="E12" i="5"/>
  <c r="C37" i="5" s="1"/>
  <c r="F37" i="5" s="1"/>
  <c r="J11" i="5"/>
  <c r="H11" i="5"/>
  <c r="F11" i="5"/>
  <c r="E11" i="5"/>
  <c r="K11" i="5" s="1"/>
  <c r="Q10" i="5"/>
  <c r="H27" i="5" s="1"/>
  <c r="K10" i="5"/>
  <c r="J10" i="5"/>
  <c r="H10" i="5"/>
  <c r="F10" i="5"/>
  <c r="E10" i="5"/>
  <c r="C35" i="5" s="1"/>
  <c r="F35" i="5" s="1"/>
  <c r="K9" i="5"/>
  <c r="J9" i="5"/>
  <c r="H9" i="5"/>
  <c r="F9" i="5"/>
  <c r="E9" i="5"/>
  <c r="C34" i="5" s="1"/>
  <c r="K8" i="5"/>
  <c r="J8" i="5"/>
  <c r="H8" i="5"/>
  <c r="F8" i="5"/>
  <c r="E8" i="5"/>
  <c r="K7" i="5"/>
  <c r="F7" i="5"/>
  <c r="E7" i="5"/>
  <c r="C32" i="5" s="1"/>
  <c r="K78" i="7" l="1"/>
  <c r="K77" i="7"/>
  <c r="K76" i="7"/>
  <c r="K70" i="7"/>
  <c r="K80" i="7"/>
  <c r="K46" i="7"/>
  <c r="K82" i="7"/>
  <c r="K59" i="7"/>
  <c r="K67" i="7"/>
  <c r="K71" i="7"/>
  <c r="K57" i="7"/>
  <c r="S21" i="7"/>
  <c r="S34" i="7" s="1"/>
  <c r="K52" i="7"/>
  <c r="K74" i="7"/>
  <c r="K72" i="7"/>
  <c r="K47" i="7"/>
  <c r="T21" i="7"/>
  <c r="T34" i="7" s="1"/>
  <c r="H83" i="7"/>
  <c r="K62" i="7"/>
  <c r="K50" i="7"/>
  <c r="K55" i="7"/>
  <c r="K51" i="7"/>
  <c r="K60" i="7"/>
  <c r="K48" i="7"/>
  <c r="K69" i="7"/>
  <c r="K63" i="7"/>
  <c r="F83" i="7"/>
  <c r="K81" i="7"/>
  <c r="J49" i="7"/>
  <c r="J83" i="7" s="1"/>
  <c r="K79" i="7"/>
  <c r="K61" i="7"/>
  <c r="K54" i="7"/>
  <c r="I45" i="7"/>
  <c r="K73" i="7"/>
  <c r="K64" i="7"/>
  <c r="K66" i="7"/>
  <c r="K58" i="7"/>
  <c r="AC25" i="7"/>
  <c r="AF24" i="7"/>
  <c r="AF26" i="7" s="1"/>
  <c r="J25" i="7"/>
  <c r="Q25" i="7"/>
  <c r="G25" i="7"/>
  <c r="N24" i="7"/>
  <c r="L25" i="7"/>
  <c r="Q24" i="7"/>
  <c r="AJ25" i="7"/>
  <c r="AJ26" i="7" s="1"/>
  <c r="K25" i="7"/>
  <c r="AH25" i="7"/>
  <c r="AH26" i="7" s="1"/>
  <c r="Y25" i="7"/>
  <c r="AK25" i="7"/>
  <c r="AK26" i="7" s="1"/>
  <c r="AE25" i="7"/>
  <c r="AE26" i="7" s="1"/>
  <c r="D25" i="7"/>
  <c r="O25" i="7"/>
  <c r="W25" i="7"/>
  <c r="AM25" i="7"/>
  <c r="AM26" i="7" s="1"/>
  <c r="V25" i="7"/>
  <c r="AL38" i="7"/>
  <c r="AL25" i="7"/>
  <c r="AL26" i="7" s="1"/>
  <c r="AD25" i="7"/>
  <c r="X25" i="7"/>
  <c r="F24" i="7"/>
  <c r="D24" i="7"/>
  <c r="M25" i="7"/>
  <c r="E24" i="7"/>
  <c r="Z24" i="7"/>
  <c r="AO25" i="7"/>
  <c r="AO26" i="7" s="1"/>
  <c r="P38" i="7"/>
  <c r="P25" i="7"/>
  <c r="C24" i="7"/>
  <c r="H25" i="7"/>
  <c r="I24" i="7"/>
  <c r="T25" i="7"/>
  <c r="C25" i="7"/>
  <c r="K24" i="7"/>
  <c r="X24" i="7"/>
  <c r="E25" i="7"/>
  <c r="AA25" i="7"/>
  <c r="O24" i="7"/>
  <c r="AG24" i="7"/>
  <c r="AG26" i="7" s="1"/>
  <c r="AI26" i="7"/>
  <c r="P24" i="7"/>
  <c r="R25" i="7"/>
  <c r="AP23" i="7"/>
  <c r="R24" i="7"/>
  <c r="AA24" i="7"/>
  <c r="AB24" i="7"/>
  <c r="AN38" i="7"/>
  <c r="AN25" i="7"/>
  <c r="AN26" i="7" s="1"/>
  <c r="L24" i="7"/>
  <c r="L26" i="7" s="1"/>
  <c r="Z25" i="7"/>
  <c r="N38" i="7"/>
  <c r="N25" i="7"/>
  <c r="U24" i="7"/>
  <c r="F25" i="7"/>
  <c r="AD24" i="7"/>
  <c r="M24" i="7"/>
  <c r="AC24" i="7"/>
  <c r="H24" i="7"/>
  <c r="Y24" i="7"/>
  <c r="I25" i="7"/>
  <c r="J24" i="7"/>
  <c r="V24" i="7"/>
  <c r="G24" i="7"/>
  <c r="AB25" i="7"/>
  <c r="U25" i="7"/>
  <c r="S25" i="7"/>
  <c r="W24" i="7"/>
  <c r="F59" i="5"/>
  <c r="F69" i="5" s="1"/>
  <c r="C52" i="5"/>
  <c r="F32" i="5"/>
  <c r="F52" i="5" s="1"/>
  <c r="G52" i="5" s="1"/>
  <c r="H59" i="5"/>
  <c r="V58" i="5"/>
  <c r="S59" i="5" s="1"/>
  <c r="E71" i="5"/>
  <c r="N59" i="5"/>
  <c r="N69" i="5" s="1"/>
  <c r="R65" i="5"/>
  <c r="N73" i="5"/>
  <c r="Q59" i="5"/>
  <c r="Q71" i="5" s="1"/>
  <c r="T59" i="5"/>
  <c r="T73" i="5" s="1"/>
  <c r="E59" i="5"/>
  <c r="K12" i="5"/>
  <c r="K27" i="5" s="1"/>
  <c r="K15" i="5"/>
  <c r="K17" i="5"/>
  <c r="K19" i="5"/>
  <c r="K24" i="5"/>
  <c r="K26" i="5"/>
  <c r="S24" i="7" l="1"/>
  <c r="S26" i="7" s="1"/>
  <c r="AP21" i="7"/>
  <c r="R26" i="7"/>
  <c r="T24" i="7"/>
  <c r="T26" i="7" s="1"/>
  <c r="K45" i="7"/>
  <c r="I83" i="7"/>
  <c r="K49" i="7"/>
  <c r="G26" i="7"/>
  <c r="N26" i="7"/>
  <c r="J26" i="7"/>
  <c r="Q26" i="7"/>
  <c r="Y26" i="7"/>
  <c r="AC26" i="7"/>
  <c r="O26" i="7"/>
  <c r="W26" i="7"/>
  <c r="P26" i="7"/>
  <c r="AP38" i="7"/>
  <c r="Z39" i="7" s="1"/>
  <c r="M26" i="7"/>
  <c r="D26" i="7"/>
  <c r="C26" i="7"/>
  <c r="H26" i="7"/>
  <c r="AP25" i="7"/>
  <c r="AA26" i="7"/>
  <c r="X26" i="7"/>
  <c r="V26" i="7"/>
  <c r="K26" i="7"/>
  <c r="I26" i="7"/>
  <c r="Z26" i="7"/>
  <c r="E26" i="7"/>
  <c r="AD26" i="7"/>
  <c r="F26" i="7"/>
  <c r="U26" i="7"/>
  <c r="AP34" i="7"/>
  <c r="AB26" i="7"/>
  <c r="O33" i="5"/>
  <c r="L14" i="5"/>
  <c r="L20" i="5"/>
  <c r="L25" i="5"/>
  <c r="L13" i="5"/>
  <c r="L10" i="5"/>
  <c r="L11" i="5"/>
  <c r="L16" i="5"/>
  <c r="L9" i="5"/>
  <c r="L8" i="5"/>
  <c r="L7" i="5"/>
  <c r="S89" i="5"/>
  <c r="S86" i="5"/>
  <c r="S87" i="5"/>
  <c r="S71" i="5"/>
  <c r="S85" i="5"/>
  <c r="S88" i="5"/>
  <c r="S63" i="5"/>
  <c r="S73" i="5"/>
  <c r="S69" i="5"/>
  <c r="H88" i="5"/>
  <c r="H85" i="5"/>
  <c r="H63" i="5"/>
  <c r="H87" i="5"/>
  <c r="H89" i="5"/>
  <c r="H86" i="5"/>
  <c r="H71" i="5"/>
  <c r="L24" i="5"/>
  <c r="E87" i="5"/>
  <c r="E69" i="5"/>
  <c r="E88" i="5"/>
  <c r="E85" i="5"/>
  <c r="E63" i="5"/>
  <c r="E89" i="5"/>
  <c r="E86" i="5"/>
  <c r="E73" i="5"/>
  <c r="E74" i="5" s="1"/>
  <c r="F73" i="5"/>
  <c r="F74" i="5" s="1"/>
  <c r="L19" i="5"/>
  <c r="F71" i="5"/>
  <c r="P59" i="5"/>
  <c r="D59" i="5"/>
  <c r="U59" i="5"/>
  <c r="C59" i="5"/>
  <c r="O59" i="5"/>
  <c r="J59" i="5"/>
  <c r="I59" i="5"/>
  <c r="M59" i="5"/>
  <c r="K59" i="5"/>
  <c r="L26" i="5"/>
  <c r="T69" i="5"/>
  <c r="L17" i="5"/>
  <c r="G59" i="5"/>
  <c r="R59" i="5"/>
  <c r="L15" i="5"/>
  <c r="T88" i="5"/>
  <c r="T85" i="5"/>
  <c r="T63" i="5"/>
  <c r="T87" i="5"/>
  <c r="T89" i="5"/>
  <c r="T86" i="5"/>
  <c r="N87" i="5"/>
  <c r="N63" i="5"/>
  <c r="N88" i="5"/>
  <c r="N85" i="5"/>
  <c r="N89" i="5"/>
  <c r="N86" i="5"/>
  <c r="H52" i="5"/>
  <c r="O32" i="5" s="1"/>
  <c r="O36" i="5" s="1"/>
  <c r="O37" i="5" s="1"/>
  <c r="O40" i="5" s="1"/>
  <c r="I52" i="5"/>
  <c r="T71" i="5"/>
  <c r="T74" i="5" s="1"/>
  <c r="L59" i="5"/>
  <c r="L12" i="5"/>
  <c r="Q87" i="5"/>
  <c r="Q88" i="5"/>
  <c r="Q85" i="5"/>
  <c r="Q63" i="5"/>
  <c r="Q89" i="5"/>
  <c r="Q73" i="5"/>
  <c r="Q86" i="5"/>
  <c r="H73" i="5"/>
  <c r="H69" i="5"/>
  <c r="Q69" i="5"/>
  <c r="N71" i="5"/>
  <c r="N74" i="5" s="1"/>
  <c r="F86" i="5"/>
  <c r="F88" i="5"/>
  <c r="F85" i="5"/>
  <c r="F63" i="5"/>
  <c r="F89" i="5"/>
  <c r="F87" i="5"/>
  <c r="AP24" i="7" l="1"/>
  <c r="K83" i="7"/>
  <c r="AC39" i="7"/>
  <c r="AK39" i="7"/>
  <c r="I39" i="7"/>
  <c r="G39" i="7"/>
  <c r="R39" i="7"/>
  <c r="S39" i="7"/>
  <c r="F39" i="7"/>
  <c r="AE39" i="7"/>
  <c r="L39" i="7"/>
  <c r="AF39" i="7"/>
  <c r="AH39" i="7"/>
  <c r="AB39" i="7"/>
  <c r="AI39" i="7"/>
  <c r="U39" i="7"/>
  <c r="AL39" i="7"/>
  <c r="AN39" i="7"/>
  <c r="T39" i="7"/>
  <c r="AM39" i="7"/>
  <c r="C39" i="7"/>
  <c r="E39" i="7"/>
  <c r="J39" i="7"/>
  <c r="O39" i="7"/>
  <c r="V39" i="7"/>
  <c r="AD39" i="7"/>
  <c r="Y39" i="7"/>
  <c r="P39" i="7"/>
  <c r="AG39" i="7"/>
  <c r="AJ39" i="7"/>
  <c r="N39" i="7"/>
  <c r="X39" i="7"/>
  <c r="K39" i="7"/>
  <c r="W39" i="7"/>
  <c r="AA39" i="7"/>
  <c r="Q39" i="7"/>
  <c r="H39" i="7"/>
  <c r="AO39" i="7"/>
  <c r="M39" i="7"/>
  <c r="D39" i="7"/>
  <c r="AP26" i="7"/>
  <c r="AB27" i="7" s="1"/>
  <c r="AB42" i="7" s="1"/>
  <c r="AO35" i="7"/>
  <c r="AH35" i="7"/>
  <c r="AL35" i="7"/>
  <c r="AK35" i="7"/>
  <c r="N35" i="7"/>
  <c r="Q35" i="7"/>
  <c r="AE35" i="7"/>
  <c r="AI35" i="7"/>
  <c r="AM35" i="7"/>
  <c r="AJ35" i="7"/>
  <c r="AN35" i="7"/>
  <c r="S35" i="7"/>
  <c r="AC35" i="7"/>
  <c r="P35" i="7"/>
  <c r="J35" i="7"/>
  <c r="K35" i="7"/>
  <c r="W35" i="7"/>
  <c r="X35" i="7"/>
  <c r="H35" i="7"/>
  <c r="F35" i="7"/>
  <c r="AF35" i="7"/>
  <c r="T35" i="7"/>
  <c r="AG35" i="7"/>
  <c r="AA35" i="7"/>
  <c r="AB35" i="7"/>
  <c r="O35" i="7"/>
  <c r="Y35" i="7"/>
  <c r="M35" i="7"/>
  <c r="I35" i="7"/>
  <c r="R35" i="7"/>
  <c r="G35" i="7"/>
  <c r="Z35" i="7"/>
  <c r="U35" i="7"/>
  <c r="D35" i="7"/>
  <c r="L35" i="7"/>
  <c r="E35" i="7"/>
  <c r="AD35" i="7"/>
  <c r="V35" i="7"/>
  <c r="C35" i="7"/>
  <c r="D87" i="5"/>
  <c r="D89" i="5"/>
  <c r="D86" i="5"/>
  <c r="D69" i="5"/>
  <c r="D88" i="5"/>
  <c r="D85" i="5"/>
  <c r="D63" i="5"/>
  <c r="D73" i="5"/>
  <c r="D74" i="5" s="1"/>
  <c r="D71" i="5"/>
  <c r="L27" i="5"/>
  <c r="M89" i="5"/>
  <c r="M86" i="5"/>
  <c r="M87" i="5"/>
  <c r="M63" i="5"/>
  <c r="M85" i="5"/>
  <c r="M71" i="5"/>
  <c r="M88" i="5"/>
  <c r="M73" i="5"/>
  <c r="M69" i="5"/>
  <c r="G89" i="5"/>
  <c r="G87" i="5"/>
  <c r="G86" i="5"/>
  <c r="G63" i="5"/>
  <c r="G85" i="5"/>
  <c r="G88" i="5"/>
  <c r="G71" i="5"/>
  <c r="G69" i="5"/>
  <c r="G73" i="5"/>
  <c r="G74" i="5" s="1"/>
  <c r="I63" i="5"/>
  <c r="I85" i="5"/>
  <c r="I89" i="5"/>
  <c r="I86" i="5"/>
  <c r="I88" i="5"/>
  <c r="I87" i="5"/>
  <c r="I69" i="5"/>
  <c r="I73" i="5"/>
  <c r="I71" i="5"/>
  <c r="P87" i="5"/>
  <c r="P89" i="5"/>
  <c r="P86" i="5"/>
  <c r="P88" i="5"/>
  <c r="P85" i="5"/>
  <c r="P63" i="5"/>
  <c r="P71" i="5"/>
  <c r="P69" i="5"/>
  <c r="P73" i="5"/>
  <c r="P74" i="5" s="1"/>
  <c r="R89" i="5"/>
  <c r="R86" i="5"/>
  <c r="R88" i="5"/>
  <c r="R85" i="5"/>
  <c r="R63" i="5"/>
  <c r="R87" i="5"/>
  <c r="R71" i="5"/>
  <c r="R73" i="5"/>
  <c r="R69" i="5"/>
  <c r="H74" i="5"/>
  <c r="J87" i="5"/>
  <c r="J89" i="5"/>
  <c r="J86" i="5"/>
  <c r="J88" i="5"/>
  <c r="J85" i="5"/>
  <c r="J63" i="5"/>
  <c r="J69" i="5"/>
  <c r="J73" i="5"/>
  <c r="J74" i="5" s="1"/>
  <c r="J71" i="5"/>
  <c r="O88" i="5"/>
  <c r="O85" i="5"/>
  <c r="O63" i="5"/>
  <c r="O89" i="5"/>
  <c r="O86" i="5"/>
  <c r="O87" i="5"/>
  <c r="O69" i="5"/>
  <c r="O73" i="5"/>
  <c r="O71" i="5"/>
  <c r="Q74" i="5"/>
  <c r="C88" i="5"/>
  <c r="C85" i="5"/>
  <c r="V59" i="5"/>
  <c r="C89" i="5"/>
  <c r="C86" i="5"/>
  <c r="V86" i="5" s="1"/>
  <c r="C69" i="5"/>
  <c r="C87" i="5"/>
  <c r="C71" i="5"/>
  <c r="C73" i="5"/>
  <c r="C74" i="5" s="1"/>
  <c r="S74" i="5"/>
  <c r="L89" i="5"/>
  <c r="L88" i="5"/>
  <c r="L85" i="5"/>
  <c r="L63" i="5"/>
  <c r="L86" i="5"/>
  <c r="L87" i="5"/>
  <c r="L73" i="5"/>
  <c r="L69" i="5"/>
  <c r="L71" i="5"/>
  <c r="K87" i="5"/>
  <c r="K88" i="5"/>
  <c r="K85" i="5"/>
  <c r="K63" i="5"/>
  <c r="K89" i="5"/>
  <c r="K73" i="5"/>
  <c r="K86" i="5"/>
  <c r="K71" i="5"/>
  <c r="K69" i="5"/>
  <c r="U88" i="5"/>
  <c r="U85" i="5"/>
  <c r="U89" i="5"/>
  <c r="U86" i="5"/>
  <c r="U63" i="5"/>
  <c r="U87" i="5"/>
  <c r="U69" i="5"/>
  <c r="U73" i="5"/>
  <c r="U71" i="5"/>
  <c r="L74" i="7" l="1"/>
  <c r="L57" i="7"/>
  <c r="L70" i="7"/>
  <c r="L59" i="7"/>
  <c r="L75" i="7"/>
  <c r="L77" i="7"/>
  <c r="L71" i="7"/>
  <c r="L53" i="7"/>
  <c r="L47" i="7"/>
  <c r="L68" i="7"/>
  <c r="L80" i="7"/>
  <c r="L67" i="7"/>
  <c r="L52" i="7"/>
  <c r="L82" i="7"/>
  <c r="L78" i="7"/>
  <c r="L76" i="7"/>
  <c r="L72" i="7"/>
  <c r="L65" i="7"/>
  <c r="L46" i="7"/>
  <c r="L56" i="7"/>
  <c r="L54" i="7"/>
  <c r="L69" i="7"/>
  <c r="L50" i="7"/>
  <c r="L60" i="7"/>
  <c r="L81" i="7"/>
  <c r="L58" i="7"/>
  <c r="L64" i="7"/>
  <c r="L61" i="7"/>
  <c r="L63" i="7"/>
  <c r="L62" i="7"/>
  <c r="L51" i="7"/>
  <c r="L73" i="7"/>
  <c r="L66" i="7"/>
  <c r="L79" i="7"/>
  <c r="L48" i="7"/>
  <c r="L55" i="7"/>
  <c r="L45" i="7"/>
  <c r="L49" i="7"/>
  <c r="AP39" i="7"/>
  <c r="AP35" i="7"/>
  <c r="AL27" i="7"/>
  <c r="AL42" i="7" s="1"/>
  <c r="AE27" i="7"/>
  <c r="AE42" i="7" s="1"/>
  <c r="X27" i="7"/>
  <c r="X42" i="7" s="1"/>
  <c r="K27" i="7"/>
  <c r="K42" i="7" s="1"/>
  <c r="AF27" i="7"/>
  <c r="AF42" i="7" s="1"/>
  <c r="AM27" i="7"/>
  <c r="AM42" i="7" s="1"/>
  <c r="E27" i="7"/>
  <c r="E42" i="7" s="1"/>
  <c r="Z27" i="7"/>
  <c r="Z42" i="7" s="1"/>
  <c r="G27" i="7"/>
  <c r="G42" i="7" s="1"/>
  <c r="V27" i="7"/>
  <c r="V42" i="7" s="1"/>
  <c r="I27" i="7"/>
  <c r="I42" i="7" s="1"/>
  <c r="Q27" i="7"/>
  <c r="Q42" i="7" s="1"/>
  <c r="L27" i="7"/>
  <c r="L42" i="7" s="1"/>
  <c r="D27" i="7"/>
  <c r="D42" i="7" s="1"/>
  <c r="AI27" i="7"/>
  <c r="AI42" i="7" s="1"/>
  <c r="S27" i="7"/>
  <c r="S42" i="7" s="1"/>
  <c r="AO27" i="7"/>
  <c r="AO42" i="7" s="1"/>
  <c r="AC27" i="7"/>
  <c r="AC42" i="7" s="1"/>
  <c r="Y27" i="7"/>
  <c r="Y42" i="7" s="1"/>
  <c r="AG27" i="7"/>
  <c r="AG42" i="7" s="1"/>
  <c r="AH27" i="7"/>
  <c r="AH42" i="7" s="1"/>
  <c r="C27" i="7"/>
  <c r="T27" i="7"/>
  <c r="T42" i="7" s="1"/>
  <c r="J27" i="7"/>
  <c r="J42" i="7" s="1"/>
  <c r="AN27" i="7"/>
  <c r="AN42" i="7" s="1"/>
  <c r="AK27" i="7"/>
  <c r="AK42" i="7" s="1"/>
  <c r="AJ27" i="7"/>
  <c r="AJ42" i="7" s="1"/>
  <c r="P27" i="7"/>
  <c r="P42" i="7" s="1"/>
  <c r="AD27" i="7"/>
  <c r="AD42" i="7" s="1"/>
  <c r="AA27" i="7"/>
  <c r="AA42" i="7" s="1"/>
  <c r="R27" i="7"/>
  <c r="R42" i="7" s="1"/>
  <c r="O27" i="7"/>
  <c r="O42" i="7" s="1"/>
  <c r="W27" i="7"/>
  <c r="W42" i="7" s="1"/>
  <c r="N27" i="7"/>
  <c r="N42" i="7" s="1"/>
  <c r="M27" i="7"/>
  <c r="M42" i="7" s="1"/>
  <c r="H27" i="7"/>
  <c r="H42" i="7" s="1"/>
  <c r="F27" i="7"/>
  <c r="F42" i="7" s="1"/>
  <c r="U27" i="7"/>
  <c r="U42" i="7" s="1"/>
  <c r="V89" i="5"/>
  <c r="M74" i="5"/>
  <c r="O74" i="5"/>
  <c r="V74" i="5" s="1"/>
  <c r="V75" i="5" s="1"/>
  <c r="K74" i="5"/>
  <c r="V87" i="5"/>
  <c r="V85" i="5"/>
  <c r="U74" i="5"/>
  <c r="V88" i="5"/>
  <c r="L74" i="5"/>
  <c r="V63" i="5"/>
  <c r="C64" i="5" s="1"/>
  <c r="R74" i="5"/>
  <c r="I74" i="5"/>
  <c r="L83" i="7" l="1"/>
  <c r="AP27" i="7"/>
  <c r="C42" i="7"/>
  <c r="J64" i="5"/>
  <c r="J66" i="5" s="1"/>
  <c r="F64" i="5"/>
  <c r="F66" i="5" s="1"/>
  <c r="H64" i="5"/>
  <c r="H66" i="5" s="1"/>
  <c r="N64" i="5"/>
  <c r="N66" i="5" s="1"/>
  <c r="E64" i="5"/>
  <c r="E66" i="5" s="1"/>
  <c r="T64" i="5"/>
  <c r="T66" i="5" s="1"/>
  <c r="S64" i="5"/>
  <c r="S66" i="5" s="1"/>
  <c r="Q64" i="5"/>
  <c r="Q66" i="5" s="1"/>
  <c r="C92" i="5"/>
  <c r="V90" i="5"/>
  <c r="C93" i="5" s="1"/>
  <c r="L64" i="5"/>
  <c r="L66" i="5" s="1"/>
  <c r="U64" i="5"/>
  <c r="U66" i="5" s="1"/>
  <c r="D64" i="5"/>
  <c r="D66" i="5" s="1"/>
  <c r="G64" i="5"/>
  <c r="G66" i="5" s="1"/>
  <c r="M64" i="5"/>
  <c r="M66" i="5" s="1"/>
  <c r="K64" i="5"/>
  <c r="K66" i="5" s="1"/>
  <c r="I64" i="5"/>
  <c r="I66" i="5" s="1"/>
  <c r="P64" i="5"/>
  <c r="P66" i="5" s="1"/>
  <c r="R64" i="5"/>
  <c r="R66" i="5" s="1"/>
  <c r="O64" i="5"/>
  <c r="O66" i="5" s="1"/>
  <c r="AP42" i="7" l="1"/>
  <c r="C43" i="7" s="1"/>
  <c r="C66" i="5"/>
  <c r="V66" i="5" s="1"/>
  <c r="V64" i="5"/>
  <c r="C94" i="5"/>
  <c r="C97" i="5" s="1"/>
  <c r="C96" i="5"/>
  <c r="C95" i="5"/>
  <c r="AB43" i="7" l="1"/>
  <c r="Z43" i="7"/>
  <c r="K43" i="7"/>
  <c r="L43" i="7"/>
  <c r="M43" i="7"/>
  <c r="P43" i="7"/>
  <c r="AG43" i="7"/>
  <c r="AF43" i="7"/>
  <c r="N43" i="7"/>
  <c r="R43" i="7"/>
  <c r="AL43" i="7"/>
  <c r="T43" i="7"/>
  <c r="I43" i="7"/>
  <c r="AO43" i="7"/>
  <c r="H43" i="7"/>
  <c r="E43" i="7"/>
  <c r="AI43" i="7"/>
  <c r="G43" i="7"/>
  <c r="AK43" i="7"/>
  <c r="S43" i="7"/>
  <c r="AN43" i="7"/>
  <c r="X43" i="7"/>
  <c r="J43" i="7"/>
  <c r="AH43" i="7"/>
  <c r="O43" i="7"/>
  <c r="D43" i="7"/>
  <c r="AA43" i="7"/>
  <c r="AC43" i="7"/>
  <c r="AJ43" i="7"/>
  <c r="AM43" i="7"/>
  <c r="AE43" i="7"/>
  <c r="Q43" i="7"/>
  <c r="V43" i="7"/>
  <c r="Y43" i="7"/>
  <c r="U43" i="7"/>
  <c r="W43" i="7"/>
  <c r="F43" i="7"/>
  <c r="AD43" i="7"/>
  <c r="C104" i="5"/>
  <c r="AP43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Nicholes</author>
  </authors>
  <commentList>
    <comment ref="E6" authorId="0" shapeId="0" xr:uid="{A9506F53-C56A-414C-9D35-193345C212F7}">
      <text>
        <r>
          <rPr>
            <b/>
            <sz val="8"/>
            <color indexed="81"/>
            <rFont val="Tahoma"/>
            <family val="2"/>
          </rPr>
          <t>Kathy Nicholes:</t>
        </r>
        <r>
          <rPr>
            <sz val="8"/>
            <color indexed="81"/>
            <rFont val="Tahoma"/>
            <family val="2"/>
          </rPr>
          <t xml:space="preserve">
These are the renormed values (if the nitrogen was zerod)</t>
        </r>
      </text>
    </comment>
  </commentList>
</comments>
</file>

<file path=xl/sharedStrings.xml><?xml version="1.0" encoding="utf-8"?>
<sst xmlns="http://schemas.openxmlformats.org/spreadsheetml/2006/main" count="472" uniqueCount="242">
  <si>
    <t>Fuel Gas Composition and Emission Factor Development</t>
  </si>
  <si>
    <t>Fuel Gas Properties</t>
  </si>
  <si>
    <t>Gross</t>
  </si>
  <si>
    <t>by volume</t>
  </si>
  <si>
    <t>Net</t>
  </si>
  <si>
    <t>Composition, Mol %</t>
  </si>
  <si>
    <t>Renormed, Mol %</t>
  </si>
  <si>
    <t>mole. wt. (kg/kg-mol)</t>
  </si>
  <si>
    <t>Btu/ft3</t>
  </si>
  <si>
    <t>Mbtu</t>
  </si>
  <si>
    <t>MBtu</t>
  </si>
  <si>
    <t>Weight</t>
  </si>
  <si>
    <t>wt%</t>
  </si>
  <si>
    <t>Atomic Weights</t>
  </si>
  <si>
    <t>Conversions</t>
  </si>
  <si>
    <t>H2 (Mole %)</t>
  </si>
  <si>
    <t>Hydrogen</t>
  </si>
  <si>
    <t>Carbon, C</t>
  </si>
  <si>
    <t>kg/metric ton</t>
  </si>
  <si>
    <t>O2 (Mole %)</t>
  </si>
  <si>
    <t>Oxygen</t>
  </si>
  <si>
    <t>Hydrogen, H</t>
  </si>
  <si>
    <t>lb/kg</t>
  </si>
  <si>
    <t>N2 (Mole %)</t>
  </si>
  <si>
    <t>Nitrogen</t>
  </si>
  <si>
    <t>Oxygen,O</t>
  </si>
  <si>
    <t>Btu/MJ</t>
  </si>
  <si>
    <t>H2O (Mole %)</t>
  </si>
  <si>
    <t>Water</t>
  </si>
  <si>
    <t>Nitrogen,N</t>
  </si>
  <si>
    <t>ft3/m3</t>
  </si>
  <si>
    <t>C1 (Mole %)</t>
  </si>
  <si>
    <t>Methane</t>
  </si>
  <si>
    <t>Sulfur,S</t>
  </si>
  <si>
    <t>CO (Mole %)</t>
  </si>
  <si>
    <t>Carbon Monoxide</t>
  </si>
  <si>
    <t>CO2 (Mole %)</t>
  </si>
  <si>
    <t>Carbon Dioxide</t>
  </si>
  <si>
    <t>C2= (Mole %)</t>
  </si>
  <si>
    <t>Ethylene</t>
  </si>
  <si>
    <t>C2 (Mole %)</t>
  </si>
  <si>
    <t>Ethane</t>
  </si>
  <si>
    <t>C3 (Mole %)</t>
  </si>
  <si>
    <t>Propane</t>
  </si>
  <si>
    <t>NC4= (Mole %)</t>
  </si>
  <si>
    <t>C3= (Mole %)</t>
  </si>
  <si>
    <t>IC4 (Mole %)</t>
  </si>
  <si>
    <t>Isobutane</t>
  </si>
  <si>
    <t>NC4 (Mole %)</t>
  </si>
  <si>
    <t>n-Butane</t>
  </si>
  <si>
    <t>TC4= (Mole %)</t>
  </si>
  <si>
    <t>IC4= (Mole %)</t>
  </si>
  <si>
    <t>CC4= (Mole %)</t>
  </si>
  <si>
    <t>IC5 (Mole %)</t>
  </si>
  <si>
    <t>Isopentane</t>
  </si>
  <si>
    <t>NC5 (Mole %)</t>
  </si>
  <si>
    <t>n-Pentane</t>
  </si>
  <si>
    <t>NC6 (Mole %)</t>
  </si>
  <si>
    <t>n-Hexane</t>
  </si>
  <si>
    <t>Total</t>
  </si>
  <si>
    <t>Heats of Combustion data at 60F and 14.696 psia for ideal gas:</t>
  </si>
  <si>
    <t>Data from GPA 2145-16</t>
  </si>
  <si>
    <t>Carbon Content</t>
  </si>
  <si>
    <t>Number of Carbon Atoms/molecule</t>
  </si>
  <si>
    <t>Number of Carbon atoms/100 moles gas</t>
  </si>
  <si>
    <t>Kg carbon/ kg-mole of gas</t>
  </si>
  <si>
    <t>Carbon Share     Kg carbon /Kg gas</t>
  </si>
  <si>
    <t>Weight % Carbon</t>
  </si>
  <si>
    <t>CO2 Emission Factor Calculation</t>
  </si>
  <si>
    <t xml:space="preserve">H2 </t>
  </si>
  <si>
    <t>CC, carbon content:</t>
  </si>
  <si>
    <t>O2</t>
  </si>
  <si>
    <t>MW, molecular weight of the fuel:</t>
  </si>
  <si>
    <t>kg/kg-mol</t>
  </si>
  <si>
    <t>N2</t>
  </si>
  <si>
    <t>MVC, molar volume conversion factor at 68F:</t>
  </si>
  <si>
    <t>H2O</t>
  </si>
  <si>
    <t>scf/kg-mol</t>
  </si>
  <si>
    <t>CH4</t>
  </si>
  <si>
    <t>CO2 EF:</t>
  </si>
  <si>
    <t>metric ton CO2 / scf fuel</t>
  </si>
  <si>
    <t xml:space="preserve">CO </t>
  </si>
  <si>
    <t>kg CO2 / scf fuel</t>
  </si>
  <si>
    <t>CO2</t>
  </si>
  <si>
    <t>40 CFR Part 98 Subpart C equation C-5:</t>
  </si>
  <si>
    <t>metric ton CO2 / scf fuel = 44/12 * CC *MW/MVC * 0.001</t>
  </si>
  <si>
    <t>C2H4</t>
  </si>
  <si>
    <t>C2H6</t>
  </si>
  <si>
    <t>25% safety factor added for CO2:</t>
  </si>
  <si>
    <t>kg/MMBtu</t>
  </si>
  <si>
    <t>C3H8</t>
  </si>
  <si>
    <t>C3H6</t>
  </si>
  <si>
    <t>C4H10</t>
  </si>
  <si>
    <t>C4H8</t>
  </si>
  <si>
    <t>C4= (Mole %)</t>
  </si>
  <si>
    <t>C5H12</t>
  </si>
  <si>
    <t>C6+ (Mole %)</t>
  </si>
  <si>
    <t>C6H14</t>
  </si>
  <si>
    <t>F-Factor</t>
  </si>
  <si>
    <t>LABORATORY STREAM DESCRIPTION
(% by Volume)</t>
  </si>
  <si>
    <r>
      <t xml:space="preserve">ENTER STREAM COMPOSITION </t>
    </r>
    <r>
      <rPr>
        <b/>
        <sz val="10"/>
        <rFont val="Symbol"/>
        <family val="1"/>
        <charset val="2"/>
      </rPr>
      <t>¯</t>
    </r>
  </si>
  <si>
    <t>H2</t>
  </si>
  <si>
    <t>SUM</t>
  </si>
  <si>
    <t>FUEL GAS</t>
  </si>
  <si>
    <t>FUEL GAS - NORMALIZED</t>
  </si>
  <si>
    <t>Molecular Weight</t>
  </si>
  <si>
    <t>lb/100 moles fuel gas</t>
  </si>
  <si>
    <t>% by weight</t>
  </si>
  <si>
    <t>Heat of Combustion - High (MBtu/lb)</t>
  </si>
  <si>
    <t>Contribution to fuel GCV (MBtu/lb)</t>
  </si>
  <si>
    <t>O2 atoms consumed</t>
  </si>
  <si>
    <t>-</t>
  </si>
  <si>
    <t>SCF N2 per SCF Component</t>
  </si>
  <si>
    <t>SCF N2 per SCF</t>
  </si>
  <si>
    <t>SCF CO2 per SCF Component</t>
  </si>
  <si>
    <t>SCF CO2 per SCF</t>
  </si>
  <si>
    <t>SCF H2O per SCF Component</t>
  </si>
  <si>
    <t>SCF H2O per SCF</t>
  </si>
  <si>
    <t>Total SCF per SCF Fuel</t>
  </si>
  <si>
    <t>Total SCF per MMBtu Fuel</t>
  </si>
  <si>
    <t>MW</t>
  </si>
  <si>
    <t>H molecules/mole</t>
  </si>
  <si>
    <t>C molecules/mole</t>
  </si>
  <si>
    <t>S molecules/mole</t>
  </si>
  <si>
    <t>N molecules/mole</t>
  </si>
  <si>
    <t>O molecule/mole</t>
  </si>
  <si>
    <t>H mass contribution (lb/mole gas)</t>
  </si>
  <si>
    <t>C mass contribution (lb/mole gas)</t>
  </si>
  <si>
    <t>S mass contribution (lb/mole gas)</t>
  </si>
  <si>
    <t>N mass contribution (lb/mole gas)</t>
  </si>
  <si>
    <t>O mass contribution (lb/mole gas)</t>
  </si>
  <si>
    <t>Grand Total (lb/mole gas)</t>
  </si>
  <si>
    <t>% H by mass</t>
  </si>
  <si>
    <t>% C by mass</t>
  </si>
  <si>
    <t>% S by mass</t>
  </si>
  <si>
    <t>% N by mass</t>
  </si>
  <si>
    <t>% O by mass</t>
  </si>
  <si>
    <t>Khd</t>
  </si>
  <si>
    <t>Kc</t>
  </si>
  <si>
    <t>Ks</t>
  </si>
  <si>
    <t>Kn</t>
  </si>
  <si>
    <t>Ko</t>
  </si>
  <si>
    <t>K</t>
  </si>
  <si>
    <t>Fd (dscf/10^6 Btu)</t>
  </si>
  <si>
    <t>Assumptions</t>
  </si>
  <si>
    <t>1. Composition data is in % by volume</t>
  </si>
  <si>
    <t>2. Heat of combustion of trans and cis 2-butylene is the same as isobutylene</t>
  </si>
  <si>
    <t>3. C6+ compound heat of combustion = n-hexane</t>
  </si>
  <si>
    <t>H2S</t>
  </si>
  <si>
    <t>Hydrogen Sulfide</t>
  </si>
  <si>
    <t>COS</t>
  </si>
  <si>
    <t>C4</t>
  </si>
  <si>
    <t>C5</t>
  </si>
  <si>
    <t>C6</t>
  </si>
  <si>
    <t>C7</t>
  </si>
  <si>
    <t>C8</t>
  </si>
  <si>
    <t>C9</t>
  </si>
  <si>
    <t>Benzene</t>
  </si>
  <si>
    <t>C6H6</t>
  </si>
  <si>
    <t>Toluene</t>
  </si>
  <si>
    <t>Xylenes</t>
  </si>
  <si>
    <t>Ammonia</t>
  </si>
  <si>
    <t>M Mercaptan</t>
  </si>
  <si>
    <t>E Mercaptan</t>
  </si>
  <si>
    <t>P Mercaptan</t>
  </si>
  <si>
    <t>B Mercaptan</t>
  </si>
  <si>
    <t>C6H5CH3</t>
  </si>
  <si>
    <t>C8H10</t>
  </si>
  <si>
    <t>NH3</t>
  </si>
  <si>
    <t>Propylene</t>
  </si>
  <si>
    <t>Normal Butane</t>
  </si>
  <si>
    <t>Butylene</t>
  </si>
  <si>
    <t>Isobutylene</t>
  </si>
  <si>
    <t>Trans - 2 - butylene</t>
  </si>
  <si>
    <t>Cis - 2 - butylene</t>
  </si>
  <si>
    <t>Normal Pentane</t>
  </si>
  <si>
    <t>Normal Hexane</t>
  </si>
  <si>
    <t>CO</t>
  </si>
  <si>
    <t>C2</t>
  </si>
  <si>
    <t>C2=</t>
  </si>
  <si>
    <t>C3</t>
  </si>
  <si>
    <t>C3=</t>
  </si>
  <si>
    <t>IC4</t>
  </si>
  <si>
    <t>NC4</t>
  </si>
  <si>
    <t>C4=1</t>
  </si>
  <si>
    <t>C4=I</t>
  </si>
  <si>
    <t>TC4=</t>
  </si>
  <si>
    <t>CC4=</t>
  </si>
  <si>
    <t>IC5</t>
  </si>
  <si>
    <t>NC5</t>
  </si>
  <si>
    <t>C6+</t>
  </si>
  <si>
    <t>Fuel Gas</t>
  </si>
  <si>
    <t>1,3-Butadiene</t>
  </si>
  <si>
    <t>C4H6</t>
  </si>
  <si>
    <t>MMBtu/yr</t>
  </si>
  <si>
    <t>MMBtu/hr</t>
  </si>
  <si>
    <t>Combined Streams</t>
  </si>
  <si>
    <t>scf @70 degF/lb-mol</t>
  </si>
  <si>
    <t>lb/100 moles FWS Offgas</t>
  </si>
  <si>
    <t>FWS Offgas</t>
  </si>
  <si>
    <t xml:space="preserve">Variable </t>
  </si>
  <si>
    <t>Value</t>
  </si>
  <si>
    <t>Unit</t>
  </si>
  <si>
    <t>Notes</t>
  </si>
  <si>
    <t>Fuel Gas System</t>
  </si>
  <si>
    <t>Fuel Gas High Heating Value</t>
  </si>
  <si>
    <t>Annual  Heat Input</t>
  </si>
  <si>
    <t>Annual Fuel Gas Flow</t>
  </si>
  <si>
    <t>MMscf/yr</t>
  </si>
  <si>
    <t>dscf/min</t>
  </si>
  <si>
    <t>TO Flow Rate</t>
  </si>
  <si>
    <t>PERMITTED FUEL GAS SYSTEM (MMscf/yr)</t>
  </si>
  <si>
    <t>COMBINED STREAMS TOTAL VOLUME (MMscf/yr)</t>
  </si>
  <si>
    <t xml:space="preserve">FWS OFFGAS (DRY) - NORMALIZED (% by volume) </t>
  </si>
  <si>
    <t xml:space="preserve">FUEL GAS (DRY) - NORMALIZED (% by volume) </t>
  </si>
  <si>
    <t xml:space="preserve">FUEL GAS (% by volume) </t>
  </si>
  <si>
    <t xml:space="preserve">COMBINED STREAMS (DRY) - NORMALIZED (% by volume) </t>
  </si>
  <si>
    <t>Requested TO flow rate limit</t>
  </si>
  <si>
    <t>Assuming FWS offgas is only routed to the fuel gas system 500 hours per year.</t>
  </si>
  <si>
    <t>Martinez Renewable Fuels Facility</t>
  </si>
  <si>
    <t>Response to Incompleteness Letter for the Application for Foul Water Strippers Permit Modification</t>
  </si>
  <si>
    <t>STREAM DESCRIPTION</t>
  </si>
  <si>
    <t>Btu/SCF</t>
  </si>
  <si>
    <t>Fuel gas composition</t>
  </si>
  <si>
    <t>FWS TO Heat Input</t>
  </si>
  <si>
    <t>Annual FWS Flow</t>
  </si>
  <si>
    <t>FWS OFFGS (MMscf/yr)</t>
  </si>
  <si>
    <t xml:space="preserve">[1] December 2025 sampling data from the gas stream after the H2S adsorber.  </t>
  </si>
  <si>
    <t>Proposed heat input</t>
  </si>
  <si>
    <t xml:space="preserve">FUEL GAS
(% by volume) </t>
  </si>
  <si>
    <t xml:space="preserve">FUEL GAS (DRY) - NORMALIZED
(% by volume) </t>
  </si>
  <si>
    <t xml:space="preserve">FWS OFFGAS1
(% by volume) </t>
  </si>
  <si>
    <t xml:space="preserve">FWS OFFGAS (DRY) - NORMALIZED
(% by volume) </t>
  </si>
  <si>
    <t>COMBINED STREAMS TOTAL VOLUME
(MMscf/yr)</t>
  </si>
  <si>
    <t xml:space="preserve">COMBINED STREAMS (DRY) - NORMALIZED
(% by volume) </t>
  </si>
  <si>
    <t>PERMITTED FUEL GAS SYSTEM FLOW
(MMscf/yr)</t>
  </si>
  <si>
    <t>FWS OFFGAS FLOW
(MMscf/yr)</t>
  </si>
  <si>
    <t>Component</t>
  </si>
  <si>
    <r>
      <t>FWS OFFGAS</t>
    </r>
    <r>
      <rPr>
        <vertAlign val="superscript"/>
        <sz val="10"/>
        <rFont val="Aptos Narrow"/>
        <family val="2"/>
        <scheme val="minor"/>
      </rPr>
      <t>1</t>
    </r>
    <r>
      <rPr>
        <sz val="10"/>
        <rFont val="Aptos Narrow"/>
        <family val="2"/>
        <scheme val="minor"/>
      </rPr>
      <t xml:space="preserve"> (% by volume) </t>
    </r>
  </si>
  <si>
    <t>Attachment A - Fuel Gas and FWS Offgas Estimated Stream Composition Calculations</t>
  </si>
  <si>
    <t xml:space="preserve">The following calculations estimate the combined compositions of the fuel gas and foul water stripper (FWS) offgas. </t>
  </si>
  <si>
    <t>Combined permitted annual heat input limit for the combustion devices in the fuel gas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</si>
</sst>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.000_);_(* \(#,##0.000\);_(* &quot;-&quot;??_);_(@_)"/>
    <numFmt numFmtId="165" formatCode="0.000"/>
    <numFmt numFmtId="166" formatCode="0.0"/>
    <numFmt numFmtId="167" formatCode="0.0000"/>
    <numFmt numFmtId="168" formatCode="0.0%"/>
    <numFmt numFmtId="169" formatCode="_(* #,##0_);_(* \(#,##0\);_(* &quot;-&quot;??_);_(@_)"/>
    <numFmt numFmtId="170" formatCode="_(* #,##0.0_);_(* \(#,##0.0\);_(* &quot;-&quot;?_);_(@_)"/>
    <numFmt numFmtId="171" formatCode="0.000%"/>
    <numFmt numFmtId="172" formatCode="0.0000%"/>
    <numFmt numFmtId="173" formatCode="#,##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indexed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10"/>
      <color indexed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0"/>
      <color indexed="8"/>
      <name val="Arial"/>
      <family val="2"/>
    </font>
    <font>
      <b/>
      <sz val="10"/>
      <name val="Symbol"/>
      <family val="1"/>
      <charset val="2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0"/>
      <name val="Aptos Narrow"/>
      <family val="2"/>
      <scheme val="minor"/>
    </font>
    <font>
      <vertAlign val="superscript"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90">
    <xf numFmtId="0" fontId="0" fillId="0" borderId="0" xfId="0"/>
    <xf numFmtId="0" fontId="3" fillId="0" borderId="0" xfId="2" applyFont="1"/>
    <xf numFmtId="2" fontId="2" fillId="0" borderId="0" xfId="3" applyNumberFormat="1"/>
    <xf numFmtId="0" fontId="4" fillId="0" borderId="0" xfId="3" applyFont="1" applyAlignment="1">
      <alignment wrapText="1"/>
    </xf>
    <xf numFmtId="0" fontId="2" fillId="0" borderId="0" xfId="3"/>
    <xf numFmtId="17" fontId="2" fillId="0" borderId="0" xfId="3" applyNumberFormat="1" applyAlignment="1">
      <alignment horizontal="left" wrapText="1"/>
    </xf>
    <xf numFmtId="0" fontId="5" fillId="0" borderId="0" xfId="3" applyFont="1"/>
    <xf numFmtId="2" fontId="2" fillId="0" borderId="0" xfId="3" applyNumberFormat="1" applyAlignment="1">
      <alignment horizontal="left" wrapText="1"/>
    </xf>
    <xf numFmtId="0" fontId="6" fillId="0" borderId="0" xfId="3" applyFont="1" applyAlignment="1">
      <alignment wrapText="1"/>
    </xf>
    <xf numFmtId="0" fontId="7" fillId="0" borderId="1" xfId="3" applyFont="1" applyBorder="1" applyAlignment="1">
      <alignment horizontal="left"/>
    </xf>
    <xf numFmtId="164" fontId="4" fillId="0" borderId="2" xfId="4" applyNumberFormat="1" applyFont="1" applyBorder="1"/>
    <xf numFmtId="0" fontId="7" fillId="0" borderId="2" xfId="3" applyFont="1" applyBorder="1" applyAlignment="1">
      <alignment horizontal="left"/>
    </xf>
    <xf numFmtId="0" fontId="4" fillId="0" borderId="2" xfId="3" applyFont="1" applyBorder="1"/>
    <xf numFmtId="0" fontId="2" fillId="0" borderId="2" xfId="3" applyBorder="1"/>
    <xf numFmtId="0" fontId="4" fillId="0" borderId="3" xfId="3" applyFont="1" applyBorder="1"/>
    <xf numFmtId="0" fontId="2" fillId="0" borderId="4" xfId="3" applyBorder="1"/>
    <xf numFmtId="10" fontId="2" fillId="0" borderId="0" xfId="5" applyNumberFormat="1" applyFont="1" applyAlignment="1">
      <alignment horizontal="right"/>
    </xf>
    <xf numFmtId="2" fontId="2" fillId="0" borderId="0" xfId="5" applyNumberFormat="1" applyFont="1"/>
    <xf numFmtId="0" fontId="2" fillId="0" borderId="5" xfId="3" applyBorder="1"/>
    <xf numFmtId="2" fontId="4" fillId="0" borderId="0" xfId="3" applyNumberFormat="1" applyFont="1" applyAlignment="1">
      <alignment horizontal="left" wrapText="1"/>
    </xf>
    <xf numFmtId="0" fontId="4" fillId="0" borderId="0" xfId="3" applyFont="1" applyAlignment="1">
      <alignment horizontal="right" wrapText="1"/>
    </xf>
    <xf numFmtId="0" fontId="4" fillId="0" borderId="0" xfId="3" applyFont="1"/>
    <xf numFmtId="0" fontId="4" fillId="0" borderId="6" xfId="3" applyFont="1" applyBorder="1"/>
    <xf numFmtId="0" fontId="4" fillId="0" borderId="7" xfId="3" applyFont="1" applyBorder="1"/>
    <xf numFmtId="0" fontId="4" fillId="0" borderId="6" xfId="3" applyFont="1" applyBorder="1" applyAlignment="1">
      <alignment horizontal="right"/>
    </xf>
    <xf numFmtId="0" fontId="4" fillId="0" borderId="7" xfId="3" applyFont="1" applyBorder="1" applyAlignment="1">
      <alignment horizontal="right"/>
    </xf>
    <xf numFmtId="0" fontId="8" fillId="0" borderId="3" xfId="3" applyFont="1" applyBorder="1" applyAlignment="1">
      <alignment wrapText="1"/>
    </xf>
    <xf numFmtId="0" fontId="2" fillId="0" borderId="10" xfId="3" applyBorder="1"/>
    <xf numFmtId="165" fontId="2" fillId="0" borderId="11" xfId="3" applyNumberFormat="1" applyBorder="1"/>
    <xf numFmtId="164" fontId="2" fillId="0" borderId="12" xfId="4" applyNumberFormat="1" applyFont="1" applyFill="1" applyBorder="1" applyAlignment="1">
      <alignment horizontal="right"/>
    </xf>
    <xf numFmtId="2" fontId="2" fillId="0" borderId="12" xfId="3" applyNumberFormat="1" applyBorder="1" applyAlignment="1">
      <alignment horizontal="right"/>
    </xf>
    <xf numFmtId="0" fontId="2" fillId="0" borderId="12" xfId="3" applyBorder="1"/>
    <xf numFmtId="2" fontId="2" fillId="0" borderId="9" xfId="3" applyNumberFormat="1" applyBorder="1"/>
    <xf numFmtId="166" fontId="2" fillId="0" borderId="8" xfId="3" applyNumberFormat="1" applyBorder="1"/>
    <xf numFmtId="2" fontId="2" fillId="0" borderId="11" xfId="3" applyNumberFormat="1" applyBorder="1" applyAlignment="1">
      <alignment horizontal="right"/>
    </xf>
    <xf numFmtId="10" fontId="2" fillId="0" borderId="9" xfId="5" applyNumberFormat="1" applyFont="1" applyFill="1" applyBorder="1" applyAlignment="1">
      <alignment horizontal="right"/>
    </xf>
    <xf numFmtId="0" fontId="2" fillId="0" borderId="13" xfId="3" applyBorder="1" applyAlignment="1">
      <alignment horizontal="center"/>
    </xf>
    <xf numFmtId="0" fontId="2" fillId="0" borderId="14" xfId="3" applyBorder="1" applyAlignment="1">
      <alignment horizontal="center"/>
    </xf>
    <xf numFmtId="0" fontId="2" fillId="0" borderId="13" xfId="3" applyBorder="1"/>
    <xf numFmtId="0" fontId="2" fillId="0" borderId="14" xfId="3" applyBorder="1"/>
    <xf numFmtId="0" fontId="8" fillId="0" borderId="6" xfId="3" applyFont="1" applyBorder="1" applyAlignment="1">
      <alignment wrapText="1"/>
    </xf>
    <xf numFmtId="0" fontId="2" fillId="0" borderId="15" xfId="3" applyBorder="1"/>
    <xf numFmtId="165" fontId="2" fillId="0" borderId="16" xfId="3" applyNumberFormat="1" applyBorder="1"/>
    <xf numFmtId="164" fontId="2" fillId="0" borderId="17" xfId="4" applyNumberFormat="1" applyFont="1" applyFill="1" applyBorder="1" applyAlignment="1">
      <alignment horizontal="right"/>
    </xf>
    <xf numFmtId="2" fontId="2" fillId="0" borderId="17" xfId="3" applyNumberFormat="1" applyBorder="1" applyAlignment="1">
      <alignment horizontal="right"/>
    </xf>
    <xf numFmtId="0" fontId="2" fillId="0" borderId="17" xfId="3" applyBorder="1"/>
    <xf numFmtId="2" fontId="2" fillId="0" borderId="14" xfId="3" applyNumberFormat="1" applyBorder="1"/>
    <xf numFmtId="166" fontId="2" fillId="0" borderId="13" xfId="3" applyNumberFormat="1" applyBorder="1"/>
    <xf numFmtId="2" fontId="2" fillId="0" borderId="16" xfId="3" applyNumberFormat="1" applyBorder="1" applyAlignment="1">
      <alignment horizontal="right"/>
    </xf>
    <xf numFmtId="10" fontId="2" fillId="0" borderId="14" xfId="5" applyNumberFormat="1" applyFont="1" applyFill="1" applyBorder="1" applyAlignment="1">
      <alignment horizontal="right"/>
    </xf>
    <xf numFmtId="2" fontId="2" fillId="0" borderId="18" xfId="3" applyNumberFormat="1" applyBorder="1"/>
    <xf numFmtId="0" fontId="2" fillId="0" borderId="19" xfId="3" applyBorder="1"/>
    <xf numFmtId="0" fontId="2" fillId="0" borderId="18" xfId="3" applyBorder="1" applyAlignment="1">
      <alignment horizontal="center"/>
    </xf>
    <xf numFmtId="0" fontId="2" fillId="0" borderId="19" xfId="3" applyBorder="1" applyAlignment="1">
      <alignment horizontal="center"/>
    </xf>
    <xf numFmtId="0" fontId="6" fillId="0" borderId="20" xfId="3" applyFont="1" applyBorder="1" applyAlignment="1">
      <alignment wrapText="1"/>
    </xf>
    <xf numFmtId="165" fontId="4" fillId="0" borderId="21" xfId="3" applyNumberFormat="1" applyFont="1" applyBorder="1"/>
    <xf numFmtId="164" fontId="4" fillId="0" borderId="22" xfId="4" applyNumberFormat="1" applyFont="1" applyFill="1" applyBorder="1" applyAlignment="1">
      <alignment horizontal="right"/>
    </xf>
    <xf numFmtId="164" fontId="4" fillId="0" borderId="23" xfId="4" applyNumberFormat="1" applyFont="1" applyFill="1" applyBorder="1" applyAlignment="1">
      <alignment horizontal="right"/>
    </xf>
    <xf numFmtId="0" fontId="4" fillId="0" borderId="23" xfId="3" applyFont="1" applyBorder="1"/>
    <xf numFmtId="0" fontId="4" fillId="0" borderId="23" xfId="3" applyFont="1" applyBorder="1" applyAlignment="1">
      <alignment horizontal="right"/>
    </xf>
    <xf numFmtId="2" fontId="4" fillId="0" borderId="24" xfId="3" applyNumberFormat="1" applyFont="1" applyBorder="1"/>
    <xf numFmtId="2" fontId="4" fillId="0" borderId="25" xfId="3" applyNumberFormat="1" applyFont="1" applyBorder="1"/>
    <xf numFmtId="2" fontId="4" fillId="0" borderId="25" xfId="3" applyNumberFormat="1" applyFont="1" applyBorder="1" applyAlignment="1">
      <alignment horizontal="right"/>
    </xf>
    <xf numFmtId="10" fontId="4" fillId="0" borderId="26" xfId="5" applyNumberFormat="1" applyFont="1" applyBorder="1" applyAlignment="1">
      <alignment horizontal="right"/>
    </xf>
    <xf numFmtId="0" fontId="6" fillId="0" borderId="0" xfId="3" applyFont="1"/>
    <xf numFmtId="0" fontId="8" fillId="0" borderId="0" xfId="3" applyFont="1"/>
    <xf numFmtId="165" fontId="2" fillId="0" borderId="0" xfId="3" applyNumberFormat="1"/>
    <xf numFmtId="2" fontId="2" fillId="0" borderId="0" xfId="4" applyNumberFormat="1" applyFont="1" applyAlignment="1">
      <alignment horizontal="right"/>
    </xf>
    <xf numFmtId="164" fontId="2" fillId="0" borderId="0" xfId="4" applyNumberFormat="1" applyFont="1" applyAlignment="1">
      <alignment horizontal="right"/>
    </xf>
    <xf numFmtId="3" fontId="2" fillId="0" borderId="0" xfId="3" applyNumberFormat="1"/>
    <xf numFmtId="1" fontId="2" fillId="0" borderId="0" xfId="3" applyNumberFormat="1"/>
    <xf numFmtId="166" fontId="2" fillId="0" borderId="0" xfId="3" applyNumberFormat="1"/>
    <xf numFmtId="0" fontId="9" fillId="0" borderId="0" xfId="3" applyFont="1"/>
    <xf numFmtId="0" fontId="2" fillId="0" borderId="0" xfId="3" applyAlignment="1">
      <alignment horizontal="center"/>
    </xf>
    <xf numFmtId="0" fontId="2" fillId="0" borderId="27" xfId="3" applyBorder="1"/>
    <xf numFmtId="2" fontId="2" fillId="0" borderId="28" xfId="3" applyNumberFormat="1" applyBorder="1"/>
    <xf numFmtId="0" fontId="2" fillId="0" borderId="28" xfId="3" applyBorder="1"/>
    <xf numFmtId="0" fontId="2" fillId="0" borderId="28" xfId="3" applyBorder="1" applyAlignment="1">
      <alignment horizontal="center" wrapText="1"/>
    </xf>
    <xf numFmtId="2" fontId="2" fillId="0" borderId="28" xfId="3" applyNumberFormat="1" applyBorder="1" applyAlignment="1">
      <alignment horizontal="center" wrapText="1"/>
    </xf>
    <xf numFmtId="0" fontId="2" fillId="0" borderId="29" xfId="3" applyBorder="1" applyAlignment="1">
      <alignment horizontal="center" wrapText="1"/>
    </xf>
    <xf numFmtId="0" fontId="6" fillId="0" borderId="8" xfId="3" applyFont="1" applyBorder="1" applyAlignment="1">
      <alignment wrapText="1"/>
    </xf>
    <xf numFmtId="2" fontId="2" fillId="0" borderId="12" xfId="3" applyNumberFormat="1" applyBorder="1" applyAlignment="1">
      <alignment horizontal="left" wrapText="1"/>
    </xf>
    <xf numFmtId="0" fontId="2" fillId="0" borderId="12" xfId="3" applyBorder="1" applyAlignment="1">
      <alignment horizontal="center"/>
    </xf>
    <xf numFmtId="2" fontId="2" fillId="0" borderId="12" xfId="4" applyNumberFormat="1" applyFont="1" applyBorder="1" applyAlignment="1">
      <alignment horizontal="right"/>
    </xf>
    <xf numFmtId="164" fontId="2" fillId="0" borderId="12" xfId="4" applyNumberFormat="1" applyFont="1" applyBorder="1" applyAlignment="1">
      <alignment horizontal="right"/>
    </xf>
    <xf numFmtId="2" fontId="2" fillId="0" borderId="12" xfId="3" applyNumberFormat="1" applyBorder="1"/>
    <xf numFmtId="3" fontId="2" fillId="0" borderId="9" xfId="3" applyNumberFormat="1" applyBorder="1" applyAlignment="1">
      <alignment horizontal="right"/>
    </xf>
    <xf numFmtId="2" fontId="2" fillId="0" borderId="12" xfId="3" applyNumberFormat="1" applyBorder="1" applyAlignment="1">
      <alignment horizontal="center"/>
    </xf>
    <xf numFmtId="0" fontId="6" fillId="0" borderId="13" xfId="3" applyFont="1" applyBorder="1" applyAlignment="1">
      <alignment wrapText="1"/>
    </xf>
    <xf numFmtId="2" fontId="2" fillId="0" borderId="17" xfId="3" applyNumberFormat="1" applyBorder="1" applyAlignment="1">
      <alignment horizontal="left" wrapText="1"/>
    </xf>
    <xf numFmtId="0" fontId="2" fillId="0" borderId="17" xfId="3" applyBorder="1" applyAlignment="1">
      <alignment horizontal="center"/>
    </xf>
    <xf numFmtId="2" fontId="2" fillId="0" borderId="17" xfId="4" applyNumberFormat="1" applyFont="1" applyBorder="1" applyAlignment="1">
      <alignment horizontal="right"/>
    </xf>
    <xf numFmtId="2" fontId="2" fillId="0" borderId="17" xfId="3" applyNumberFormat="1" applyBorder="1" applyAlignment="1">
      <alignment horizontal="center"/>
    </xf>
    <xf numFmtId="0" fontId="2" fillId="0" borderId="14" xfId="3" applyBorder="1" applyAlignment="1">
      <alignment horizontal="center" wrapText="1"/>
    </xf>
    <xf numFmtId="0" fontId="2" fillId="0" borderId="0" xfId="3" applyAlignment="1">
      <alignment horizontal="center" wrapText="1"/>
    </xf>
    <xf numFmtId="1" fontId="2" fillId="0" borderId="17" xfId="3" applyNumberFormat="1" applyBorder="1" applyAlignment="1">
      <alignment horizontal="center"/>
    </xf>
    <xf numFmtId="43" fontId="2" fillId="0" borderId="17" xfId="3" applyNumberFormat="1" applyBorder="1" applyAlignment="1">
      <alignment horizontal="center"/>
    </xf>
    <xf numFmtId="166" fontId="2" fillId="0" borderId="17" xfId="3" applyNumberFormat="1" applyBorder="1" applyAlignment="1">
      <alignment horizontal="center"/>
    </xf>
    <xf numFmtId="0" fontId="2" fillId="0" borderId="17" xfId="3" applyBorder="1" applyAlignment="1">
      <alignment horizontal="center" wrapText="1"/>
    </xf>
    <xf numFmtId="167" fontId="2" fillId="0" borderId="17" xfId="3" applyNumberFormat="1" applyBorder="1" applyAlignment="1">
      <alignment horizontal="center"/>
    </xf>
    <xf numFmtId="165" fontId="2" fillId="0" borderId="38" xfId="3" applyNumberFormat="1" applyBorder="1" applyAlignment="1">
      <alignment horizontal="center"/>
    </xf>
    <xf numFmtId="0" fontId="10" fillId="0" borderId="0" xfId="3" applyFont="1" applyAlignment="1">
      <alignment horizontal="right"/>
    </xf>
    <xf numFmtId="0" fontId="10" fillId="0" borderId="0" xfId="3" applyFont="1" applyAlignment="1">
      <alignment horizontal="left"/>
    </xf>
    <xf numFmtId="43" fontId="2" fillId="0" borderId="0" xfId="3" applyNumberFormat="1"/>
    <xf numFmtId="0" fontId="4" fillId="0" borderId="0" xfId="3" applyFont="1" applyAlignment="1">
      <alignment horizontal="right"/>
    </xf>
    <xf numFmtId="2" fontId="4" fillId="0" borderId="0" xfId="3" applyNumberFormat="1" applyFont="1"/>
    <xf numFmtId="2" fontId="2" fillId="0" borderId="0" xfId="3" applyNumberFormat="1" applyAlignment="1">
      <alignment horizontal="center"/>
    </xf>
    <xf numFmtId="0" fontId="2" fillId="0" borderId="0" xfId="3" applyAlignment="1">
      <alignment horizontal="left"/>
    </xf>
    <xf numFmtId="167" fontId="4" fillId="0" borderId="0" xfId="3" applyNumberFormat="1" applyFont="1" applyAlignment="1">
      <alignment horizontal="center"/>
    </xf>
    <xf numFmtId="166" fontId="4" fillId="0" borderId="0" xfId="3" applyNumberFormat="1" applyFont="1" applyAlignment="1">
      <alignment horizontal="center"/>
    </xf>
    <xf numFmtId="0" fontId="6" fillId="0" borderId="18" xfId="3" applyFont="1" applyBorder="1" applyAlignment="1">
      <alignment wrapText="1"/>
    </xf>
    <xf numFmtId="2" fontId="2" fillId="0" borderId="38" xfId="3" applyNumberFormat="1" applyBorder="1" applyAlignment="1">
      <alignment horizontal="left" wrapText="1"/>
    </xf>
    <xf numFmtId="0" fontId="2" fillId="0" borderId="38" xfId="3" applyBorder="1" applyAlignment="1">
      <alignment horizontal="center"/>
    </xf>
    <xf numFmtId="2" fontId="2" fillId="0" borderId="38" xfId="4" applyNumberFormat="1" applyFont="1" applyBorder="1" applyAlignment="1">
      <alignment horizontal="right"/>
    </xf>
    <xf numFmtId="43" fontId="2" fillId="0" borderId="38" xfId="3" applyNumberFormat="1" applyBorder="1" applyAlignment="1">
      <alignment horizontal="center"/>
    </xf>
    <xf numFmtId="2" fontId="2" fillId="0" borderId="38" xfId="3" applyNumberFormat="1" applyBorder="1" applyAlignment="1">
      <alignment horizontal="center"/>
    </xf>
    <xf numFmtId="0" fontId="4" fillId="0" borderId="39" xfId="3" applyFont="1" applyBorder="1"/>
    <xf numFmtId="2" fontId="4" fillId="0" borderId="40" xfId="3" applyNumberFormat="1" applyFont="1" applyBorder="1"/>
    <xf numFmtId="0" fontId="4" fillId="0" borderId="40" xfId="3" applyFont="1" applyBorder="1" applyAlignment="1">
      <alignment horizontal="center"/>
    </xf>
    <xf numFmtId="2" fontId="4" fillId="0" borderId="40" xfId="3" applyNumberFormat="1" applyFont="1" applyBorder="1" applyAlignment="1">
      <alignment horizontal="center"/>
    </xf>
    <xf numFmtId="167" fontId="4" fillId="0" borderId="40" xfId="3" applyNumberFormat="1" applyFont="1" applyBorder="1" applyAlignment="1">
      <alignment horizontal="center"/>
    </xf>
    <xf numFmtId="10" fontId="4" fillId="0" borderId="41" xfId="3" applyNumberFormat="1" applyFont="1" applyBorder="1" applyAlignment="1">
      <alignment horizontal="center"/>
    </xf>
    <xf numFmtId="2" fontId="2" fillId="0" borderId="0" xfId="3" applyNumberFormat="1" applyAlignment="1">
      <alignment horizontal="left"/>
    </xf>
    <xf numFmtId="165" fontId="4" fillId="0" borderId="8" xfId="3" applyNumberFormat="1" applyFont="1" applyBorder="1" applyAlignment="1">
      <alignment horizontal="center" vertical="center" wrapText="1"/>
    </xf>
    <xf numFmtId="165" fontId="11" fillId="0" borderId="12" xfId="3" applyNumberFormat="1" applyFont="1" applyBorder="1" applyAlignment="1">
      <alignment horizontal="center" vertical="center" textRotation="90" wrapText="1"/>
    </xf>
    <xf numFmtId="165" fontId="4" fillId="0" borderId="12" xfId="3" applyNumberFormat="1" applyFont="1" applyBorder="1" applyAlignment="1">
      <alignment horizontal="center" vertical="center" textRotation="90" wrapText="1"/>
    </xf>
    <xf numFmtId="165" fontId="2" fillId="0" borderId="9" xfId="3" applyNumberFormat="1" applyBorder="1" applyAlignment="1">
      <alignment horizontal="center"/>
    </xf>
    <xf numFmtId="165" fontId="2" fillId="0" borderId="0" xfId="3" applyNumberFormat="1" applyAlignment="1">
      <alignment horizontal="center"/>
    </xf>
    <xf numFmtId="165" fontId="4" fillId="0" borderId="18" xfId="3" applyNumberFormat="1" applyFont="1" applyBorder="1" applyAlignment="1">
      <alignment horizontal="center" vertical="center"/>
    </xf>
    <xf numFmtId="165" fontId="4" fillId="0" borderId="38" xfId="3" applyNumberFormat="1" applyFont="1" applyBorder="1" applyAlignment="1">
      <alignment horizontal="center" vertical="center"/>
    </xf>
    <xf numFmtId="165" fontId="4" fillId="0" borderId="19" xfId="3" applyNumberFormat="1" applyFont="1" applyBorder="1" applyAlignment="1">
      <alignment horizontal="center" vertical="center"/>
    </xf>
    <xf numFmtId="165" fontId="9" fillId="0" borderId="0" xfId="3" applyNumberFormat="1" applyFont="1" applyAlignment="1">
      <alignment horizontal="center" vertical="center"/>
    </xf>
    <xf numFmtId="165" fontId="2" fillId="0" borderId="42" xfId="3" applyNumberFormat="1" applyBorder="1" applyAlignment="1">
      <alignment horizontal="center" vertical="center"/>
    </xf>
    <xf numFmtId="165" fontId="2" fillId="0" borderId="43" xfId="3" applyNumberFormat="1" applyBorder="1" applyAlignment="1">
      <alignment horizontal="center" vertical="center"/>
    </xf>
    <xf numFmtId="166" fontId="4" fillId="0" borderId="44" xfId="3" applyNumberFormat="1" applyFont="1" applyBorder="1" applyAlignment="1">
      <alignment horizontal="center" vertical="center"/>
    </xf>
    <xf numFmtId="165" fontId="2" fillId="0" borderId="0" xfId="3" applyNumberFormat="1" applyAlignment="1">
      <alignment horizontal="center" vertical="center"/>
    </xf>
    <xf numFmtId="165" fontId="2" fillId="0" borderId="18" xfId="3" applyNumberFormat="1" applyBorder="1" applyAlignment="1">
      <alignment horizontal="center" vertical="center"/>
    </xf>
    <xf numFmtId="165" fontId="2" fillId="0" borderId="38" xfId="3" applyNumberFormat="1" applyBorder="1" applyAlignment="1">
      <alignment horizontal="center" vertical="center"/>
    </xf>
    <xf numFmtId="166" fontId="4" fillId="0" borderId="19" xfId="3" applyNumberFormat="1" applyFont="1" applyBorder="1" applyAlignment="1">
      <alignment horizontal="center" vertical="center"/>
    </xf>
    <xf numFmtId="165" fontId="4" fillId="0" borderId="1" xfId="3" applyNumberFormat="1" applyFont="1" applyBorder="1" applyAlignment="1">
      <alignment horizontal="center"/>
    </xf>
    <xf numFmtId="165" fontId="2" fillId="0" borderId="8" xfId="3" applyNumberFormat="1" applyBorder="1" applyAlignment="1">
      <alignment horizontal="left" vertical="center"/>
    </xf>
    <xf numFmtId="165" fontId="2" fillId="0" borderId="12" xfId="3" applyNumberFormat="1" applyBorder="1" applyAlignment="1">
      <alignment horizontal="center" vertical="center"/>
    </xf>
    <xf numFmtId="165" fontId="2" fillId="0" borderId="32" xfId="3" applyNumberFormat="1" applyBorder="1" applyAlignment="1">
      <alignment horizontal="center" vertical="center"/>
    </xf>
    <xf numFmtId="165" fontId="2" fillId="0" borderId="10" xfId="3" applyNumberFormat="1" applyBorder="1" applyAlignment="1">
      <alignment horizontal="center" vertical="center"/>
    </xf>
    <xf numFmtId="165" fontId="2" fillId="0" borderId="13" xfId="3" applyNumberFormat="1" applyBorder="1" applyAlignment="1">
      <alignment horizontal="left" vertical="center"/>
    </xf>
    <xf numFmtId="165" fontId="2" fillId="0" borderId="17" xfId="3" applyNumberFormat="1" applyBorder="1" applyAlignment="1">
      <alignment horizontal="center" vertical="center"/>
    </xf>
    <xf numFmtId="165" fontId="2" fillId="0" borderId="36" xfId="3" applyNumberFormat="1" applyBorder="1" applyAlignment="1">
      <alignment horizontal="center" vertical="center"/>
    </xf>
    <xf numFmtId="2" fontId="2" fillId="0" borderId="15" xfId="3" applyNumberFormat="1" applyBorder="1" applyAlignment="1">
      <alignment horizontal="center"/>
    </xf>
    <xf numFmtId="165" fontId="2" fillId="0" borderId="13" xfId="3" applyNumberFormat="1" applyBorder="1" applyAlignment="1">
      <alignment horizontal="left"/>
    </xf>
    <xf numFmtId="1" fontId="2" fillId="0" borderId="15" xfId="3" applyNumberFormat="1" applyBorder="1" applyAlignment="1">
      <alignment horizontal="center"/>
    </xf>
    <xf numFmtId="1" fontId="2" fillId="0" borderId="0" xfId="3" applyNumberFormat="1" applyAlignment="1">
      <alignment horizontal="center"/>
    </xf>
    <xf numFmtId="2" fontId="2" fillId="0" borderId="36" xfId="3" applyNumberFormat="1" applyBorder="1" applyAlignment="1">
      <alignment horizontal="center"/>
    </xf>
    <xf numFmtId="165" fontId="4" fillId="0" borderId="0" xfId="3" applyNumberFormat="1" applyFont="1" applyAlignment="1">
      <alignment horizontal="center"/>
    </xf>
    <xf numFmtId="165" fontId="2" fillId="0" borderId="15" xfId="3" applyNumberFormat="1" applyBorder="1" applyAlignment="1">
      <alignment horizontal="center"/>
    </xf>
    <xf numFmtId="165" fontId="2" fillId="0" borderId="18" xfId="3" applyNumberFormat="1" applyBorder="1" applyAlignment="1">
      <alignment horizontal="left"/>
    </xf>
    <xf numFmtId="2" fontId="2" fillId="0" borderId="45" xfId="3" applyNumberFormat="1" applyBorder="1" applyAlignment="1">
      <alignment horizontal="center"/>
    </xf>
    <xf numFmtId="165" fontId="2" fillId="0" borderId="46" xfId="3" applyNumberFormat="1" applyBorder="1" applyAlignment="1">
      <alignment horizontal="center"/>
    </xf>
    <xf numFmtId="165" fontId="4" fillId="0" borderId="20" xfId="3" applyNumberFormat="1" applyFont="1" applyBorder="1" applyAlignment="1">
      <alignment horizontal="left"/>
    </xf>
    <xf numFmtId="2" fontId="2" fillId="0" borderId="47" xfId="3" applyNumberFormat="1" applyBorder="1" applyAlignment="1">
      <alignment horizontal="center"/>
    </xf>
    <xf numFmtId="1" fontId="4" fillId="0" borderId="21" xfId="3" applyNumberFormat="1" applyFont="1" applyBorder="1" applyAlignment="1">
      <alignment horizontal="center"/>
    </xf>
    <xf numFmtId="165" fontId="2" fillId="0" borderId="2" xfId="3" applyNumberFormat="1" applyBorder="1" applyAlignment="1">
      <alignment horizontal="left"/>
    </xf>
    <xf numFmtId="1" fontId="4" fillId="0" borderId="0" xfId="3" applyNumberFormat="1" applyFont="1" applyAlignment="1">
      <alignment horizontal="center"/>
    </xf>
    <xf numFmtId="165" fontId="2" fillId="0" borderId="48" xfId="3" applyNumberFormat="1" applyBorder="1" applyAlignment="1">
      <alignment horizontal="left"/>
    </xf>
    <xf numFmtId="165" fontId="4" fillId="0" borderId="21" xfId="3" applyNumberFormat="1" applyFont="1" applyBorder="1" applyAlignment="1">
      <alignment horizontal="center"/>
    </xf>
    <xf numFmtId="165" fontId="2" fillId="0" borderId="8" xfId="3" applyNumberFormat="1" applyBorder="1" applyAlignment="1">
      <alignment horizontal="left"/>
    </xf>
    <xf numFmtId="1" fontId="2" fillId="0" borderId="12" xfId="3" applyNumberFormat="1" applyBorder="1" applyAlignment="1">
      <alignment horizontal="center"/>
    </xf>
    <xf numFmtId="1" fontId="2" fillId="0" borderId="32" xfId="3" applyNumberFormat="1" applyBorder="1" applyAlignment="1">
      <alignment horizontal="center"/>
    </xf>
    <xf numFmtId="165" fontId="2" fillId="0" borderId="10" xfId="3" applyNumberFormat="1" applyBorder="1" applyAlignment="1">
      <alignment horizontal="center"/>
    </xf>
    <xf numFmtId="1" fontId="2" fillId="0" borderId="36" xfId="3" applyNumberFormat="1" applyBorder="1" applyAlignment="1">
      <alignment horizontal="center"/>
    </xf>
    <xf numFmtId="1" fontId="2" fillId="0" borderId="38" xfId="3" applyNumberFormat="1" applyBorder="1" applyAlignment="1">
      <alignment horizontal="center"/>
    </xf>
    <xf numFmtId="1" fontId="2" fillId="0" borderId="45" xfId="3" applyNumberFormat="1" applyBorder="1" applyAlignment="1">
      <alignment horizontal="center"/>
    </xf>
    <xf numFmtId="165" fontId="2" fillId="0" borderId="49" xfId="3" applyNumberFormat="1" applyBorder="1" applyAlignment="1">
      <alignment horizontal="left"/>
    </xf>
    <xf numFmtId="1" fontId="2" fillId="0" borderId="50" xfId="3" applyNumberFormat="1" applyBorder="1" applyAlignment="1">
      <alignment horizontal="center"/>
    </xf>
    <xf numFmtId="1" fontId="2" fillId="0" borderId="51" xfId="3" applyNumberFormat="1" applyBorder="1" applyAlignment="1">
      <alignment horizontal="center"/>
    </xf>
    <xf numFmtId="165" fontId="2" fillId="0" borderId="12" xfId="3" applyNumberFormat="1" applyBorder="1" applyAlignment="1">
      <alignment horizontal="center"/>
    </xf>
    <xf numFmtId="2" fontId="2" fillId="0" borderId="52" xfId="3" applyNumberFormat="1" applyBorder="1" applyAlignment="1">
      <alignment horizontal="center"/>
    </xf>
    <xf numFmtId="165" fontId="2" fillId="0" borderId="17" xfId="3" applyNumberFormat="1" applyBorder="1" applyAlignment="1">
      <alignment horizontal="center"/>
    </xf>
    <xf numFmtId="165" fontId="2" fillId="0" borderId="14" xfId="3" applyNumberFormat="1" applyBorder="1" applyAlignment="1">
      <alignment horizontal="center"/>
    </xf>
    <xf numFmtId="165" fontId="2" fillId="0" borderId="19" xfId="3" applyNumberFormat="1" applyBorder="1" applyAlignment="1">
      <alignment horizontal="center"/>
    </xf>
    <xf numFmtId="2" fontId="2" fillId="0" borderId="53" xfId="3" applyNumberFormat="1" applyBorder="1" applyAlignment="1">
      <alignment horizontal="center"/>
    </xf>
    <xf numFmtId="165" fontId="4" fillId="0" borderId="20" xfId="3" applyNumberFormat="1" applyFont="1" applyBorder="1"/>
    <xf numFmtId="0" fontId="2" fillId="0" borderId="47" xfId="3" applyBorder="1"/>
    <xf numFmtId="2" fontId="4" fillId="0" borderId="21" xfId="3" applyNumberFormat="1" applyFont="1" applyBorder="1" applyAlignment="1">
      <alignment horizontal="center"/>
    </xf>
    <xf numFmtId="0" fontId="2" fillId="0" borderId="6" xfId="3" applyBorder="1"/>
    <xf numFmtId="165" fontId="4" fillId="0" borderId="0" xfId="3" applyNumberFormat="1" applyFont="1"/>
    <xf numFmtId="2" fontId="4" fillId="0" borderId="0" xfId="3" applyNumberFormat="1" applyFont="1" applyAlignment="1">
      <alignment horizontal="center"/>
    </xf>
    <xf numFmtId="168" fontId="2" fillId="0" borderId="9" xfId="3" applyNumberFormat="1" applyBorder="1" applyAlignment="1">
      <alignment horizontal="center"/>
    </xf>
    <xf numFmtId="168" fontId="2" fillId="0" borderId="14" xfId="3" applyNumberFormat="1" applyBorder="1" applyAlignment="1">
      <alignment horizontal="center"/>
    </xf>
    <xf numFmtId="166" fontId="2" fillId="0" borderId="14" xfId="3" applyNumberFormat="1" applyBorder="1" applyAlignment="1">
      <alignment horizontal="center"/>
    </xf>
    <xf numFmtId="165" fontId="2" fillId="0" borderId="54" xfId="3" applyNumberFormat="1" applyBorder="1" applyAlignment="1">
      <alignment horizontal="left"/>
    </xf>
    <xf numFmtId="1" fontId="2" fillId="0" borderId="55" xfId="3" applyNumberFormat="1" applyBorder="1" applyAlignment="1">
      <alignment horizontal="center"/>
    </xf>
    <xf numFmtId="165" fontId="4" fillId="0" borderId="25" xfId="3" applyNumberFormat="1" applyFont="1" applyBorder="1" applyAlignment="1">
      <alignment horizontal="left"/>
    </xf>
    <xf numFmtId="1" fontId="4" fillId="0" borderId="24" xfId="3" applyNumberFormat="1" applyFont="1" applyBorder="1" applyAlignment="1">
      <alignment horizontal="center"/>
    </xf>
    <xf numFmtId="165" fontId="2" fillId="0" borderId="0" xfId="3" applyNumberFormat="1" applyAlignment="1">
      <alignment horizontal="left"/>
    </xf>
    <xf numFmtId="0" fontId="7" fillId="0" borderId="0" xfId="3" applyFont="1" applyAlignment="1">
      <alignment horizontal="left"/>
    </xf>
    <xf numFmtId="2" fontId="2" fillId="0" borderId="0" xfId="4" applyNumberFormat="1" applyFont="1" applyFill="1" applyBorder="1"/>
    <xf numFmtId="164" fontId="2" fillId="0" borderId="0" xfId="4" applyNumberFormat="1" applyFont="1" applyFill="1" applyBorder="1"/>
    <xf numFmtId="2" fontId="2" fillId="0" borderId="0" xfId="4" applyNumberFormat="1" applyFont="1" applyFill="1" applyBorder="1" applyAlignment="1">
      <alignment horizontal="right"/>
    </xf>
    <xf numFmtId="164" fontId="2" fillId="0" borderId="0" xfId="4" applyNumberFormat="1" applyFont="1" applyFill="1" applyBorder="1" applyAlignment="1">
      <alignment horizontal="right"/>
    </xf>
    <xf numFmtId="0" fontId="2" fillId="0" borderId="0" xfId="3" applyAlignment="1">
      <alignment horizontal="right"/>
    </xf>
    <xf numFmtId="1" fontId="2" fillId="0" borderId="0" xfId="3" applyNumberFormat="1" applyAlignment="1">
      <alignment horizontal="right"/>
    </xf>
    <xf numFmtId="10" fontId="2" fillId="0" borderId="0" xfId="5" applyNumberFormat="1" applyFont="1" applyFill="1" applyBorder="1" applyAlignment="1">
      <alignment horizontal="right"/>
    </xf>
    <xf numFmtId="2" fontId="2" fillId="0" borderId="0" xfId="5" applyNumberFormat="1" applyFont="1" applyFill="1" applyBorder="1"/>
    <xf numFmtId="167" fontId="2" fillId="0" borderId="0" xfId="3" applyNumberFormat="1" applyAlignment="1">
      <alignment horizontal="right"/>
    </xf>
    <xf numFmtId="0" fontId="2" fillId="0" borderId="0" xfId="3" quotePrefix="1" applyAlignment="1">
      <alignment horizontal="right"/>
    </xf>
    <xf numFmtId="166" fontId="2" fillId="0" borderId="0" xfId="3" applyNumberFormat="1" applyAlignment="1">
      <alignment horizontal="right"/>
    </xf>
    <xf numFmtId="2" fontId="2" fillId="0" borderId="0" xfId="3" applyNumberFormat="1" applyAlignment="1">
      <alignment horizontal="right"/>
    </xf>
    <xf numFmtId="2" fontId="2" fillId="0" borderId="0" xfId="4" applyNumberFormat="1" applyFont="1" applyFill="1" applyAlignment="1">
      <alignment horizontal="right"/>
    </xf>
    <xf numFmtId="164" fontId="2" fillId="0" borderId="0" xfId="4" applyNumberFormat="1" applyFont="1" applyFill="1" applyAlignment="1">
      <alignment horizontal="right"/>
    </xf>
    <xf numFmtId="10" fontId="2" fillId="0" borderId="0" xfId="5" applyNumberFormat="1" applyFont="1" applyFill="1" applyAlignment="1">
      <alignment horizontal="right"/>
    </xf>
    <xf numFmtId="2" fontId="2" fillId="0" borderId="0" xfId="5" applyNumberFormat="1" applyFont="1" applyFill="1"/>
    <xf numFmtId="10" fontId="2" fillId="0" borderId="0" xfId="3" applyNumberFormat="1"/>
    <xf numFmtId="169" fontId="2" fillId="0" borderId="0" xfId="4" applyNumberFormat="1" applyFont="1" applyFill="1" applyBorder="1"/>
    <xf numFmtId="170" fontId="2" fillId="0" borderId="0" xfId="3" applyNumberFormat="1"/>
    <xf numFmtId="3" fontId="2" fillId="0" borderId="0" xfId="3" applyNumberFormat="1" applyAlignment="1">
      <alignment horizontal="right"/>
    </xf>
    <xf numFmtId="2" fontId="4" fillId="0" borderId="17" xfId="3" applyNumberFormat="1" applyFont="1" applyBorder="1" applyAlignment="1">
      <alignment horizontal="center"/>
    </xf>
    <xf numFmtId="2" fontId="13" fillId="0" borderId="36" xfId="3" applyNumberFormat="1" applyFont="1" applyBorder="1" applyAlignment="1">
      <alignment horizontal="center"/>
    </xf>
    <xf numFmtId="165" fontId="0" fillId="0" borderId="0" xfId="0" applyNumberFormat="1"/>
    <xf numFmtId="0" fontId="16" fillId="0" borderId="0" xfId="0" applyFont="1"/>
    <xf numFmtId="0" fontId="0" fillId="0" borderId="1" xfId="0" applyBorder="1" applyAlignment="1">
      <alignment horizontal="center"/>
    </xf>
    <xf numFmtId="165" fontId="0" fillId="0" borderId="43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9" fontId="0" fillId="2" borderId="57" xfId="1" applyFont="1" applyFill="1" applyBorder="1" applyAlignment="1">
      <alignment horizontal="center"/>
    </xf>
    <xf numFmtId="10" fontId="2" fillId="0" borderId="17" xfId="3" applyNumberFormat="1" applyBorder="1" applyAlignment="1">
      <alignment horizontal="center" vertical="center"/>
    </xf>
    <xf numFmtId="10" fontId="2" fillId="0" borderId="36" xfId="3" applyNumberFormat="1" applyBorder="1" applyAlignment="1">
      <alignment horizontal="center" vertical="center"/>
    </xf>
    <xf numFmtId="9" fontId="2" fillId="0" borderId="15" xfId="1" applyFont="1" applyBorder="1" applyAlignment="1">
      <alignment horizontal="center"/>
    </xf>
    <xf numFmtId="3" fontId="0" fillId="0" borderId="0" xfId="0" applyNumberFormat="1"/>
    <xf numFmtId="0" fontId="0" fillId="0" borderId="0" xfId="0" applyAlignment="1">
      <alignment wrapText="1"/>
    </xf>
    <xf numFmtId="0" fontId="18" fillId="0" borderId="27" xfId="0" applyFont="1" applyBorder="1"/>
    <xf numFmtId="0" fontId="18" fillId="0" borderId="28" xfId="0" applyFont="1" applyBorder="1"/>
    <xf numFmtId="0" fontId="0" fillId="0" borderId="42" xfId="0" applyBorder="1" applyAlignment="1">
      <alignment vertical="center" wrapText="1"/>
    </xf>
    <xf numFmtId="3" fontId="0" fillId="0" borderId="43" xfId="0" applyNumberForma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0" fillId="0" borderId="43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3" fontId="0" fillId="0" borderId="17" xfId="0" applyNumberFormat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54" xfId="0" applyBorder="1" applyAlignment="1">
      <alignment vertical="center" wrapText="1"/>
    </xf>
    <xf numFmtId="3" fontId="0" fillId="0" borderId="58" xfId="0" applyNumberFormat="1" applyBorder="1" applyAlignment="1">
      <alignment horizontal="center" vertical="center" wrapText="1"/>
    </xf>
    <xf numFmtId="0" fontId="0" fillId="0" borderId="58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8" xfId="0" applyBorder="1" applyAlignment="1">
      <alignment vertical="center" wrapText="1"/>
    </xf>
    <xf numFmtId="0" fontId="0" fillId="0" borderId="0" xfId="0" applyAlignment="1">
      <alignment horizontal="left"/>
    </xf>
    <xf numFmtId="0" fontId="18" fillId="0" borderId="47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10" fontId="0" fillId="2" borderId="36" xfId="1" applyNumberFormat="1" applyFont="1" applyFill="1" applyBorder="1" applyAlignment="1">
      <alignment horizontal="center" vertical="center"/>
    </xf>
    <xf numFmtId="10" fontId="0" fillId="2" borderId="14" xfId="1" applyNumberFormat="1" applyFont="1" applyFill="1" applyBorder="1" applyAlignment="1">
      <alignment horizontal="center" vertical="center"/>
    </xf>
    <xf numFmtId="10" fontId="0" fillId="2" borderId="45" xfId="1" applyNumberFormat="1" applyFont="1" applyFill="1" applyBorder="1" applyAlignment="1">
      <alignment horizontal="center" vertical="center"/>
    </xf>
    <xf numFmtId="10" fontId="0" fillId="2" borderId="19" xfId="1" applyNumberFormat="1" applyFont="1" applyFill="1" applyBorder="1" applyAlignment="1">
      <alignment horizontal="center" vertical="center"/>
    </xf>
    <xf numFmtId="165" fontId="18" fillId="0" borderId="23" xfId="0" applyNumberFormat="1" applyFont="1" applyBorder="1" applyAlignment="1">
      <alignment horizontal="center" vertical="center"/>
    </xf>
    <xf numFmtId="9" fontId="18" fillId="0" borderId="56" xfId="1" applyFont="1" applyBorder="1" applyAlignment="1">
      <alignment horizontal="center" vertical="center"/>
    </xf>
    <xf numFmtId="165" fontId="18" fillId="0" borderId="25" xfId="0" applyNumberFormat="1" applyFont="1" applyBorder="1" applyAlignment="1">
      <alignment horizontal="center" vertical="center"/>
    </xf>
    <xf numFmtId="9" fontId="18" fillId="0" borderId="24" xfId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10" fontId="0" fillId="2" borderId="44" xfId="1" applyNumberFormat="1" applyFont="1" applyFill="1" applyBorder="1" applyAlignment="1">
      <alignment horizontal="center" vertical="center"/>
    </xf>
    <xf numFmtId="10" fontId="0" fillId="2" borderId="63" xfId="1" applyNumberFormat="1" applyFont="1" applyFill="1" applyBorder="1" applyAlignment="1">
      <alignment horizontal="center" vertical="center"/>
    </xf>
    <xf numFmtId="165" fontId="21" fillId="0" borderId="12" xfId="3" applyNumberFormat="1" applyFont="1" applyBorder="1" applyAlignment="1">
      <alignment horizontal="center" vertical="center" textRotation="90" wrapText="1"/>
    </xf>
    <xf numFmtId="165" fontId="20" fillId="0" borderId="12" xfId="3" applyNumberFormat="1" applyFont="1" applyBorder="1" applyAlignment="1">
      <alignment horizontal="center" vertical="center" textRotation="90" wrapText="1"/>
    </xf>
    <xf numFmtId="165" fontId="22" fillId="0" borderId="9" xfId="3" applyNumberFormat="1" applyFont="1" applyBorder="1" applyAlignment="1">
      <alignment horizontal="center" wrapText="1"/>
    </xf>
    <xf numFmtId="165" fontId="20" fillId="0" borderId="38" xfId="3" applyNumberFormat="1" applyFont="1" applyBorder="1" applyAlignment="1">
      <alignment horizontal="center" vertical="center"/>
    </xf>
    <xf numFmtId="165" fontId="20" fillId="0" borderId="19" xfId="3" applyNumberFormat="1" applyFont="1" applyBorder="1" applyAlignment="1">
      <alignment horizontal="center" vertical="center"/>
    </xf>
    <xf numFmtId="165" fontId="22" fillId="0" borderId="42" xfId="3" applyNumberFormat="1" applyFont="1" applyBorder="1" applyAlignment="1">
      <alignment horizontal="center" vertical="center" wrapText="1"/>
    </xf>
    <xf numFmtId="165" fontId="22" fillId="0" borderId="43" xfId="3" applyNumberFormat="1" applyFont="1" applyBorder="1" applyAlignment="1">
      <alignment horizontal="center" vertical="center"/>
    </xf>
    <xf numFmtId="166" fontId="20" fillId="0" borderId="44" xfId="3" applyNumberFormat="1" applyFont="1" applyBorder="1" applyAlignment="1">
      <alignment horizontal="center" vertical="center"/>
    </xf>
    <xf numFmtId="165" fontId="22" fillId="0" borderId="18" xfId="3" applyNumberFormat="1" applyFont="1" applyBorder="1" applyAlignment="1">
      <alignment horizontal="center" vertical="center" wrapText="1"/>
    </xf>
    <xf numFmtId="165" fontId="22" fillId="0" borderId="38" xfId="3" applyNumberFormat="1" applyFont="1" applyBorder="1" applyAlignment="1">
      <alignment horizontal="center" vertical="center"/>
    </xf>
    <xf numFmtId="166" fontId="20" fillId="0" borderId="19" xfId="3" applyNumberFormat="1" applyFont="1" applyBorder="1" applyAlignment="1">
      <alignment horizontal="center" vertical="center"/>
    </xf>
    <xf numFmtId="165" fontId="20" fillId="0" borderId="44" xfId="3" applyNumberFormat="1" applyFont="1" applyBorder="1" applyAlignment="1">
      <alignment horizontal="center" vertical="center"/>
    </xf>
    <xf numFmtId="173" fontId="22" fillId="0" borderId="43" xfId="3" applyNumberFormat="1" applyFont="1" applyBorder="1" applyAlignment="1">
      <alignment horizontal="center" vertical="center"/>
    </xf>
    <xf numFmtId="173" fontId="20" fillId="0" borderId="43" xfId="3" applyNumberFormat="1" applyFont="1" applyBorder="1" applyAlignment="1">
      <alignment horizontal="center" vertical="center"/>
    </xf>
    <xf numFmtId="165" fontId="22" fillId="0" borderId="2" xfId="3" applyNumberFormat="1" applyFont="1" applyBorder="1" applyAlignment="1">
      <alignment vertical="center"/>
    </xf>
    <xf numFmtId="165" fontId="22" fillId="0" borderId="0" xfId="3" applyNumberFormat="1" applyFont="1" applyAlignment="1">
      <alignment horizontal="center" vertical="center"/>
    </xf>
    <xf numFmtId="165" fontId="22" fillId="0" borderId="25" xfId="3" applyNumberFormat="1" applyFont="1" applyBorder="1" applyAlignment="1">
      <alignment horizontal="left" vertical="center"/>
    </xf>
    <xf numFmtId="165" fontId="22" fillId="0" borderId="23" xfId="3" applyNumberFormat="1" applyFont="1" applyBorder="1" applyAlignment="1">
      <alignment horizontal="center" vertical="center"/>
    </xf>
    <xf numFmtId="165" fontId="22" fillId="0" borderId="56" xfId="3" applyNumberFormat="1" applyFont="1" applyBorder="1" applyAlignment="1">
      <alignment horizontal="center" vertical="center"/>
    </xf>
    <xf numFmtId="165" fontId="22" fillId="3" borderId="21" xfId="3" applyNumberFormat="1" applyFont="1" applyFill="1" applyBorder="1" applyAlignment="1">
      <alignment horizontal="center" vertical="center"/>
    </xf>
    <xf numFmtId="165" fontId="22" fillId="0" borderId="0" xfId="3" applyNumberFormat="1" applyFont="1" applyAlignment="1">
      <alignment horizontal="left" vertical="center"/>
    </xf>
    <xf numFmtId="165" fontId="22" fillId="3" borderId="0" xfId="3" applyNumberFormat="1" applyFont="1" applyFill="1" applyAlignment="1">
      <alignment horizontal="center" vertical="center"/>
    </xf>
    <xf numFmtId="165" fontId="22" fillId="0" borderId="1" xfId="3" applyNumberFormat="1" applyFont="1" applyBorder="1" applyAlignment="1">
      <alignment horizontal="center" vertical="center"/>
    </xf>
    <xf numFmtId="165" fontId="20" fillId="0" borderId="1" xfId="3" applyNumberFormat="1" applyFont="1" applyBorder="1" applyAlignment="1">
      <alignment horizontal="center"/>
    </xf>
    <xf numFmtId="165" fontId="22" fillId="0" borderId="8" xfId="3" applyNumberFormat="1" applyFont="1" applyBorder="1" applyAlignment="1">
      <alignment horizontal="center" vertical="center"/>
    </xf>
    <xf numFmtId="165" fontId="22" fillId="0" borderId="12" xfId="3" applyNumberFormat="1" applyFont="1" applyBorder="1" applyAlignment="1">
      <alignment horizontal="center" vertical="center"/>
    </xf>
    <xf numFmtId="2" fontId="22" fillId="0" borderId="10" xfId="3" applyNumberFormat="1" applyFont="1" applyBorder="1" applyAlignment="1">
      <alignment horizontal="center"/>
    </xf>
    <xf numFmtId="165" fontId="22" fillId="2" borderId="18" xfId="3" applyNumberFormat="1" applyFont="1" applyFill="1" applyBorder="1" applyAlignment="1">
      <alignment horizontal="center" vertical="center"/>
    </xf>
    <xf numFmtId="10" fontId="22" fillId="2" borderId="38" xfId="3" applyNumberFormat="1" applyFont="1" applyFill="1" applyBorder="1" applyAlignment="1">
      <alignment horizontal="center" vertical="center"/>
    </xf>
    <xf numFmtId="172" fontId="22" fillId="2" borderId="38" xfId="3" applyNumberFormat="1" applyFont="1" applyFill="1" applyBorder="1" applyAlignment="1">
      <alignment horizontal="center" vertical="center"/>
    </xf>
    <xf numFmtId="9" fontId="22" fillId="2" borderId="46" xfId="1" applyFont="1" applyFill="1" applyBorder="1" applyAlignment="1">
      <alignment horizontal="center"/>
    </xf>
    <xf numFmtId="10" fontId="22" fillId="0" borderId="0" xfId="3" applyNumberFormat="1" applyFont="1" applyAlignment="1">
      <alignment horizontal="center" vertical="center"/>
    </xf>
    <xf numFmtId="171" fontId="22" fillId="0" borderId="0" xfId="3" applyNumberFormat="1" applyFont="1" applyAlignment="1">
      <alignment horizontal="center" vertical="center"/>
    </xf>
    <xf numFmtId="9" fontId="22" fillId="0" borderId="0" xfId="1" applyFont="1" applyFill="1" applyBorder="1" applyAlignment="1">
      <alignment horizontal="center"/>
    </xf>
    <xf numFmtId="165" fontId="22" fillId="2" borderId="54" xfId="3" applyNumberFormat="1" applyFont="1" applyFill="1" applyBorder="1" applyAlignment="1">
      <alignment horizontal="center" vertical="center"/>
    </xf>
    <xf numFmtId="10" fontId="22" fillId="2" borderId="58" xfId="3" applyNumberFormat="1" applyFont="1" applyFill="1" applyBorder="1" applyAlignment="1">
      <alignment horizontal="center" vertical="center"/>
    </xf>
    <xf numFmtId="171" fontId="22" fillId="2" borderId="38" xfId="3" applyNumberFormat="1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165" fontId="25" fillId="0" borderId="8" xfId="0" applyNumberFormat="1" applyFont="1" applyBorder="1" applyAlignment="1">
      <alignment horizontal="center" vertical="center"/>
    </xf>
    <xf numFmtId="165" fontId="25" fillId="0" borderId="9" xfId="0" applyNumberFormat="1" applyFont="1" applyBorder="1" applyAlignment="1">
      <alignment horizontal="center" vertical="center"/>
    </xf>
    <xf numFmtId="165" fontId="25" fillId="0" borderId="11" xfId="0" applyNumberFormat="1" applyFont="1" applyBorder="1" applyAlignment="1">
      <alignment horizontal="center" vertical="center"/>
    </xf>
    <xf numFmtId="165" fontId="25" fillId="0" borderId="32" xfId="0" applyNumberFormat="1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165" fontId="25" fillId="0" borderId="13" xfId="0" applyNumberFormat="1" applyFont="1" applyBorder="1" applyAlignment="1">
      <alignment horizontal="center" vertical="center"/>
    </xf>
    <xf numFmtId="165" fontId="25" fillId="0" borderId="14" xfId="0" applyNumberFormat="1" applyFont="1" applyBorder="1" applyAlignment="1">
      <alignment horizontal="center" vertical="center"/>
    </xf>
    <xf numFmtId="165" fontId="25" fillId="0" borderId="16" xfId="0" applyNumberFormat="1" applyFont="1" applyBorder="1" applyAlignment="1">
      <alignment horizontal="center" vertical="center"/>
    </xf>
    <xf numFmtId="165" fontId="25" fillId="0" borderId="36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165" fontId="25" fillId="0" borderId="18" xfId="0" applyNumberFormat="1" applyFont="1" applyBorder="1" applyAlignment="1">
      <alignment horizontal="center" vertical="center"/>
    </xf>
    <xf numFmtId="165" fontId="25" fillId="0" borderId="19" xfId="0" applyNumberFormat="1" applyFont="1" applyBorder="1" applyAlignment="1">
      <alignment horizontal="center" vertical="center"/>
    </xf>
    <xf numFmtId="165" fontId="25" fillId="0" borderId="60" xfId="0" applyNumberFormat="1" applyFont="1" applyBorder="1" applyAlignment="1">
      <alignment horizontal="center" vertical="center"/>
    </xf>
    <xf numFmtId="165" fontId="25" fillId="0" borderId="45" xfId="0" applyNumberFormat="1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65" fontId="25" fillId="0" borderId="39" xfId="0" applyNumberFormat="1" applyFont="1" applyBorder="1" applyAlignment="1">
      <alignment horizontal="center" vertical="center"/>
    </xf>
    <xf numFmtId="165" fontId="25" fillId="0" borderId="41" xfId="0" applyNumberFormat="1" applyFont="1" applyBorder="1" applyAlignment="1">
      <alignment horizontal="center" vertical="center"/>
    </xf>
    <xf numFmtId="165" fontId="25" fillId="0" borderId="64" xfId="0" applyNumberFormat="1" applyFont="1" applyBorder="1" applyAlignment="1">
      <alignment horizontal="center" vertical="center"/>
    </xf>
    <xf numFmtId="165" fontId="25" fillId="0" borderId="6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165" fontId="0" fillId="0" borderId="62" xfId="0" applyNumberFormat="1" applyBorder="1" applyAlignment="1">
      <alignment horizontal="center" vertical="center"/>
    </xf>
    <xf numFmtId="165" fontId="0" fillId="0" borderId="42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5" fontId="0" fillId="0" borderId="60" xfId="0" applyNumberForma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5" fontId="25" fillId="0" borderId="31" xfId="0" applyNumberFormat="1" applyFont="1" applyBorder="1" applyAlignment="1">
      <alignment horizontal="center" vertical="center"/>
    </xf>
    <xf numFmtId="165" fontId="25" fillId="0" borderId="35" xfId="0" applyNumberFormat="1" applyFont="1" applyBorder="1" applyAlignment="1">
      <alignment horizontal="center" vertical="center"/>
    </xf>
    <xf numFmtId="165" fontId="25" fillId="0" borderId="61" xfId="0" applyNumberFormat="1" applyFont="1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5" fontId="20" fillId="0" borderId="27" xfId="3" applyNumberFormat="1" applyFont="1" applyBorder="1" applyAlignment="1">
      <alignment horizontal="center" vertical="center" wrapText="1"/>
    </xf>
    <xf numFmtId="165" fontId="20" fillId="0" borderId="39" xfId="3" applyNumberFormat="1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18" fillId="0" borderId="59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7" fillId="0" borderId="20" xfId="0" applyFont="1" applyBorder="1" applyAlignment="1">
      <alignment horizontal="left"/>
    </xf>
    <xf numFmtId="0" fontId="17" fillId="0" borderId="47" xfId="0" applyFont="1" applyBorder="1" applyAlignment="1">
      <alignment horizontal="left"/>
    </xf>
    <xf numFmtId="0" fontId="17" fillId="0" borderId="26" xfId="0" applyFont="1" applyBorder="1" applyAlignment="1">
      <alignment horizontal="left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17" fillId="0" borderId="20" xfId="0" applyFont="1" applyBorder="1" applyAlignment="1">
      <alignment horizontal="left" vertical="center" wrapText="1"/>
    </xf>
    <xf numFmtId="0" fontId="17" fillId="0" borderId="47" xfId="0" applyFont="1" applyBorder="1" applyAlignment="1">
      <alignment horizontal="left" vertical="center" wrapText="1"/>
    </xf>
    <xf numFmtId="0" fontId="17" fillId="0" borderId="26" xfId="0" applyFont="1" applyBorder="1" applyAlignment="1">
      <alignment horizontal="left" vertical="center" wrapText="1"/>
    </xf>
    <xf numFmtId="0" fontId="2" fillId="0" borderId="18" xfId="3" applyBorder="1" applyAlignment="1">
      <alignment horizontal="right"/>
    </xf>
    <xf numFmtId="0" fontId="2" fillId="0" borderId="38" xfId="3" applyBorder="1" applyAlignment="1">
      <alignment horizontal="right"/>
    </xf>
    <xf numFmtId="0" fontId="2" fillId="0" borderId="38" xfId="3" applyBorder="1"/>
    <xf numFmtId="0" fontId="2" fillId="0" borderId="19" xfId="3" applyBorder="1"/>
    <xf numFmtId="0" fontId="2" fillId="0" borderId="34" xfId="3" applyBorder="1" applyAlignment="1">
      <alignment horizontal="right"/>
    </xf>
    <xf numFmtId="0" fontId="2" fillId="0" borderId="35" xfId="3" applyBorder="1" applyAlignment="1">
      <alignment horizontal="right"/>
    </xf>
    <xf numFmtId="0" fontId="2" fillId="0" borderId="16" xfId="3" applyBorder="1" applyAlignment="1">
      <alignment horizontal="right"/>
    </xf>
    <xf numFmtId="1" fontId="2" fillId="0" borderId="36" xfId="3" applyNumberFormat="1" applyBorder="1"/>
    <xf numFmtId="1" fontId="2" fillId="0" borderId="35" xfId="3" applyNumberFormat="1" applyBorder="1"/>
    <xf numFmtId="1" fontId="2" fillId="0" borderId="37" xfId="3" applyNumberFormat="1" applyBorder="1"/>
    <xf numFmtId="0" fontId="2" fillId="0" borderId="36" xfId="3" applyBorder="1"/>
    <xf numFmtId="0" fontId="2" fillId="0" borderId="35" xfId="3" applyBorder="1"/>
    <xf numFmtId="0" fontId="2" fillId="0" borderId="37" xfId="3" applyBorder="1"/>
    <xf numFmtId="0" fontId="4" fillId="0" borderId="8" xfId="3" applyFont="1" applyBorder="1" applyAlignment="1">
      <alignment horizontal="center" wrapText="1"/>
    </xf>
    <xf numFmtId="0" fontId="4" fillId="0" borderId="9" xfId="3" applyFont="1" applyBorder="1" applyAlignment="1">
      <alignment horizontal="center" wrapText="1"/>
    </xf>
    <xf numFmtId="0" fontId="4" fillId="0" borderId="0" xfId="3" applyFont="1" applyAlignment="1">
      <alignment horizontal="center"/>
    </xf>
    <xf numFmtId="0" fontId="2" fillId="0" borderId="30" xfId="3" applyBorder="1" applyAlignment="1">
      <alignment horizontal="right"/>
    </xf>
    <xf numFmtId="0" fontId="2" fillId="0" borderId="31" xfId="3" applyBorder="1" applyAlignment="1">
      <alignment horizontal="right"/>
    </xf>
    <xf numFmtId="0" fontId="2" fillId="0" borderId="11" xfId="3" applyBorder="1" applyAlignment="1">
      <alignment horizontal="right"/>
    </xf>
    <xf numFmtId="0" fontId="2" fillId="0" borderId="32" xfId="3" applyBorder="1" applyAlignment="1">
      <alignment horizontal="center"/>
    </xf>
    <xf numFmtId="0" fontId="2" fillId="0" borderId="31" xfId="3" applyBorder="1" applyAlignment="1">
      <alignment horizontal="center"/>
    </xf>
    <xf numFmtId="0" fontId="2" fillId="0" borderId="33" xfId="3" applyBorder="1" applyAlignment="1">
      <alignment horizontal="center"/>
    </xf>
  </cellXfs>
  <cellStyles count="6">
    <cellStyle name="Comma 11" xfId="4" xr:uid="{EA94CB0B-0ECE-4921-988A-AB7BDCAACE47}"/>
    <cellStyle name="Normal" xfId="0" builtinId="0"/>
    <cellStyle name="Normal 10 2" xfId="3" xr:uid="{BDAABC4F-ACC2-4580-AA6B-BFC2805649CE}"/>
    <cellStyle name="Normal 2 2" xfId="2" xr:uid="{D9B2E81D-D935-4703-9434-DF26A060A6AD}"/>
    <cellStyle name="Percent" xfId="1" builtinId="5"/>
    <cellStyle name="Percent 10" xfId="5" xr:uid="{40FA923D-2D0F-4711-92CF-23D23B782E32}"/>
  </cellStyles>
  <dxfs count="2"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1862-84D0-4C8E-814F-496A5B5B827E}">
  <dimension ref="A1:AP126"/>
  <sheetViews>
    <sheetView tabSelected="1" view="pageBreakPreview" zoomScale="70" zoomScaleNormal="80" zoomScaleSheetLayoutView="70" zoomScalePageLayoutView="54" workbookViewId="0">
      <selection activeCell="L11" sqref="L11"/>
    </sheetView>
  </sheetViews>
  <sheetFormatPr defaultRowHeight="15" x14ac:dyDescent="0.25"/>
  <cols>
    <col min="1" max="1" width="5.7109375" customWidth="1"/>
    <col min="2" max="2" width="28.5703125" customWidth="1"/>
    <col min="3" max="3" width="16.7109375" customWidth="1"/>
    <col min="4" max="4" width="16.28515625" bestFit="1" customWidth="1"/>
    <col min="5" max="12" width="15.28515625" customWidth="1"/>
    <col min="13" max="13" width="9.28515625" customWidth="1"/>
    <col min="14" max="40" width="16.7109375" customWidth="1"/>
    <col min="41" max="41" width="16.7109375" hidden="1" customWidth="1"/>
    <col min="42" max="42" width="14.28515625" customWidth="1"/>
  </cols>
  <sheetData>
    <row r="1" spans="1:11" ht="21" x14ac:dyDescent="0.35">
      <c r="B1" s="354" t="s">
        <v>219</v>
      </c>
      <c r="C1" s="354"/>
      <c r="D1" s="354"/>
      <c r="E1" s="354"/>
      <c r="F1" s="354"/>
      <c r="G1" s="354"/>
      <c r="H1" s="354"/>
      <c r="I1" s="354"/>
      <c r="J1" s="354"/>
      <c r="K1" s="244"/>
    </row>
    <row r="2" spans="1:11" ht="21" x14ac:dyDescent="0.35">
      <c r="B2" s="354" t="s">
        <v>220</v>
      </c>
      <c r="C2" s="354"/>
      <c r="D2" s="354"/>
      <c r="E2" s="354"/>
      <c r="F2" s="354"/>
      <c r="G2" s="354"/>
      <c r="H2" s="354"/>
      <c r="I2" s="354"/>
      <c r="J2" s="354"/>
      <c r="K2" s="244"/>
    </row>
    <row r="3" spans="1:11" ht="21" x14ac:dyDescent="0.35">
      <c r="B3" s="354" t="s">
        <v>239</v>
      </c>
      <c r="C3" s="354"/>
      <c r="D3" s="354"/>
      <c r="E3" s="354"/>
      <c r="F3" s="354"/>
      <c r="G3" s="354"/>
      <c r="H3" s="354"/>
      <c r="I3" s="354"/>
      <c r="J3" s="354"/>
      <c r="K3" s="354"/>
    </row>
    <row r="4" spans="1:11" ht="21" x14ac:dyDescent="0.35">
      <c r="B4" s="218"/>
    </row>
    <row r="5" spans="1:11" ht="53.45" customHeight="1" x14ac:dyDescent="0.35">
      <c r="B5" s="355" t="s">
        <v>240</v>
      </c>
      <c r="C5" s="355"/>
      <c r="D5" s="355"/>
      <c r="E5" s="355"/>
      <c r="F5" s="355"/>
      <c r="G5" s="355"/>
    </row>
    <row r="6" spans="1:11" ht="21" x14ac:dyDescent="0.35">
      <c r="A6" s="218"/>
    </row>
    <row r="7" spans="1:11" ht="21.75" thickBot="1" x14ac:dyDescent="0.4">
      <c r="A7" s="218"/>
    </row>
    <row r="8" spans="1:11" ht="15.75" thickBot="1" x14ac:dyDescent="0.3">
      <c r="B8" s="228" t="s">
        <v>200</v>
      </c>
      <c r="C8" s="229" t="s">
        <v>201</v>
      </c>
      <c r="D8" s="229" t="s">
        <v>202</v>
      </c>
      <c r="E8" s="356" t="s">
        <v>203</v>
      </c>
      <c r="F8" s="357"/>
    </row>
    <row r="9" spans="1:11" ht="15.75" thickBot="1" x14ac:dyDescent="0.3">
      <c r="B9" s="358" t="s">
        <v>204</v>
      </c>
      <c r="C9" s="359"/>
      <c r="D9" s="359"/>
      <c r="E9" s="359"/>
      <c r="F9" s="360"/>
    </row>
    <row r="10" spans="1:11" ht="42" customHeight="1" x14ac:dyDescent="0.25">
      <c r="B10" s="230" t="s">
        <v>206</v>
      </c>
      <c r="C10" s="231">
        <v>15259920</v>
      </c>
      <c r="D10" s="232" t="s">
        <v>194</v>
      </c>
      <c r="E10" s="361" t="s">
        <v>241</v>
      </c>
      <c r="F10" s="362"/>
      <c r="G10" s="226"/>
    </row>
    <row r="11" spans="1:11" ht="28.9" customHeight="1" x14ac:dyDescent="0.25">
      <c r="B11" s="234" t="s">
        <v>205</v>
      </c>
      <c r="C11" s="235">
        <v>976.41889285785589</v>
      </c>
      <c r="D11" s="236" t="s">
        <v>222</v>
      </c>
      <c r="E11" s="352" t="s">
        <v>223</v>
      </c>
      <c r="F11" s="353"/>
      <c r="G11" s="226"/>
    </row>
    <row r="12" spans="1:11" ht="15.75" thickBot="1" x14ac:dyDescent="0.3">
      <c r="B12" s="238" t="s">
        <v>207</v>
      </c>
      <c r="C12" s="239">
        <f>C10/(C11)</f>
        <v>15628.45630253643</v>
      </c>
      <c r="D12" s="240" t="s">
        <v>208</v>
      </c>
      <c r="E12" s="363"/>
      <c r="F12" s="364"/>
      <c r="G12" s="226"/>
    </row>
    <row r="13" spans="1:11" ht="15.75" thickBot="1" x14ac:dyDescent="0.3">
      <c r="B13" s="365" t="s">
        <v>199</v>
      </c>
      <c r="C13" s="366"/>
      <c r="D13" s="366"/>
      <c r="E13" s="366"/>
      <c r="F13" s="367"/>
      <c r="G13" s="226"/>
    </row>
    <row r="14" spans="1:11" ht="59.45" customHeight="1" x14ac:dyDescent="0.25">
      <c r="B14" s="230" t="s">
        <v>224</v>
      </c>
      <c r="C14" s="233">
        <v>2.2000000000000002</v>
      </c>
      <c r="D14" s="232" t="s">
        <v>195</v>
      </c>
      <c r="E14" s="361" t="s">
        <v>228</v>
      </c>
      <c r="F14" s="362"/>
    </row>
    <row r="15" spans="1:11" x14ac:dyDescent="0.25">
      <c r="B15" s="234" t="s">
        <v>210</v>
      </c>
      <c r="C15" s="237">
        <v>140</v>
      </c>
      <c r="D15" s="236" t="s">
        <v>209</v>
      </c>
      <c r="E15" s="352" t="s">
        <v>217</v>
      </c>
      <c r="F15" s="353"/>
    </row>
    <row r="16" spans="1:11" ht="43.9" customHeight="1" thickBot="1" x14ac:dyDescent="0.3">
      <c r="B16" s="241" t="s">
        <v>225</v>
      </c>
      <c r="C16" s="242">
        <f>(C15/1000000)*500*60</f>
        <v>4.1999999999999993</v>
      </c>
      <c r="D16" s="243" t="s">
        <v>208</v>
      </c>
      <c r="E16" s="338" t="s">
        <v>218</v>
      </c>
      <c r="F16" s="339"/>
    </row>
    <row r="17" spans="2:42" ht="15.75" hidden="1" thickBot="1" x14ac:dyDescent="0.3"/>
    <row r="18" spans="2:42" s="227" customFormat="1" ht="83.45" hidden="1" customHeight="1" x14ac:dyDescent="0.25">
      <c r="B18" s="340" t="s">
        <v>221</v>
      </c>
      <c r="C18" s="262" t="s">
        <v>16</v>
      </c>
      <c r="D18" s="263" t="s">
        <v>20</v>
      </c>
      <c r="E18" s="263" t="s">
        <v>24</v>
      </c>
      <c r="F18" s="263" t="s">
        <v>32</v>
      </c>
      <c r="G18" s="263" t="s">
        <v>35</v>
      </c>
      <c r="H18" s="263" t="s">
        <v>37</v>
      </c>
      <c r="I18" s="263" t="s">
        <v>41</v>
      </c>
      <c r="J18" s="263" t="s">
        <v>39</v>
      </c>
      <c r="K18" s="263" t="s">
        <v>43</v>
      </c>
      <c r="L18" s="263" t="s">
        <v>169</v>
      </c>
      <c r="M18" s="263" t="s">
        <v>47</v>
      </c>
      <c r="N18" s="263" t="s">
        <v>170</v>
      </c>
      <c r="O18" s="263" t="s">
        <v>171</v>
      </c>
      <c r="P18" s="263" t="s">
        <v>172</v>
      </c>
      <c r="Q18" s="263" t="s">
        <v>173</v>
      </c>
      <c r="R18" s="263" t="s">
        <v>174</v>
      </c>
      <c r="S18" s="263" t="s">
        <v>54</v>
      </c>
      <c r="T18" s="263" t="s">
        <v>175</v>
      </c>
      <c r="U18" s="262" t="s">
        <v>176</v>
      </c>
      <c r="V18" s="263" t="s">
        <v>41</v>
      </c>
      <c r="W18" s="263" t="s">
        <v>149</v>
      </c>
      <c r="X18" s="263" t="s">
        <v>150</v>
      </c>
      <c r="Y18" s="263" t="s">
        <v>43</v>
      </c>
      <c r="Z18" s="263" t="s">
        <v>151</v>
      </c>
      <c r="AA18" s="263" t="s">
        <v>152</v>
      </c>
      <c r="AB18" s="263" t="s">
        <v>153</v>
      </c>
      <c r="AC18" s="263" t="s">
        <v>154</v>
      </c>
      <c r="AD18" s="263" t="s">
        <v>155</v>
      </c>
      <c r="AE18" s="263" t="s">
        <v>156</v>
      </c>
      <c r="AF18" s="263" t="s">
        <v>192</v>
      </c>
      <c r="AG18" s="263" t="s">
        <v>39</v>
      </c>
      <c r="AH18" s="263" t="s">
        <v>157</v>
      </c>
      <c r="AI18" s="263" t="s">
        <v>159</v>
      </c>
      <c r="AJ18" s="263" t="s">
        <v>160</v>
      </c>
      <c r="AK18" s="263" t="s">
        <v>161</v>
      </c>
      <c r="AL18" s="263" t="s">
        <v>162</v>
      </c>
      <c r="AM18" s="263" t="s">
        <v>163</v>
      </c>
      <c r="AN18" s="263" t="s">
        <v>164</v>
      </c>
      <c r="AO18" s="263" t="s">
        <v>165</v>
      </c>
      <c r="AP18" s="264"/>
    </row>
    <row r="19" spans="2:42" ht="15.75" hidden="1" thickBot="1" x14ac:dyDescent="0.3">
      <c r="B19" s="341"/>
      <c r="C19" s="265" t="s">
        <v>101</v>
      </c>
      <c r="D19" s="265" t="s">
        <v>71</v>
      </c>
      <c r="E19" s="265" t="s">
        <v>74</v>
      </c>
      <c r="F19" s="265" t="s">
        <v>78</v>
      </c>
      <c r="G19" s="265" t="s">
        <v>177</v>
      </c>
      <c r="H19" s="265" t="s">
        <v>83</v>
      </c>
      <c r="I19" s="265" t="s">
        <v>178</v>
      </c>
      <c r="J19" s="265" t="s">
        <v>179</v>
      </c>
      <c r="K19" s="265" t="s">
        <v>180</v>
      </c>
      <c r="L19" s="265" t="s">
        <v>181</v>
      </c>
      <c r="M19" s="265" t="s">
        <v>182</v>
      </c>
      <c r="N19" s="265" t="s">
        <v>183</v>
      </c>
      <c r="O19" s="265" t="s">
        <v>184</v>
      </c>
      <c r="P19" s="265" t="s">
        <v>185</v>
      </c>
      <c r="Q19" s="265" t="s">
        <v>186</v>
      </c>
      <c r="R19" s="265" t="s">
        <v>187</v>
      </c>
      <c r="S19" s="265" t="s">
        <v>188</v>
      </c>
      <c r="T19" s="265" t="s">
        <v>189</v>
      </c>
      <c r="U19" s="265" t="s">
        <v>190</v>
      </c>
      <c r="V19" s="265" t="s">
        <v>87</v>
      </c>
      <c r="W19" s="265" t="s">
        <v>148</v>
      </c>
      <c r="X19" s="265" t="s">
        <v>150</v>
      </c>
      <c r="Y19" s="265" t="s">
        <v>90</v>
      </c>
      <c r="Z19" s="265" t="s">
        <v>151</v>
      </c>
      <c r="AA19" s="265" t="s">
        <v>152</v>
      </c>
      <c r="AB19" s="265" t="s">
        <v>153</v>
      </c>
      <c r="AC19" s="265" t="s">
        <v>154</v>
      </c>
      <c r="AD19" s="265" t="s">
        <v>155</v>
      </c>
      <c r="AE19" s="265" t="s">
        <v>156</v>
      </c>
      <c r="AF19" s="265" t="s">
        <v>193</v>
      </c>
      <c r="AG19" s="265" t="s">
        <v>86</v>
      </c>
      <c r="AH19" s="265" t="s">
        <v>158</v>
      </c>
      <c r="AI19" s="265" t="s">
        <v>166</v>
      </c>
      <c r="AJ19" s="265" t="s">
        <v>167</v>
      </c>
      <c r="AK19" s="265" t="s">
        <v>168</v>
      </c>
      <c r="AL19" s="265"/>
      <c r="AM19" s="265"/>
      <c r="AN19" s="265"/>
      <c r="AO19" s="265"/>
      <c r="AP19" s="266" t="s">
        <v>102</v>
      </c>
    </row>
    <row r="20" spans="2:42" ht="14.45" hidden="1" customHeight="1" x14ac:dyDescent="0.25">
      <c r="B20" s="267" t="s">
        <v>215</v>
      </c>
      <c r="C20" s="268">
        <v>12</v>
      </c>
      <c r="D20" s="268">
        <v>0.2</v>
      </c>
      <c r="E20" s="268">
        <v>1.7999999999999998</v>
      </c>
      <c r="F20" s="268">
        <v>80</v>
      </c>
      <c r="G20" s="268">
        <v>0.2</v>
      </c>
      <c r="H20" s="268">
        <v>0.6</v>
      </c>
      <c r="I20" s="268">
        <v>1.3</v>
      </c>
      <c r="J20" s="268">
        <v>0</v>
      </c>
      <c r="K20" s="268">
        <v>2.6</v>
      </c>
      <c r="L20" s="268">
        <v>0</v>
      </c>
      <c r="M20" s="268">
        <v>0.1</v>
      </c>
      <c r="N20" s="268">
        <v>0.5</v>
      </c>
      <c r="O20" s="268">
        <v>0</v>
      </c>
      <c r="P20" s="268">
        <v>0</v>
      </c>
      <c r="Q20" s="268">
        <v>0</v>
      </c>
      <c r="R20" s="268">
        <v>0</v>
      </c>
      <c r="S20" s="268">
        <v>0.1</v>
      </c>
      <c r="T20" s="268">
        <v>0.3</v>
      </c>
      <c r="U20" s="268">
        <v>0.1</v>
      </c>
      <c r="V20" s="268"/>
      <c r="W20" s="268"/>
      <c r="X20" s="268">
        <f>30.6098325358852/1000000*100</f>
        <v>3.0609832535885202E-3</v>
      </c>
      <c r="Y20" s="268"/>
      <c r="Z20" s="268"/>
      <c r="AA20" s="268"/>
      <c r="AB20" s="268"/>
      <c r="AC20" s="268"/>
      <c r="AD20" s="268"/>
      <c r="AE20" s="268"/>
      <c r="AF20" s="268">
        <f>18.348966195702/1000000</f>
        <v>1.8348966195702003E-5</v>
      </c>
      <c r="AG20" s="220">
        <f>23.7885238394084/1000000</f>
        <v>2.3788523839408398E-5</v>
      </c>
      <c r="AH20" s="268"/>
      <c r="AI20" s="268"/>
      <c r="AJ20" s="268"/>
      <c r="AK20" s="268"/>
      <c r="AL20" s="268"/>
      <c r="AM20" s="268"/>
      <c r="AN20" s="268"/>
      <c r="AO20" s="268"/>
      <c r="AP20" s="269">
        <f t="shared" ref="AP20:AP27" si="0">SUM(C20:AO20)</f>
        <v>99.803103120743586</v>
      </c>
    </row>
    <row r="21" spans="2:42" ht="15" hidden="1" customHeight="1" thickBot="1" x14ac:dyDescent="0.3">
      <c r="B21" s="270" t="s">
        <v>214</v>
      </c>
      <c r="C21" s="271">
        <f t="shared" ref="C21:AG21" si="1">C20*100/$AP$20</f>
        <v>12.023674239349235</v>
      </c>
      <c r="D21" s="271">
        <f t="shared" si="1"/>
        <v>0.20039457065582061</v>
      </c>
      <c r="E21" s="271">
        <f t="shared" si="1"/>
        <v>1.803551135902385</v>
      </c>
      <c r="F21" s="271">
        <f t="shared" si="1"/>
        <v>80.157828262328238</v>
      </c>
      <c r="G21" s="271">
        <f t="shared" si="1"/>
        <v>0.20039457065582061</v>
      </c>
      <c r="H21" s="271">
        <f t="shared" si="1"/>
        <v>0.60118371196746179</v>
      </c>
      <c r="I21" s="271">
        <f t="shared" si="1"/>
        <v>1.3025647092628339</v>
      </c>
      <c r="J21" s="271">
        <f t="shared" si="1"/>
        <v>0</v>
      </c>
      <c r="K21" s="271">
        <f t="shared" si="1"/>
        <v>2.6051294185256677</v>
      </c>
      <c r="L21" s="271">
        <f t="shared" si="1"/>
        <v>0</v>
      </c>
      <c r="M21" s="271">
        <f t="shared" si="1"/>
        <v>0.10019728532791031</v>
      </c>
      <c r="N21" s="271">
        <f t="shared" si="1"/>
        <v>0.50098642663955151</v>
      </c>
      <c r="O21" s="271">
        <f t="shared" si="1"/>
        <v>0</v>
      </c>
      <c r="P21" s="271">
        <f t="shared" si="1"/>
        <v>0</v>
      </c>
      <c r="Q21" s="271">
        <f t="shared" si="1"/>
        <v>0</v>
      </c>
      <c r="R21" s="271">
        <f t="shared" si="1"/>
        <v>0</v>
      </c>
      <c r="S21" s="271">
        <f t="shared" si="1"/>
        <v>0.10019728532791031</v>
      </c>
      <c r="T21" s="271">
        <f t="shared" si="1"/>
        <v>0.30059185598373089</v>
      </c>
      <c r="U21" s="271">
        <f t="shared" si="1"/>
        <v>0.10019728532791031</v>
      </c>
      <c r="V21" s="271">
        <f t="shared" si="1"/>
        <v>0</v>
      </c>
      <c r="W21" s="271">
        <f t="shared" si="1"/>
        <v>0</v>
      </c>
      <c r="X21" s="271">
        <f t="shared" si="1"/>
        <v>3.0670221244376416E-3</v>
      </c>
      <c r="Y21" s="271">
        <f t="shared" si="1"/>
        <v>0</v>
      </c>
      <c r="Z21" s="271">
        <f t="shared" si="1"/>
        <v>0</v>
      </c>
      <c r="AA21" s="271">
        <f t="shared" si="1"/>
        <v>0</v>
      </c>
      <c r="AB21" s="271">
        <f t="shared" si="1"/>
        <v>0</v>
      </c>
      <c r="AC21" s="271">
        <f t="shared" si="1"/>
        <v>0</v>
      </c>
      <c r="AD21" s="271">
        <f t="shared" si="1"/>
        <v>0</v>
      </c>
      <c r="AE21" s="271">
        <f t="shared" si="1"/>
        <v>0</v>
      </c>
      <c r="AF21" s="271">
        <f t="shared" si="1"/>
        <v>1.8385166013829343E-5</v>
      </c>
      <c r="AG21" s="271">
        <f t="shared" si="1"/>
        <v>2.3835455106669996E-5</v>
      </c>
      <c r="AH21" s="271"/>
      <c r="AI21" s="271"/>
      <c r="AJ21" s="271"/>
      <c r="AK21" s="271"/>
      <c r="AL21" s="271"/>
      <c r="AM21" s="271"/>
      <c r="AN21" s="271"/>
      <c r="AO21" s="271"/>
      <c r="AP21" s="272">
        <f t="shared" si="0"/>
        <v>100.00000000000004</v>
      </c>
    </row>
    <row r="22" spans="2:42" ht="16.149999999999999" hidden="1" customHeight="1" x14ac:dyDescent="0.25">
      <c r="B22" s="267" t="s">
        <v>238</v>
      </c>
      <c r="C22" s="268">
        <v>1.5729</v>
      </c>
      <c r="D22" s="268"/>
      <c r="E22" s="268">
        <v>5.6500000000000002E-2</v>
      </c>
      <c r="F22" s="268">
        <v>0.81599999999999995</v>
      </c>
      <c r="G22" s="268"/>
      <c r="H22" s="268">
        <v>31.846699999999998</v>
      </c>
      <c r="I22" s="268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>
        <v>5.2999999999999999E-2</v>
      </c>
      <c r="W22" s="268">
        <v>0</v>
      </c>
      <c r="X22" s="268">
        <v>5.9999999999999995E-4</v>
      </c>
      <c r="Y22" s="268">
        <v>0.13339999999999999</v>
      </c>
      <c r="Z22" s="268">
        <v>7.7000000000000002E-3</v>
      </c>
      <c r="AA22" s="268">
        <v>3.3E-3</v>
      </c>
      <c r="AB22" s="268">
        <v>7.6E-3</v>
      </c>
      <c r="AC22" s="268">
        <v>1.1599999999999999E-2</v>
      </c>
      <c r="AD22" s="268">
        <v>8.5000000000000006E-3</v>
      </c>
      <c r="AE22" s="268">
        <v>5.3E-3</v>
      </c>
      <c r="AF22" s="268"/>
      <c r="AG22" s="268"/>
      <c r="AH22" s="268">
        <v>6.9999999999999999E-4</v>
      </c>
      <c r="AI22" s="268">
        <v>8.0000000000000004E-4</v>
      </c>
      <c r="AJ22" s="268">
        <v>1.6000000000000001E-3</v>
      </c>
      <c r="AK22" s="268">
        <v>40.468400000000003</v>
      </c>
      <c r="AL22" s="268">
        <v>2E-3</v>
      </c>
      <c r="AM22" s="268">
        <v>5.9999999999999995E-4</v>
      </c>
      <c r="AN22" s="268">
        <v>5.9999999999999995E-4</v>
      </c>
      <c r="AO22" s="268">
        <v>0</v>
      </c>
      <c r="AP22" s="273">
        <f t="shared" si="0"/>
        <v>74.997799999999998</v>
      </c>
    </row>
    <row r="23" spans="2:42" ht="15" hidden="1" customHeight="1" thickBot="1" x14ac:dyDescent="0.3">
      <c r="B23" s="270" t="s">
        <v>213</v>
      </c>
      <c r="C23" s="271">
        <f t="shared" ref="C23:AE23" si="2">C22*100/$AP$22</f>
        <v>2.0972615196712439</v>
      </c>
      <c r="D23" s="271">
        <f t="shared" si="2"/>
        <v>0</v>
      </c>
      <c r="E23" s="271">
        <f t="shared" si="2"/>
        <v>7.5335543175933162E-2</v>
      </c>
      <c r="F23" s="271">
        <f t="shared" si="2"/>
        <v>1.0880319156028577</v>
      </c>
      <c r="G23" s="271">
        <f t="shared" si="2"/>
        <v>0</v>
      </c>
      <c r="H23" s="271">
        <f t="shared" si="2"/>
        <v>42.463512263026381</v>
      </c>
      <c r="I23" s="271">
        <f t="shared" si="2"/>
        <v>0</v>
      </c>
      <c r="J23" s="271">
        <f t="shared" si="2"/>
        <v>0</v>
      </c>
      <c r="K23" s="271">
        <f t="shared" si="2"/>
        <v>0</v>
      </c>
      <c r="L23" s="271">
        <f t="shared" si="2"/>
        <v>0</v>
      </c>
      <c r="M23" s="271">
        <f t="shared" si="2"/>
        <v>0</v>
      </c>
      <c r="N23" s="271">
        <f t="shared" si="2"/>
        <v>0</v>
      </c>
      <c r="O23" s="271">
        <f t="shared" si="2"/>
        <v>0</v>
      </c>
      <c r="P23" s="271">
        <f t="shared" si="2"/>
        <v>0</v>
      </c>
      <c r="Q23" s="271">
        <f t="shared" si="2"/>
        <v>0</v>
      </c>
      <c r="R23" s="271">
        <f t="shared" si="2"/>
        <v>0</v>
      </c>
      <c r="S23" s="271">
        <f t="shared" si="2"/>
        <v>0</v>
      </c>
      <c r="T23" s="271">
        <f t="shared" si="2"/>
        <v>0</v>
      </c>
      <c r="U23" s="271">
        <f t="shared" si="2"/>
        <v>0</v>
      </c>
      <c r="V23" s="271">
        <f t="shared" si="2"/>
        <v>7.0668739616362081E-2</v>
      </c>
      <c r="W23" s="271">
        <f t="shared" si="2"/>
        <v>0</v>
      </c>
      <c r="X23" s="271">
        <f t="shared" si="2"/>
        <v>8.0002346735504244E-4</v>
      </c>
      <c r="Y23" s="271">
        <f t="shared" si="2"/>
        <v>0.17787188424193776</v>
      </c>
      <c r="Z23" s="271">
        <f t="shared" si="2"/>
        <v>1.0266967831056378E-2</v>
      </c>
      <c r="AA23" s="271">
        <f t="shared" si="2"/>
        <v>4.4001290704527339E-3</v>
      </c>
      <c r="AB23" s="271">
        <f t="shared" si="2"/>
        <v>1.0133630586497204E-2</v>
      </c>
      <c r="AC23" s="271">
        <f t="shared" si="2"/>
        <v>1.5467120368864152E-2</v>
      </c>
      <c r="AD23" s="271">
        <f t="shared" si="2"/>
        <v>1.1333665787529769E-2</v>
      </c>
      <c r="AE23" s="271">
        <f t="shared" si="2"/>
        <v>7.0668739616362086E-3</v>
      </c>
      <c r="AF23" s="271"/>
      <c r="AG23" s="271"/>
      <c r="AH23" s="271">
        <f t="shared" ref="AH23:AO23" si="3">AH22*100/$AP$22</f>
        <v>9.333607119142161E-4</v>
      </c>
      <c r="AI23" s="271">
        <f t="shared" si="3"/>
        <v>1.06669795647339E-3</v>
      </c>
      <c r="AJ23" s="271">
        <f t="shared" si="3"/>
        <v>2.13339591294678E-3</v>
      </c>
      <c r="AK23" s="271">
        <f t="shared" si="3"/>
        <v>53.95944947718467</v>
      </c>
      <c r="AL23" s="271">
        <f t="shared" si="3"/>
        <v>2.6667448911834751E-3</v>
      </c>
      <c r="AM23" s="271">
        <f t="shared" si="3"/>
        <v>8.0002346735504244E-4</v>
      </c>
      <c r="AN23" s="271">
        <f t="shared" si="3"/>
        <v>8.0002346735504244E-4</v>
      </c>
      <c r="AO23" s="271">
        <f t="shared" si="3"/>
        <v>0</v>
      </c>
      <c r="AP23" s="266">
        <f t="shared" si="0"/>
        <v>99.999999999999986</v>
      </c>
    </row>
    <row r="24" spans="2:42" ht="14.45" hidden="1" customHeight="1" x14ac:dyDescent="0.25">
      <c r="B24" s="267" t="s">
        <v>211</v>
      </c>
      <c r="C24" s="274">
        <f t="shared" ref="C24:AO24" si="4">$C$12*(C21/100)</f>
        <v>1879.1146744560247</v>
      </c>
      <c r="D24" s="268">
        <f t="shared" si="4"/>
        <v>31.318577907600414</v>
      </c>
      <c r="E24" s="268">
        <f t="shared" si="4"/>
        <v>281.86720116840365</v>
      </c>
      <c r="F24" s="274">
        <f t="shared" si="4"/>
        <v>12527.431163040164</v>
      </c>
      <c r="G24" s="268">
        <f t="shared" si="4"/>
        <v>31.318577907600414</v>
      </c>
      <c r="H24" s="268">
        <f t="shared" si="4"/>
        <v>93.955733722801241</v>
      </c>
      <c r="I24" s="268">
        <f t="shared" si="4"/>
        <v>203.57075639940268</v>
      </c>
      <c r="J24" s="268">
        <f t="shared" si="4"/>
        <v>0</v>
      </c>
      <c r="K24" s="268">
        <f t="shared" si="4"/>
        <v>407.14151279880537</v>
      </c>
      <c r="L24" s="268">
        <f t="shared" si="4"/>
        <v>0</v>
      </c>
      <c r="M24" s="268">
        <f t="shared" si="4"/>
        <v>15.659288953800207</v>
      </c>
      <c r="N24" s="268">
        <f t="shared" si="4"/>
        <v>78.296444769001042</v>
      </c>
      <c r="O24" s="268">
        <f t="shared" si="4"/>
        <v>0</v>
      </c>
      <c r="P24" s="268">
        <f t="shared" si="4"/>
        <v>0</v>
      </c>
      <c r="Q24" s="268">
        <f t="shared" si="4"/>
        <v>0</v>
      </c>
      <c r="R24" s="268">
        <f t="shared" si="4"/>
        <v>0</v>
      </c>
      <c r="S24" s="268">
        <f t="shared" si="4"/>
        <v>15.659288953800207</v>
      </c>
      <c r="T24" s="268">
        <f t="shared" si="4"/>
        <v>46.977866861400621</v>
      </c>
      <c r="U24" s="268">
        <f t="shared" si="4"/>
        <v>15.659288953800207</v>
      </c>
      <c r="V24" s="268">
        <f t="shared" si="4"/>
        <v>0</v>
      </c>
      <c r="W24" s="268">
        <f t="shared" si="4"/>
        <v>0</v>
      </c>
      <c r="X24" s="268">
        <f t="shared" si="4"/>
        <v>0.47932821250686136</v>
      </c>
      <c r="Y24" s="268">
        <f t="shared" si="4"/>
        <v>0</v>
      </c>
      <c r="Z24" s="268">
        <f t="shared" si="4"/>
        <v>0</v>
      </c>
      <c r="AA24" s="268">
        <f t="shared" si="4"/>
        <v>0</v>
      </c>
      <c r="AB24" s="268">
        <f t="shared" si="4"/>
        <v>0</v>
      </c>
      <c r="AC24" s="268">
        <f t="shared" si="4"/>
        <v>0</v>
      </c>
      <c r="AD24" s="268">
        <f t="shared" si="4"/>
        <v>0</v>
      </c>
      <c r="AE24" s="268">
        <f t="shared" si="4"/>
        <v>0</v>
      </c>
      <c r="AF24" s="268">
        <f t="shared" si="4"/>
        <v>2.8733176366200976E-3</v>
      </c>
      <c r="AG24" s="268">
        <f t="shared" si="4"/>
        <v>3.7251136858566084E-3</v>
      </c>
      <c r="AH24" s="268">
        <f t="shared" si="4"/>
        <v>0</v>
      </c>
      <c r="AI24" s="268">
        <f t="shared" si="4"/>
        <v>0</v>
      </c>
      <c r="AJ24" s="268">
        <f t="shared" si="4"/>
        <v>0</v>
      </c>
      <c r="AK24" s="268">
        <f t="shared" si="4"/>
        <v>0</v>
      </c>
      <c r="AL24" s="268">
        <f t="shared" si="4"/>
        <v>0</v>
      </c>
      <c r="AM24" s="268">
        <f t="shared" si="4"/>
        <v>0</v>
      </c>
      <c r="AN24" s="268">
        <f t="shared" si="4"/>
        <v>0</v>
      </c>
      <c r="AO24" s="268">
        <f t="shared" si="4"/>
        <v>0</v>
      </c>
      <c r="AP24" s="275">
        <f t="shared" si="0"/>
        <v>15628.456302536435</v>
      </c>
    </row>
    <row r="25" spans="2:42" ht="15" hidden="1" customHeight="1" thickBot="1" x14ac:dyDescent="0.3">
      <c r="B25" s="270" t="s">
        <v>226</v>
      </c>
      <c r="C25" s="271">
        <f t="shared" ref="C25:AO25" si="5">$C$16*(C23/100)</f>
        <v>8.8084983826192231E-2</v>
      </c>
      <c r="D25" s="271">
        <f t="shared" si="5"/>
        <v>0</v>
      </c>
      <c r="E25" s="271">
        <f t="shared" si="5"/>
        <v>3.1640928133891927E-3</v>
      </c>
      <c r="F25" s="271">
        <f t="shared" si="5"/>
        <v>4.5697340455320014E-2</v>
      </c>
      <c r="G25" s="271">
        <f t="shared" si="5"/>
        <v>0</v>
      </c>
      <c r="H25" s="271">
        <f t="shared" si="5"/>
        <v>1.7834675150471078</v>
      </c>
      <c r="I25" s="271">
        <f t="shared" si="5"/>
        <v>0</v>
      </c>
      <c r="J25" s="271">
        <f t="shared" si="5"/>
        <v>0</v>
      </c>
      <c r="K25" s="271">
        <f t="shared" si="5"/>
        <v>0</v>
      </c>
      <c r="L25" s="271">
        <f t="shared" si="5"/>
        <v>0</v>
      </c>
      <c r="M25" s="271">
        <f t="shared" si="5"/>
        <v>0</v>
      </c>
      <c r="N25" s="271">
        <f t="shared" si="5"/>
        <v>0</v>
      </c>
      <c r="O25" s="271">
        <f t="shared" si="5"/>
        <v>0</v>
      </c>
      <c r="P25" s="271">
        <f t="shared" si="5"/>
        <v>0</v>
      </c>
      <c r="Q25" s="271">
        <f t="shared" si="5"/>
        <v>0</v>
      </c>
      <c r="R25" s="271">
        <f t="shared" si="5"/>
        <v>0</v>
      </c>
      <c r="S25" s="271">
        <f t="shared" si="5"/>
        <v>0</v>
      </c>
      <c r="T25" s="271">
        <f t="shared" si="5"/>
        <v>0</v>
      </c>
      <c r="U25" s="271">
        <f t="shared" si="5"/>
        <v>0</v>
      </c>
      <c r="V25" s="271">
        <f t="shared" si="5"/>
        <v>2.9680870638872066E-3</v>
      </c>
      <c r="W25" s="271">
        <f t="shared" si="5"/>
        <v>0</v>
      </c>
      <c r="X25" s="271">
        <f t="shared" si="5"/>
        <v>3.3600985628911777E-5</v>
      </c>
      <c r="Y25" s="271">
        <f t="shared" si="5"/>
        <v>7.4706191381613846E-3</v>
      </c>
      <c r="Z25" s="271">
        <f t="shared" si="5"/>
        <v>4.3121264890436778E-4</v>
      </c>
      <c r="AA25" s="271">
        <f t="shared" si="5"/>
        <v>1.8480542095901479E-4</v>
      </c>
      <c r="AB25" s="271">
        <f t="shared" si="5"/>
        <v>4.2561248463288251E-4</v>
      </c>
      <c r="AC25" s="271">
        <f t="shared" si="5"/>
        <v>6.4961905549229429E-4</v>
      </c>
      <c r="AD25" s="271">
        <f t="shared" si="5"/>
        <v>4.7601396307625016E-4</v>
      </c>
      <c r="AE25" s="271">
        <f t="shared" si="5"/>
        <v>2.9680870638872071E-4</v>
      </c>
      <c r="AF25" s="271">
        <f t="shared" si="5"/>
        <v>0</v>
      </c>
      <c r="AG25" s="271">
        <f t="shared" si="5"/>
        <v>0</v>
      </c>
      <c r="AH25" s="271">
        <f t="shared" si="5"/>
        <v>3.9201149900397067E-5</v>
      </c>
      <c r="AI25" s="271">
        <f t="shared" si="5"/>
        <v>4.4801314171882371E-5</v>
      </c>
      <c r="AJ25" s="271">
        <f t="shared" si="5"/>
        <v>8.9602628343764742E-5</v>
      </c>
      <c r="AK25" s="271">
        <f t="shared" si="5"/>
        <v>2.2662968780417558</v>
      </c>
      <c r="AL25" s="271">
        <f t="shared" si="5"/>
        <v>1.1200328542970594E-4</v>
      </c>
      <c r="AM25" s="271">
        <f t="shared" si="5"/>
        <v>3.3600985628911777E-5</v>
      </c>
      <c r="AN25" s="271">
        <f t="shared" si="5"/>
        <v>3.3600985628911777E-5</v>
      </c>
      <c r="AO25" s="271">
        <f t="shared" si="5"/>
        <v>0</v>
      </c>
      <c r="AP25" s="265">
        <f t="shared" si="0"/>
        <v>4.1999999999999984</v>
      </c>
    </row>
    <row r="26" spans="2:42" ht="14.45" hidden="1" customHeight="1" x14ac:dyDescent="0.25">
      <c r="B26" s="267" t="s">
        <v>212</v>
      </c>
      <c r="C26" s="274">
        <f>C24+C25</f>
        <v>1879.2027594398508</v>
      </c>
      <c r="D26" s="268">
        <f t="shared" ref="D26:AO26" si="6">D24+D25</f>
        <v>31.318577907600414</v>
      </c>
      <c r="E26" s="268">
        <f t="shared" si="6"/>
        <v>281.87036526121705</v>
      </c>
      <c r="F26" s="274">
        <f t="shared" si="6"/>
        <v>12527.476860380621</v>
      </c>
      <c r="G26" s="268">
        <f t="shared" si="6"/>
        <v>31.318577907600414</v>
      </c>
      <c r="H26" s="268">
        <f t="shared" si="6"/>
        <v>95.739201237848349</v>
      </c>
      <c r="I26" s="268">
        <f t="shared" si="6"/>
        <v>203.57075639940268</v>
      </c>
      <c r="J26" s="268">
        <f t="shared" si="6"/>
        <v>0</v>
      </c>
      <c r="K26" s="268">
        <f t="shared" si="6"/>
        <v>407.14151279880537</v>
      </c>
      <c r="L26" s="268">
        <f t="shared" si="6"/>
        <v>0</v>
      </c>
      <c r="M26" s="268">
        <f t="shared" si="6"/>
        <v>15.659288953800207</v>
      </c>
      <c r="N26" s="268">
        <f t="shared" si="6"/>
        <v>78.296444769001042</v>
      </c>
      <c r="O26" s="268">
        <f t="shared" si="6"/>
        <v>0</v>
      </c>
      <c r="P26" s="268">
        <f t="shared" si="6"/>
        <v>0</v>
      </c>
      <c r="Q26" s="268">
        <f t="shared" si="6"/>
        <v>0</v>
      </c>
      <c r="R26" s="268">
        <f t="shared" si="6"/>
        <v>0</v>
      </c>
      <c r="S26" s="268">
        <f t="shared" si="6"/>
        <v>15.659288953800207</v>
      </c>
      <c r="T26" s="268">
        <f t="shared" si="6"/>
        <v>46.977866861400621</v>
      </c>
      <c r="U26" s="268">
        <f t="shared" si="6"/>
        <v>15.659288953800207</v>
      </c>
      <c r="V26" s="268">
        <f t="shared" si="6"/>
        <v>2.9680870638872066E-3</v>
      </c>
      <c r="W26" s="268">
        <f t="shared" si="6"/>
        <v>0</v>
      </c>
      <c r="X26" s="268">
        <f t="shared" si="6"/>
        <v>0.4793618134924903</v>
      </c>
      <c r="Y26" s="268">
        <f t="shared" si="6"/>
        <v>7.4706191381613846E-3</v>
      </c>
      <c r="Z26" s="268">
        <f t="shared" si="6"/>
        <v>4.3121264890436778E-4</v>
      </c>
      <c r="AA26" s="268">
        <f t="shared" si="6"/>
        <v>1.8480542095901479E-4</v>
      </c>
      <c r="AB26" s="268">
        <f t="shared" si="6"/>
        <v>4.2561248463288251E-4</v>
      </c>
      <c r="AC26" s="268">
        <f t="shared" si="6"/>
        <v>6.4961905549229429E-4</v>
      </c>
      <c r="AD26" s="268">
        <f t="shared" si="6"/>
        <v>4.7601396307625016E-4</v>
      </c>
      <c r="AE26" s="268">
        <f t="shared" si="6"/>
        <v>2.9680870638872071E-4</v>
      </c>
      <c r="AF26" s="268">
        <f t="shared" si="6"/>
        <v>2.8733176366200976E-3</v>
      </c>
      <c r="AG26" s="268">
        <f t="shared" si="6"/>
        <v>3.7251136858566084E-3</v>
      </c>
      <c r="AH26" s="268">
        <f t="shared" si="6"/>
        <v>3.9201149900397067E-5</v>
      </c>
      <c r="AI26" s="268">
        <f t="shared" si="6"/>
        <v>4.4801314171882371E-5</v>
      </c>
      <c r="AJ26" s="268">
        <f t="shared" si="6"/>
        <v>8.9602628343764742E-5</v>
      </c>
      <c r="AK26" s="268">
        <f t="shared" si="6"/>
        <v>2.2662968780417558</v>
      </c>
      <c r="AL26" s="268">
        <f t="shared" si="6"/>
        <v>1.1200328542970594E-4</v>
      </c>
      <c r="AM26" s="268">
        <f t="shared" si="6"/>
        <v>3.3600985628911777E-5</v>
      </c>
      <c r="AN26" s="268">
        <f>AN24+AN25</f>
        <v>3.3600985628911777E-5</v>
      </c>
      <c r="AO26" s="268">
        <f t="shared" si="6"/>
        <v>0</v>
      </c>
      <c r="AP26" s="275">
        <f t="shared" si="0"/>
        <v>15632.656302536438</v>
      </c>
    </row>
    <row r="27" spans="2:42" ht="15" hidden="1" customHeight="1" thickBot="1" x14ac:dyDescent="0.3">
      <c r="B27" s="270" t="s">
        <v>216</v>
      </c>
      <c r="C27" s="271">
        <f t="shared" ref="C27:AO27" si="7">(C26/$AP$26)*100</f>
        <v>12.021007326406489</v>
      </c>
      <c r="D27" s="271">
        <f t="shared" si="7"/>
        <v>0.20034073097685196</v>
      </c>
      <c r="E27" s="271">
        <f t="shared" si="7"/>
        <v>1.8030868190678693</v>
      </c>
      <c r="F27" s="271">
        <f t="shared" si="7"/>
        <v>80.136584710482026</v>
      </c>
      <c r="G27" s="271">
        <f t="shared" si="7"/>
        <v>0.20034073097685196</v>
      </c>
      <c r="H27" s="271">
        <f t="shared" si="7"/>
        <v>0.61243079477359463</v>
      </c>
      <c r="I27" s="271">
        <f t="shared" si="7"/>
        <v>1.3022147513495377</v>
      </c>
      <c r="J27" s="271">
        <f t="shared" si="7"/>
        <v>0</v>
      </c>
      <c r="K27" s="271">
        <f t="shared" si="7"/>
        <v>2.6044295026990754</v>
      </c>
      <c r="L27" s="271">
        <f t="shared" si="7"/>
        <v>0</v>
      </c>
      <c r="M27" s="271">
        <f t="shared" si="7"/>
        <v>0.10017036548842598</v>
      </c>
      <c r="N27" s="271">
        <f t="shared" si="7"/>
        <v>0.50085182744212986</v>
      </c>
      <c r="O27" s="271">
        <f t="shared" si="7"/>
        <v>0</v>
      </c>
      <c r="P27" s="271">
        <f t="shared" si="7"/>
        <v>0</v>
      </c>
      <c r="Q27" s="271">
        <f t="shared" si="7"/>
        <v>0</v>
      </c>
      <c r="R27" s="271">
        <f t="shared" si="7"/>
        <v>0</v>
      </c>
      <c r="S27" s="271">
        <f t="shared" si="7"/>
        <v>0.10017036548842598</v>
      </c>
      <c r="T27" s="271">
        <f t="shared" si="7"/>
        <v>0.3005110964652779</v>
      </c>
      <c r="U27" s="271">
        <f t="shared" si="7"/>
        <v>0.10017036548842598</v>
      </c>
      <c r="V27" s="271">
        <f t="shared" si="7"/>
        <v>1.8986453782685846E-5</v>
      </c>
      <c r="W27" s="271">
        <f t="shared" si="7"/>
        <v>0</v>
      </c>
      <c r="X27" s="271">
        <f t="shared" si="7"/>
        <v>3.066413053645353E-3</v>
      </c>
      <c r="Y27" s="271">
        <f t="shared" si="7"/>
        <v>4.7788545936043243E-5</v>
      </c>
      <c r="Z27" s="271">
        <f t="shared" si="7"/>
        <v>2.758409323144925E-6</v>
      </c>
      <c r="AA27" s="271">
        <f t="shared" si="7"/>
        <v>1.1821754242049679E-6</v>
      </c>
      <c r="AB27" s="271">
        <f t="shared" si="7"/>
        <v>2.7225858254417443E-6</v>
      </c>
      <c r="AC27" s="271">
        <f t="shared" si="7"/>
        <v>4.1555257335689778E-6</v>
      </c>
      <c r="AD27" s="271">
        <f t="shared" si="7"/>
        <v>3.0449973047703718E-6</v>
      </c>
      <c r="AE27" s="271">
        <f t="shared" si="7"/>
        <v>1.8986453782685846E-6</v>
      </c>
      <c r="AF27" s="271">
        <f t="shared" si="7"/>
        <v>1.8380226501582423E-5</v>
      </c>
      <c r="AG27" s="271">
        <f t="shared" si="7"/>
        <v>2.3829051274236737E-5</v>
      </c>
      <c r="AH27" s="271">
        <f t="shared" si="7"/>
        <v>2.5076448392226584E-7</v>
      </c>
      <c r="AI27" s="271">
        <f t="shared" si="7"/>
        <v>2.8658798162544675E-7</v>
      </c>
      <c r="AJ27" s="271">
        <f t="shared" si="7"/>
        <v>5.7317596325089351E-7</v>
      </c>
      <c r="AK27" s="271">
        <f t="shared" si="7"/>
        <v>1.4497196344514037E-2</v>
      </c>
      <c r="AL27" s="271">
        <f t="shared" si="7"/>
        <v>7.1646995406361705E-7</v>
      </c>
      <c r="AM27" s="271">
        <f t="shared" si="7"/>
        <v>2.1494098621908504E-7</v>
      </c>
      <c r="AN27" s="271">
        <f t="shared" si="7"/>
        <v>2.1494098621908504E-7</v>
      </c>
      <c r="AO27" s="271">
        <f t="shared" si="7"/>
        <v>0</v>
      </c>
      <c r="AP27" s="265">
        <f t="shared" si="0"/>
        <v>99.999999999999957</v>
      </c>
    </row>
    <row r="28" spans="2:42" hidden="1" x14ac:dyDescent="0.25">
      <c r="B28" s="276" t="s">
        <v>227</v>
      </c>
      <c r="C28" s="276"/>
      <c r="D28" s="276"/>
      <c r="E28" s="276"/>
      <c r="F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76"/>
      <c r="AA28" s="276"/>
      <c r="AB28" s="276"/>
      <c r="AC28" s="276"/>
      <c r="AD28" s="276"/>
      <c r="AE28" s="276"/>
      <c r="AF28" s="276"/>
      <c r="AG28" s="276"/>
      <c r="AH28" s="276"/>
      <c r="AI28" s="276"/>
      <c r="AJ28" s="276"/>
      <c r="AK28" s="276"/>
      <c r="AL28" s="276"/>
      <c r="AM28" s="276"/>
      <c r="AN28" s="276"/>
      <c r="AO28" s="276"/>
      <c r="AP28" s="276"/>
    </row>
    <row r="29" spans="2:42" ht="15.75" hidden="1" thickBot="1" x14ac:dyDescent="0.3"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277"/>
      <c r="AD29" s="277"/>
      <c r="AE29" s="277"/>
      <c r="AF29" s="277"/>
      <c r="AG29" s="277"/>
      <c r="AH29" s="277"/>
      <c r="AI29" s="277"/>
      <c r="AJ29" s="277"/>
      <c r="AK29" s="277"/>
      <c r="AL29" s="277"/>
      <c r="AM29" s="277"/>
      <c r="AN29" s="277"/>
      <c r="AO29" s="277"/>
      <c r="AP29" s="217"/>
    </row>
    <row r="30" spans="2:42" ht="15.75" hidden="1" thickBot="1" x14ac:dyDescent="0.3">
      <c r="B30" s="278" t="s">
        <v>105</v>
      </c>
      <c r="C30" s="279">
        <v>2.016</v>
      </c>
      <c r="D30" s="279">
        <v>32</v>
      </c>
      <c r="E30" s="279">
        <v>28.015999999999998</v>
      </c>
      <c r="F30" s="279">
        <v>16.041</v>
      </c>
      <c r="G30" s="279">
        <v>28.01</v>
      </c>
      <c r="H30" s="279">
        <v>44.01</v>
      </c>
      <c r="I30" s="279">
        <v>30.067</v>
      </c>
      <c r="J30" s="279">
        <v>28.050999999999998</v>
      </c>
      <c r="K30" s="279">
        <v>44.091999999999999</v>
      </c>
      <c r="L30" s="279">
        <v>42.076999999999998</v>
      </c>
      <c r="M30" s="279">
        <v>58.118000000000002</v>
      </c>
      <c r="N30" s="279">
        <v>58.118000000000002</v>
      </c>
      <c r="O30" s="279">
        <v>56.106299999999997</v>
      </c>
      <c r="P30" s="279">
        <v>56.106299999999997</v>
      </c>
      <c r="Q30" s="279">
        <v>56.106299999999997</v>
      </c>
      <c r="R30" s="279">
        <v>56.106299999999997</v>
      </c>
      <c r="S30" s="279">
        <v>72.144000000000005</v>
      </c>
      <c r="T30" s="279">
        <v>72.144000000000005</v>
      </c>
      <c r="U30" s="280">
        <v>86.18</v>
      </c>
      <c r="V30" s="279">
        <v>30.068999999999999</v>
      </c>
      <c r="W30" s="279">
        <v>34.082000000000001</v>
      </c>
      <c r="X30" s="279">
        <v>60.076000000000001</v>
      </c>
      <c r="Y30" s="279">
        <v>44.091999999999999</v>
      </c>
      <c r="Z30" s="279">
        <v>48.042999999999999</v>
      </c>
      <c r="AA30" s="279">
        <f>Z30+12.0107</f>
        <v>60.053699999999999</v>
      </c>
      <c r="AB30" s="279">
        <f t="shared" ref="AB30:AE30" si="8">AA30+12.0107</f>
        <v>72.064400000000006</v>
      </c>
      <c r="AC30" s="279">
        <f t="shared" si="8"/>
        <v>84.075100000000006</v>
      </c>
      <c r="AD30" s="279">
        <f t="shared" si="8"/>
        <v>96.085800000000006</v>
      </c>
      <c r="AE30" s="279">
        <f t="shared" si="8"/>
        <v>108.09650000000001</v>
      </c>
      <c r="AF30" s="279">
        <v>54.09</v>
      </c>
      <c r="AG30" s="279">
        <v>55.09</v>
      </c>
      <c r="AH30" s="279">
        <v>78.11</v>
      </c>
      <c r="AI30" s="279">
        <v>92.14</v>
      </c>
      <c r="AJ30" s="279">
        <v>106.16</v>
      </c>
      <c r="AK30" s="279">
        <v>17.030999999999999</v>
      </c>
      <c r="AL30" s="280">
        <v>48.11</v>
      </c>
      <c r="AM30" s="280">
        <v>62.14</v>
      </c>
      <c r="AN30" s="280">
        <v>76.16</v>
      </c>
      <c r="AO30" s="280">
        <v>124.21</v>
      </c>
      <c r="AP30" s="281"/>
    </row>
    <row r="31" spans="2:42" x14ac:dyDescent="0.25">
      <c r="B31" s="282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7"/>
      <c r="AG31" s="277"/>
      <c r="AH31" s="277"/>
      <c r="AI31" s="277"/>
      <c r="AJ31" s="277"/>
      <c r="AK31" s="277"/>
      <c r="AL31" s="277"/>
      <c r="AM31" s="277"/>
      <c r="AN31" s="277"/>
      <c r="AO31" s="277"/>
      <c r="AP31" s="283"/>
    </row>
    <row r="32" spans="2:42" ht="15.75" thickBot="1" x14ac:dyDescent="0.3">
      <c r="B32" s="277"/>
      <c r="C32" s="277"/>
      <c r="D32" s="277"/>
      <c r="E32" s="277"/>
      <c r="F32" s="277"/>
      <c r="G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277"/>
      <c r="AF32" s="277"/>
      <c r="AG32" s="277"/>
      <c r="AH32" s="277"/>
      <c r="AI32" s="277"/>
      <c r="AJ32" s="277"/>
      <c r="AK32" s="277"/>
      <c r="AL32" s="277"/>
      <c r="AM32" s="277"/>
      <c r="AN32" s="277"/>
      <c r="AO32" s="277"/>
    </row>
    <row r="33" spans="2:42" ht="15.75" hidden="1" thickBot="1" x14ac:dyDescent="0.3">
      <c r="B33" s="284" t="s">
        <v>191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/>
      <c r="AN33" s="221"/>
      <c r="AO33" s="221"/>
      <c r="AP33" s="285" t="s">
        <v>59</v>
      </c>
    </row>
    <row r="34" spans="2:42" hidden="1" x14ac:dyDescent="0.25">
      <c r="B34" s="286" t="s">
        <v>106</v>
      </c>
      <c r="C34" s="287">
        <f t="shared" ref="C34:AO34" si="9">C21*C30</f>
        <v>24.239727266528057</v>
      </c>
      <c r="D34" s="287">
        <f t="shared" si="9"/>
        <v>6.4126262609862597</v>
      </c>
      <c r="E34" s="287">
        <f t="shared" si="9"/>
        <v>50.528288623441213</v>
      </c>
      <c r="F34" s="287">
        <f t="shared" si="9"/>
        <v>1285.8117231560072</v>
      </c>
      <c r="G34" s="287">
        <f t="shared" si="9"/>
        <v>5.613051924069536</v>
      </c>
      <c r="H34" s="287">
        <f t="shared" si="9"/>
        <v>26.458095163687993</v>
      </c>
      <c r="I34" s="287">
        <f t="shared" si="9"/>
        <v>39.164213113405623</v>
      </c>
      <c r="J34" s="287">
        <f t="shared" si="9"/>
        <v>0</v>
      </c>
      <c r="K34" s="287">
        <f t="shared" si="9"/>
        <v>114.86536632163374</v>
      </c>
      <c r="L34" s="287">
        <f t="shared" si="9"/>
        <v>0</v>
      </c>
      <c r="M34" s="287">
        <f t="shared" si="9"/>
        <v>5.8232658286874912</v>
      </c>
      <c r="N34" s="287">
        <f t="shared" si="9"/>
        <v>29.116329143437454</v>
      </c>
      <c r="O34" s="287">
        <f t="shared" si="9"/>
        <v>0</v>
      </c>
      <c r="P34" s="287">
        <f t="shared" si="9"/>
        <v>0</v>
      </c>
      <c r="Q34" s="287">
        <f t="shared" si="9"/>
        <v>0</v>
      </c>
      <c r="R34" s="287">
        <f t="shared" si="9"/>
        <v>0</v>
      </c>
      <c r="S34" s="287">
        <f t="shared" si="9"/>
        <v>7.2286329526967616</v>
      </c>
      <c r="T34" s="287">
        <f t="shared" si="9"/>
        <v>21.685898858090283</v>
      </c>
      <c r="U34" s="287">
        <f t="shared" si="9"/>
        <v>8.6350020495593114</v>
      </c>
      <c r="V34" s="287">
        <f t="shared" si="9"/>
        <v>0</v>
      </c>
      <c r="W34" s="287">
        <f t="shared" si="9"/>
        <v>0</v>
      </c>
      <c r="X34" s="287">
        <f t="shared" si="9"/>
        <v>0.18425442114771576</v>
      </c>
      <c r="Y34" s="287">
        <f t="shared" si="9"/>
        <v>0</v>
      </c>
      <c r="Z34" s="287">
        <f t="shared" si="9"/>
        <v>0</v>
      </c>
      <c r="AA34" s="287">
        <f t="shared" si="9"/>
        <v>0</v>
      </c>
      <c r="AB34" s="287">
        <f t="shared" si="9"/>
        <v>0</v>
      </c>
      <c r="AC34" s="287">
        <f t="shared" si="9"/>
        <v>0</v>
      </c>
      <c r="AD34" s="287">
        <f t="shared" si="9"/>
        <v>0</v>
      </c>
      <c r="AE34" s="287">
        <f t="shared" si="9"/>
        <v>0</v>
      </c>
      <c r="AF34" s="287">
        <f t="shared" si="9"/>
        <v>9.9445362968802911E-4</v>
      </c>
      <c r="AG34" s="287">
        <f t="shared" si="9"/>
        <v>1.3130952218264502E-3</v>
      </c>
      <c r="AH34" s="287">
        <f t="shared" si="9"/>
        <v>0</v>
      </c>
      <c r="AI34" s="287">
        <f t="shared" si="9"/>
        <v>0</v>
      </c>
      <c r="AJ34" s="287">
        <f t="shared" si="9"/>
        <v>0</v>
      </c>
      <c r="AK34" s="287">
        <f t="shared" si="9"/>
        <v>0</v>
      </c>
      <c r="AL34" s="287">
        <f t="shared" si="9"/>
        <v>0</v>
      </c>
      <c r="AM34" s="287">
        <f t="shared" si="9"/>
        <v>0</v>
      </c>
      <c r="AN34" s="287">
        <f t="shared" si="9"/>
        <v>0</v>
      </c>
      <c r="AO34" s="287">
        <f t="shared" si="9"/>
        <v>0</v>
      </c>
      <c r="AP34" s="288">
        <f>SUM(C34:AO34)</f>
        <v>1625.7687826322301</v>
      </c>
    </row>
    <row r="35" spans="2:42" ht="15.75" hidden="1" thickBot="1" x14ac:dyDescent="0.3">
      <c r="B35" s="289" t="s">
        <v>107</v>
      </c>
      <c r="C35" s="290">
        <f t="shared" ref="C35:AO35" si="10">C34/$AP$34</f>
        <v>1.4909701505820706E-2</v>
      </c>
      <c r="D35" s="290">
        <f t="shared" si="10"/>
        <v>3.9443654777303458E-3</v>
      </c>
      <c r="E35" s="290">
        <f t="shared" si="10"/>
        <v>3.107962778177625E-2</v>
      </c>
      <c r="F35" s="290">
        <f t="shared" si="10"/>
        <v>0.79089458285340597</v>
      </c>
      <c r="G35" s="290">
        <f t="shared" si="10"/>
        <v>3.452552407225844E-3</v>
      </c>
      <c r="H35" s="290">
        <f t="shared" si="10"/>
        <v>1.627420543827305E-2</v>
      </c>
      <c r="I35" s="290">
        <f t="shared" si="10"/>
        <v>2.4089657478842778E-2</v>
      </c>
      <c r="J35" s="290">
        <f t="shared" si="10"/>
        <v>0</v>
      </c>
      <c r="K35" s="290">
        <f t="shared" si="10"/>
        <v>7.0652953574160099E-2</v>
      </c>
      <c r="L35" s="290">
        <f t="shared" si="10"/>
        <v>0</v>
      </c>
      <c r="M35" s="290">
        <f t="shared" si="10"/>
        <v>3.5818536380426915E-3</v>
      </c>
      <c r="N35" s="290">
        <f t="shared" si="10"/>
        <v>1.7909268190213455E-2</v>
      </c>
      <c r="O35" s="290">
        <f t="shared" si="10"/>
        <v>0</v>
      </c>
      <c r="P35" s="290">
        <f t="shared" si="10"/>
        <v>0</v>
      </c>
      <c r="Q35" s="290">
        <f t="shared" si="10"/>
        <v>0</v>
      </c>
      <c r="R35" s="290">
        <f t="shared" si="10"/>
        <v>0</v>
      </c>
      <c r="S35" s="290">
        <f t="shared" si="10"/>
        <v>4.4462859847715329E-3</v>
      </c>
      <c r="T35" s="290">
        <f t="shared" si="10"/>
        <v>1.3338857954314599E-2</v>
      </c>
      <c r="U35" s="290">
        <f t="shared" si="10"/>
        <v>5.3113346386062703E-3</v>
      </c>
      <c r="V35" s="290">
        <f t="shared" si="10"/>
        <v>0</v>
      </c>
      <c r="W35" s="290">
        <f t="shared" si="10"/>
        <v>0</v>
      </c>
      <c r="X35" s="290">
        <f t="shared" si="10"/>
        <v>1.1333371824829563E-4</v>
      </c>
      <c r="Y35" s="290">
        <f t="shared" si="10"/>
        <v>0</v>
      </c>
      <c r="Z35" s="290">
        <f t="shared" si="10"/>
        <v>0</v>
      </c>
      <c r="AA35" s="290">
        <f t="shared" si="10"/>
        <v>0</v>
      </c>
      <c r="AB35" s="290">
        <f t="shared" si="10"/>
        <v>0</v>
      </c>
      <c r="AC35" s="290">
        <f t="shared" si="10"/>
        <v>0</v>
      </c>
      <c r="AD35" s="290">
        <f t="shared" si="10"/>
        <v>0</v>
      </c>
      <c r="AE35" s="290">
        <f t="shared" si="10"/>
        <v>0</v>
      </c>
      <c r="AF35" s="290">
        <f t="shared" si="10"/>
        <v>6.1168207946393287E-7</v>
      </c>
      <c r="AG35" s="290">
        <f t="shared" si="10"/>
        <v>8.076764887196689E-7</v>
      </c>
      <c r="AH35" s="290">
        <f t="shared" si="10"/>
        <v>0</v>
      </c>
      <c r="AI35" s="290">
        <f t="shared" si="10"/>
        <v>0</v>
      </c>
      <c r="AJ35" s="290">
        <f t="shared" si="10"/>
        <v>0</v>
      </c>
      <c r="AK35" s="291">
        <f t="shared" si="10"/>
        <v>0</v>
      </c>
      <c r="AL35" s="290">
        <f t="shared" si="10"/>
        <v>0</v>
      </c>
      <c r="AM35" s="290">
        <f t="shared" si="10"/>
        <v>0</v>
      </c>
      <c r="AN35" s="290">
        <f t="shared" si="10"/>
        <v>0</v>
      </c>
      <c r="AO35" s="290">
        <f t="shared" si="10"/>
        <v>0</v>
      </c>
      <c r="AP35" s="292">
        <f>SUM(C35:AO35)</f>
        <v>0.99999999999999978</v>
      </c>
    </row>
    <row r="36" spans="2:42" ht="15.75" hidden="1" thickBot="1" x14ac:dyDescent="0.3">
      <c r="B36" s="277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294"/>
      <c r="AL36" s="293"/>
      <c r="AM36" s="293"/>
      <c r="AN36" s="293"/>
      <c r="AO36" s="293"/>
      <c r="AP36" s="295"/>
    </row>
    <row r="37" spans="2:42" ht="15.75" hidden="1" thickBot="1" x14ac:dyDescent="0.3">
      <c r="B37" s="219" t="s">
        <v>199</v>
      </c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</row>
    <row r="38" spans="2:42" hidden="1" x14ac:dyDescent="0.25">
      <c r="B38" s="286" t="s">
        <v>198</v>
      </c>
      <c r="C38" s="287">
        <f t="shared" ref="C38:AO38" si="11">C23*C30</f>
        <v>4.228079223657228</v>
      </c>
      <c r="D38" s="287">
        <f t="shared" si="11"/>
        <v>0</v>
      </c>
      <c r="E38" s="287">
        <f t="shared" si="11"/>
        <v>2.1106005776169434</v>
      </c>
      <c r="F38" s="287">
        <f t="shared" si="11"/>
        <v>17.453119958185439</v>
      </c>
      <c r="G38" s="287">
        <f t="shared" si="11"/>
        <v>0</v>
      </c>
      <c r="H38" s="287">
        <f t="shared" si="11"/>
        <v>1868.8191746957909</v>
      </c>
      <c r="I38" s="287">
        <f t="shared" si="11"/>
        <v>0</v>
      </c>
      <c r="J38" s="287">
        <f t="shared" si="11"/>
        <v>0</v>
      </c>
      <c r="K38" s="287">
        <f t="shared" si="11"/>
        <v>0</v>
      </c>
      <c r="L38" s="287">
        <f t="shared" si="11"/>
        <v>0</v>
      </c>
      <c r="M38" s="287">
        <f t="shared" si="11"/>
        <v>0</v>
      </c>
      <c r="N38" s="287">
        <f t="shared" si="11"/>
        <v>0</v>
      </c>
      <c r="O38" s="287">
        <f t="shared" si="11"/>
        <v>0</v>
      </c>
      <c r="P38" s="287">
        <f t="shared" si="11"/>
        <v>0</v>
      </c>
      <c r="Q38" s="287">
        <f t="shared" si="11"/>
        <v>0</v>
      </c>
      <c r="R38" s="287">
        <f t="shared" si="11"/>
        <v>0</v>
      </c>
      <c r="S38" s="287">
        <f t="shared" si="11"/>
        <v>0</v>
      </c>
      <c r="T38" s="287">
        <f t="shared" si="11"/>
        <v>0</v>
      </c>
      <c r="U38" s="287">
        <f t="shared" si="11"/>
        <v>0</v>
      </c>
      <c r="V38" s="287">
        <f t="shared" si="11"/>
        <v>2.1249383315243913</v>
      </c>
      <c r="W38" s="287">
        <f t="shared" si="11"/>
        <v>0</v>
      </c>
      <c r="X38" s="287">
        <f t="shared" si="11"/>
        <v>4.8062209824821532E-2</v>
      </c>
      <c r="Y38" s="287">
        <f t="shared" si="11"/>
        <v>7.8427271199955193</v>
      </c>
      <c r="Z38" s="287">
        <f t="shared" si="11"/>
        <v>0.49325593550744157</v>
      </c>
      <c r="AA38" s="287">
        <f t="shared" si="11"/>
        <v>0.26424403115824735</v>
      </c>
      <c r="AB38" s="287">
        <f t="shared" si="11"/>
        <v>0.73027400803756914</v>
      </c>
      <c r="AC38" s="287">
        <f t="shared" si="11"/>
        <v>1.3003996917242906</v>
      </c>
      <c r="AD38" s="287">
        <f t="shared" si="11"/>
        <v>1.089004344127428</v>
      </c>
      <c r="AE38" s="287">
        <f t="shared" si="11"/>
        <v>0.76390434119400852</v>
      </c>
      <c r="AF38" s="287">
        <f t="shared" si="11"/>
        <v>0</v>
      </c>
      <c r="AG38" s="287">
        <f t="shared" si="11"/>
        <v>0</v>
      </c>
      <c r="AH38" s="287">
        <f t="shared" si="11"/>
        <v>7.2904805207619425E-2</v>
      </c>
      <c r="AI38" s="287">
        <f t="shared" si="11"/>
        <v>9.8285549709458159E-2</v>
      </c>
      <c r="AJ38" s="287">
        <f t="shared" si="11"/>
        <v>0.22648131011843015</v>
      </c>
      <c r="AK38" s="287">
        <f t="shared" si="11"/>
        <v>918.9833840459321</v>
      </c>
      <c r="AL38" s="287">
        <f t="shared" si="11"/>
        <v>0.12829709671483699</v>
      </c>
      <c r="AM38" s="287">
        <f t="shared" si="11"/>
        <v>4.9713458261442335E-2</v>
      </c>
      <c r="AN38" s="287">
        <f t="shared" si="11"/>
        <v>6.0929787273760028E-2</v>
      </c>
      <c r="AO38" s="287">
        <f t="shared" si="11"/>
        <v>0</v>
      </c>
      <c r="AP38" s="288">
        <f>SUM(C38:AO38)</f>
        <v>2826.8877805215625</v>
      </c>
    </row>
    <row r="39" spans="2:42" ht="15.75" hidden="1" thickBot="1" x14ac:dyDescent="0.3">
      <c r="B39" s="289" t="s">
        <v>107</v>
      </c>
      <c r="C39" s="290">
        <f t="shared" ref="C39:AO39" si="12">C38/$AP$38</f>
        <v>1.4956657469003404E-3</v>
      </c>
      <c r="D39" s="290">
        <f t="shared" si="12"/>
        <v>0</v>
      </c>
      <c r="E39" s="290">
        <f t="shared" si="12"/>
        <v>7.4661632915174879E-4</v>
      </c>
      <c r="F39" s="290">
        <f t="shared" si="12"/>
        <v>6.1739698612887023E-3</v>
      </c>
      <c r="G39" s="290">
        <f t="shared" si="12"/>
        <v>0</v>
      </c>
      <c r="H39" s="290">
        <f t="shared" si="12"/>
        <v>0.66108714593226359</v>
      </c>
      <c r="I39" s="290">
        <f t="shared" si="12"/>
        <v>0</v>
      </c>
      <c r="J39" s="290">
        <f t="shared" si="12"/>
        <v>0</v>
      </c>
      <c r="K39" s="290">
        <f t="shared" si="12"/>
        <v>0</v>
      </c>
      <c r="L39" s="290">
        <f t="shared" si="12"/>
        <v>0</v>
      </c>
      <c r="M39" s="290">
        <f t="shared" si="12"/>
        <v>0</v>
      </c>
      <c r="N39" s="290">
        <f t="shared" si="12"/>
        <v>0</v>
      </c>
      <c r="O39" s="290">
        <f t="shared" si="12"/>
        <v>0</v>
      </c>
      <c r="P39" s="290">
        <f t="shared" si="12"/>
        <v>0</v>
      </c>
      <c r="Q39" s="290">
        <f t="shared" si="12"/>
        <v>0</v>
      </c>
      <c r="R39" s="290">
        <f t="shared" si="12"/>
        <v>0</v>
      </c>
      <c r="S39" s="290">
        <f t="shared" si="12"/>
        <v>0</v>
      </c>
      <c r="T39" s="290">
        <f t="shared" si="12"/>
        <v>0</v>
      </c>
      <c r="U39" s="290">
        <f t="shared" si="12"/>
        <v>0</v>
      </c>
      <c r="V39" s="290">
        <f t="shared" si="12"/>
        <v>7.5168825100384383E-4</v>
      </c>
      <c r="W39" s="290">
        <f t="shared" si="12"/>
        <v>0</v>
      </c>
      <c r="X39" s="290">
        <f t="shared" si="12"/>
        <v>1.7001810314505665E-5</v>
      </c>
      <c r="Y39" s="290">
        <f t="shared" si="12"/>
        <v>2.7743326686100471E-3</v>
      </c>
      <c r="Z39" s="290">
        <f t="shared" si="12"/>
        <v>1.7448727144606907E-4</v>
      </c>
      <c r="AA39" s="290">
        <f t="shared" si="12"/>
        <v>9.3475246162581728E-5</v>
      </c>
      <c r="AB39" s="290">
        <f t="shared" si="12"/>
        <v>2.5833144600555496E-4</v>
      </c>
      <c r="AC39" s="290">
        <f t="shared" si="12"/>
        <v>4.6001107673413415E-4</v>
      </c>
      <c r="AD39" s="290">
        <f t="shared" si="12"/>
        <v>3.8523083640996388E-4</v>
      </c>
      <c r="AE39" s="290">
        <f t="shared" si="12"/>
        <v>2.7022803892592711E-4</v>
      </c>
      <c r="AF39" s="290">
        <f t="shared" si="12"/>
        <v>0</v>
      </c>
      <c r="AG39" s="290">
        <f t="shared" si="12"/>
        <v>0</v>
      </c>
      <c r="AH39" s="290">
        <f t="shared" si="12"/>
        <v>2.5789776909421019E-5</v>
      </c>
      <c r="AI39" s="290">
        <f t="shared" si="12"/>
        <v>3.4768111555996899E-5</v>
      </c>
      <c r="AJ39" s="290">
        <f t="shared" si="12"/>
        <v>8.0116837915880835E-5</v>
      </c>
      <c r="AK39" s="291">
        <f t="shared" si="12"/>
        <v>0.32508661658878413</v>
      </c>
      <c r="AL39" s="290">
        <f t="shared" si="12"/>
        <v>4.5384573663962739E-5</v>
      </c>
      <c r="AM39" s="290">
        <f t="shared" si="12"/>
        <v>1.7585932700968473E-5</v>
      </c>
      <c r="AN39" s="290">
        <f t="shared" si="12"/>
        <v>2.1553663252426117E-5</v>
      </c>
      <c r="AO39" s="290">
        <f t="shared" si="12"/>
        <v>0</v>
      </c>
      <c r="AP39" s="292">
        <f>SUM(C39:AO39)</f>
        <v>0.99999999999999956</v>
      </c>
    </row>
    <row r="40" spans="2:42" ht="15.75" hidden="1" thickBot="1" x14ac:dyDescent="0.3">
      <c r="B40" s="221"/>
      <c r="C40" s="221"/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</row>
    <row r="41" spans="2:42" ht="15.75" hidden="1" thickBot="1" x14ac:dyDescent="0.3">
      <c r="B41" s="219" t="s">
        <v>196</v>
      </c>
      <c r="C41" s="221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</row>
    <row r="42" spans="2:42" hidden="1" x14ac:dyDescent="0.25">
      <c r="B42" s="286" t="s">
        <v>106</v>
      </c>
      <c r="C42" s="287">
        <f t="shared" ref="C42:AO42" si="13">C27*C30</f>
        <v>24.23435077003548</v>
      </c>
      <c r="D42" s="287">
        <f t="shared" si="13"/>
        <v>6.4109033912592626</v>
      </c>
      <c r="E42" s="287">
        <f t="shared" si="13"/>
        <v>50.51528032300542</v>
      </c>
      <c r="F42" s="287">
        <f t="shared" si="13"/>
        <v>1285.4709553408422</v>
      </c>
      <c r="G42" s="287">
        <f t="shared" si="13"/>
        <v>5.6115438746616233</v>
      </c>
      <c r="H42" s="287">
        <f t="shared" si="13"/>
        <v>26.9530792779859</v>
      </c>
      <c r="I42" s="287">
        <f t="shared" si="13"/>
        <v>39.153690928826549</v>
      </c>
      <c r="J42" s="287">
        <f t="shared" si="13"/>
        <v>0</v>
      </c>
      <c r="K42" s="287">
        <f t="shared" si="13"/>
        <v>114.83450563300762</v>
      </c>
      <c r="L42" s="287">
        <f t="shared" si="13"/>
        <v>0</v>
      </c>
      <c r="M42" s="287">
        <f t="shared" si="13"/>
        <v>5.8217013014563408</v>
      </c>
      <c r="N42" s="287">
        <f t="shared" si="13"/>
        <v>29.108506507281703</v>
      </c>
      <c r="O42" s="287">
        <f t="shared" si="13"/>
        <v>0</v>
      </c>
      <c r="P42" s="287">
        <f t="shared" si="13"/>
        <v>0</v>
      </c>
      <c r="Q42" s="287">
        <f t="shared" si="13"/>
        <v>0</v>
      </c>
      <c r="R42" s="287">
        <f t="shared" si="13"/>
        <v>0</v>
      </c>
      <c r="S42" s="287">
        <f t="shared" si="13"/>
        <v>7.2266908477970047</v>
      </c>
      <c r="T42" s="287">
        <f t="shared" si="13"/>
        <v>21.68007254339101</v>
      </c>
      <c r="U42" s="287">
        <f t="shared" si="13"/>
        <v>8.6326820977925518</v>
      </c>
      <c r="V42" s="287">
        <f t="shared" si="13"/>
        <v>5.7090367879158066E-4</v>
      </c>
      <c r="W42" s="287">
        <f t="shared" si="13"/>
        <v>0</v>
      </c>
      <c r="X42" s="287">
        <f t="shared" si="13"/>
        <v>0.18421783061079822</v>
      </c>
      <c r="Y42" s="287">
        <f t="shared" si="13"/>
        <v>2.1070925674120185E-3</v>
      </c>
      <c r="Z42" s="287">
        <f t="shared" si="13"/>
        <v>1.3252225911185162E-4</v>
      </c>
      <c r="AA42" s="287">
        <f t="shared" si="13"/>
        <v>7.0994008272577872E-5</v>
      </c>
      <c r="AB42" s="287">
        <f t="shared" si="13"/>
        <v>1.9620151395896405E-4</v>
      </c>
      <c r="AC42" s="287">
        <f t="shared" si="13"/>
        <v>3.4937624160238522E-4</v>
      </c>
      <c r="AD42" s="287">
        <f t="shared" si="13"/>
        <v>2.9258100202670501E-4</v>
      </c>
      <c r="AE42" s="287">
        <f t="shared" si="13"/>
        <v>2.0523692013201008E-4</v>
      </c>
      <c r="AF42" s="287">
        <f t="shared" si="13"/>
        <v>9.9418645147059332E-4</v>
      </c>
      <c r="AG42" s="287">
        <f t="shared" si="13"/>
        <v>1.3127424346977019E-3</v>
      </c>
      <c r="AH42" s="287">
        <f t="shared" si="13"/>
        <v>1.9587213839168185E-5</v>
      </c>
      <c r="AI42" s="287">
        <f t="shared" si="13"/>
        <v>2.6406216626968663E-5</v>
      </c>
      <c r="AJ42" s="287">
        <f t="shared" si="13"/>
        <v>6.0848360258714852E-5</v>
      </c>
      <c r="AK42" s="287">
        <f t="shared" si="13"/>
        <v>0.24690175094341857</v>
      </c>
      <c r="AL42" s="287">
        <f t="shared" si="13"/>
        <v>3.4469369490000612E-5</v>
      </c>
      <c r="AM42" s="287">
        <f t="shared" si="13"/>
        <v>1.3356432883653945E-5</v>
      </c>
      <c r="AN42" s="287">
        <f t="shared" si="13"/>
        <v>1.6369905510445514E-5</v>
      </c>
      <c r="AO42" s="287">
        <f t="shared" si="13"/>
        <v>0</v>
      </c>
      <c r="AP42" s="288">
        <f>SUM(C42:AO42)</f>
        <v>1626.0914852934727</v>
      </c>
    </row>
    <row r="43" spans="2:42" ht="15.75" hidden="1" thickBot="1" x14ac:dyDescent="0.3">
      <c r="B43" s="296" t="s">
        <v>107</v>
      </c>
      <c r="C43" s="297">
        <f t="shared" ref="C43:AO43" si="14">C42/$AP$42</f>
        <v>1.4903436239112788E-2</v>
      </c>
      <c r="D43" s="297">
        <f t="shared" si="14"/>
        <v>3.9425231908783035E-3</v>
      </c>
      <c r="E43" s="297">
        <f t="shared" si="14"/>
        <v>3.1065460203113085E-2</v>
      </c>
      <c r="F43" s="297">
        <f t="shared" si="14"/>
        <v>0.79052806497467376</v>
      </c>
      <c r="G43" s="297">
        <f t="shared" si="14"/>
        <v>3.4509398305156654E-3</v>
      </c>
      <c r="H43" s="297">
        <f t="shared" si="14"/>
        <v>1.6575376921748951E-2</v>
      </c>
      <c r="I43" s="297">
        <f t="shared" si="14"/>
        <v>2.4078405970965524E-2</v>
      </c>
      <c r="J43" s="297">
        <f t="shared" si="14"/>
        <v>0</v>
      </c>
      <c r="K43" s="297">
        <f t="shared" si="14"/>
        <v>7.0619953841208755E-2</v>
      </c>
      <c r="L43" s="297">
        <f t="shared" si="14"/>
        <v>0</v>
      </c>
      <c r="M43" s="290">
        <f t="shared" si="14"/>
        <v>3.5801806688666444E-3</v>
      </c>
      <c r="N43" s="290">
        <f t="shared" si="14"/>
        <v>1.7900903344333224E-2</v>
      </c>
      <c r="O43" s="290">
        <f t="shared" si="14"/>
        <v>0</v>
      </c>
      <c r="P43" s="290">
        <f t="shared" si="14"/>
        <v>0</v>
      </c>
      <c r="Q43" s="290">
        <f t="shared" si="14"/>
        <v>0</v>
      </c>
      <c r="R43" s="290">
        <f t="shared" si="14"/>
        <v>0</v>
      </c>
      <c r="S43" s="290">
        <f t="shared" si="14"/>
        <v>4.444209266917569E-3</v>
      </c>
      <c r="T43" s="290">
        <f t="shared" si="14"/>
        <v>1.3332627800752703E-2</v>
      </c>
      <c r="U43" s="290">
        <f t="shared" si="14"/>
        <v>5.3088538842170664E-3</v>
      </c>
      <c r="V43" s="290">
        <f t="shared" si="14"/>
        <v>3.5108951984244939E-7</v>
      </c>
      <c r="W43" s="290">
        <f t="shared" si="14"/>
        <v>0</v>
      </c>
      <c r="X43" s="290">
        <f t="shared" si="14"/>
        <v>1.1328872469776881E-4</v>
      </c>
      <c r="Y43" s="290">
        <f t="shared" si="14"/>
        <v>1.2958019806811398E-6</v>
      </c>
      <c r="Z43" s="290">
        <f t="shared" si="14"/>
        <v>8.1497419001572573E-8</v>
      </c>
      <c r="AA43" s="290">
        <f t="shared" si="14"/>
        <v>4.3659295257772698E-8</v>
      </c>
      <c r="AB43" s="290">
        <f t="shared" si="14"/>
        <v>1.2065834901260437E-7</v>
      </c>
      <c r="AC43" s="290">
        <f t="shared" si="14"/>
        <v>2.1485644858372205E-7</v>
      </c>
      <c r="AD43" s="290">
        <f t="shared" si="14"/>
        <v>1.7992899210950653E-7</v>
      </c>
      <c r="AE43" s="290">
        <f t="shared" si="14"/>
        <v>1.262148667453169E-7</v>
      </c>
      <c r="AF43" s="290">
        <f t="shared" si="14"/>
        <v>6.1139638234509614E-7</v>
      </c>
      <c r="AG43" s="290">
        <f t="shared" si="14"/>
        <v>8.072992488862221E-7</v>
      </c>
      <c r="AH43" s="290">
        <f t="shared" si="14"/>
        <v>1.2045579240969419E-8</v>
      </c>
      <c r="AI43" s="290">
        <f t="shared" si="14"/>
        <v>1.6239071950003441E-8</v>
      </c>
      <c r="AJ43" s="290">
        <f t="shared" si="14"/>
        <v>3.7420010380125136E-8</v>
      </c>
      <c r="AK43" s="298">
        <f t="shared" si="14"/>
        <v>1.5183755230036052E-4</v>
      </c>
      <c r="AL43" s="290">
        <f t="shared" si="14"/>
        <v>2.11976815583532E-8</v>
      </c>
      <c r="AM43" s="290">
        <f t="shared" si="14"/>
        <v>8.2138262234633197E-9</v>
      </c>
      <c r="AN43" s="290">
        <f t="shared" si="14"/>
        <v>1.0067026153507665E-8</v>
      </c>
      <c r="AO43" s="290">
        <f t="shared" si="14"/>
        <v>0</v>
      </c>
      <c r="AP43" s="222">
        <f>SUM(C43:AO43)</f>
        <v>1.0000000000000004</v>
      </c>
    </row>
    <row r="44" spans="2:42" ht="54.75" thickBot="1" x14ac:dyDescent="0.3">
      <c r="B44" s="342" t="s">
        <v>221</v>
      </c>
      <c r="C44" s="343"/>
      <c r="D44" s="245" t="s">
        <v>105</v>
      </c>
      <c r="E44" s="299" t="s">
        <v>229</v>
      </c>
      <c r="F44" s="300" t="s">
        <v>230</v>
      </c>
      <c r="G44" s="301" t="s">
        <v>231</v>
      </c>
      <c r="H44" s="302" t="s">
        <v>232</v>
      </c>
      <c r="I44" s="299" t="s">
        <v>235</v>
      </c>
      <c r="J44" s="300" t="s">
        <v>236</v>
      </c>
      <c r="K44" s="301" t="s">
        <v>233</v>
      </c>
      <c r="L44" s="300" t="s">
        <v>234</v>
      </c>
    </row>
    <row r="45" spans="2:42" x14ac:dyDescent="0.25">
      <c r="B45" s="303" t="s">
        <v>16</v>
      </c>
      <c r="C45" s="304" t="s">
        <v>101</v>
      </c>
      <c r="D45" s="335">
        <v>2.016</v>
      </c>
      <c r="E45" s="305">
        <v>12</v>
      </c>
      <c r="F45" s="306">
        <f>(E45*100)/$E$83</f>
        <v>12.023674239349235</v>
      </c>
      <c r="G45" s="307">
        <v>1.5729</v>
      </c>
      <c r="H45" s="308">
        <f>(G45*100)/$G$83</f>
        <v>2.0972615196712439</v>
      </c>
      <c r="I45" s="305">
        <f>$C$12*(F45/100)</f>
        <v>1879.1146744560247</v>
      </c>
      <c r="J45" s="306">
        <f>$C$16*(H45/100)</f>
        <v>8.8084983826192231E-2</v>
      </c>
      <c r="K45" s="307">
        <f>I45+J45</f>
        <v>1879.2027594398508</v>
      </c>
      <c r="L45" s="306">
        <f>(K45/$K$83)*100</f>
        <v>12.021007326406489</v>
      </c>
    </row>
    <row r="46" spans="2:42" x14ac:dyDescent="0.25">
      <c r="B46" s="309" t="s">
        <v>20</v>
      </c>
      <c r="C46" s="310" t="s">
        <v>71</v>
      </c>
      <c r="D46" s="336">
        <v>32</v>
      </c>
      <c r="E46" s="311">
        <v>0.2</v>
      </c>
      <c r="F46" s="312">
        <f t="shared" ref="F46:F82" si="15">(E46*100)/$E$83</f>
        <v>0.20039457065582061</v>
      </c>
      <c r="G46" s="313">
        <v>0</v>
      </c>
      <c r="H46" s="314">
        <f t="shared" ref="H46:H82" si="16">(G46*100)/$G$83</f>
        <v>0</v>
      </c>
      <c r="I46" s="311">
        <f t="shared" ref="I46:I82" si="17">$C$12*(F46/100)</f>
        <v>31.318577907600414</v>
      </c>
      <c r="J46" s="312">
        <f t="shared" ref="J46:J82" si="18">$C$16*(H46/100)</f>
        <v>0</v>
      </c>
      <c r="K46" s="313">
        <f t="shared" ref="K46:K82" si="19">I46+J46</f>
        <v>31.318577907600414</v>
      </c>
      <c r="L46" s="312">
        <f t="shared" ref="L46:L82" si="20">(K46/$K$83)*100</f>
        <v>0.20034073097685196</v>
      </c>
    </row>
    <row r="47" spans="2:42" x14ac:dyDescent="0.25">
      <c r="B47" s="309" t="s">
        <v>24</v>
      </c>
      <c r="C47" s="310" t="s">
        <v>74</v>
      </c>
      <c r="D47" s="336">
        <v>28.015999999999998</v>
      </c>
      <c r="E47" s="311">
        <v>1.7999999999999998</v>
      </c>
      <c r="F47" s="312">
        <f t="shared" si="15"/>
        <v>1.803551135902385</v>
      </c>
      <c r="G47" s="313">
        <v>5.6500000000000002E-2</v>
      </c>
      <c r="H47" s="314">
        <f t="shared" si="16"/>
        <v>7.5335543175933162E-2</v>
      </c>
      <c r="I47" s="311">
        <f t="shared" si="17"/>
        <v>281.86720116840365</v>
      </c>
      <c r="J47" s="312">
        <f t="shared" si="18"/>
        <v>3.1640928133891927E-3</v>
      </c>
      <c r="K47" s="313">
        <f t="shared" si="19"/>
        <v>281.87036526121705</v>
      </c>
      <c r="L47" s="312">
        <f t="shared" si="20"/>
        <v>1.8030868190678693</v>
      </c>
    </row>
    <row r="48" spans="2:42" x14ac:dyDescent="0.25">
      <c r="B48" s="309" t="s">
        <v>32</v>
      </c>
      <c r="C48" s="310" t="s">
        <v>78</v>
      </c>
      <c r="D48" s="336">
        <v>16.041</v>
      </c>
      <c r="E48" s="311">
        <v>80</v>
      </c>
      <c r="F48" s="312">
        <f t="shared" si="15"/>
        <v>80.157828262328238</v>
      </c>
      <c r="G48" s="313">
        <v>0.81599999999999995</v>
      </c>
      <c r="H48" s="314">
        <f t="shared" si="16"/>
        <v>1.0880319156028577</v>
      </c>
      <c r="I48" s="311">
        <f t="shared" si="17"/>
        <v>12527.431163040164</v>
      </c>
      <c r="J48" s="312">
        <f t="shared" si="18"/>
        <v>4.5697340455320014E-2</v>
      </c>
      <c r="K48" s="313">
        <f t="shared" si="19"/>
        <v>12527.476860380621</v>
      </c>
      <c r="L48" s="312">
        <f t="shared" si="20"/>
        <v>80.136584710482026</v>
      </c>
    </row>
    <row r="49" spans="2:12" x14ac:dyDescent="0.25">
      <c r="B49" s="309" t="s">
        <v>35</v>
      </c>
      <c r="C49" s="310" t="s">
        <v>177</v>
      </c>
      <c r="D49" s="336">
        <v>28.01</v>
      </c>
      <c r="E49" s="311">
        <v>0.2</v>
      </c>
      <c r="F49" s="312">
        <f t="shared" si="15"/>
        <v>0.20039457065582061</v>
      </c>
      <c r="G49" s="313">
        <v>0</v>
      </c>
      <c r="H49" s="314">
        <f t="shared" si="16"/>
        <v>0</v>
      </c>
      <c r="I49" s="311">
        <f t="shared" si="17"/>
        <v>31.318577907600414</v>
      </c>
      <c r="J49" s="312">
        <f t="shared" si="18"/>
        <v>0</v>
      </c>
      <c r="K49" s="313">
        <f t="shared" si="19"/>
        <v>31.318577907600414</v>
      </c>
      <c r="L49" s="312">
        <f t="shared" si="20"/>
        <v>0.20034073097685196</v>
      </c>
    </row>
    <row r="50" spans="2:12" x14ac:dyDescent="0.25">
      <c r="B50" s="309" t="s">
        <v>37</v>
      </c>
      <c r="C50" s="310" t="s">
        <v>83</v>
      </c>
      <c r="D50" s="336">
        <v>44.01</v>
      </c>
      <c r="E50" s="311">
        <v>0.6</v>
      </c>
      <c r="F50" s="312">
        <f t="shared" si="15"/>
        <v>0.60118371196746179</v>
      </c>
      <c r="G50" s="313">
        <v>31.846699999999998</v>
      </c>
      <c r="H50" s="314">
        <f t="shared" si="16"/>
        <v>42.463512263026381</v>
      </c>
      <c r="I50" s="311">
        <f t="shared" si="17"/>
        <v>93.955733722801241</v>
      </c>
      <c r="J50" s="312">
        <f t="shared" si="18"/>
        <v>1.7834675150471078</v>
      </c>
      <c r="K50" s="313">
        <f t="shared" si="19"/>
        <v>95.739201237848349</v>
      </c>
      <c r="L50" s="312">
        <f t="shared" si="20"/>
        <v>0.61243079477359463</v>
      </c>
    </row>
    <row r="51" spans="2:12" x14ac:dyDescent="0.25">
      <c r="B51" s="309" t="s">
        <v>41</v>
      </c>
      <c r="C51" s="310" t="s">
        <v>178</v>
      </c>
      <c r="D51" s="336">
        <v>30.067</v>
      </c>
      <c r="E51" s="311">
        <v>1.3</v>
      </c>
      <c r="F51" s="312">
        <f t="shared" si="15"/>
        <v>1.3025647092628339</v>
      </c>
      <c r="G51" s="313">
        <v>0</v>
      </c>
      <c r="H51" s="314">
        <f t="shared" si="16"/>
        <v>0</v>
      </c>
      <c r="I51" s="311">
        <f t="shared" si="17"/>
        <v>203.57075639940268</v>
      </c>
      <c r="J51" s="312">
        <f t="shared" si="18"/>
        <v>0</v>
      </c>
      <c r="K51" s="313">
        <f t="shared" si="19"/>
        <v>203.57075639940268</v>
      </c>
      <c r="L51" s="312">
        <f t="shared" si="20"/>
        <v>1.3022147513495377</v>
      </c>
    </row>
    <row r="52" spans="2:12" x14ac:dyDescent="0.25">
      <c r="B52" s="309" t="s">
        <v>39</v>
      </c>
      <c r="C52" s="310" t="s">
        <v>179</v>
      </c>
      <c r="D52" s="336">
        <v>28.050999999999998</v>
      </c>
      <c r="E52" s="311">
        <v>0</v>
      </c>
      <c r="F52" s="312">
        <f t="shared" si="15"/>
        <v>0</v>
      </c>
      <c r="G52" s="313">
        <v>0</v>
      </c>
      <c r="H52" s="314">
        <f t="shared" si="16"/>
        <v>0</v>
      </c>
      <c r="I52" s="311">
        <f t="shared" si="17"/>
        <v>0</v>
      </c>
      <c r="J52" s="312">
        <f t="shared" si="18"/>
        <v>0</v>
      </c>
      <c r="K52" s="313">
        <f t="shared" si="19"/>
        <v>0</v>
      </c>
      <c r="L52" s="312">
        <f t="shared" si="20"/>
        <v>0</v>
      </c>
    </row>
    <row r="53" spans="2:12" x14ac:dyDescent="0.25">
      <c r="B53" s="309" t="s">
        <v>43</v>
      </c>
      <c r="C53" s="310" t="s">
        <v>180</v>
      </c>
      <c r="D53" s="336">
        <v>44.091999999999999</v>
      </c>
      <c r="E53" s="311">
        <v>2.6</v>
      </c>
      <c r="F53" s="312">
        <f t="shared" si="15"/>
        <v>2.6051294185256677</v>
      </c>
      <c r="G53" s="313">
        <v>0</v>
      </c>
      <c r="H53" s="314">
        <f t="shared" si="16"/>
        <v>0</v>
      </c>
      <c r="I53" s="311">
        <f t="shared" si="17"/>
        <v>407.14151279880537</v>
      </c>
      <c r="J53" s="312">
        <f t="shared" si="18"/>
        <v>0</v>
      </c>
      <c r="K53" s="313">
        <f t="shared" si="19"/>
        <v>407.14151279880537</v>
      </c>
      <c r="L53" s="312">
        <f t="shared" si="20"/>
        <v>2.6044295026990754</v>
      </c>
    </row>
    <row r="54" spans="2:12" x14ac:dyDescent="0.25">
      <c r="B54" s="309" t="s">
        <v>169</v>
      </c>
      <c r="C54" s="310" t="s">
        <v>181</v>
      </c>
      <c r="D54" s="336">
        <v>42.076999999999998</v>
      </c>
      <c r="E54" s="311">
        <v>0</v>
      </c>
      <c r="F54" s="312">
        <f t="shared" si="15"/>
        <v>0</v>
      </c>
      <c r="G54" s="313">
        <v>0</v>
      </c>
      <c r="H54" s="314">
        <f t="shared" si="16"/>
        <v>0</v>
      </c>
      <c r="I54" s="311">
        <f t="shared" si="17"/>
        <v>0</v>
      </c>
      <c r="J54" s="312">
        <f t="shared" si="18"/>
        <v>0</v>
      </c>
      <c r="K54" s="313">
        <f t="shared" si="19"/>
        <v>0</v>
      </c>
      <c r="L54" s="312">
        <f t="shared" si="20"/>
        <v>0</v>
      </c>
    </row>
    <row r="55" spans="2:12" x14ac:dyDescent="0.25">
      <c r="B55" s="309" t="s">
        <v>47</v>
      </c>
      <c r="C55" s="310" t="s">
        <v>182</v>
      </c>
      <c r="D55" s="336">
        <v>58.118000000000002</v>
      </c>
      <c r="E55" s="311">
        <v>0.1</v>
      </c>
      <c r="F55" s="312">
        <f t="shared" si="15"/>
        <v>0.10019728532791031</v>
      </c>
      <c r="G55" s="313">
        <v>0</v>
      </c>
      <c r="H55" s="314">
        <f t="shared" si="16"/>
        <v>0</v>
      </c>
      <c r="I55" s="311">
        <f t="shared" si="17"/>
        <v>15.659288953800207</v>
      </c>
      <c r="J55" s="312">
        <f t="shared" si="18"/>
        <v>0</v>
      </c>
      <c r="K55" s="313">
        <f t="shared" si="19"/>
        <v>15.659288953800207</v>
      </c>
      <c r="L55" s="312">
        <f t="shared" si="20"/>
        <v>0.10017036548842598</v>
      </c>
    </row>
    <row r="56" spans="2:12" x14ac:dyDescent="0.25">
      <c r="B56" s="309" t="s">
        <v>170</v>
      </c>
      <c r="C56" s="310" t="s">
        <v>183</v>
      </c>
      <c r="D56" s="336">
        <v>58.118000000000002</v>
      </c>
      <c r="E56" s="311">
        <v>0.5</v>
      </c>
      <c r="F56" s="312">
        <f t="shared" si="15"/>
        <v>0.50098642663955151</v>
      </c>
      <c r="G56" s="313">
        <v>0</v>
      </c>
      <c r="H56" s="314">
        <f t="shared" si="16"/>
        <v>0</v>
      </c>
      <c r="I56" s="311">
        <f t="shared" si="17"/>
        <v>78.296444769001042</v>
      </c>
      <c r="J56" s="312">
        <f t="shared" si="18"/>
        <v>0</v>
      </c>
      <c r="K56" s="313">
        <f t="shared" si="19"/>
        <v>78.296444769001042</v>
      </c>
      <c r="L56" s="312">
        <f t="shared" si="20"/>
        <v>0.50085182744212986</v>
      </c>
    </row>
    <row r="57" spans="2:12" x14ac:dyDescent="0.25">
      <c r="B57" s="309" t="s">
        <v>171</v>
      </c>
      <c r="C57" s="310" t="s">
        <v>184</v>
      </c>
      <c r="D57" s="336">
        <v>56.106299999999997</v>
      </c>
      <c r="E57" s="311">
        <v>0</v>
      </c>
      <c r="F57" s="312">
        <f t="shared" si="15"/>
        <v>0</v>
      </c>
      <c r="G57" s="313">
        <v>0</v>
      </c>
      <c r="H57" s="314">
        <f t="shared" si="16"/>
        <v>0</v>
      </c>
      <c r="I57" s="311">
        <f t="shared" si="17"/>
        <v>0</v>
      </c>
      <c r="J57" s="312">
        <f t="shared" si="18"/>
        <v>0</v>
      </c>
      <c r="K57" s="313">
        <f t="shared" si="19"/>
        <v>0</v>
      </c>
      <c r="L57" s="312">
        <f t="shared" si="20"/>
        <v>0</v>
      </c>
    </row>
    <row r="58" spans="2:12" x14ac:dyDescent="0.25">
      <c r="B58" s="309" t="s">
        <v>172</v>
      </c>
      <c r="C58" s="310" t="s">
        <v>185</v>
      </c>
      <c r="D58" s="336">
        <v>56.106299999999997</v>
      </c>
      <c r="E58" s="311">
        <v>0</v>
      </c>
      <c r="F58" s="312">
        <f t="shared" si="15"/>
        <v>0</v>
      </c>
      <c r="G58" s="313">
        <v>0</v>
      </c>
      <c r="H58" s="314">
        <f t="shared" si="16"/>
        <v>0</v>
      </c>
      <c r="I58" s="311">
        <f t="shared" si="17"/>
        <v>0</v>
      </c>
      <c r="J58" s="312">
        <f t="shared" si="18"/>
        <v>0</v>
      </c>
      <c r="K58" s="313">
        <f t="shared" si="19"/>
        <v>0</v>
      </c>
      <c r="L58" s="312">
        <f t="shared" si="20"/>
        <v>0</v>
      </c>
    </row>
    <row r="59" spans="2:12" x14ac:dyDescent="0.25">
      <c r="B59" s="309" t="s">
        <v>173</v>
      </c>
      <c r="C59" s="310" t="s">
        <v>186</v>
      </c>
      <c r="D59" s="336">
        <v>56.106299999999997</v>
      </c>
      <c r="E59" s="311">
        <v>0</v>
      </c>
      <c r="F59" s="312">
        <f t="shared" si="15"/>
        <v>0</v>
      </c>
      <c r="G59" s="313">
        <v>0</v>
      </c>
      <c r="H59" s="314">
        <f t="shared" si="16"/>
        <v>0</v>
      </c>
      <c r="I59" s="311">
        <f t="shared" si="17"/>
        <v>0</v>
      </c>
      <c r="J59" s="312">
        <f t="shared" si="18"/>
        <v>0</v>
      </c>
      <c r="K59" s="313">
        <f t="shared" si="19"/>
        <v>0</v>
      </c>
      <c r="L59" s="312">
        <f t="shared" si="20"/>
        <v>0</v>
      </c>
    </row>
    <row r="60" spans="2:12" x14ac:dyDescent="0.25">
      <c r="B60" s="309" t="s">
        <v>174</v>
      </c>
      <c r="C60" s="310" t="s">
        <v>187</v>
      </c>
      <c r="D60" s="336">
        <v>56.106299999999997</v>
      </c>
      <c r="E60" s="311">
        <v>0</v>
      </c>
      <c r="F60" s="312">
        <f t="shared" si="15"/>
        <v>0</v>
      </c>
      <c r="G60" s="313">
        <v>0</v>
      </c>
      <c r="H60" s="314">
        <f t="shared" si="16"/>
        <v>0</v>
      </c>
      <c r="I60" s="311">
        <f t="shared" si="17"/>
        <v>0</v>
      </c>
      <c r="J60" s="312">
        <f t="shared" si="18"/>
        <v>0</v>
      </c>
      <c r="K60" s="313">
        <f t="shared" si="19"/>
        <v>0</v>
      </c>
      <c r="L60" s="312">
        <f t="shared" si="20"/>
        <v>0</v>
      </c>
    </row>
    <row r="61" spans="2:12" x14ac:dyDescent="0.25">
      <c r="B61" s="309" t="s">
        <v>54</v>
      </c>
      <c r="C61" s="310" t="s">
        <v>188</v>
      </c>
      <c r="D61" s="336">
        <v>72.144000000000005</v>
      </c>
      <c r="E61" s="311">
        <v>0.1</v>
      </c>
      <c r="F61" s="312">
        <f t="shared" si="15"/>
        <v>0.10019728532791031</v>
      </c>
      <c r="G61" s="313">
        <v>0</v>
      </c>
      <c r="H61" s="314">
        <f t="shared" si="16"/>
        <v>0</v>
      </c>
      <c r="I61" s="311">
        <f t="shared" si="17"/>
        <v>15.659288953800207</v>
      </c>
      <c r="J61" s="312">
        <f t="shared" si="18"/>
        <v>0</v>
      </c>
      <c r="K61" s="313">
        <f t="shared" si="19"/>
        <v>15.659288953800207</v>
      </c>
      <c r="L61" s="312">
        <f t="shared" si="20"/>
        <v>0.10017036548842598</v>
      </c>
    </row>
    <row r="62" spans="2:12" x14ac:dyDescent="0.25">
      <c r="B62" s="309" t="s">
        <v>175</v>
      </c>
      <c r="C62" s="310" t="s">
        <v>189</v>
      </c>
      <c r="D62" s="336">
        <v>72.144000000000005</v>
      </c>
      <c r="E62" s="311">
        <v>0.3</v>
      </c>
      <c r="F62" s="312">
        <f t="shared" si="15"/>
        <v>0.30059185598373089</v>
      </c>
      <c r="G62" s="313">
        <v>0</v>
      </c>
      <c r="H62" s="314">
        <f t="shared" si="16"/>
        <v>0</v>
      </c>
      <c r="I62" s="311">
        <f t="shared" si="17"/>
        <v>46.977866861400621</v>
      </c>
      <c r="J62" s="312">
        <f t="shared" si="18"/>
        <v>0</v>
      </c>
      <c r="K62" s="313">
        <f t="shared" si="19"/>
        <v>46.977866861400621</v>
      </c>
      <c r="L62" s="312">
        <f t="shared" si="20"/>
        <v>0.3005110964652779</v>
      </c>
    </row>
    <row r="63" spans="2:12" x14ac:dyDescent="0.25">
      <c r="B63" s="309" t="s">
        <v>176</v>
      </c>
      <c r="C63" s="310" t="s">
        <v>190</v>
      </c>
      <c r="D63" s="336">
        <v>86.18</v>
      </c>
      <c r="E63" s="311">
        <v>0.1</v>
      </c>
      <c r="F63" s="312">
        <f t="shared" si="15"/>
        <v>0.10019728532791031</v>
      </c>
      <c r="G63" s="313">
        <v>0</v>
      </c>
      <c r="H63" s="314">
        <f t="shared" si="16"/>
        <v>0</v>
      </c>
      <c r="I63" s="311">
        <f t="shared" si="17"/>
        <v>15.659288953800207</v>
      </c>
      <c r="J63" s="312">
        <f t="shared" si="18"/>
        <v>0</v>
      </c>
      <c r="K63" s="313">
        <f t="shared" si="19"/>
        <v>15.659288953800207</v>
      </c>
      <c r="L63" s="312">
        <f t="shared" si="20"/>
        <v>0.10017036548842598</v>
      </c>
    </row>
    <row r="64" spans="2:12" x14ac:dyDescent="0.25">
      <c r="B64" s="309" t="s">
        <v>41</v>
      </c>
      <c r="C64" s="310" t="s">
        <v>87</v>
      </c>
      <c r="D64" s="336">
        <v>30.068999999999999</v>
      </c>
      <c r="E64" s="311">
        <v>0</v>
      </c>
      <c r="F64" s="312">
        <f t="shared" si="15"/>
        <v>0</v>
      </c>
      <c r="G64" s="313">
        <v>5.2999999999999999E-2</v>
      </c>
      <c r="H64" s="314">
        <f t="shared" si="16"/>
        <v>7.0668739616362081E-2</v>
      </c>
      <c r="I64" s="311">
        <f t="shared" si="17"/>
        <v>0</v>
      </c>
      <c r="J64" s="312">
        <f t="shared" si="18"/>
        <v>2.9680870638872066E-3</v>
      </c>
      <c r="K64" s="313">
        <f t="shared" si="19"/>
        <v>2.9680870638872066E-3</v>
      </c>
      <c r="L64" s="312">
        <f t="shared" si="20"/>
        <v>1.8986453782685846E-5</v>
      </c>
    </row>
    <row r="65" spans="2:12" x14ac:dyDescent="0.25">
      <c r="B65" s="309" t="s">
        <v>149</v>
      </c>
      <c r="C65" s="310" t="s">
        <v>148</v>
      </c>
      <c r="D65" s="336">
        <v>34.082000000000001</v>
      </c>
      <c r="E65" s="311">
        <v>0</v>
      </c>
      <c r="F65" s="312">
        <f t="shared" si="15"/>
        <v>0</v>
      </c>
      <c r="G65" s="313">
        <v>0</v>
      </c>
      <c r="H65" s="314">
        <f t="shared" si="16"/>
        <v>0</v>
      </c>
      <c r="I65" s="311">
        <f t="shared" si="17"/>
        <v>0</v>
      </c>
      <c r="J65" s="312">
        <f t="shared" si="18"/>
        <v>0</v>
      </c>
      <c r="K65" s="313">
        <f t="shared" si="19"/>
        <v>0</v>
      </c>
      <c r="L65" s="312">
        <f t="shared" si="20"/>
        <v>0</v>
      </c>
    </row>
    <row r="66" spans="2:12" x14ac:dyDescent="0.25">
      <c r="B66" s="309" t="s">
        <v>150</v>
      </c>
      <c r="C66" s="310" t="s">
        <v>150</v>
      </c>
      <c r="D66" s="336">
        <v>60.076000000000001</v>
      </c>
      <c r="E66" s="311">
        <v>3.0609832535885202E-3</v>
      </c>
      <c r="F66" s="312">
        <f t="shared" si="15"/>
        <v>3.0670221244376416E-3</v>
      </c>
      <c r="G66" s="313">
        <v>5.9999999999999995E-4</v>
      </c>
      <c r="H66" s="314">
        <f t="shared" si="16"/>
        <v>8.0002346735504244E-4</v>
      </c>
      <c r="I66" s="311">
        <f t="shared" si="17"/>
        <v>0.47932821250686136</v>
      </c>
      <c r="J66" s="312">
        <f t="shared" si="18"/>
        <v>3.3600985628911777E-5</v>
      </c>
      <c r="K66" s="313">
        <f t="shared" si="19"/>
        <v>0.4793618134924903</v>
      </c>
      <c r="L66" s="312">
        <f t="shared" si="20"/>
        <v>3.066413053645353E-3</v>
      </c>
    </row>
    <row r="67" spans="2:12" x14ac:dyDescent="0.25">
      <c r="B67" s="309" t="s">
        <v>43</v>
      </c>
      <c r="C67" s="310" t="s">
        <v>90</v>
      </c>
      <c r="D67" s="336">
        <v>44.091999999999999</v>
      </c>
      <c r="E67" s="311">
        <v>0</v>
      </c>
      <c r="F67" s="312">
        <f t="shared" si="15"/>
        <v>0</v>
      </c>
      <c r="G67" s="313">
        <v>0.13339999999999999</v>
      </c>
      <c r="H67" s="314">
        <f t="shared" si="16"/>
        <v>0.17787188424193776</v>
      </c>
      <c r="I67" s="311">
        <f t="shared" si="17"/>
        <v>0</v>
      </c>
      <c r="J67" s="312">
        <f t="shared" si="18"/>
        <v>7.4706191381613846E-3</v>
      </c>
      <c r="K67" s="313">
        <f t="shared" si="19"/>
        <v>7.4706191381613846E-3</v>
      </c>
      <c r="L67" s="312">
        <f t="shared" si="20"/>
        <v>4.7788545936043243E-5</v>
      </c>
    </row>
    <row r="68" spans="2:12" x14ac:dyDescent="0.25">
      <c r="B68" s="309" t="s">
        <v>151</v>
      </c>
      <c r="C68" s="310" t="s">
        <v>151</v>
      </c>
      <c r="D68" s="336">
        <v>48.042999999999999</v>
      </c>
      <c r="E68" s="311">
        <v>0</v>
      </c>
      <c r="F68" s="312">
        <f t="shared" si="15"/>
        <v>0</v>
      </c>
      <c r="G68" s="313">
        <v>7.7000000000000002E-3</v>
      </c>
      <c r="H68" s="314">
        <f t="shared" si="16"/>
        <v>1.0266967831056378E-2</v>
      </c>
      <c r="I68" s="311">
        <f t="shared" si="17"/>
        <v>0</v>
      </c>
      <c r="J68" s="312">
        <f t="shared" si="18"/>
        <v>4.3121264890436778E-4</v>
      </c>
      <c r="K68" s="313">
        <f t="shared" si="19"/>
        <v>4.3121264890436778E-4</v>
      </c>
      <c r="L68" s="312">
        <f t="shared" si="20"/>
        <v>2.758409323144925E-6</v>
      </c>
    </row>
    <row r="69" spans="2:12" x14ac:dyDescent="0.25">
      <c r="B69" s="309" t="s">
        <v>152</v>
      </c>
      <c r="C69" s="310" t="s">
        <v>152</v>
      </c>
      <c r="D69" s="336">
        <v>60.053699999999999</v>
      </c>
      <c r="E69" s="311">
        <v>0</v>
      </c>
      <c r="F69" s="312">
        <f t="shared" si="15"/>
        <v>0</v>
      </c>
      <c r="G69" s="313">
        <v>3.3E-3</v>
      </c>
      <c r="H69" s="314">
        <f t="shared" si="16"/>
        <v>4.4001290704527339E-3</v>
      </c>
      <c r="I69" s="311">
        <f t="shared" si="17"/>
        <v>0</v>
      </c>
      <c r="J69" s="312">
        <f t="shared" si="18"/>
        <v>1.8480542095901479E-4</v>
      </c>
      <c r="K69" s="313">
        <f t="shared" si="19"/>
        <v>1.8480542095901479E-4</v>
      </c>
      <c r="L69" s="312">
        <f t="shared" si="20"/>
        <v>1.1821754242049679E-6</v>
      </c>
    </row>
    <row r="70" spans="2:12" x14ac:dyDescent="0.25">
      <c r="B70" s="309" t="s">
        <v>153</v>
      </c>
      <c r="C70" s="310" t="s">
        <v>153</v>
      </c>
      <c r="D70" s="336">
        <v>72.064400000000006</v>
      </c>
      <c r="E70" s="311">
        <v>0</v>
      </c>
      <c r="F70" s="312">
        <f t="shared" si="15"/>
        <v>0</v>
      </c>
      <c r="G70" s="313">
        <v>7.6E-3</v>
      </c>
      <c r="H70" s="314">
        <f t="shared" si="16"/>
        <v>1.0133630586497204E-2</v>
      </c>
      <c r="I70" s="311">
        <f t="shared" si="17"/>
        <v>0</v>
      </c>
      <c r="J70" s="312">
        <f t="shared" si="18"/>
        <v>4.2561248463288251E-4</v>
      </c>
      <c r="K70" s="313">
        <f t="shared" si="19"/>
        <v>4.2561248463288251E-4</v>
      </c>
      <c r="L70" s="312">
        <f t="shared" si="20"/>
        <v>2.7225858254417443E-6</v>
      </c>
    </row>
    <row r="71" spans="2:12" x14ac:dyDescent="0.25">
      <c r="B71" s="309" t="s">
        <v>154</v>
      </c>
      <c r="C71" s="310" t="s">
        <v>154</v>
      </c>
      <c r="D71" s="336">
        <v>84.075100000000006</v>
      </c>
      <c r="E71" s="311">
        <v>0</v>
      </c>
      <c r="F71" s="312">
        <f t="shared" si="15"/>
        <v>0</v>
      </c>
      <c r="G71" s="313">
        <v>1.1599999999999999E-2</v>
      </c>
      <c r="H71" s="314">
        <f t="shared" si="16"/>
        <v>1.5467120368864152E-2</v>
      </c>
      <c r="I71" s="311">
        <f t="shared" si="17"/>
        <v>0</v>
      </c>
      <c r="J71" s="312">
        <f t="shared" si="18"/>
        <v>6.4961905549229429E-4</v>
      </c>
      <c r="K71" s="313">
        <f t="shared" si="19"/>
        <v>6.4961905549229429E-4</v>
      </c>
      <c r="L71" s="312">
        <f t="shared" si="20"/>
        <v>4.1555257335689778E-6</v>
      </c>
    </row>
    <row r="72" spans="2:12" x14ac:dyDescent="0.25">
      <c r="B72" s="309" t="s">
        <v>155</v>
      </c>
      <c r="C72" s="310" t="s">
        <v>155</v>
      </c>
      <c r="D72" s="336">
        <v>96.085800000000006</v>
      </c>
      <c r="E72" s="311">
        <v>0</v>
      </c>
      <c r="F72" s="312">
        <f t="shared" si="15"/>
        <v>0</v>
      </c>
      <c r="G72" s="313">
        <v>8.5000000000000006E-3</v>
      </c>
      <c r="H72" s="314">
        <f t="shared" si="16"/>
        <v>1.1333665787529769E-2</v>
      </c>
      <c r="I72" s="311">
        <f t="shared" si="17"/>
        <v>0</v>
      </c>
      <c r="J72" s="312">
        <f t="shared" si="18"/>
        <v>4.7601396307625016E-4</v>
      </c>
      <c r="K72" s="313">
        <f t="shared" si="19"/>
        <v>4.7601396307625016E-4</v>
      </c>
      <c r="L72" s="312">
        <f t="shared" si="20"/>
        <v>3.0449973047703718E-6</v>
      </c>
    </row>
    <row r="73" spans="2:12" x14ac:dyDescent="0.25">
      <c r="B73" s="309" t="s">
        <v>156</v>
      </c>
      <c r="C73" s="310" t="s">
        <v>156</v>
      </c>
      <c r="D73" s="336">
        <v>108.09650000000001</v>
      </c>
      <c r="E73" s="311">
        <v>0</v>
      </c>
      <c r="F73" s="312">
        <f t="shared" si="15"/>
        <v>0</v>
      </c>
      <c r="G73" s="313">
        <v>5.3E-3</v>
      </c>
      <c r="H73" s="314">
        <f t="shared" si="16"/>
        <v>7.0668739616362086E-3</v>
      </c>
      <c r="I73" s="311">
        <f t="shared" si="17"/>
        <v>0</v>
      </c>
      <c r="J73" s="312">
        <f t="shared" si="18"/>
        <v>2.9680870638872071E-4</v>
      </c>
      <c r="K73" s="313">
        <f t="shared" si="19"/>
        <v>2.9680870638872071E-4</v>
      </c>
      <c r="L73" s="312">
        <f t="shared" si="20"/>
        <v>1.8986453782685846E-6</v>
      </c>
    </row>
    <row r="74" spans="2:12" x14ac:dyDescent="0.25">
      <c r="B74" s="309" t="s">
        <v>192</v>
      </c>
      <c r="C74" s="310" t="s">
        <v>193</v>
      </c>
      <c r="D74" s="336">
        <v>54.09</v>
      </c>
      <c r="E74" s="311">
        <v>1.8348966195702003E-5</v>
      </c>
      <c r="F74" s="312">
        <f t="shared" si="15"/>
        <v>1.8385166013829343E-5</v>
      </c>
      <c r="G74" s="313">
        <v>0</v>
      </c>
      <c r="H74" s="314">
        <f t="shared" si="16"/>
        <v>0</v>
      </c>
      <c r="I74" s="311">
        <f t="shared" si="17"/>
        <v>2.8733176366200976E-3</v>
      </c>
      <c r="J74" s="312">
        <f t="shared" si="18"/>
        <v>0</v>
      </c>
      <c r="K74" s="313">
        <f t="shared" si="19"/>
        <v>2.8733176366200976E-3</v>
      </c>
      <c r="L74" s="312">
        <f t="shared" si="20"/>
        <v>1.8380226501582423E-5</v>
      </c>
    </row>
    <row r="75" spans="2:12" x14ac:dyDescent="0.25">
      <c r="B75" s="309" t="s">
        <v>39</v>
      </c>
      <c r="C75" s="310" t="s">
        <v>86</v>
      </c>
      <c r="D75" s="336">
        <v>55.09</v>
      </c>
      <c r="E75" s="311">
        <v>2.3788523839408398E-5</v>
      </c>
      <c r="F75" s="312">
        <f t="shared" si="15"/>
        <v>2.3835455106669996E-5</v>
      </c>
      <c r="G75" s="313">
        <v>0</v>
      </c>
      <c r="H75" s="314">
        <f t="shared" si="16"/>
        <v>0</v>
      </c>
      <c r="I75" s="311">
        <f t="shared" si="17"/>
        <v>3.7251136858566084E-3</v>
      </c>
      <c r="J75" s="312">
        <f t="shared" si="18"/>
        <v>0</v>
      </c>
      <c r="K75" s="313">
        <f t="shared" si="19"/>
        <v>3.7251136858566084E-3</v>
      </c>
      <c r="L75" s="312">
        <f t="shared" si="20"/>
        <v>2.3829051274236737E-5</v>
      </c>
    </row>
    <row r="76" spans="2:12" x14ac:dyDescent="0.25">
      <c r="B76" s="309" t="s">
        <v>157</v>
      </c>
      <c r="C76" s="310" t="s">
        <v>158</v>
      </c>
      <c r="D76" s="336">
        <v>78.11</v>
      </c>
      <c r="E76" s="311">
        <v>0</v>
      </c>
      <c r="F76" s="312">
        <f t="shared" si="15"/>
        <v>0</v>
      </c>
      <c r="G76" s="313">
        <v>6.9999999999999999E-4</v>
      </c>
      <c r="H76" s="314">
        <f t="shared" si="16"/>
        <v>9.333607119142161E-4</v>
      </c>
      <c r="I76" s="311">
        <f t="shared" si="17"/>
        <v>0</v>
      </c>
      <c r="J76" s="312">
        <f t="shared" si="18"/>
        <v>3.9201149900397067E-5</v>
      </c>
      <c r="K76" s="313">
        <f t="shared" si="19"/>
        <v>3.9201149900397067E-5</v>
      </c>
      <c r="L76" s="312">
        <f t="shared" si="20"/>
        <v>2.5076448392226584E-7</v>
      </c>
    </row>
    <row r="77" spans="2:12" x14ac:dyDescent="0.25">
      <c r="B77" s="309" t="s">
        <v>159</v>
      </c>
      <c r="C77" s="310" t="s">
        <v>166</v>
      </c>
      <c r="D77" s="336">
        <v>92.14</v>
      </c>
      <c r="E77" s="311">
        <v>0</v>
      </c>
      <c r="F77" s="312">
        <f t="shared" si="15"/>
        <v>0</v>
      </c>
      <c r="G77" s="313">
        <v>8.0000000000000004E-4</v>
      </c>
      <c r="H77" s="314">
        <f t="shared" si="16"/>
        <v>1.06669795647339E-3</v>
      </c>
      <c r="I77" s="311">
        <f t="shared" si="17"/>
        <v>0</v>
      </c>
      <c r="J77" s="312">
        <f t="shared" si="18"/>
        <v>4.4801314171882371E-5</v>
      </c>
      <c r="K77" s="313">
        <f t="shared" si="19"/>
        <v>4.4801314171882371E-5</v>
      </c>
      <c r="L77" s="312">
        <f t="shared" si="20"/>
        <v>2.8658798162544675E-7</v>
      </c>
    </row>
    <row r="78" spans="2:12" x14ac:dyDescent="0.25">
      <c r="B78" s="309" t="s">
        <v>160</v>
      </c>
      <c r="C78" s="310" t="s">
        <v>167</v>
      </c>
      <c r="D78" s="336">
        <v>106.16</v>
      </c>
      <c r="E78" s="311">
        <v>0</v>
      </c>
      <c r="F78" s="312">
        <f t="shared" si="15"/>
        <v>0</v>
      </c>
      <c r="G78" s="313">
        <v>1.6000000000000001E-3</v>
      </c>
      <c r="H78" s="314">
        <f t="shared" si="16"/>
        <v>2.13339591294678E-3</v>
      </c>
      <c r="I78" s="311">
        <f t="shared" si="17"/>
        <v>0</v>
      </c>
      <c r="J78" s="312">
        <f t="shared" si="18"/>
        <v>8.9602628343764742E-5</v>
      </c>
      <c r="K78" s="313">
        <f t="shared" si="19"/>
        <v>8.9602628343764742E-5</v>
      </c>
      <c r="L78" s="312">
        <f t="shared" si="20"/>
        <v>5.7317596325089351E-7</v>
      </c>
    </row>
    <row r="79" spans="2:12" x14ac:dyDescent="0.25">
      <c r="B79" s="309" t="s">
        <v>161</v>
      </c>
      <c r="C79" s="310" t="s">
        <v>168</v>
      </c>
      <c r="D79" s="336">
        <v>17.030999999999999</v>
      </c>
      <c r="E79" s="311">
        <v>0</v>
      </c>
      <c r="F79" s="312">
        <f t="shared" si="15"/>
        <v>0</v>
      </c>
      <c r="G79" s="313">
        <v>40.468400000000003</v>
      </c>
      <c r="H79" s="314">
        <f t="shared" si="16"/>
        <v>53.95944947718467</v>
      </c>
      <c r="I79" s="311">
        <f t="shared" si="17"/>
        <v>0</v>
      </c>
      <c r="J79" s="312">
        <f t="shared" si="18"/>
        <v>2.2662968780417558</v>
      </c>
      <c r="K79" s="313">
        <f t="shared" si="19"/>
        <v>2.2662968780417558</v>
      </c>
      <c r="L79" s="312">
        <f t="shared" si="20"/>
        <v>1.4497196344514037E-2</v>
      </c>
    </row>
    <row r="80" spans="2:12" x14ac:dyDescent="0.25">
      <c r="B80" s="309" t="s">
        <v>162</v>
      </c>
      <c r="C80" s="310"/>
      <c r="D80" s="336">
        <v>48.11</v>
      </c>
      <c r="E80" s="311">
        <v>0</v>
      </c>
      <c r="F80" s="312">
        <f t="shared" si="15"/>
        <v>0</v>
      </c>
      <c r="G80" s="313">
        <v>2E-3</v>
      </c>
      <c r="H80" s="314">
        <f t="shared" si="16"/>
        <v>2.6667448911834751E-3</v>
      </c>
      <c r="I80" s="311">
        <f t="shared" si="17"/>
        <v>0</v>
      </c>
      <c r="J80" s="312">
        <f t="shared" si="18"/>
        <v>1.1200328542970594E-4</v>
      </c>
      <c r="K80" s="313">
        <f t="shared" si="19"/>
        <v>1.1200328542970594E-4</v>
      </c>
      <c r="L80" s="312">
        <f t="shared" si="20"/>
        <v>7.1646995406361705E-7</v>
      </c>
    </row>
    <row r="81" spans="2:12" x14ac:dyDescent="0.25">
      <c r="B81" s="309" t="s">
        <v>163</v>
      </c>
      <c r="C81" s="310"/>
      <c r="D81" s="336">
        <v>62.14</v>
      </c>
      <c r="E81" s="311">
        <v>0</v>
      </c>
      <c r="F81" s="312">
        <f t="shared" si="15"/>
        <v>0</v>
      </c>
      <c r="G81" s="313">
        <v>5.9999999999999995E-4</v>
      </c>
      <c r="H81" s="314">
        <f t="shared" si="16"/>
        <v>8.0002346735504244E-4</v>
      </c>
      <c r="I81" s="311">
        <f t="shared" si="17"/>
        <v>0</v>
      </c>
      <c r="J81" s="312">
        <f t="shared" si="18"/>
        <v>3.3600985628911777E-5</v>
      </c>
      <c r="K81" s="313">
        <f t="shared" si="19"/>
        <v>3.3600985628911777E-5</v>
      </c>
      <c r="L81" s="312">
        <f t="shared" si="20"/>
        <v>2.1494098621908504E-7</v>
      </c>
    </row>
    <row r="82" spans="2:12" ht="15.75" thickBot="1" x14ac:dyDescent="0.3">
      <c r="B82" s="315" t="s">
        <v>164</v>
      </c>
      <c r="C82" s="316"/>
      <c r="D82" s="337">
        <v>76.16</v>
      </c>
      <c r="E82" s="317">
        <v>0</v>
      </c>
      <c r="F82" s="318">
        <f t="shared" si="15"/>
        <v>0</v>
      </c>
      <c r="G82" s="319">
        <v>5.9999999999999995E-4</v>
      </c>
      <c r="H82" s="320">
        <f t="shared" si="16"/>
        <v>8.0002346735504244E-4</v>
      </c>
      <c r="I82" s="317">
        <f t="shared" si="17"/>
        <v>0</v>
      </c>
      <c r="J82" s="318">
        <f t="shared" si="18"/>
        <v>3.3600985628911777E-5</v>
      </c>
      <c r="K82" s="319">
        <f t="shared" si="19"/>
        <v>3.3600985628911777E-5</v>
      </c>
      <c r="L82" s="318">
        <f t="shared" si="20"/>
        <v>2.1494098621908504E-7</v>
      </c>
    </row>
    <row r="83" spans="2:12" ht="15.75" thickBot="1" x14ac:dyDescent="0.3">
      <c r="B83" s="348" t="s">
        <v>102</v>
      </c>
      <c r="C83" s="349"/>
      <c r="D83" s="321"/>
      <c r="E83" s="322">
        <f>SUM(E45:E82)</f>
        <v>99.803103120743586</v>
      </c>
      <c r="F83" s="323">
        <f t="shared" ref="F83:L83" si="21">SUM(F45:F82)</f>
        <v>100.00000000000004</v>
      </c>
      <c r="G83" s="324">
        <f t="shared" si="21"/>
        <v>74.997799999999998</v>
      </c>
      <c r="H83" s="325">
        <f t="shared" si="21"/>
        <v>99.999999999999986</v>
      </c>
      <c r="I83" s="322">
        <f t="shared" si="21"/>
        <v>15628.456302536435</v>
      </c>
      <c r="J83" s="323">
        <f t="shared" si="21"/>
        <v>4.1999999999999984</v>
      </c>
      <c r="K83" s="324">
        <f t="shared" si="21"/>
        <v>15632.656302536438</v>
      </c>
      <c r="L83" s="323">
        <f t="shared" si="21"/>
        <v>99.999999999999957</v>
      </c>
    </row>
    <row r="84" spans="2:12" x14ac:dyDescent="0.25">
      <c r="B84" s="326"/>
      <c r="C84" s="326"/>
      <c r="D84" s="326"/>
      <c r="E84" s="326"/>
      <c r="F84" s="326"/>
      <c r="G84" s="326"/>
      <c r="H84" s="326"/>
      <c r="I84" s="326"/>
      <c r="J84" s="326"/>
      <c r="K84" s="326"/>
      <c r="L84" s="326"/>
    </row>
    <row r="85" spans="2:12" ht="15.75" thickBot="1" x14ac:dyDescent="0.3">
      <c r="B85" s="326"/>
      <c r="C85" s="326"/>
      <c r="D85" s="326"/>
      <c r="E85" s="326"/>
      <c r="F85" s="326"/>
      <c r="G85" s="326"/>
      <c r="H85" s="326"/>
      <c r="I85" s="326"/>
      <c r="J85" s="326"/>
      <c r="K85" s="326"/>
      <c r="L85" s="326"/>
    </row>
    <row r="86" spans="2:12" ht="15.75" thickBot="1" x14ac:dyDescent="0.3">
      <c r="B86" s="350" t="s">
        <v>237</v>
      </c>
      <c r="C86" s="344" t="s">
        <v>191</v>
      </c>
      <c r="D86" s="347"/>
      <c r="E86" s="346" t="s">
        <v>199</v>
      </c>
      <c r="F86" s="345"/>
      <c r="G86" s="344" t="s">
        <v>196</v>
      </c>
      <c r="H86" s="345"/>
      <c r="I86" s="326"/>
      <c r="J86" s="326"/>
      <c r="K86" s="326"/>
      <c r="L86" s="326"/>
    </row>
    <row r="87" spans="2:12" ht="30.75" thickBot="1" x14ac:dyDescent="0.3">
      <c r="B87" s="351"/>
      <c r="C87" s="256" t="s">
        <v>106</v>
      </c>
      <c r="D87" s="257" t="s">
        <v>107</v>
      </c>
      <c r="E87" s="256" t="s">
        <v>198</v>
      </c>
      <c r="F87" s="258" t="s">
        <v>107</v>
      </c>
      <c r="G87" s="259" t="s">
        <v>106</v>
      </c>
      <c r="H87" s="258" t="s">
        <v>107</v>
      </c>
      <c r="I87" s="326"/>
      <c r="J87" s="326"/>
      <c r="K87" s="326"/>
      <c r="L87" s="326"/>
    </row>
    <row r="88" spans="2:12" x14ac:dyDescent="0.25">
      <c r="B88" s="327" t="s">
        <v>16</v>
      </c>
      <c r="C88" s="328">
        <v>24.239727266528057</v>
      </c>
      <c r="D88" s="261">
        <v>1.4909701505820706E-2</v>
      </c>
      <c r="E88" s="329">
        <v>4.228079223657228</v>
      </c>
      <c r="F88" s="260">
        <v>1.4956657469003404E-3</v>
      </c>
      <c r="G88" s="328">
        <v>24.23435077003548</v>
      </c>
      <c r="H88" s="260">
        <v>1.4903436239112788E-2</v>
      </c>
      <c r="I88" s="326"/>
      <c r="J88" s="326"/>
      <c r="K88" s="326"/>
      <c r="L88" s="326"/>
    </row>
    <row r="89" spans="2:12" x14ac:dyDescent="0.25">
      <c r="B89" s="327" t="s">
        <v>20</v>
      </c>
      <c r="C89" s="330">
        <v>6.4126262609862597</v>
      </c>
      <c r="D89" s="247">
        <v>3.9443654777303458E-3</v>
      </c>
      <c r="E89" s="331">
        <v>0</v>
      </c>
      <c r="F89" s="248">
        <v>0</v>
      </c>
      <c r="G89" s="330">
        <v>6.4109033912592626</v>
      </c>
      <c r="H89" s="248">
        <v>3.9425231908783035E-3</v>
      </c>
      <c r="I89" s="326"/>
      <c r="J89" s="326"/>
      <c r="K89" s="326"/>
      <c r="L89" s="326"/>
    </row>
    <row r="90" spans="2:12" x14ac:dyDescent="0.25">
      <c r="B90" s="327" t="s">
        <v>24</v>
      </c>
      <c r="C90" s="330">
        <v>50.528288623441213</v>
      </c>
      <c r="D90" s="247">
        <v>3.107962778177625E-2</v>
      </c>
      <c r="E90" s="331">
        <v>2.1106005776169434</v>
      </c>
      <c r="F90" s="248">
        <v>7.4661632915174879E-4</v>
      </c>
      <c r="G90" s="330">
        <v>50.51528032300542</v>
      </c>
      <c r="H90" s="248">
        <v>3.1065460203113085E-2</v>
      </c>
      <c r="I90" s="326"/>
      <c r="J90" s="326"/>
      <c r="K90" s="326"/>
      <c r="L90" s="326"/>
    </row>
    <row r="91" spans="2:12" x14ac:dyDescent="0.25">
      <c r="B91" s="327" t="s">
        <v>32</v>
      </c>
      <c r="C91" s="330">
        <v>1285.8117231560072</v>
      </c>
      <c r="D91" s="247">
        <v>0.79089458285340597</v>
      </c>
      <c r="E91" s="331">
        <v>17.453119958185439</v>
      </c>
      <c r="F91" s="248">
        <v>6.1739698612887023E-3</v>
      </c>
      <c r="G91" s="330">
        <v>1285.4709553408422</v>
      </c>
      <c r="H91" s="248">
        <v>0.79052806497467376</v>
      </c>
      <c r="I91" s="326"/>
      <c r="J91" s="326"/>
      <c r="K91" s="326"/>
      <c r="L91" s="326"/>
    </row>
    <row r="92" spans="2:12" x14ac:dyDescent="0.25">
      <c r="B92" s="327" t="s">
        <v>35</v>
      </c>
      <c r="C92" s="330">
        <v>5.613051924069536</v>
      </c>
      <c r="D92" s="247">
        <v>3.452552407225844E-3</v>
      </c>
      <c r="E92" s="331">
        <v>0</v>
      </c>
      <c r="F92" s="248">
        <v>0</v>
      </c>
      <c r="G92" s="330">
        <v>5.6115438746616233</v>
      </c>
      <c r="H92" s="248">
        <v>3.4509398305156654E-3</v>
      </c>
      <c r="I92" s="326"/>
      <c r="J92" s="326"/>
      <c r="K92" s="326"/>
      <c r="L92" s="326"/>
    </row>
    <row r="93" spans="2:12" x14ac:dyDescent="0.25">
      <c r="B93" s="327" t="s">
        <v>37</v>
      </c>
      <c r="C93" s="330">
        <v>26.458095163687993</v>
      </c>
      <c r="D93" s="247">
        <v>1.627420543827305E-2</v>
      </c>
      <c r="E93" s="331">
        <v>1868.8191746957909</v>
      </c>
      <c r="F93" s="248">
        <v>0.66108714593226359</v>
      </c>
      <c r="G93" s="330">
        <v>26.9530792779859</v>
      </c>
      <c r="H93" s="248">
        <v>1.6575376921748951E-2</v>
      </c>
      <c r="I93" s="326"/>
      <c r="J93" s="326"/>
      <c r="K93" s="326"/>
      <c r="L93" s="326"/>
    </row>
    <row r="94" spans="2:12" x14ac:dyDescent="0.25">
      <c r="B94" s="327" t="s">
        <v>41</v>
      </c>
      <c r="C94" s="330">
        <v>39.164213113405623</v>
      </c>
      <c r="D94" s="247">
        <v>2.4089657478842778E-2</v>
      </c>
      <c r="E94" s="331">
        <v>0</v>
      </c>
      <c r="F94" s="248">
        <v>0</v>
      </c>
      <c r="G94" s="330">
        <v>39.153690928826549</v>
      </c>
      <c r="H94" s="248">
        <v>2.4078405970965524E-2</v>
      </c>
      <c r="I94" s="326"/>
      <c r="J94" s="326"/>
      <c r="K94" s="326"/>
      <c r="L94" s="326"/>
    </row>
    <row r="95" spans="2:12" x14ac:dyDescent="0.25">
      <c r="B95" s="327" t="s">
        <v>39</v>
      </c>
      <c r="C95" s="330">
        <v>0</v>
      </c>
      <c r="D95" s="247">
        <v>0</v>
      </c>
      <c r="E95" s="331">
        <v>0</v>
      </c>
      <c r="F95" s="248">
        <v>0</v>
      </c>
      <c r="G95" s="330">
        <v>0</v>
      </c>
      <c r="H95" s="248">
        <v>0</v>
      </c>
      <c r="I95" s="326"/>
      <c r="J95" s="326"/>
      <c r="K95" s="326"/>
      <c r="L95" s="326"/>
    </row>
    <row r="96" spans="2:12" x14ac:dyDescent="0.25">
      <c r="B96" s="327" t="s">
        <v>43</v>
      </c>
      <c r="C96" s="330">
        <v>114.86536632163374</v>
      </c>
      <c r="D96" s="247">
        <v>7.0652953574160099E-2</v>
      </c>
      <c r="E96" s="331">
        <v>0</v>
      </c>
      <c r="F96" s="248">
        <v>0</v>
      </c>
      <c r="G96" s="330">
        <v>114.83450563300762</v>
      </c>
      <c r="H96" s="248">
        <v>7.0619953841208755E-2</v>
      </c>
      <c r="I96" s="326"/>
      <c r="J96" s="326"/>
      <c r="K96" s="326"/>
      <c r="L96" s="326"/>
    </row>
    <row r="97" spans="2:12" x14ac:dyDescent="0.25">
      <c r="B97" s="327" t="s">
        <v>169</v>
      </c>
      <c r="C97" s="330">
        <v>0</v>
      </c>
      <c r="D97" s="247">
        <v>0</v>
      </c>
      <c r="E97" s="331">
        <v>0</v>
      </c>
      <c r="F97" s="248">
        <v>0</v>
      </c>
      <c r="G97" s="330">
        <v>0</v>
      </c>
      <c r="H97" s="248">
        <v>0</v>
      </c>
      <c r="I97" s="326"/>
      <c r="J97" s="326"/>
      <c r="K97" s="326"/>
      <c r="L97" s="326"/>
    </row>
    <row r="98" spans="2:12" x14ac:dyDescent="0.25">
      <c r="B98" s="327" t="s">
        <v>47</v>
      </c>
      <c r="C98" s="330">
        <v>5.8232658286874912</v>
      </c>
      <c r="D98" s="247">
        <v>3.5818536380426915E-3</v>
      </c>
      <c r="E98" s="331">
        <v>0</v>
      </c>
      <c r="F98" s="248">
        <v>0</v>
      </c>
      <c r="G98" s="330">
        <v>5.8217013014563408</v>
      </c>
      <c r="H98" s="248">
        <v>3.5801806688666444E-3</v>
      </c>
      <c r="I98" s="326"/>
      <c r="J98" s="326"/>
      <c r="K98" s="326"/>
      <c r="L98" s="326"/>
    </row>
    <row r="99" spans="2:12" x14ac:dyDescent="0.25">
      <c r="B99" s="327" t="s">
        <v>170</v>
      </c>
      <c r="C99" s="330">
        <v>29.116329143437454</v>
      </c>
      <c r="D99" s="247">
        <v>1.7909268190213455E-2</v>
      </c>
      <c r="E99" s="331">
        <v>0</v>
      </c>
      <c r="F99" s="248">
        <v>0</v>
      </c>
      <c r="G99" s="330">
        <v>29.108506507281703</v>
      </c>
      <c r="H99" s="248">
        <v>1.7900903344333224E-2</v>
      </c>
      <c r="I99" s="326"/>
      <c r="J99" s="326"/>
      <c r="K99" s="326"/>
      <c r="L99" s="326"/>
    </row>
    <row r="100" spans="2:12" x14ac:dyDescent="0.25">
      <c r="B100" s="327" t="s">
        <v>171</v>
      </c>
      <c r="C100" s="330">
        <v>0</v>
      </c>
      <c r="D100" s="247">
        <v>0</v>
      </c>
      <c r="E100" s="331">
        <v>0</v>
      </c>
      <c r="F100" s="248">
        <v>0</v>
      </c>
      <c r="G100" s="330">
        <v>0</v>
      </c>
      <c r="H100" s="248">
        <v>0</v>
      </c>
      <c r="I100" s="326"/>
      <c r="J100" s="326"/>
      <c r="K100" s="326"/>
      <c r="L100" s="326"/>
    </row>
    <row r="101" spans="2:12" x14ac:dyDescent="0.25">
      <c r="B101" s="327" t="s">
        <v>172</v>
      </c>
      <c r="C101" s="330">
        <v>0</v>
      </c>
      <c r="D101" s="247">
        <v>0</v>
      </c>
      <c r="E101" s="331">
        <v>0</v>
      </c>
      <c r="F101" s="248">
        <v>0</v>
      </c>
      <c r="G101" s="330">
        <v>0</v>
      </c>
      <c r="H101" s="248">
        <v>0</v>
      </c>
      <c r="I101" s="326"/>
      <c r="J101" s="326"/>
      <c r="K101" s="326"/>
      <c r="L101" s="326"/>
    </row>
    <row r="102" spans="2:12" x14ac:dyDescent="0.25">
      <c r="B102" s="327" t="s">
        <v>173</v>
      </c>
      <c r="C102" s="330">
        <v>0</v>
      </c>
      <c r="D102" s="247">
        <v>0</v>
      </c>
      <c r="E102" s="331">
        <v>0</v>
      </c>
      <c r="F102" s="248">
        <v>0</v>
      </c>
      <c r="G102" s="330">
        <v>0</v>
      </c>
      <c r="H102" s="248">
        <v>0</v>
      </c>
      <c r="I102" s="326"/>
      <c r="J102" s="326"/>
      <c r="K102" s="326"/>
      <c r="L102" s="326"/>
    </row>
    <row r="103" spans="2:12" x14ac:dyDescent="0.25">
      <c r="B103" s="327" t="s">
        <v>174</v>
      </c>
      <c r="C103" s="330">
        <v>0</v>
      </c>
      <c r="D103" s="247">
        <v>0</v>
      </c>
      <c r="E103" s="331">
        <v>0</v>
      </c>
      <c r="F103" s="248">
        <v>0</v>
      </c>
      <c r="G103" s="330">
        <v>0</v>
      </c>
      <c r="H103" s="248">
        <v>0</v>
      </c>
      <c r="I103" s="326"/>
      <c r="J103" s="326"/>
      <c r="K103" s="326"/>
      <c r="L103" s="326"/>
    </row>
    <row r="104" spans="2:12" x14ac:dyDescent="0.25">
      <c r="B104" s="327" t="s">
        <v>54</v>
      </c>
      <c r="C104" s="330">
        <v>7.2286329526967616</v>
      </c>
      <c r="D104" s="247">
        <v>4.4462859847715329E-3</v>
      </c>
      <c r="E104" s="331">
        <v>0</v>
      </c>
      <c r="F104" s="248">
        <v>0</v>
      </c>
      <c r="G104" s="330">
        <v>7.2266908477970047</v>
      </c>
      <c r="H104" s="248">
        <v>4.444209266917569E-3</v>
      </c>
      <c r="I104" s="326"/>
      <c r="J104" s="326"/>
      <c r="K104" s="326"/>
      <c r="L104" s="326"/>
    </row>
    <row r="105" spans="2:12" x14ac:dyDescent="0.25">
      <c r="B105" s="327" t="s">
        <v>175</v>
      </c>
      <c r="C105" s="330">
        <v>21.685898858090283</v>
      </c>
      <c r="D105" s="247">
        <v>1.3338857954314599E-2</v>
      </c>
      <c r="E105" s="331">
        <v>0</v>
      </c>
      <c r="F105" s="248">
        <v>0</v>
      </c>
      <c r="G105" s="330">
        <v>21.68007254339101</v>
      </c>
      <c r="H105" s="248">
        <v>1.3332627800752703E-2</v>
      </c>
      <c r="I105" s="326"/>
      <c r="J105" s="326"/>
      <c r="K105" s="326"/>
      <c r="L105" s="326"/>
    </row>
    <row r="106" spans="2:12" x14ac:dyDescent="0.25">
      <c r="B106" s="327" t="s">
        <v>176</v>
      </c>
      <c r="C106" s="330">
        <v>8.6350020495593114</v>
      </c>
      <c r="D106" s="247">
        <v>5.3113346386062703E-3</v>
      </c>
      <c r="E106" s="331">
        <v>0</v>
      </c>
      <c r="F106" s="248">
        <v>0</v>
      </c>
      <c r="G106" s="330">
        <v>8.6326820977925518</v>
      </c>
      <c r="H106" s="248">
        <v>5.3088538842170664E-3</v>
      </c>
      <c r="I106" s="326"/>
      <c r="J106" s="326"/>
      <c r="K106" s="326"/>
      <c r="L106" s="326"/>
    </row>
    <row r="107" spans="2:12" x14ac:dyDescent="0.25">
      <c r="B107" s="327" t="s">
        <v>41</v>
      </c>
      <c r="C107" s="330">
        <v>0</v>
      </c>
      <c r="D107" s="247">
        <v>0</v>
      </c>
      <c r="E107" s="331">
        <v>2.1249383315243913</v>
      </c>
      <c r="F107" s="248">
        <v>7.5168825100384383E-4</v>
      </c>
      <c r="G107" s="330">
        <v>5.7090367879158066E-4</v>
      </c>
      <c r="H107" s="248">
        <v>3.5108951984244939E-7</v>
      </c>
      <c r="I107" s="326"/>
      <c r="J107" s="326"/>
      <c r="K107" s="326"/>
      <c r="L107" s="326"/>
    </row>
    <row r="108" spans="2:12" x14ac:dyDescent="0.25">
      <c r="B108" s="327" t="s">
        <v>149</v>
      </c>
      <c r="C108" s="330">
        <v>0</v>
      </c>
      <c r="D108" s="247">
        <v>0</v>
      </c>
      <c r="E108" s="331">
        <v>0</v>
      </c>
      <c r="F108" s="248">
        <v>0</v>
      </c>
      <c r="G108" s="330">
        <v>0</v>
      </c>
      <c r="H108" s="248">
        <v>0</v>
      </c>
      <c r="I108" s="326"/>
      <c r="J108" s="326"/>
      <c r="K108" s="326"/>
      <c r="L108" s="326"/>
    </row>
    <row r="109" spans="2:12" x14ac:dyDescent="0.25">
      <c r="B109" s="327" t="s">
        <v>150</v>
      </c>
      <c r="C109" s="330">
        <v>0.18425442114771576</v>
      </c>
      <c r="D109" s="247">
        <v>1.1333371824829563E-4</v>
      </c>
      <c r="E109" s="331">
        <v>4.8062209824821532E-2</v>
      </c>
      <c r="F109" s="248">
        <v>1.7001810314505665E-5</v>
      </c>
      <c r="G109" s="330">
        <v>0.18421783061079822</v>
      </c>
      <c r="H109" s="248">
        <v>1.1328872469776881E-4</v>
      </c>
      <c r="I109" s="326"/>
      <c r="J109" s="326"/>
      <c r="K109" s="326"/>
      <c r="L109" s="326"/>
    </row>
    <row r="110" spans="2:12" x14ac:dyDescent="0.25">
      <c r="B110" s="327" t="s">
        <v>43</v>
      </c>
      <c r="C110" s="330">
        <v>0</v>
      </c>
      <c r="D110" s="247">
        <v>0</v>
      </c>
      <c r="E110" s="331">
        <v>7.8427271199955193</v>
      </c>
      <c r="F110" s="248">
        <v>2.7743326686100471E-3</v>
      </c>
      <c r="G110" s="330">
        <v>2.1070925674120185E-3</v>
      </c>
      <c r="H110" s="248">
        <v>1.2958019806811398E-6</v>
      </c>
      <c r="I110" s="326"/>
      <c r="J110" s="326"/>
      <c r="K110" s="326"/>
      <c r="L110" s="326"/>
    </row>
    <row r="111" spans="2:12" x14ac:dyDescent="0.25">
      <c r="B111" s="327" t="s">
        <v>151</v>
      </c>
      <c r="C111" s="330">
        <v>0</v>
      </c>
      <c r="D111" s="247">
        <v>0</v>
      </c>
      <c r="E111" s="331">
        <v>0.49325593550744157</v>
      </c>
      <c r="F111" s="248">
        <v>1.7448727144606907E-4</v>
      </c>
      <c r="G111" s="330">
        <v>1.3252225911185162E-4</v>
      </c>
      <c r="H111" s="248">
        <v>8.1497419001572573E-8</v>
      </c>
      <c r="I111" s="326"/>
      <c r="J111" s="326"/>
      <c r="K111" s="326"/>
      <c r="L111" s="326"/>
    </row>
    <row r="112" spans="2:12" x14ac:dyDescent="0.25">
      <c r="B112" s="327" t="s">
        <v>152</v>
      </c>
      <c r="C112" s="330">
        <v>0</v>
      </c>
      <c r="D112" s="247">
        <v>0</v>
      </c>
      <c r="E112" s="331">
        <v>0.26424403115824735</v>
      </c>
      <c r="F112" s="248">
        <v>9.3475246162581728E-5</v>
      </c>
      <c r="G112" s="330">
        <v>7.0994008272577872E-5</v>
      </c>
      <c r="H112" s="248">
        <v>4.3659295257772698E-8</v>
      </c>
      <c r="I112" s="326"/>
      <c r="J112" s="326"/>
      <c r="K112" s="326"/>
      <c r="L112" s="326"/>
    </row>
    <row r="113" spans="2:12" x14ac:dyDescent="0.25">
      <c r="B113" s="327" t="s">
        <v>153</v>
      </c>
      <c r="C113" s="330">
        <v>0</v>
      </c>
      <c r="D113" s="247">
        <v>0</v>
      </c>
      <c r="E113" s="331">
        <v>0.73027400803756914</v>
      </c>
      <c r="F113" s="248">
        <v>2.5833144600555496E-4</v>
      </c>
      <c r="G113" s="330">
        <v>1.9620151395896405E-4</v>
      </c>
      <c r="H113" s="248">
        <v>1.2065834901260437E-7</v>
      </c>
      <c r="I113" s="326"/>
      <c r="J113" s="326"/>
      <c r="K113" s="326"/>
      <c r="L113" s="326"/>
    </row>
    <row r="114" spans="2:12" x14ac:dyDescent="0.25">
      <c r="B114" s="327" t="s">
        <v>154</v>
      </c>
      <c r="C114" s="330">
        <v>0</v>
      </c>
      <c r="D114" s="247">
        <v>0</v>
      </c>
      <c r="E114" s="331">
        <v>1.3003996917242906</v>
      </c>
      <c r="F114" s="248">
        <v>4.6001107673413415E-4</v>
      </c>
      <c r="G114" s="330">
        <v>3.4937624160238522E-4</v>
      </c>
      <c r="H114" s="248">
        <v>2.1485644858372205E-7</v>
      </c>
      <c r="I114" s="326"/>
      <c r="J114" s="326"/>
      <c r="K114" s="326"/>
      <c r="L114" s="326"/>
    </row>
    <row r="115" spans="2:12" x14ac:dyDescent="0.25">
      <c r="B115" s="327" t="s">
        <v>155</v>
      </c>
      <c r="C115" s="330">
        <v>0</v>
      </c>
      <c r="D115" s="247">
        <v>0</v>
      </c>
      <c r="E115" s="331">
        <v>1.089004344127428</v>
      </c>
      <c r="F115" s="248">
        <v>3.8523083640996388E-4</v>
      </c>
      <c r="G115" s="330">
        <v>2.9258100202670501E-4</v>
      </c>
      <c r="H115" s="248">
        <v>1.7992899210950653E-7</v>
      </c>
      <c r="I115" s="326"/>
      <c r="J115" s="326"/>
      <c r="K115" s="326"/>
      <c r="L115" s="326"/>
    </row>
    <row r="116" spans="2:12" x14ac:dyDescent="0.25">
      <c r="B116" s="327" t="s">
        <v>156</v>
      </c>
      <c r="C116" s="330">
        <v>0</v>
      </c>
      <c r="D116" s="247">
        <v>0</v>
      </c>
      <c r="E116" s="331">
        <v>0.76390434119400852</v>
      </c>
      <c r="F116" s="248">
        <v>2.7022803892592711E-4</v>
      </c>
      <c r="G116" s="330">
        <v>2.0523692013201008E-4</v>
      </c>
      <c r="H116" s="248">
        <v>1.262148667453169E-7</v>
      </c>
      <c r="I116" s="326"/>
      <c r="J116" s="326"/>
      <c r="K116" s="326"/>
      <c r="L116" s="326"/>
    </row>
    <row r="117" spans="2:12" x14ac:dyDescent="0.25">
      <c r="B117" s="327" t="s">
        <v>192</v>
      </c>
      <c r="C117" s="330">
        <v>9.9445362968802911E-4</v>
      </c>
      <c r="D117" s="247">
        <v>6.1168207946393287E-7</v>
      </c>
      <c r="E117" s="331">
        <v>0</v>
      </c>
      <c r="F117" s="248">
        <v>0</v>
      </c>
      <c r="G117" s="330">
        <v>9.9418645147059332E-4</v>
      </c>
      <c r="H117" s="248">
        <v>6.1139638234509614E-7</v>
      </c>
      <c r="I117" s="326"/>
      <c r="J117" s="326"/>
      <c r="K117" s="326"/>
      <c r="L117" s="326"/>
    </row>
    <row r="118" spans="2:12" x14ac:dyDescent="0.25">
      <c r="B118" s="327" t="s">
        <v>39</v>
      </c>
      <c r="C118" s="330">
        <v>1.3130952218264502E-3</v>
      </c>
      <c r="D118" s="247">
        <v>8.076764887196689E-7</v>
      </c>
      <c r="E118" s="331">
        <v>0</v>
      </c>
      <c r="F118" s="248">
        <v>0</v>
      </c>
      <c r="G118" s="330">
        <v>1.3127424346977019E-3</v>
      </c>
      <c r="H118" s="248">
        <v>8.072992488862221E-7</v>
      </c>
      <c r="I118" s="326"/>
      <c r="J118" s="326"/>
      <c r="K118" s="326"/>
      <c r="L118" s="326"/>
    </row>
    <row r="119" spans="2:12" x14ac:dyDescent="0.25">
      <c r="B119" s="327" t="s">
        <v>157</v>
      </c>
      <c r="C119" s="330">
        <v>0</v>
      </c>
      <c r="D119" s="247">
        <v>0</v>
      </c>
      <c r="E119" s="331">
        <v>7.2904805207619425E-2</v>
      </c>
      <c r="F119" s="248">
        <v>2.5789776909421019E-5</v>
      </c>
      <c r="G119" s="330">
        <v>1.9587213839168185E-5</v>
      </c>
      <c r="H119" s="248">
        <v>1.2045579240969419E-8</v>
      </c>
      <c r="I119" s="326"/>
      <c r="J119" s="326"/>
      <c r="K119" s="326"/>
      <c r="L119" s="326"/>
    </row>
    <row r="120" spans="2:12" x14ac:dyDescent="0.25">
      <c r="B120" s="327" t="s">
        <v>159</v>
      </c>
      <c r="C120" s="330">
        <v>0</v>
      </c>
      <c r="D120" s="247">
        <v>0</v>
      </c>
      <c r="E120" s="331">
        <v>9.8285549709458159E-2</v>
      </c>
      <c r="F120" s="248">
        <v>3.4768111555996899E-5</v>
      </c>
      <c r="G120" s="330">
        <v>2.6406216626968663E-5</v>
      </c>
      <c r="H120" s="248">
        <v>1.6239071950003441E-8</v>
      </c>
      <c r="I120" s="326"/>
      <c r="J120" s="326"/>
      <c r="K120" s="326"/>
      <c r="L120" s="326"/>
    </row>
    <row r="121" spans="2:12" x14ac:dyDescent="0.25">
      <c r="B121" s="327" t="s">
        <v>160</v>
      </c>
      <c r="C121" s="330">
        <v>0</v>
      </c>
      <c r="D121" s="247">
        <v>0</v>
      </c>
      <c r="E121" s="331">
        <v>0.22648131011843015</v>
      </c>
      <c r="F121" s="248">
        <v>8.0116837915880835E-5</v>
      </c>
      <c r="G121" s="330">
        <v>6.0848360258714852E-5</v>
      </c>
      <c r="H121" s="248">
        <v>3.7420010380125136E-8</v>
      </c>
      <c r="I121" s="326"/>
      <c r="J121" s="326"/>
      <c r="K121" s="326"/>
      <c r="L121" s="326"/>
    </row>
    <row r="122" spans="2:12" x14ac:dyDescent="0.25">
      <c r="B122" s="327" t="s">
        <v>161</v>
      </c>
      <c r="C122" s="330">
        <v>0</v>
      </c>
      <c r="D122" s="247">
        <v>0</v>
      </c>
      <c r="E122" s="331">
        <v>918.9833840459321</v>
      </c>
      <c r="F122" s="248">
        <v>0.32508661658878413</v>
      </c>
      <c r="G122" s="330">
        <v>0.24690175094341857</v>
      </c>
      <c r="H122" s="248">
        <v>1.5183755230036052E-4</v>
      </c>
      <c r="I122" s="326"/>
      <c r="J122" s="326"/>
      <c r="K122" s="326"/>
      <c r="L122" s="326"/>
    </row>
    <row r="123" spans="2:12" x14ac:dyDescent="0.25">
      <c r="B123" s="327" t="s">
        <v>162</v>
      </c>
      <c r="C123" s="330">
        <v>0</v>
      </c>
      <c r="D123" s="247">
        <v>0</v>
      </c>
      <c r="E123" s="331">
        <v>0.12829709671483699</v>
      </c>
      <c r="F123" s="248">
        <v>4.5384573663962739E-5</v>
      </c>
      <c r="G123" s="330">
        <v>3.4469369490000612E-5</v>
      </c>
      <c r="H123" s="248">
        <v>2.11976815583532E-8</v>
      </c>
      <c r="I123" s="326"/>
      <c r="J123" s="326"/>
      <c r="K123" s="326"/>
      <c r="L123" s="326"/>
    </row>
    <row r="124" spans="2:12" x14ac:dyDescent="0.25">
      <c r="B124" s="327" t="s">
        <v>163</v>
      </c>
      <c r="C124" s="330">
        <v>0</v>
      </c>
      <c r="D124" s="247">
        <v>0</v>
      </c>
      <c r="E124" s="331">
        <v>4.9713458261442335E-2</v>
      </c>
      <c r="F124" s="248">
        <v>1.7585932700968473E-5</v>
      </c>
      <c r="G124" s="330">
        <v>1.3356432883653945E-5</v>
      </c>
      <c r="H124" s="248">
        <v>8.2138262234633197E-9</v>
      </c>
      <c r="I124" s="326"/>
      <c r="J124" s="326"/>
      <c r="K124" s="326"/>
      <c r="L124" s="326"/>
    </row>
    <row r="125" spans="2:12" ht="15.75" thickBot="1" x14ac:dyDescent="0.3">
      <c r="B125" s="332" t="s">
        <v>164</v>
      </c>
      <c r="C125" s="333">
        <v>0</v>
      </c>
      <c r="D125" s="249">
        <v>0</v>
      </c>
      <c r="E125" s="334">
        <v>6.0929787273760028E-2</v>
      </c>
      <c r="F125" s="250">
        <v>2.1553663252426117E-5</v>
      </c>
      <c r="G125" s="333">
        <v>1.6369905510445514E-5</v>
      </c>
      <c r="H125" s="250">
        <v>1.0067026153507665E-8</v>
      </c>
      <c r="I125" s="326"/>
      <c r="J125" s="326"/>
      <c r="K125" s="326"/>
      <c r="L125" s="326"/>
    </row>
    <row r="126" spans="2:12" ht="15.75" thickBot="1" x14ac:dyDescent="0.3">
      <c r="B126" s="246" t="s">
        <v>59</v>
      </c>
      <c r="C126" s="251">
        <v>1625.7687826322301</v>
      </c>
      <c r="D126" s="252">
        <v>0.99999999999999978</v>
      </c>
      <c r="E126" s="253">
        <v>2826.8877805215625</v>
      </c>
      <c r="F126" s="254">
        <v>0.99999999999999956</v>
      </c>
      <c r="G126" s="255">
        <v>1626.0914852934727</v>
      </c>
      <c r="H126" s="254">
        <v>1.0000000000000004</v>
      </c>
      <c r="I126" s="326"/>
      <c r="J126" s="326"/>
      <c r="K126" s="326"/>
      <c r="L126" s="326"/>
    </row>
  </sheetData>
  <mergeCells count="20">
    <mergeCell ref="E15:F15"/>
    <mergeCell ref="B1:J1"/>
    <mergeCell ref="B2:J2"/>
    <mergeCell ref="B3:K3"/>
    <mergeCell ref="B5:G5"/>
    <mergeCell ref="E8:F8"/>
    <mergeCell ref="B9:F9"/>
    <mergeCell ref="E10:F10"/>
    <mergeCell ref="E11:F11"/>
    <mergeCell ref="E12:F12"/>
    <mergeCell ref="B13:F13"/>
    <mergeCell ref="E14:F14"/>
    <mergeCell ref="E16:F16"/>
    <mergeCell ref="B18:B19"/>
    <mergeCell ref="B44:C44"/>
    <mergeCell ref="G86:H86"/>
    <mergeCell ref="E86:F86"/>
    <mergeCell ref="C86:D86"/>
    <mergeCell ref="B83:C83"/>
    <mergeCell ref="B86:B87"/>
  </mergeCells>
  <conditionalFormatting sqref="C88:H125">
    <cfRule type="cellIs" dxfId="1" priority="1" operator="equal">
      <formula>0</formula>
    </cfRule>
  </conditionalFormatting>
  <conditionalFormatting sqref="D45:L82">
    <cfRule type="cellIs" dxfId="0" priority="2" operator="equal">
      <formula>0</formula>
    </cfRule>
  </conditionalFormatting>
  <pageMargins left="0.7" right="0.7" top="0.75" bottom="0.75" header="0.3" footer="0.3"/>
  <pageSetup scale="35" orientation="portrait" horizontalDpi="300" verticalDpi="300" r:id="rId1"/>
  <colBreaks count="1" manualBreakCount="1">
    <brk id="28" min="17" max="4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06FE-C6D9-45DE-BF34-A5531791565E}">
  <sheetPr>
    <pageSetUpPr fitToPage="1"/>
  </sheetPr>
  <dimension ref="B1:X136"/>
  <sheetViews>
    <sheetView workbookViewId="0">
      <selection activeCell="H26" sqref="H26"/>
    </sheetView>
  </sheetViews>
  <sheetFormatPr defaultRowHeight="12.75" outlineLevelRow="1" x14ac:dyDescent="0.2"/>
  <cols>
    <col min="1" max="1" width="1.140625" style="4" customWidth="1"/>
    <col min="2" max="2" width="30.5703125" style="4" customWidth="1"/>
    <col min="3" max="3" width="15.5703125" style="2" bestFit="1" customWidth="1"/>
    <col min="4" max="4" width="15.28515625" style="4" customWidth="1"/>
    <col min="5" max="5" width="11.140625" style="4" customWidth="1"/>
    <col min="6" max="6" width="11.42578125" style="2" customWidth="1"/>
    <col min="7" max="7" width="9.140625" style="4" customWidth="1"/>
    <col min="8" max="8" width="10.140625" style="4" customWidth="1"/>
    <col min="9" max="9" width="10" style="4" customWidth="1"/>
    <col min="10" max="10" width="10.42578125" style="4" customWidth="1"/>
    <col min="11" max="11" width="11.140625" style="4" customWidth="1"/>
    <col min="12" max="12" width="9" style="4" customWidth="1"/>
    <col min="13" max="13" width="7.28515625" style="4" customWidth="1"/>
    <col min="14" max="14" width="10.7109375" style="4" customWidth="1"/>
    <col min="15" max="15" width="9.42578125" style="4" customWidth="1"/>
    <col min="16" max="17" width="6.42578125" style="4" bestFit="1" customWidth="1"/>
    <col min="18" max="18" width="11.85546875" style="4" bestFit="1" customWidth="1"/>
    <col min="19" max="20" width="6.42578125" style="4" bestFit="1" customWidth="1"/>
    <col min="21" max="21" width="10.42578125" style="4" customWidth="1"/>
    <col min="22" max="22" width="7.5703125" style="4" bestFit="1" customWidth="1"/>
    <col min="23" max="23" width="6" style="4" bestFit="1" customWidth="1"/>
    <col min="24" max="24" width="11.5703125" style="4" customWidth="1"/>
    <col min="25" max="257" width="9.140625" style="4"/>
    <col min="258" max="258" width="15.85546875" style="4" customWidth="1"/>
    <col min="259" max="259" width="12.28515625" style="4" customWidth="1"/>
    <col min="260" max="260" width="15.28515625" style="4" customWidth="1"/>
    <col min="261" max="261" width="9.85546875" style="4" customWidth="1"/>
    <col min="262" max="262" width="10.28515625" style="4" customWidth="1"/>
    <col min="263" max="263" width="9.140625" style="4" customWidth="1"/>
    <col min="264" max="264" width="10.140625" style="4" customWidth="1"/>
    <col min="265" max="265" width="10" style="4" customWidth="1"/>
    <col min="266" max="267" width="10.42578125" style="4" customWidth="1"/>
    <col min="268" max="268" width="9" style="4" customWidth="1"/>
    <col min="269" max="269" width="9.140625" style="4"/>
    <col min="270" max="270" width="10.7109375" style="4" customWidth="1"/>
    <col min="271" max="271" width="9.42578125" style="4" customWidth="1"/>
    <col min="272" max="272" width="9.140625" style="4"/>
    <col min="273" max="273" width="8.85546875" style="4" customWidth="1"/>
    <col min="274" max="274" width="16.85546875" style="4" customWidth="1"/>
    <col min="275" max="275" width="8.85546875" style="4" customWidth="1"/>
    <col min="276" max="276" width="10.28515625" style="4" bestFit="1" customWidth="1"/>
    <col min="277" max="277" width="9.140625" style="4"/>
    <col min="278" max="278" width="11.85546875" style="4" customWidth="1"/>
    <col min="279" max="279" width="11.28515625" style="4" customWidth="1"/>
    <col min="280" max="280" width="11.5703125" style="4" customWidth="1"/>
    <col min="281" max="513" width="9.140625" style="4"/>
    <col min="514" max="514" width="15.85546875" style="4" customWidth="1"/>
    <col min="515" max="515" width="12.28515625" style="4" customWidth="1"/>
    <col min="516" max="516" width="15.28515625" style="4" customWidth="1"/>
    <col min="517" max="517" width="9.85546875" style="4" customWidth="1"/>
    <col min="518" max="518" width="10.28515625" style="4" customWidth="1"/>
    <col min="519" max="519" width="9.140625" style="4" customWidth="1"/>
    <col min="520" max="520" width="10.140625" style="4" customWidth="1"/>
    <col min="521" max="521" width="10" style="4" customWidth="1"/>
    <col min="522" max="523" width="10.42578125" style="4" customWidth="1"/>
    <col min="524" max="524" width="9" style="4" customWidth="1"/>
    <col min="525" max="525" width="9.140625" style="4"/>
    <col min="526" max="526" width="10.7109375" style="4" customWidth="1"/>
    <col min="527" max="527" width="9.42578125" style="4" customWidth="1"/>
    <col min="528" max="528" width="9.140625" style="4"/>
    <col min="529" max="529" width="8.85546875" style="4" customWidth="1"/>
    <col min="530" max="530" width="16.85546875" style="4" customWidth="1"/>
    <col min="531" max="531" width="8.85546875" style="4" customWidth="1"/>
    <col min="532" max="532" width="10.28515625" style="4" bestFit="1" customWidth="1"/>
    <col min="533" max="533" width="9.140625" style="4"/>
    <col min="534" max="534" width="11.85546875" style="4" customWidth="1"/>
    <col min="535" max="535" width="11.28515625" style="4" customWidth="1"/>
    <col min="536" max="536" width="11.5703125" style="4" customWidth="1"/>
    <col min="537" max="769" width="9.140625" style="4"/>
    <col min="770" max="770" width="15.85546875" style="4" customWidth="1"/>
    <col min="771" max="771" width="12.28515625" style="4" customWidth="1"/>
    <col min="772" max="772" width="15.28515625" style="4" customWidth="1"/>
    <col min="773" max="773" width="9.85546875" style="4" customWidth="1"/>
    <col min="774" max="774" width="10.28515625" style="4" customWidth="1"/>
    <col min="775" max="775" width="9.140625" style="4" customWidth="1"/>
    <col min="776" max="776" width="10.140625" style="4" customWidth="1"/>
    <col min="777" max="777" width="10" style="4" customWidth="1"/>
    <col min="778" max="779" width="10.42578125" style="4" customWidth="1"/>
    <col min="780" max="780" width="9" style="4" customWidth="1"/>
    <col min="781" max="781" width="9.140625" style="4"/>
    <col min="782" max="782" width="10.7109375" style="4" customWidth="1"/>
    <col min="783" max="783" width="9.42578125" style="4" customWidth="1"/>
    <col min="784" max="784" width="9.140625" style="4"/>
    <col min="785" max="785" width="8.85546875" style="4" customWidth="1"/>
    <col min="786" max="786" width="16.85546875" style="4" customWidth="1"/>
    <col min="787" max="787" width="8.85546875" style="4" customWidth="1"/>
    <col min="788" max="788" width="10.28515625" style="4" bestFit="1" customWidth="1"/>
    <col min="789" max="789" width="9.140625" style="4"/>
    <col min="790" max="790" width="11.85546875" style="4" customWidth="1"/>
    <col min="791" max="791" width="11.28515625" style="4" customWidth="1"/>
    <col min="792" max="792" width="11.5703125" style="4" customWidth="1"/>
    <col min="793" max="1025" width="9.140625" style="4"/>
    <col min="1026" max="1026" width="15.85546875" style="4" customWidth="1"/>
    <col min="1027" max="1027" width="12.28515625" style="4" customWidth="1"/>
    <col min="1028" max="1028" width="15.28515625" style="4" customWidth="1"/>
    <col min="1029" max="1029" width="9.85546875" style="4" customWidth="1"/>
    <col min="1030" max="1030" width="10.28515625" style="4" customWidth="1"/>
    <col min="1031" max="1031" width="9.140625" style="4" customWidth="1"/>
    <col min="1032" max="1032" width="10.140625" style="4" customWidth="1"/>
    <col min="1033" max="1033" width="10" style="4" customWidth="1"/>
    <col min="1034" max="1035" width="10.42578125" style="4" customWidth="1"/>
    <col min="1036" max="1036" width="9" style="4" customWidth="1"/>
    <col min="1037" max="1037" width="9.140625" style="4"/>
    <col min="1038" max="1038" width="10.7109375" style="4" customWidth="1"/>
    <col min="1039" max="1039" width="9.42578125" style="4" customWidth="1"/>
    <col min="1040" max="1040" width="9.140625" style="4"/>
    <col min="1041" max="1041" width="8.85546875" style="4" customWidth="1"/>
    <col min="1042" max="1042" width="16.85546875" style="4" customWidth="1"/>
    <col min="1043" max="1043" width="8.85546875" style="4" customWidth="1"/>
    <col min="1044" max="1044" width="10.28515625" style="4" bestFit="1" customWidth="1"/>
    <col min="1045" max="1045" width="9.140625" style="4"/>
    <col min="1046" max="1046" width="11.85546875" style="4" customWidth="1"/>
    <col min="1047" max="1047" width="11.28515625" style="4" customWidth="1"/>
    <col min="1048" max="1048" width="11.5703125" style="4" customWidth="1"/>
    <col min="1049" max="1281" width="9.140625" style="4"/>
    <col min="1282" max="1282" width="15.85546875" style="4" customWidth="1"/>
    <col min="1283" max="1283" width="12.28515625" style="4" customWidth="1"/>
    <col min="1284" max="1284" width="15.28515625" style="4" customWidth="1"/>
    <col min="1285" max="1285" width="9.85546875" style="4" customWidth="1"/>
    <col min="1286" max="1286" width="10.28515625" style="4" customWidth="1"/>
    <col min="1287" max="1287" width="9.140625" style="4" customWidth="1"/>
    <col min="1288" max="1288" width="10.140625" style="4" customWidth="1"/>
    <col min="1289" max="1289" width="10" style="4" customWidth="1"/>
    <col min="1290" max="1291" width="10.42578125" style="4" customWidth="1"/>
    <col min="1292" max="1292" width="9" style="4" customWidth="1"/>
    <col min="1293" max="1293" width="9.140625" style="4"/>
    <col min="1294" max="1294" width="10.7109375" style="4" customWidth="1"/>
    <col min="1295" max="1295" width="9.42578125" style="4" customWidth="1"/>
    <col min="1296" max="1296" width="9.140625" style="4"/>
    <col min="1297" max="1297" width="8.85546875" style="4" customWidth="1"/>
    <col min="1298" max="1298" width="16.85546875" style="4" customWidth="1"/>
    <col min="1299" max="1299" width="8.85546875" style="4" customWidth="1"/>
    <col min="1300" max="1300" width="10.28515625" style="4" bestFit="1" customWidth="1"/>
    <col min="1301" max="1301" width="9.140625" style="4"/>
    <col min="1302" max="1302" width="11.85546875" style="4" customWidth="1"/>
    <col min="1303" max="1303" width="11.28515625" style="4" customWidth="1"/>
    <col min="1304" max="1304" width="11.5703125" style="4" customWidth="1"/>
    <col min="1305" max="1537" width="9.140625" style="4"/>
    <col min="1538" max="1538" width="15.85546875" style="4" customWidth="1"/>
    <col min="1539" max="1539" width="12.28515625" style="4" customWidth="1"/>
    <col min="1540" max="1540" width="15.28515625" style="4" customWidth="1"/>
    <col min="1541" max="1541" width="9.85546875" style="4" customWidth="1"/>
    <col min="1542" max="1542" width="10.28515625" style="4" customWidth="1"/>
    <col min="1543" max="1543" width="9.140625" style="4" customWidth="1"/>
    <col min="1544" max="1544" width="10.140625" style="4" customWidth="1"/>
    <col min="1545" max="1545" width="10" style="4" customWidth="1"/>
    <col min="1546" max="1547" width="10.42578125" style="4" customWidth="1"/>
    <col min="1548" max="1548" width="9" style="4" customWidth="1"/>
    <col min="1549" max="1549" width="9.140625" style="4"/>
    <col min="1550" max="1550" width="10.7109375" style="4" customWidth="1"/>
    <col min="1551" max="1551" width="9.42578125" style="4" customWidth="1"/>
    <col min="1552" max="1552" width="9.140625" style="4"/>
    <col min="1553" max="1553" width="8.85546875" style="4" customWidth="1"/>
    <col min="1554" max="1554" width="16.85546875" style="4" customWidth="1"/>
    <col min="1555" max="1555" width="8.85546875" style="4" customWidth="1"/>
    <col min="1556" max="1556" width="10.28515625" style="4" bestFit="1" customWidth="1"/>
    <col min="1557" max="1557" width="9.140625" style="4"/>
    <col min="1558" max="1558" width="11.85546875" style="4" customWidth="1"/>
    <col min="1559" max="1559" width="11.28515625" style="4" customWidth="1"/>
    <col min="1560" max="1560" width="11.5703125" style="4" customWidth="1"/>
    <col min="1561" max="1793" width="9.140625" style="4"/>
    <col min="1794" max="1794" width="15.85546875" style="4" customWidth="1"/>
    <col min="1795" max="1795" width="12.28515625" style="4" customWidth="1"/>
    <col min="1796" max="1796" width="15.28515625" style="4" customWidth="1"/>
    <col min="1797" max="1797" width="9.85546875" style="4" customWidth="1"/>
    <col min="1798" max="1798" width="10.28515625" style="4" customWidth="1"/>
    <col min="1799" max="1799" width="9.140625" style="4" customWidth="1"/>
    <col min="1800" max="1800" width="10.140625" style="4" customWidth="1"/>
    <col min="1801" max="1801" width="10" style="4" customWidth="1"/>
    <col min="1802" max="1803" width="10.42578125" style="4" customWidth="1"/>
    <col min="1804" max="1804" width="9" style="4" customWidth="1"/>
    <col min="1805" max="1805" width="9.140625" style="4"/>
    <col min="1806" max="1806" width="10.7109375" style="4" customWidth="1"/>
    <col min="1807" max="1807" width="9.42578125" style="4" customWidth="1"/>
    <col min="1808" max="1808" width="9.140625" style="4"/>
    <col min="1809" max="1809" width="8.85546875" style="4" customWidth="1"/>
    <col min="1810" max="1810" width="16.85546875" style="4" customWidth="1"/>
    <col min="1811" max="1811" width="8.85546875" style="4" customWidth="1"/>
    <col min="1812" max="1812" width="10.28515625" style="4" bestFit="1" customWidth="1"/>
    <col min="1813" max="1813" width="9.140625" style="4"/>
    <col min="1814" max="1814" width="11.85546875" style="4" customWidth="1"/>
    <col min="1815" max="1815" width="11.28515625" style="4" customWidth="1"/>
    <col min="1816" max="1816" width="11.5703125" style="4" customWidth="1"/>
    <col min="1817" max="2049" width="9.140625" style="4"/>
    <col min="2050" max="2050" width="15.85546875" style="4" customWidth="1"/>
    <col min="2051" max="2051" width="12.28515625" style="4" customWidth="1"/>
    <col min="2052" max="2052" width="15.28515625" style="4" customWidth="1"/>
    <col min="2053" max="2053" width="9.85546875" style="4" customWidth="1"/>
    <col min="2054" max="2054" width="10.28515625" style="4" customWidth="1"/>
    <col min="2055" max="2055" width="9.140625" style="4" customWidth="1"/>
    <col min="2056" max="2056" width="10.140625" style="4" customWidth="1"/>
    <col min="2057" max="2057" width="10" style="4" customWidth="1"/>
    <col min="2058" max="2059" width="10.42578125" style="4" customWidth="1"/>
    <col min="2060" max="2060" width="9" style="4" customWidth="1"/>
    <col min="2061" max="2061" width="9.140625" style="4"/>
    <col min="2062" max="2062" width="10.7109375" style="4" customWidth="1"/>
    <col min="2063" max="2063" width="9.42578125" style="4" customWidth="1"/>
    <col min="2064" max="2064" width="9.140625" style="4"/>
    <col min="2065" max="2065" width="8.85546875" style="4" customWidth="1"/>
    <col min="2066" max="2066" width="16.85546875" style="4" customWidth="1"/>
    <col min="2067" max="2067" width="8.85546875" style="4" customWidth="1"/>
    <col min="2068" max="2068" width="10.28515625" style="4" bestFit="1" customWidth="1"/>
    <col min="2069" max="2069" width="9.140625" style="4"/>
    <col min="2070" max="2070" width="11.85546875" style="4" customWidth="1"/>
    <col min="2071" max="2071" width="11.28515625" style="4" customWidth="1"/>
    <col min="2072" max="2072" width="11.5703125" style="4" customWidth="1"/>
    <col min="2073" max="2305" width="9.140625" style="4"/>
    <col min="2306" max="2306" width="15.85546875" style="4" customWidth="1"/>
    <col min="2307" max="2307" width="12.28515625" style="4" customWidth="1"/>
    <col min="2308" max="2308" width="15.28515625" style="4" customWidth="1"/>
    <col min="2309" max="2309" width="9.85546875" style="4" customWidth="1"/>
    <col min="2310" max="2310" width="10.28515625" style="4" customWidth="1"/>
    <col min="2311" max="2311" width="9.140625" style="4" customWidth="1"/>
    <col min="2312" max="2312" width="10.140625" style="4" customWidth="1"/>
    <col min="2313" max="2313" width="10" style="4" customWidth="1"/>
    <col min="2314" max="2315" width="10.42578125" style="4" customWidth="1"/>
    <col min="2316" max="2316" width="9" style="4" customWidth="1"/>
    <col min="2317" max="2317" width="9.140625" style="4"/>
    <col min="2318" max="2318" width="10.7109375" style="4" customWidth="1"/>
    <col min="2319" max="2319" width="9.42578125" style="4" customWidth="1"/>
    <col min="2320" max="2320" width="9.140625" style="4"/>
    <col min="2321" max="2321" width="8.85546875" style="4" customWidth="1"/>
    <col min="2322" max="2322" width="16.85546875" style="4" customWidth="1"/>
    <col min="2323" max="2323" width="8.85546875" style="4" customWidth="1"/>
    <col min="2324" max="2324" width="10.28515625" style="4" bestFit="1" customWidth="1"/>
    <col min="2325" max="2325" width="9.140625" style="4"/>
    <col min="2326" max="2326" width="11.85546875" style="4" customWidth="1"/>
    <col min="2327" max="2327" width="11.28515625" style="4" customWidth="1"/>
    <col min="2328" max="2328" width="11.5703125" style="4" customWidth="1"/>
    <col min="2329" max="2561" width="9.140625" style="4"/>
    <col min="2562" max="2562" width="15.85546875" style="4" customWidth="1"/>
    <col min="2563" max="2563" width="12.28515625" style="4" customWidth="1"/>
    <col min="2564" max="2564" width="15.28515625" style="4" customWidth="1"/>
    <col min="2565" max="2565" width="9.85546875" style="4" customWidth="1"/>
    <col min="2566" max="2566" width="10.28515625" style="4" customWidth="1"/>
    <col min="2567" max="2567" width="9.140625" style="4" customWidth="1"/>
    <col min="2568" max="2568" width="10.140625" style="4" customWidth="1"/>
    <col min="2569" max="2569" width="10" style="4" customWidth="1"/>
    <col min="2570" max="2571" width="10.42578125" style="4" customWidth="1"/>
    <col min="2572" max="2572" width="9" style="4" customWidth="1"/>
    <col min="2573" max="2573" width="9.140625" style="4"/>
    <col min="2574" max="2574" width="10.7109375" style="4" customWidth="1"/>
    <col min="2575" max="2575" width="9.42578125" style="4" customWidth="1"/>
    <col min="2576" max="2576" width="9.140625" style="4"/>
    <col min="2577" max="2577" width="8.85546875" style="4" customWidth="1"/>
    <col min="2578" max="2578" width="16.85546875" style="4" customWidth="1"/>
    <col min="2579" max="2579" width="8.85546875" style="4" customWidth="1"/>
    <col min="2580" max="2580" width="10.28515625" style="4" bestFit="1" customWidth="1"/>
    <col min="2581" max="2581" width="9.140625" style="4"/>
    <col min="2582" max="2582" width="11.85546875" style="4" customWidth="1"/>
    <col min="2583" max="2583" width="11.28515625" style="4" customWidth="1"/>
    <col min="2584" max="2584" width="11.5703125" style="4" customWidth="1"/>
    <col min="2585" max="2817" width="9.140625" style="4"/>
    <col min="2818" max="2818" width="15.85546875" style="4" customWidth="1"/>
    <col min="2819" max="2819" width="12.28515625" style="4" customWidth="1"/>
    <col min="2820" max="2820" width="15.28515625" style="4" customWidth="1"/>
    <col min="2821" max="2821" width="9.85546875" style="4" customWidth="1"/>
    <col min="2822" max="2822" width="10.28515625" style="4" customWidth="1"/>
    <col min="2823" max="2823" width="9.140625" style="4" customWidth="1"/>
    <col min="2824" max="2824" width="10.140625" style="4" customWidth="1"/>
    <col min="2825" max="2825" width="10" style="4" customWidth="1"/>
    <col min="2826" max="2827" width="10.42578125" style="4" customWidth="1"/>
    <col min="2828" max="2828" width="9" style="4" customWidth="1"/>
    <col min="2829" max="2829" width="9.140625" style="4"/>
    <col min="2830" max="2830" width="10.7109375" style="4" customWidth="1"/>
    <col min="2831" max="2831" width="9.42578125" style="4" customWidth="1"/>
    <col min="2832" max="2832" width="9.140625" style="4"/>
    <col min="2833" max="2833" width="8.85546875" style="4" customWidth="1"/>
    <col min="2834" max="2834" width="16.85546875" style="4" customWidth="1"/>
    <col min="2835" max="2835" width="8.85546875" style="4" customWidth="1"/>
    <col min="2836" max="2836" width="10.28515625" style="4" bestFit="1" customWidth="1"/>
    <col min="2837" max="2837" width="9.140625" style="4"/>
    <col min="2838" max="2838" width="11.85546875" style="4" customWidth="1"/>
    <col min="2839" max="2839" width="11.28515625" style="4" customWidth="1"/>
    <col min="2840" max="2840" width="11.5703125" style="4" customWidth="1"/>
    <col min="2841" max="3073" width="9.140625" style="4"/>
    <col min="3074" max="3074" width="15.85546875" style="4" customWidth="1"/>
    <col min="3075" max="3075" width="12.28515625" style="4" customWidth="1"/>
    <col min="3076" max="3076" width="15.28515625" style="4" customWidth="1"/>
    <col min="3077" max="3077" width="9.85546875" style="4" customWidth="1"/>
    <col min="3078" max="3078" width="10.28515625" style="4" customWidth="1"/>
    <col min="3079" max="3079" width="9.140625" style="4" customWidth="1"/>
    <col min="3080" max="3080" width="10.140625" style="4" customWidth="1"/>
    <col min="3081" max="3081" width="10" style="4" customWidth="1"/>
    <col min="3082" max="3083" width="10.42578125" style="4" customWidth="1"/>
    <col min="3084" max="3084" width="9" style="4" customWidth="1"/>
    <col min="3085" max="3085" width="9.140625" style="4"/>
    <col min="3086" max="3086" width="10.7109375" style="4" customWidth="1"/>
    <col min="3087" max="3087" width="9.42578125" style="4" customWidth="1"/>
    <col min="3088" max="3088" width="9.140625" style="4"/>
    <col min="3089" max="3089" width="8.85546875" style="4" customWidth="1"/>
    <col min="3090" max="3090" width="16.85546875" style="4" customWidth="1"/>
    <col min="3091" max="3091" width="8.85546875" style="4" customWidth="1"/>
    <col min="3092" max="3092" width="10.28515625" style="4" bestFit="1" customWidth="1"/>
    <col min="3093" max="3093" width="9.140625" style="4"/>
    <col min="3094" max="3094" width="11.85546875" style="4" customWidth="1"/>
    <col min="3095" max="3095" width="11.28515625" style="4" customWidth="1"/>
    <col min="3096" max="3096" width="11.5703125" style="4" customWidth="1"/>
    <col min="3097" max="3329" width="9.140625" style="4"/>
    <col min="3330" max="3330" width="15.85546875" style="4" customWidth="1"/>
    <col min="3331" max="3331" width="12.28515625" style="4" customWidth="1"/>
    <col min="3332" max="3332" width="15.28515625" style="4" customWidth="1"/>
    <col min="3333" max="3333" width="9.85546875" style="4" customWidth="1"/>
    <col min="3334" max="3334" width="10.28515625" style="4" customWidth="1"/>
    <col min="3335" max="3335" width="9.140625" style="4" customWidth="1"/>
    <col min="3336" max="3336" width="10.140625" style="4" customWidth="1"/>
    <col min="3337" max="3337" width="10" style="4" customWidth="1"/>
    <col min="3338" max="3339" width="10.42578125" style="4" customWidth="1"/>
    <col min="3340" max="3340" width="9" style="4" customWidth="1"/>
    <col min="3341" max="3341" width="9.140625" style="4"/>
    <col min="3342" max="3342" width="10.7109375" style="4" customWidth="1"/>
    <col min="3343" max="3343" width="9.42578125" style="4" customWidth="1"/>
    <col min="3344" max="3344" width="9.140625" style="4"/>
    <col min="3345" max="3345" width="8.85546875" style="4" customWidth="1"/>
    <col min="3346" max="3346" width="16.85546875" style="4" customWidth="1"/>
    <col min="3347" max="3347" width="8.85546875" style="4" customWidth="1"/>
    <col min="3348" max="3348" width="10.28515625" style="4" bestFit="1" customWidth="1"/>
    <col min="3349" max="3349" width="9.140625" style="4"/>
    <col min="3350" max="3350" width="11.85546875" style="4" customWidth="1"/>
    <col min="3351" max="3351" width="11.28515625" style="4" customWidth="1"/>
    <col min="3352" max="3352" width="11.5703125" style="4" customWidth="1"/>
    <col min="3353" max="3585" width="9.140625" style="4"/>
    <col min="3586" max="3586" width="15.85546875" style="4" customWidth="1"/>
    <col min="3587" max="3587" width="12.28515625" style="4" customWidth="1"/>
    <col min="3588" max="3588" width="15.28515625" style="4" customWidth="1"/>
    <col min="3589" max="3589" width="9.85546875" style="4" customWidth="1"/>
    <col min="3590" max="3590" width="10.28515625" style="4" customWidth="1"/>
    <col min="3591" max="3591" width="9.140625" style="4" customWidth="1"/>
    <col min="3592" max="3592" width="10.140625" style="4" customWidth="1"/>
    <col min="3593" max="3593" width="10" style="4" customWidth="1"/>
    <col min="3594" max="3595" width="10.42578125" style="4" customWidth="1"/>
    <col min="3596" max="3596" width="9" style="4" customWidth="1"/>
    <col min="3597" max="3597" width="9.140625" style="4"/>
    <col min="3598" max="3598" width="10.7109375" style="4" customWidth="1"/>
    <col min="3599" max="3599" width="9.42578125" style="4" customWidth="1"/>
    <col min="3600" max="3600" width="9.140625" style="4"/>
    <col min="3601" max="3601" width="8.85546875" style="4" customWidth="1"/>
    <col min="3602" max="3602" width="16.85546875" style="4" customWidth="1"/>
    <col min="3603" max="3603" width="8.85546875" style="4" customWidth="1"/>
    <col min="3604" max="3604" width="10.28515625" style="4" bestFit="1" customWidth="1"/>
    <col min="3605" max="3605" width="9.140625" style="4"/>
    <col min="3606" max="3606" width="11.85546875" style="4" customWidth="1"/>
    <col min="3607" max="3607" width="11.28515625" style="4" customWidth="1"/>
    <col min="3608" max="3608" width="11.5703125" style="4" customWidth="1"/>
    <col min="3609" max="3841" width="9.140625" style="4"/>
    <col min="3842" max="3842" width="15.85546875" style="4" customWidth="1"/>
    <col min="3843" max="3843" width="12.28515625" style="4" customWidth="1"/>
    <col min="3844" max="3844" width="15.28515625" style="4" customWidth="1"/>
    <col min="3845" max="3845" width="9.85546875" style="4" customWidth="1"/>
    <col min="3846" max="3846" width="10.28515625" style="4" customWidth="1"/>
    <col min="3847" max="3847" width="9.140625" style="4" customWidth="1"/>
    <col min="3848" max="3848" width="10.140625" style="4" customWidth="1"/>
    <col min="3849" max="3849" width="10" style="4" customWidth="1"/>
    <col min="3850" max="3851" width="10.42578125" style="4" customWidth="1"/>
    <col min="3852" max="3852" width="9" style="4" customWidth="1"/>
    <col min="3853" max="3853" width="9.140625" style="4"/>
    <col min="3854" max="3854" width="10.7109375" style="4" customWidth="1"/>
    <col min="3855" max="3855" width="9.42578125" style="4" customWidth="1"/>
    <col min="3856" max="3856" width="9.140625" style="4"/>
    <col min="3857" max="3857" width="8.85546875" style="4" customWidth="1"/>
    <col min="3858" max="3858" width="16.85546875" style="4" customWidth="1"/>
    <col min="3859" max="3859" width="8.85546875" style="4" customWidth="1"/>
    <col min="3860" max="3860" width="10.28515625" style="4" bestFit="1" customWidth="1"/>
    <col min="3861" max="3861" width="9.140625" style="4"/>
    <col min="3862" max="3862" width="11.85546875" style="4" customWidth="1"/>
    <col min="3863" max="3863" width="11.28515625" style="4" customWidth="1"/>
    <col min="3864" max="3864" width="11.5703125" style="4" customWidth="1"/>
    <col min="3865" max="4097" width="9.140625" style="4"/>
    <col min="4098" max="4098" width="15.85546875" style="4" customWidth="1"/>
    <col min="4099" max="4099" width="12.28515625" style="4" customWidth="1"/>
    <col min="4100" max="4100" width="15.28515625" style="4" customWidth="1"/>
    <col min="4101" max="4101" width="9.85546875" style="4" customWidth="1"/>
    <col min="4102" max="4102" width="10.28515625" style="4" customWidth="1"/>
    <col min="4103" max="4103" width="9.140625" style="4" customWidth="1"/>
    <col min="4104" max="4104" width="10.140625" style="4" customWidth="1"/>
    <col min="4105" max="4105" width="10" style="4" customWidth="1"/>
    <col min="4106" max="4107" width="10.42578125" style="4" customWidth="1"/>
    <col min="4108" max="4108" width="9" style="4" customWidth="1"/>
    <col min="4109" max="4109" width="9.140625" style="4"/>
    <col min="4110" max="4110" width="10.7109375" style="4" customWidth="1"/>
    <col min="4111" max="4111" width="9.42578125" style="4" customWidth="1"/>
    <col min="4112" max="4112" width="9.140625" style="4"/>
    <col min="4113" max="4113" width="8.85546875" style="4" customWidth="1"/>
    <col min="4114" max="4114" width="16.85546875" style="4" customWidth="1"/>
    <col min="4115" max="4115" width="8.85546875" style="4" customWidth="1"/>
    <col min="4116" max="4116" width="10.28515625" style="4" bestFit="1" customWidth="1"/>
    <col min="4117" max="4117" width="9.140625" style="4"/>
    <col min="4118" max="4118" width="11.85546875" style="4" customWidth="1"/>
    <col min="4119" max="4119" width="11.28515625" style="4" customWidth="1"/>
    <col min="4120" max="4120" width="11.5703125" style="4" customWidth="1"/>
    <col min="4121" max="4353" width="9.140625" style="4"/>
    <col min="4354" max="4354" width="15.85546875" style="4" customWidth="1"/>
    <col min="4355" max="4355" width="12.28515625" style="4" customWidth="1"/>
    <col min="4356" max="4356" width="15.28515625" style="4" customWidth="1"/>
    <col min="4357" max="4357" width="9.85546875" style="4" customWidth="1"/>
    <col min="4358" max="4358" width="10.28515625" style="4" customWidth="1"/>
    <col min="4359" max="4359" width="9.140625" style="4" customWidth="1"/>
    <col min="4360" max="4360" width="10.140625" style="4" customWidth="1"/>
    <col min="4361" max="4361" width="10" style="4" customWidth="1"/>
    <col min="4362" max="4363" width="10.42578125" style="4" customWidth="1"/>
    <col min="4364" max="4364" width="9" style="4" customWidth="1"/>
    <col min="4365" max="4365" width="9.140625" style="4"/>
    <col min="4366" max="4366" width="10.7109375" style="4" customWidth="1"/>
    <col min="4367" max="4367" width="9.42578125" style="4" customWidth="1"/>
    <col min="4368" max="4368" width="9.140625" style="4"/>
    <col min="4369" max="4369" width="8.85546875" style="4" customWidth="1"/>
    <col min="4370" max="4370" width="16.85546875" style="4" customWidth="1"/>
    <col min="4371" max="4371" width="8.85546875" style="4" customWidth="1"/>
    <col min="4372" max="4372" width="10.28515625" style="4" bestFit="1" customWidth="1"/>
    <col min="4373" max="4373" width="9.140625" style="4"/>
    <col min="4374" max="4374" width="11.85546875" style="4" customWidth="1"/>
    <col min="4375" max="4375" width="11.28515625" style="4" customWidth="1"/>
    <col min="4376" max="4376" width="11.5703125" style="4" customWidth="1"/>
    <col min="4377" max="4609" width="9.140625" style="4"/>
    <col min="4610" max="4610" width="15.85546875" style="4" customWidth="1"/>
    <col min="4611" max="4611" width="12.28515625" style="4" customWidth="1"/>
    <col min="4612" max="4612" width="15.28515625" style="4" customWidth="1"/>
    <col min="4613" max="4613" width="9.85546875" style="4" customWidth="1"/>
    <col min="4614" max="4614" width="10.28515625" style="4" customWidth="1"/>
    <col min="4615" max="4615" width="9.140625" style="4" customWidth="1"/>
    <col min="4616" max="4616" width="10.140625" style="4" customWidth="1"/>
    <col min="4617" max="4617" width="10" style="4" customWidth="1"/>
    <col min="4618" max="4619" width="10.42578125" style="4" customWidth="1"/>
    <col min="4620" max="4620" width="9" style="4" customWidth="1"/>
    <col min="4621" max="4621" width="9.140625" style="4"/>
    <col min="4622" max="4622" width="10.7109375" style="4" customWidth="1"/>
    <col min="4623" max="4623" width="9.42578125" style="4" customWidth="1"/>
    <col min="4624" max="4624" width="9.140625" style="4"/>
    <col min="4625" max="4625" width="8.85546875" style="4" customWidth="1"/>
    <col min="4626" max="4626" width="16.85546875" style="4" customWidth="1"/>
    <col min="4627" max="4627" width="8.85546875" style="4" customWidth="1"/>
    <col min="4628" max="4628" width="10.28515625" style="4" bestFit="1" customWidth="1"/>
    <col min="4629" max="4629" width="9.140625" style="4"/>
    <col min="4630" max="4630" width="11.85546875" style="4" customWidth="1"/>
    <col min="4631" max="4631" width="11.28515625" style="4" customWidth="1"/>
    <col min="4632" max="4632" width="11.5703125" style="4" customWidth="1"/>
    <col min="4633" max="4865" width="9.140625" style="4"/>
    <col min="4866" max="4866" width="15.85546875" style="4" customWidth="1"/>
    <col min="4867" max="4867" width="12.28515625" style="4" customWidth="1"/>
    <col min="4868" max="4868" width="15.28515625" style="4" customWidth="1"/>
    <col min="4869" max="4869" width="9.85546875" style="4" customWidth="1"/>
    <col min="4870" max="4870" width="10.28515625" style="4" customWidth="1"/>
    <col min="4871" max="4871" width="9.140625" style="4" customWidth="1"/>
    <col min="4872" max="4872" width="10.140625" style="4" customWidth="1"/>
    <col min="4873" max="4873" width="10" style="4" customWidth="1"/>
    <col min="4874" max="4875" width="10.42578125" style="4" customWidth="1"/>
    <col min="4876" max="4876" width="9" style="4" customWidth="1"/>
    <col min="4877" max="4877" width="9.140625" style="4"/>
    <col min="4878" max="4878" width="10.7109375" style="4" customWidth="1"/>
    <col min="4879" max="4879" width="9.42578125" style="4" customWidth="1"/>
    <col min="4880" max="4880" width="9.140625" style="4"/>
    <col min="4881" max="4881" width="8.85546875" style="4" customWidth="1"/>
    <col min="4882" max="4882" width="16.85546875" style="4" customWidth="1"/>
    <col min="4883" max="4883" width="8.85546875" style="4" customWidth="1"/>
    <col min="4884" max="4884" width="10.28515625" style="4" bestFit="1" customWidth="1"/>
    <col min="4885" max="4885" width="9.140625" style="4"/>
    <col min="4886" max="4886" width="11.85546875" style="4" customWidth="1"/>
    <col min="4887" max="4887" width="11.28515625" style="4" customWidth="1"/>
    <col min="4888" max="4888" width="11.5703125" style="4" customWidth="1"/>
    <col min="4889" max="5121" width="9.140625" style="4"/>
    <col min="5122" max="5122" width="15.85546875" style="4" customWidth="1"/>
    <col min="5123" max="5123" width="12.28515625" style="4" customWidth="1"/>
    <col min="5124" max="5124" width="15.28515625" style="4" customWidth="1"/>
    <col min="5125" max="5125" width="9.85546875" style="4" customWidth="1"/>
    <col min="5126" max="5126" width="10.28515625" style="4" customWidth="1"/>
    <col min="5127" max="5127" width="9.140625" style="4" customWidth="1"/>
    <col min="5128" max="5128" width="10.140625" style="4" customWidth="1"/>
    <col min="5129" max="5129" width="10" style="4" customWidth="1"/>
    <col min="5130" max="5131" width="10.42578125" style="4" customWidth="1"/>
    <col min="5132" max="5132" width="9" style="4" customWidth="1"/>
    <col min="5133" max="5133" width="9.140625" style="4"/>
    <col min="5134" max="5134" width="10.7109375" style="4" customWidth="1"/>
    <col min="5135" max="5135" width="9.42578125" style="4" customWidth="1"/>
    <col min="5136" max="5136" width="9.140625" style="4"/>
    <col min="5137" max="5137" width="8.85546875" style="4" customWidth="1"/>
    <col min="5138" max="5138" width="16.85546875" style="4" customWidth="1"/>
    <col min="5139" max="5139" width="8.85546875" style="4" customWidth="1"/>
    <col min="5140" max="5140" width="10.28515625" style="4" bestFit="1" customWidth="1"/>
    <col min="5141" max="5141" width="9.140625" style="4"/>
    <col min="5142" max="5142" width="11.85546875" style="4" customWidth="1"/>
    <col min="5143" max="5143" width="11.28515625" style="4" customWidth="1"/>
    <col min="5144" max="5144" width="11.5703125" style="4" customWidth="1"/>
    <col min="5145" max="5377" width="9.140625" style="4"/>
    <col min="5378" max="5378" width="15.85546875" style="4" customWidth="1"/>
    <col min="5379" max="5379" width="12.28515625" style="4" customWidth="1"/>
    <col min="5380" max="5380" width="15.28515625" style="4" customWidth="1"/>
    <col min="5381" max="5381" width="9.85546875" style="4" customWidth="1"/>
    <col min="5382" max="5382" width="10.28515625" style="4" customWidth="1"/>
    <col min="5383" max="5383" width="9.140625" style="4" customWidth="1"/>
    <col min="5384" max="5384" width="10.140625" style="4" customWidth="1"/>
    <col min="5385" max="5385" width="10" style="4" customWidth="1"/>
    <col min="5386" max="5387" width="10.42578125" style="4" customWidth="1"/>
    <col min="5388" max="5388" width="9" style="4" customWidth="1"/>
    <col min="5389" max="5389" width="9.140625" style="4"/>
    <col min="5390" max="5390" width="10.7109375" style="4" customWidth="1"/>
    <col min="5391" max="5391" width="9.42578125" style="4" customWidth="1"/>
    <col min="5392" max="5392" width="9.140625" style="4"/>
    <col min="5393" max="5393" width="8.85546875" style="4" customWidth="1"/>
    <col min="5394" max="5394" width="16.85546875" style="4" customWidth="1"/>
    <col min="5395" max="5395" width="8.85546875" style="4" customWidth="1"/>
    <col min="5396" max="5396" width="10.28515625" style="4" bestFit="1" customWidth="1"/>
    <col min="5397" max="5397" width="9.140625" style="4"/>
    <col min="5398" max="5398" width="11.85546875" style="4" customWidth="1"/>
    <col min="5399" max="5399" width="11.28515625" style="4" customWidth="1"/>
    <col min="5400" max="5400" width="11.5703125" style="4" customWidth="1"/>
    <col min="5401" max="5633" width="9.140625" style="4"/>
    <col min="5634" max="5634" width="15.85546875" style="4" customWidth="1"/>
    <col min="5635" max="5635" width="12.28515625" style="4" customWidth="1"/>
    <col min="5636" max="5636" width="15.28515625" style="4" customWidth="1"/>
    <col min="5637" max="5637" width="9.85546875" style="4" customWidth="1"/>
    <col min="5638" max="5638" width="10.28515625" style="4" customWidth="1"/>
    <col min="5639" max="5639" width="9.140625" style="4" customWidth="1"/>
    <col min="5640" max="5640" width="10.140625" style="4" customWidth="1"/>
    <col min="5641" max="5641" width="10" style="4" customWidth="1"/>
    <col min="5642" max="5643" width="10.42578125" style="4" customWidth="1"/>
    <col min="5644" max="5644" width="9" style="4" customWidth="1"/>
    <col min="5645" max="5645" width="9.140625" style="4"/>
    <col min="5646" max="5646" width="10.7109375" style="4" customWidth="1"/>
    <col min="5647" max="5647" width="9.42578125" style="4" customWidth="1"/>
    <col min="5648" max="5648" width="9.140625" style="4"/>
    <col min="5649" max="5649" width="8.85546875" style="4" customWidth="1"/>
    <col min="5650" max="5650" width="16.85546875" style="4" customWidth="1"/>
    <col min="5651" max="5651" width="8.85546875" style="4" customWidth="1"/>
    <col min="5652" max="5652" width="10.28515625" style="4" bestFit="1" customWidth="1"/>
    <col min="5653" max="5653" width="9.140625" style="4"/>
    <col min="5654" max="5654" width="11.85546875" style="4" customWidth="1"/>
    <col min="5655" max="5655" width="11.28515625" style="4" customWidth="1"/>
    <col min="5656" max="5656" width="11.5703125" style="4" customWidth="1"/>
    <col min="5657" max="5889" width="9.140625" style="4"/>
    <col min="5890" max="5890" width="15.85546875" style="4" customWidth="1"/>
    <col min="5891" max="5891" width="12.28515625" style="4" customWidth="1"/>
    <col min="5892" max="5892" width="15.28515625" style="4" customWidth="1"/>
    <col min="5893" max="5893" width="9.85546875" style="4" customWidth="1"/>
    <col min="5894" max="5894" width="10.28515625" style="4" customWidth="1"/>
    <col min="5895" max="5895" width="9.140625" style="4" customWidth="1"/>
    <col min="5896" max="5896" width="10.140625" style="4" customWidth="1"/>
    <col min="5897" max="5897" width="10" style="4" customWidth="1"/>
    <col min="5898" max="5899" width="10.42578125" style="4" customWidth="1"/>
    <col min="5900" max="5900" width="9" style="4" customWidth="1"/>
    <col min="5901" max="5901" width="9.140625" style="4"/>
    <col min="5902" max="5902" width="10.7109375" style="4" customWidth="1"/>
    <col min="5903" max="5903" width="9.42578125" style="4" customWidth="1"/>
    <col min="5904" max="5904" width="9.140625" style="4"/>
    <col min="5905" max="5905" width="8.85546875" style="4" customWidth="1"/>
    <col min="5906" max="5906" width="16.85546875" style="4" customWidth="1"/>
    <col min="5907" max="5907" width="8.85546875" style="4" customWidth="1"/>
    <col min="5908" max="5908" width="10.28515625" style="4" bestFit="1" customWidth="1"/>
    <col min="5909" max="5909" width="9.140625" style="4"/>
    <col min="5910" max="5910" width="11.85546875" style="4" customWidth="1"/>
    <col min="5911" max="5911" width="11.28515625" style="4" customWidth="1"/>
    <col min="5912" max="5912" width="11.5703125" style="4" customWidth="1"/>
    <col min="5913" max="6145" width="9.140625" style="4"/>
    <col min="6146" max="6146" width="15.85546875" style="4" customWidth="1"/>
    <col min="6147" max="6147" width="12.28515625" style="4" customWidth="1"/>
    <col min="6148" max="6148" width="15.28515625" style="4" customWidth="1"/>
    <col min="6149" max="6149" width="9.85546875" style="4" customWidth="1"/>
    <col min="6150" max="6150" width="10.28515625" style="4" customWidth="1"/>
    <col min="6151" max="6151" width="9.140625" style="4" customWidth="1"/>
    <col min="6152" max="6152" width="10.140625" style="4" customWidth="1"/>
    <col min="6153" max="6153" width="10" style="4" customWidth="1"/>
    <col min="6154" max="6155" width="10.42578125" style="4" customWidth="1"/>
    <col min="6156" max="6156" width="9" style="4" customWidth="1"/>
    <col min="6157" max="6157" width="9.140625" style="4"/>
    <col min="6158" max="6158" width="10.7109375" style="4" customWidth="1"/>
    <col min="6159" max="6159" width="9.42578125" style="4" customWidth="1"/>
    <col min="6160" max="6160" width="9.140625" style="4"/>
    <col min="6161" max="6161" width="8.85546875" style="4" customWidth="1"/>
    <col min="6162" max="6162" width="16.85546875" style="4" customWidth="1"/>
    <col min="6163" max="6163" width="8.85546875" style="4" customWidth="1"/>
    <col min="6164" max="6164" width="10.28515625" style="4" bestFit="1" customWidth="1"/>
    <col min="6165" max="6165" width="9.140625" style="4"/>
    <col min="6166" max="6166" width="11.85546875" style="4" customWidth="1"/>
    <col min="6167" max="6167" width="11.28515625" style="4" customWidth="1"/>
    <col min="6168" max="6168" width="11.5703125" style="4" customWidth="1"/>
    <col min="6169" max="6401" width="9.140625" style="4"/>
    <col min="6402" max="6402" width="15.85546875" style="4" customWidth="1"/>
    <col min="6403" max="6403" width="12.28515625" style="4" customWidth="1"/>
    <col min="6404" max="6404" width="15.28515625" style="4" customWidth="1"/>
    <col min="6405" max="6405" width="9.85546875" style="4" customWidth="1"/>
    <col min="6406" max="6406" width="10.28515625" style="4" customWidth="1"/>
    <col min="6407" max="6407" width="9.140625" style="4" customWidth="1"/>
    <col min="6408" max="6408" width="10.140625" style="4" customWidth="1"/>
    <col min="6409" max="6409" width="10" style="4" customWidth="1"/>
    <col min="6410" max="6411" width="10.42578125" style="4" customWidth="1"/>
    <col min="6412" max="6412" width="9" style="4" customWidth="1"/>
    <col min="6413" max="6413" width="9.140625" style="4"/>
    <col min="6414" max="6414" width="10.7109375" style="4" customWidth="1"/>
    <col min="6415" max="6415" width="9.42578125" style="4" customWidth="1"/>
    <col min="6416" max="6416" width="9.140625" style="4"/>
    <col min="6417" max="6417" width="8.85546875" style="4" customWidth="1"/>
    <col min="6418" max="6418" width="16.85546875" style="4" customWidth="1"/>
    <col min="6419" max="6419" width="8.85546875" style="4" customWidth="1"/>
    <col min="6420" max="6420" width="10.28515625" style="4" bestFit="1" customWidth="1"/>
    <col min="6421" max="6421" width="9.140625" style="4"/>
    <col min="6422" max="6422" width="11.85546875" style="4" customWidth="1"/>
    <col min="6423" max="6423" width="11.28515625" style="4" customWidth="1"/>
    <col min="6424" max="6424" width="11.5703125" style="4" customWidth="1"/>
    <col min="6425" max="6657" width="9.140625" style="4"/>
    <col min="6658" max="6658" width="15.85546875" style="4" customWidth="1"/>
    <col min="6659" max="6659" width="12.28515625" style="4" customWidth="1"/>
    <col min="6660" max="6660" width="15.28515625" style="4" customWidth="1"/>
    <col min="6661" max="6661" width="9.85546875" style="4" customWidth="1"/>
    <col min="6662" max="6662" width="10.28515625" style="4" customWidth="1"/>
    <col min="6663" max="6663" width="9.140625" style="4" customWidth="1"/>
    <col min="6664" max="6664" width="10.140625" style="4" customWidth="1"/>
    <col min="6665" max="6665" width="10" style="4" customWidth="1"/>
    <col min="6666" max="6667" width="10.42578125" style="4" customWidth="1"/>
    <col min="6668" max="6668" width="9" style="4" customWidth="1"/>
    <col min="6669" max="6669" width="9.140625" style="4"/>
    <col min="6670" max="6670" width="10.7109375" style="4" customWidth="1"/>
    <col min="6671" max="6671" width="9.42578125" style="4" customWidth="1"/>
    <col min="6672" max="6672" width="9.140625" style="4"/>
    <col min="6673" max="6673" width="8.85546875" style="4" customWidth="1"/>
    <col min="6674" max="6674" width="16.85546875" style="4" customWidth="1"/>
    <col min="6675" max="6675" width="8.85546875" style="4" customWidth="1"/>
    <col min="6676" max="6676" width="10.28515625" style="4" bestFit="1" customWidth="1"/>
    <col min="6677" max="6677" width="9.140625" style="4"/>
    <col min="6678" max="6678" width="11.85546875" style="4" customWidth="1"/>
    <col min="6679" max="6679" width="11.28515625" style="4" customWidth="1"/>
    <col min="6680" max="6680" width="11.5703125" style="4" customWidth="1"/>
    <col min="6681" max="6913" width="9.140625" style="4"/>
    <col min="6914" max="6914" width="15.85546875" style="4" customWidth="1"/>
    <col min="6915" max="6915" width="12.28515625" style="4" customWidth="1"/>
    <col min="6916" max="6916" width="15.28515625" style="4" customWidth="1"/>
    <col min="6917" max="6917" width="9.85546875" style="4" customWidth="1"/>
    <col min="6918" max="6918" width="10.28515625" style="4" customWidth="1"/>
    <col min="6919" max="6919" width="9.140625" style="4" customWidth="1"/>
    <col min="6920" max="6920" width="10.140625" style="4" customWidth="1"/>
    <col min="6921" max="6921" width="10" style="4" customWidth="1"/>
    <col min="6922" max="6923" width="10.42578125" style="4" customWidth="1"/>
    <col min="6924" max="6924" width="9" style="4" customWidth="1"/>
    <col min="6925" max="6925" width="9.140625" style="4"/>
    <col min="6926" max="6926" width="10.7109375" style="4" customWidth="1"/>
    <col min="6927" max="6927" width="9.42578125" style="4" customWidth="1"/>
    <col min="6928" max="6928" width="9.140625" style="4"/>
    <col min="6929" max="6929" width="8.85546875" style="4" customWidth="1"/>
    <col min="6930" max="6930" width="16.85546875" style="4" customWidth="1"/>
    <col min="6931" max="6931" width="8.85546875" style="4" customWidth="1"/>
    <col min="6932" max="6932" width="10.28515625" style="4" bestFit="1" customWidth="1"/>
    <col min="6933" max="6933" width="9.140625" style="4"/>
    <col min="6934" max="6934" width="11.85546875" style="4" customWidth="1"/>
    <col min="6935" max="6935" width="11.28515625" style="4" customWidth="1"/>
    <col min="6936" max="6936" width="11.5703125" style="4" customWidth="1"/>
    <col min="6937" max="7169" width="9.140625" style="4"/>
    <col min="7170" max="7170" width="15.85546875" style="4" customWidth="1"/>
    <col min="7171" max="7171" width="12.28515625" style="4" customWidth="1"/>
    <col min="7172" max="7172" width="15.28515625" style="4" customWidth="1"/>
    <col min="7173" max="7173" width="9.85546875" style="4" customWidth="1"/>
    <col min="7174" max="7174" width="10.28515625" style="4" customWidth="1"/>
    <col min="7175" max="7175" width="9.140625" style="4" customWidth="1"/>
    <col min="7176" max="7176" width="10.140625" style="4" customWidth="1"/>
    <col min="7177" max="7177" width="10" style="4" customWidth="1"/>
    <col min="7178" max="7179" width="10.42578125" style="4" customWidth="1"/>
    <col min="7180" max="7180" width="9" style="4" customWidth="1"/>
    <col min="7181" max="7181" width="9.140625" style="4"/>
    <col min="7182" max="7182" width="10.7109375" style="4" customWidth="1"/>
    <col min="7183" max="7183" width="9.42578125" style="4" customWidth="1"/>
    <col min="7184" max="7184" width="9.140625" style="4"/>
    <col min="7185" max="7185" width="8.85546875" style="4" customWidth="1"/>
    <col min="7186" max="7186" width="16.85546875" style="4" customWidth="1"/>
    <col min="7187" max="7187" width="8.85546875" style="4" customWidth="1"/>
    <col min="7188" max="7188" width="10.28515625" style="4" bestFit="1" customWidth="1"/>
    <col min="7189" max="7189" width="9.140625" style="4"/>
    <col min="7190" max="7190" width="11.85546875" style="4" customWidth="1"/>
    <col min="7191" max="7191" width="11.28515625" style="4" customWidth="1"/>
    <col min="7192" max="7192" width="11.5703125" style="4" customWidth="1"/>
    <col min="7193" max="7425" width="9.140625" style="4"/>
    <col min="7426" max="7426" width="15.85546875" style="4" customWidth="1"/>
    <col min="7427" max="7427" width="12.28515625" style="4" customWidth="1"/>
    <col min="7428" max="7428" width="15.28515625" style="4" customWidth="1"/>
    <col min="7429" max="7429" width="9.85546875" style="4" customWidth="1"/>
    <col min="7430" max="7430" width="10.28515625" style="4" customWidth="1"/>
    <col min="7431" max="7431" width="9.140625" style="4" customWidth="1"/>
    <col min="7432" max="7432" width="10.140625" style="4" customWidth="1"/>
    <col min="7433" max="7433" width="10" style="4" customWidth="1"/>
    <col min="7434" max="7435" width="10.42578125" style="4" customWidth="1"/>
    <col min="7436" max="7436" width="9" style="4" customWidth="1"/>
    <col min="7437" max="7437" width="9.140625" style="4"/>
    <col min="7438" max="7438" width="10.7109375" style="4" customWidth="1"/>
    <col min="7439" max="7439" width="9.42578125" style="4" customWidth="1"/>
    <col min="7440" max="7440" width="9.140625" style="4"/>
    <col min="7441" max="7441" width="8.85546875" style="4" customWidth="1"/>
    <col min="7442" max="7442" width="16.85546875" style="4" customWidth="1"/>
    <col min="7443" max="7443" width="8.85546875" style="4" customWidth="1"/>
    <col min="7444" max="7444" width="10.28515625" style="4" bestFit="1" customWidth="1"/>
    <col min="7445" max="7445" width="9.140625" style="4"/>
    <col min="7446" max="7446" width="11.85546875" style="4" customWidth="1"/>
    <col min="7447" max="7447" width="11.28515625" style="4" customWidth="1"/>
    <col min="7448" max="7448" width="11.5703125" style="4" customWidth="1"/>
    <col min="7449" max="7681" width="9.140625" style="4"/>
    <col min="7682" max="7682" width="15.85546875" style="4" customWidth="1"/>
    <col min="7683" max="7683" width="12.28515625" style="4" customWidth="1"/>
    <col min="7684" max="7684" width="15.28515625" style="4" customWidth="1"/>
    <col min="7685" max="7685" width="9.85546875" style="4" customWidth="1"/>
    <col min="7686" max="7686" width="10.28515625" style="4" customWidth="1"/>
    <col min="7687" max="7687" width="9.140625" style="4" customWidth="1"/>
    <col min="7688" max="7688" width="10.140625" style="4" customWidth="1"/>
    <col min="7689" max="7689" width="10" style="4" customWidth="1"/>
    <col min="7690" max="7691" width="10.42578125" style="4" customWidth="1"/>
    <col min="7692" max="7692" width="9" style="4" customWidth="1"/>
    <col min="7693" max="7693" width="9.140625" style="4"/>
    <col min="7694" max="7694" width="10.7109375" style="4" customWidth="1"/>
    <col min="7695" max="7695" width="9.42578125" style="4" customWidth="1"/>
    <col min="7696" max="7696" width="9.140625" style="4"/>
    <col min="7697" max="7697" width="8.85546875" style="4" customWidth="1"/>
    <col min="7698" max="7698" width="16.85546875" style="4" customWidth="1"/>
    <col min="7699" max="7699" width="8.85546875" style="4" customWidth="1"/>
    <col min="7700" max="7700" width="10.28515625" style="4" bestFit="1" customWidth="1"/>
    <col min="7701" max="7701" width="9.140625" style="4"/>
    <col min="7702" max="7702" width="11.85546875" style="4" customWidth="1"/>
    <col min="7703" max="7703" width="11.28515625" style="4" customWidth="1"/>
    <col min="7704" max="7704" width="11.5703125" style="4" customWidth="1"/>
    <col min="7705" max="7937" width="9.140625" style="4"/>
    <col min="7938" max="7938" width="15.85546875" style="4" customWidth="1"/>
    <col min="7939" max="7939" width="12.28515625" style="4" customWidth="1"/>
    <col min="7940" max="7940" width="15.28515625" style="4" customWidth="1"/>
    <col min="7941" max="7941" width="9.85546875" style="4" customWidth="1"/>
    <col min="7942" max="7942" width="10.28515625" style="4" customWidth="1"/>
    <col min="7943" max="7943" width="9.140625" style="4" customWidth="1"/>
    <col min="7944" max="7944" width="10.140625" style="4" customWidth="1"/>
    <col min="7945" max="7945" width="10" style="4" customWidth="1"/>
    <col min="7946" max="7947" width="10.42578125" style="4" customWidth="1"/>
    <col min="7948" max="7948" width="9" style="4" customWidth="1"/>
    <col min="7949" max="7949" width="9.140625" style="4"/>
    <col min="7950" max="7950" width="10.7109375" style="4" customWidth="1"/>
    <col min="7951" max="7951" width="9.42578125" style="4" customWidth="1"/>
    <col min="7952" max="7952" width="9.140625" style="4"/>
    <col min="7953" max="7953" width="8.85546875" style="4" customWidth="1"/>
    <col min="7954" max="7954" width="16.85546875" style="4" customWidth="1"/>
    <col min="7955" max="7955" width="8.85546875" style="4" customWidth="1"/>
    <col min="7956" max="7956" width="10.28515625" style="4" bestFit="1" customWidth="1"/>
    <col min="7957" max="7957" width="9.140625" style="4"/>
    <col min="7958" max="7958" width="11.85546875" style="4" customWidth="1"/>
    <col min="7959" max="7959" width="11.28515625" style="4" customWidth="1"/>
    <col min="7960" max="7960" width="11.5703125" style="4" customWidth="1"/>
    <col min="7961" max="8193" width="9.140625" style="4"/>
    <col min="8194" max="8194" width="15.85546875" style="4" customWidth="1"/>
    <col min="8195" max="8195" width="12.28515625" style="4" customWidth="1"/>
    <col min="8196" max="8196" width="15.28515625" style="4" customWidth="1"/>
    <col min="8197" max="8197" width="9.85546875" style="4" customWidth="1"/>
    <col min="8198" max="8198" width="10.28515625" style="4" customWidth="1"/>
    <col min="8199" max="8199" width="9.140625" style="4" customWidth="1"/>
    <col min="8200" max="8200" width="10.140625" style="4" customWidth="1"/>
    <col min="8201" max="8201" width="10" style="4" customWidth="1"/>
    <col min="8202" max="8203" width="10.42578125" style="4" customWidth="1"/>
    <col min="8204" max="8204" width="9" style="4" customWidth="1"/>
    <col min="8205" max="8205" width="9.140625" style="4"/>
    <col min="8206" max="8206" width="10.7109375" style="4" customWidth="1"/>
    <col min="8207" max="8207" width="9.42578125" style="4" customWidth="1"/>
    <col min="8208" max="8208" width="9.140625" style="4"/>
    <col min="8209" max="8209" width="8.85546875" style="4" customWidth="1"/>
    <col min="8210" max="8210" width="16.85546875" style="4" customWidth="1"/>
    <col min="8211" max="8211" width="8.85546875" style="4" customWidth="1"/>
    <col min="8212" max="8212" width="10.28515625" style="4" bestFit="1" customWidth="1"/>
    <col min="8213" max="8213" width="9.140625" style="4"/>
    <col min="8214" max="8214" width="11.85546875" style="4" customWidth="1"/>
    <col min="8215" max="8215" width="11.28515625" style="4" customWidth="1"/>
    <col min="8216" max="8216" width="11.5703125" style="4" customWidth="1"/>
    <col min="8217" max="8449" width="9.140625" style="4"/>
    <col min="8450" max="8450" width="15.85546875" style="4" customWidth="1"/>
    <col min="8451" max="8451" width="12.28515625" style="4" customWidth="1"/>
    <col min="8452" max="8452" width="15.28515625" style="4" customWidth="1"/>
    <col min="8453" max="8453" width="9.85546875" style="4" customWidth="1"/>
    <col min="8454" max="8454" width="10.28515625" style="4" customWidth="1"/>
    <col min="8455" max="8455" width="9.140625" style="4" customWidth="1"/>
    <col min="8456" max="8456" width="10.140625" style="4" customWidth="1"/>
    <col min="8457" max="8457" width="10" style="4" customWidth="1"/>
    <col min="8458" max="8459" width="10.42578125" style="4" customWidth="1"/>
    <col min="8460" max="8460" width="9" style="4" customWidth="1"/>
    <col min="8461" max="8461" width="9.140625" style="4"/>
    <col min="8462" max="8462" width="10.7109375" style="4" customWidth="1"/>
    <col min="8463" max="8463" width="9.42578125" style="4" customWidth="1"/>
    <col min="8464" max="8464" width="9.140625" style="4"/>
    <col min="8465" max="8465" width="8.85546875" style="4" customWidth="1"/>
    <col min="8466" max="8466" width="16.85546875" style="4" customWidth="1"/>
    <col min="8467" max="8467" width="8.85546875" style="4" customWidth="1"/>
    <col min="8468" max="8468" width="10.28515625" style="4" bestFit="1" customWidth="1"/>
    <col min="8469" max="8469" width="9.140625" style="4"/>
    <col min="8470" max="8470" width="11.85546875" style="4" customWidth="1"/>
    <col min="8471" max="8471" width="11.28515625" style="4" customWidth="1"/>
    <col min="8472" max="8472" width="11.5703125" style="4" customWidth="1"/>
    <col min="8473" max="8705" width="9.140625" style="4"/>
    <col min="8706" max="8706" width="15.85546875" style="4" customWidth="1"/>
    <col min="8707" max="8707" width="12.28515625" style="4" customWidth="1"/>
    <col min="8708" max="8708" width="15.28515625" style="4" customWidth="1"/>
    <col min="8709" max="8709" width="9.85546875" style="4" customWidth="1"/>
    <col min="8710" max="8710" width="10.28515625" style="4" customWidth="1"/>
    <col min="8711" max="8711" width="9.140625" style="4" customWidth="1"/>
    <col min="8712" max="8712" width="10.140625" style="4" customWidth="1"/>
    <col min="8713" max="8713" width="10" style="4" customWidth="1"/>
    <col min="8714" max="8715" width="10.42578125" style="4" customWidth="1"/>
    <col min="8716" max="8716" width="9" style="4" customWidth="1"/>
    <col min="8717" max="8717" width="9.140625" style="4"/>
    <col min="8718" max="8718" width="10.7109375" style="4" customWidth="1"/>
    <col min="8719" max="8719" width="9.42578125" style="4" customWidth="1"/>
    <col min="8720" max="8720" width="9.140625" style="4"/>
    <col min="8721" max="8721" width="8.85546875" style="4" customWidth="1"/>
    <col min="8722" max="8722" width="16.85546875" style="4" customWidth="1"/>
    <col min="8723" max="8723" width="8.85546875" style="4" customWidth="1"/>
    <col min="8724" max="8724" width="10.28515625" style="4" bestFit="1" customWidth="1"/>
    <col min="8725" max="8725" width="9.140625" style="4"/>
    <col min="8726" max="8726" width="11.85546875" style="4" customWidth="1"/>
    <col min="8727" max="8727" width="11.28515625" style="4" customWidth="1"/>
    <col min="8728" max="8728" width="11.5703125" style="4" customWidth="1"/>
    <col min="8729" max="8961" width="9.140625" style="4"/>
    <col min="8962" max="8962" width="15.85546875" style="4" customWidth="1"/>
    <col min="8963" max="8963" width="12.28515625" style="4" customWidth="1"/>
    <col min="8964" max="8964" width="15.28515625" style="4" customWidth="1"/>
    <col min="8965" max="8965" width="9.85546875" style="4" customWidth="1"/>
    <col min="8966" max="8966" width="10.28515625" style="4" customWidth="1"/>
    <col min="8967" max="8967" width="9.140625" style="4" customWidth="1"/>
    <col min="8968" max="8968" width="10.140625" style="4" customWidth="1"/>
    <col min="8969" max="8969" width="10" style="4" customWidth="1"/>
    <col min="8970" max="8971" width="10.42578125" style="4" customWidth="1"/>
    <col min="8972" max="8972" width="9" style="4" customWidth="1"/>
    <col min="8973" max="8973" width="9.140625" style="4"/>
    <col min="8974" max="8974" width="10.7109375" style="4" customWidth="1"/>
    <col min="8975" max="8975" width="9.42578125" style="4" customWidth="1"/>
    <col min="8976" max="8976" width="9.140625" style="4"/>
    <col min="8977" max="8977" width="8.85546875" style="4" customWidth="1"/>
    <col min="8978" max="8978" width="16.85546875" style="4" customWidth="1"/>
    <col min="8979" max="8979" width="8.85546875" style="4" customWidth="1"/>
    <col min="8980" max="8980" width="10.28515625" style="4" bestFit="1" customWidth="1"/>
    <col min="8981" max="8981" width="9.140625" style="4"/>
    <col min="8982" max="8982" width="11.85546875" style="4" customWidth="1"/>
    <col min="8983" max="8983" width="11.28515625" style="4" customWidth="1"/>
    <col min="8984" max="8984" width="11.5703125" style="4" customWidth="1"/>
    <col min="8985" max="9217" width="9.140625" style="4"/>
    <col min="9218" max="9218" width="15.85546875" style="4" customWidth="1"/>
    <col min="9219" max="9219" width="12.28515625" style="4" customWidth="1"/>
    <col min="9220" max="9220" width="15.28515625" style="4" customWidth="1"/>
    <col min="9221" max="9221" width="9.85546875" style="4" customWidth="1"/>
    <col min="9222" max="9222" width="10.28515625" style="4" customWidth="1"/>
    <col min="9223" max="9223" width="9.140625" style="4" customWidth="1"/>
    <col min="9224" max="9224" width="10.140625" style="4" customWidth="1"/>
    <col min="9225" max="9225" width="10" style="4" customWidth="1"/>
    <col min="9226" max="9227" width="10.42578125" style="4" customWidth="1"/>
    <col min="9228" max="9228" width="9" style="4" customWidth="1"/>
    <col min="9229" max="9229" width="9.140625" style="4"/>
    <col min="9230" max="9230" width="10.7109375" style="4" customWidth="1"/>
    <col min="9231" max="9231" width="9.42578125" style="4" customWidth="1"/>
    <col min="9232" max="9232" width="9.140625" style="4"/>
    <col min="9233" max="9233" width="8.85546875" style="4" customWidth="1"/>
    <col min="9234" max="9234" width="16.85546875" style="4" customWidth="1"/>
    <col min="9235" max="9235" width="8.85546875" style="4" customWidth="1"/>
    <col min="9236" max="9236" width="10.28515625" style="4" bestFit="1" customWidth="1"/>
    <col min="9237" max="9237" width="9.140625" style="4"/>
    <col min="9238" max="9238" width="11.85546875" style="4" customWidth="1"/>
    <col min="9239" max="9239" width="11.28515625" style="4" customWidth="1"/>
    <col min="9240" max="9240" width="11.5703125" style="4" customWidth="1"/>
    <col min="9241" max="9473" width="9.140625" style="4"/>
    <col min="9474" max="9474" width="15.85546875" style="4" customWidth="1"/>
    <col min="9475" max="9475" width="12.28515625" style="4" customWidth="1"/>
    <col min="9476" max="9476" width="15.28515625" style="4" customWidth="1"/>
    <col min="9477" max="9477" width="9.85546875" style="4" customWidth="1"/>
    <col min="9478" max="9478" width="10.28515625" style="4" customWidth="1"/>
    <col min="9479" max="9479" width="9.140625" style="4" customWidth="1"/>
    <col min="9480" max="9480" width="10.140625" style="4" customWidth="1"/>
    <col min="9481" max="9481" width="10" style="4" customWidth="1"/>
    <col min="9482" max="9483" width="10.42578125" style="4" customWidth="1"/>
    <col min="9484" max="9484" width="9" style="4" customWidth="1"/>
    <col min="9485" max="9485" width="9.140625" style="4"/>
    <col min="9486" max="9486" width="10.7109375" style="4" customWidth="1"/>
    <col min="9487" max="9487" width="9.42578125" style="4" customWidth="1"/>
    <col min="9488" max="9488" width="9.140625" style="4"/>
    <col min="9489" max="9489" width="8.85546875" style="4" customWidth="1"/>
    <col min="9490" max="9490" width="16.85546875" style="4" customWidth="1"/>
    <col min="9491" max="9491" width="8.85546875" style="4" customWidth="1"/>
    <col min="9492" max="9492" width="10.28515625" style="4" bestFit="1" customWidth="1"/>
    <col min="9493" max="9493" width="9.140625" style="4"/>
    <col min="9494" max="9494" width="11.85546875" style="4" customWidth="1"/>
    <col min="9495" max="9495" width="11.28515625" style="4" customWidth="1"/>
    <col min="9496" max="9496" width="11.5703125" style="4" customWidth="1"/>
    <col min="9497" max="9729" width="9.140625" style="4"/>
    <col min="9730" max="9730" width="15.85546875" style="4" customWidth="1"/>
    <col min="9731" max="9731" width="12.28515625" style="4" customWidth="1"/>
    <col min="9732" max="9732" width="15.28515625" style="4" customWidth="1"/>
    <col min="9733" max="9733" width="9.85546875" style="4" customWidth="1"/>
    <col min="9734" max="9734" width="10.28515625" style="4" customWidth="1"/>
    <col min="9735" max="9735" width="9.140625" style="4" customWidth="1"/>
    <col min="9736" max="9736" width="10.140625" style="4" customWidth="1"/>
    <col min="9737" max="9737" width="10" style="4" customWidth="1"/>
    <col min="9738" max="9739" width="10.42578125" style="4" customWidth="1"/>
    <col min="9740" max="9740" width="9" style="4" customWidth="1"/>
    <col min="9741" max="9741" width="9.140625" style="4"/>
    <col min="9742" max="9742" width="10.7109375" style="4" customWidth="1"/>
    <col min="9743" max="9743" width="9.42578125" style="4" customWidth="1"/>
    <col min="9744" max="9744" width="9.140625" style="4"/>
    <col min="9745" max="9745" width="8.85546875" style="4" customWidth="1"/>
    <col min="9746" max="9746" width="16.85546875" style="4" customWidth="1"/>
    <col min="9747" max="9747" width="8.85546875" style="4" customWidth="1"/>
    <col min="9748" max="9748" width="10.28515625" style="4" bestFit="1" customWidth="1"/>
    <col min="9749" max="9749" width="9.140625" style="4"/>
    <col min="9750" max="9750" width="11.85546875" style="4" customWidth="1"/>
    <col min="9751" max="9751" width="11.28515625" style="4" customWidth="1"/>
    <col min="9752" max="9752" width="11.5703125" style="4" customWidth="1"/>
    <col min="9753" max="9985" width="9.140625" style="4"/>
    <col min="9986" max="9986" width="15.85546875" style="4" customWidth="1"/>
    <col min="9987" max="9987" width="12.28515625" style="4" customWidth="1"/>
    <col min="9988" max="9988" width="15.28515625" style="4" customWidth="1"/>
    <col min="9989" max="9989" width="9.85546875" style="4" customWidth="1"/>
    <col min="9990" max="9990" width="10.28515625" style="4" customWidth="1"/>
    <col min="9991" max="9991" width="9.140625" style="4" customWidth="1"/>
    <col min="9992" max="9992" width="10.140625" style="4" customWidth="1"/>
    <col min="9993" max="9993" width="10" style="4" customWidth="1"/>
    <col min="9994" max="9995" width="10.42578125" style="4" customWidth="1"/>
    <col min="9996" max="9996" width="9" style="4" customWidth="1"/>
    <col min="9997" max="9997" width="9.140625" style="4"/>
    <col min="9998" max="9998" width="10.7109375" style="4" customWidth="1"/>
    <col min="9999" max="9999" width="9.42578125" style="4" customWidth="1"/>
    <col min="10000" max="10000" width="9.140625" style="4"/>
    <col min="10001" max="10001" width="8.85546875" style="4" customWidth="1"/>
    <col min="10002" max="10002" width="16.85546875" style="4" customWidth="1"/>
    <col min="10003" max="10003" width="8.85546875" style="4" customWidth="1"/>
    <col min="10004" max="10004" width="10.28515625" style="4" bestFit="1" customWidth="1"/>
    <col min="10005" max="10005" width="9.140625" style="4"/>
    <col min="10006" max="10006" width="11.85546875" style="4" customWidth="1"/>
    <col min="10007" max="10007" width="11.28515625" style="4" customWidth="1"/>
    <col min="10008" max="10008" width="11.5703125" style="4" customWidth="1"/>
    <col min="10009" max="10241" width="9.140625" style="4"/>
    <col min="10242" max="10242" width="15.85546875" style="4" customWidth="1"/>
    <col min="10243" max="10243" width="12.28515625" style="4" customWidth="1"/>
    <col min="10244" max="10244" width="15.28515625" style="4" customWidth="1"/>
    <col min="10245" max="10245" width="9.85546875" style="4" customWidth="1"/>
    <col min="10246" max="10246" width="10.28515625" style="4" customWidth="1"/>
    <col min="10247" max="10247" width="9.140625" style="4" customWidth="1"/>
    <col min="10248" max="10248" width="10.140625" style="4" customWidth="1"/>
    <col min="10249" max="10249" width="10" style="4" customWidth="1"/>
    <col min="10250" max="10251" width="10.42578125" style="4" customWidth="1"/>
    <col min="10252" max="10252" width="9" style="4" customWidth="1"/>
    <col min="10253" max="10253" width="9.140625" style="4"/>
    <col min="10254" max="10254" width="10.7109375" style="4" customWidth="1"/>
    <col min="10255" max="10255" width="9.42578125" style="4" customWidth="1"/>
    <col min="10256" max="10256" width="9.140625" style="4"/>
    <col min="10257" max="10257" width="8.85546875" style="4" customWidth="1"/>
    <col min="10258" max="10258" width="16.85546875" style="4" customWidth="1"/>
    <col min="10259" max="10259" width="8.85546875" style="4" customWidth="1"/>
    <col min="10260" max="10260" width="10.28515625" style="4" bestFit="1" customWidth="1"/>
    <col min="10261" max="10261" width="9.140625" style="4"/>
    <col min="10262" max="10262" width="11.85546875" style="4" customWidth="1"/>
    <col min="10263" max="10263" width="11.28515625" style="4" customWidth="1"/>
    <col min="10264" max="10264" width="11.5703125" style="4" customWidth="1"/>
    <col min="10265" max="10497" width="9.140625" style="4"/>
    <col min="10498" max="10498" width="15.85546875" style="4" customWidth="1"/>
    <col min="10499" max="10499" width="12.28515625" style="4" customWidth="1"/>
    <col min="10500" max="10500" width="15.28515625" style="4" customWidth="1"/>
    <col min="10501" max="10501" width="9.85546875" style="4" customWidth="1"/>
    <col min="10502" max="10502" width="10.28515625" style="4" customWidth="1"/>
    <col min="10503" max="10503" width="9.140625" style="4" customWidth="1"/>
    <col min="10504" max="10504" width="10.140625" style="4" customWidth="1"/>
    <col min="10505" max="10505" width="10" style="4" customWidth="1"/>
    <col min="10506" max="10507" width="10.42578125" style="4" customWidth="1"/>
    <col min="10508" max="10508" width="9" style="4" customWidth="1"/>
    <col min="10509" max="10509" width="9.140625" style="4"/>
    <col min="10510" max="10510" width="10.7109375" style="4" customWidth="1"/>
    <col min="10511" max="10511" width="9.42578125" style="4" customWidth="1"/>
    <col min="10512" max="10512" width="9.140625" style="4"/>
    <col min="10513" max="10513" width="8.85546875" style="4" customWidth="1"/>
    <col min="10514" max="10514" width="16.85546875" style="4" customWidth="1"/>
    <col min="10515" max="10515" width="8.85546875" style="4" customWidth="1"/>
    <col min="10516" max="10516" width="10.28515625" style="4" bestFit="1" customWidth="1"/>
    <col min="10517" max="10517" width="9.140625" style="4"/>
    <col min="10518" max="10518" width="11.85546875" style="4" customWidth="1"/>
    <col min="10519" max="10519" width="11.28515625" style="4" customWidth="1"/>
    <col min="10520" max="10520" width="11.5703125" style="4" customWidth="1"/>
    <col min="10521" max="10753" width="9.140625" style="4"/>
    <col min="10754" max="10754" width="15.85546875" style="4" customWidth="1"/>
    <col min="10755" max="10755" width="12.28515625" style="4" customWidth="1"/>
    <col min="10756" max="10756" width="15.28515625" style="4" customWidth="1"/>
    <col min="10757" max="10757" width="9.85546875" style="4" customWidth="1"/>
    <col min="10758" max="10758" width="10.28515625" style="4" customWidth="1"/>
    <col min="10759" max="10759" width="9.140625" style="4" customWidth="1"/>
    <col min="10760" max="10760" width="10.140625" style="4" customWidth="1"/>
    <col min="10761" max="10761" width="10" style="4" customWidth="1"/>
    <col min="10762" max="10763" width="10.42578125" style="4" customWidth="1"/>
    <col min="10764" max="10764" width="9" style="4" customWidth="1"/>
    <col min="10765" max="10765" width="9.140625" style="4"/>
    <col min="10766" max="10766" width="10.7109375" style="4" customWidth="1"/>
    <col min="10767" max="10767" width="9.42578125" style="4" customWidth="1"/>
    <col min="10768" max="10768" width="9.140625" style="4"/>
    <col min="10769" max="10769" width="8.85546875" style="4" customWidth="1"/>
    <col min="10770" max="10770" width="16.85546875" style="4" customWidth="1"/>
    <col min="10771" max="10771" width="8.85546875" style="4" customWidth="1"/>
    <col min="10772" max="10772" width="10.28515625" style="4" bestFit="1" customWidth="1"/>
    <col min="10773" max="10773" width="9.140625" style="4"/>
    <col min="10774" max="10774" width="11.85546875" style="4" customWidth="1"/>
    <col min="10775" max="10775" width="11.28515625" style="4" customWidth="1"/>
    <col min="10776" max="10776" width="11.5703125" style="4" customWidth="1"/>
    <col min="10777" max="11009" width="9.140625" style="4"/>
    <col min="11010" max="11010" width="15.85546875" style="4" customWidth="1"/>
    <col min="11011" max="11011" width="12.28515625" style="4" customWidth="1"/>
    <col min="11012" max="11012" width="15.28515625" style="4" customWidth="1"/>
    <col min="11013" max="11013" width="9.85546875" style="4" customWidth="1"/>
    <col min="11014" max="11014" width="10.28515625" style="4" customWidth="1"/>
    <col min="11015" max="11015" width="9.140625" style="4" customWidth="1"/>
    <col min="11016" max="11016" width="10.140625" style="4" customWidth="1"/>
    <col min="11017" max="11017" width="10" style="4" customWidth="1"/>
    <col min="11018" max="11019" width="10.42578125" style="4" customWidth="1"/>
    <col min="11020" max="11020" width="9" style="4" customWidth="1"/>
    <col min="11021" max="11021" width="9.140625" style="4"/>
    <col min="11022" max="11022" width="10.7109375" style="4" customWidth="1"/>
    <col min="11023" max="11023" width="9.42578125" style="4" customWidth="1"/>
    <col min="11024" max="11024" width="9.140625" style="4"/>
    <col min="11025" max="11025" width="8.85546875" style="4" customWidth="1"/>
    <col min="11026" max="11026" width="16.85546875" style="4" customWidth="1"/>
    <col min="11027" max="11027" width="8.85546875" style="4" customWidth="1"/>
    <col min="11028" max="11028" width="10.28515625" style="4" bestFit="1" customWidth="1"/>
    <col min="11029" max="11029" width="9.140625" style="4"/>
    <col min="11030" max="11030" width="11.85546875" style="4" customWidth="1"/>
    <col min="11031" max="11031" width="11.28515625" style="4" customWidth="1"/>
    <col min="11032" max="11032" width="11.5703125" style="4" customWidth="1"/>
    <col min="11033" max="11265" width="9.140625" style="4"/>
    <col min="11266" max="11266" width="15.85546875" style="4" customWidth="1"/>
    <col min="11267" max="11267" width="12.28515625" style="4" customWidth="1"/>
    <col min="11268" max="11268" width="15.28515625" style="4" customWidth="1"/>
    <col min="11269" max="11269" width="9.85546875" style="4" customWidth="1"/>
    <col min="11270" max="11270" width="10.28515625" style="4" customWidth="1"/>
    <col min="11271" max="11271" width="9.140625" style="4" customWidth="1"/>
    <col min="11272" max="11272" width="10.140625" style="4" customWidth="1"/>
    <col min="11273" max="11273" width="10" style="4" customWidth="1"/>
    <col min="11274" max="11275" width="10.42578125" style="4" customWidth="1"/>
    <col min="11276" max="11276" width="9" style="4" customWidth="1"/>
    <col min="11277" max="11277" width="9.140625" style="4"/>
    <col min="11278" max="11278" width="10.7109375" style="4" customWidth="1"/>
    <col min="11279" max="11279" width="9.42578125" style="4" customWidth="1"/>
    <col min="11280" max="11280" width="9.140625" style="4"/>
    <col min="11281" max="11281" width="8.85546875" style="4" customWidth="1"/>
    <col min="11282" max="11282" width="16.85546875" style="4" customWidth="1"/>
    <col min="11283" max="11283" width="8.85546875" style="4" customWidth="1"/>
    <col min="11284" max="11284" width="10.28515625" style="4" bestFit="1" customWidth="1"/>
    <col min="11285" max="11285" width="9.140625" style="4"/>
    <col min="11286" max="11286" width="11.85546875" style="4" customWidth="1"/>
    <col min="11287" max="11287" width="11.28515625" style="4" customWidth="1"/>
    <col min="11288" max="11288" width="11.5703125" style="4" customWidth="1"/>
    <col min="11289" max="11521" width="9.140625" style="4"/>
    <col min="11522" max="11522" width="15.85546875" style="4" customWidth="1"/>
    <col min="11523" max="11523" width="12.28515625" style="4" customWidth="1"/>
    <col min="11524" max="11524" width="15.28515625" style="4" customWidth="1"/>
    <col min="11525" max="11525" width="9.85546875" style="4" customWidth="1"/>
    <col min="11526" max="11526" width="10.28515625" style="4" customWidth="1"/>
    <col min="11527" max="11527" width="9.140625" style="4" customWidth="1"/>
    <col min="11528" max="11528" width="10.140625" style="4" customWidth="1"/>
    <col min="11529" max="11529" width="10" style="4" customWidth="1"/>
    <col min="11530" max="11531" width="10.42578125" style="4" customWidth="1"/>
    <col min="11532" max="11532" width="9" style="4" customWidth="1"/>
    <col min="11533" max="11533" width="9.140625" style="4"/>
    <col min="11534" max="11534" width="10.7109375" style="4" customWidth="1"/>
    <col min="11535" max="11535" width="9.42578125" style="4" customWidth="1"/>
    <col min="11536" max="11536" width="9.140625" style="4"/>
    <col min="11537" max="11537" width="8.85546875" style="4" customWidth="1"/>
    <col min="11538" max="11538" width="16.85546875" style="4" customWidth="1"/>
    <col min="11539" max="11539" width="8.85546875" style="4" customWidth="1"/>
    <col min="11540" max="11540" width="10.28515625" style="4" bestFit="1" customWidth="1"/>
    <col min="11541" max="11541" width="9.140625" style="4"/>
    <col min="11542" max="11542" width="11.85546875" style="4" customWidth="1"/>
    <col min="11543" max="11543" width="11.28515625" style="4" customWidth="1"/>
    <col min="11544" max="11544" width="11.5703125" style="4" customWidth="1"/>
    <col min="11545" max="11777" width="9.140625" style="4"/>
    <col min="11778" max="11778" width="15.85546875" style="4" customWidth="1"/>
    <col min="11779" max="11779" width="12.28515625" style="4" customWidth="1"/>
    <col min="11780" max="11780" width="15.28515625" style="4" customWidth="1"/>
    <col min="11781" max="11781" width="9.85546875" style="4" customWidth="1"/>
    <col min="11782" max="11782" width="10.28515625" style="4" customWidth="1"/>
    <col min="11783" max="11783" width="9.140625" style="4" customWidth="1"/>
    <col min="11784" max="11784" width="10.140625" style="4" customWidth="1"/>
    <col min="11785" max="11785" width="10" style="4" customWidth="1"/>
    <col min="11786" max="11787" width="10.42578125" style="4" customWidth="1"/>
    <col min="11788" max="11788" width="9" style="4" customWidth="1"/>
    <col min="11789" max="11789" width="9.140625" style="4"/>
    <col min="11790" max="11790" width="10.7109375" style="4" customWidth="1"/>
    <col min="11791" max="11791" width="9.42578125" style="4" customWidth="1"/>
    <col min="11792" max="11792" width="9.140625" style="4"/>
    <col min="11793" max="11793" width="8.85546875" style="4" customWidth="1"/>
    <col min="11794" max="11794" width="16.85546875" style="4" customWidth="1"/>
    <col min="11795" max="11795" width="8.85546875" style="4" customWidth="1"/>
    <col min="11796" max="11796" width="10.28515625" style="4" bestFit="1" customWidth="1"/>
    <col min="11797" max="11797" width="9.140625" style="4"/>
    <col min="11798" max="11798" width="11.85546875" style="4" customWidth="1"/>
    <col min="11799" max="11799" width="11.28515625" style="4" customWidth="1"/>
    <col min="11800" max="11800" width="11.5703125" style="4" customWidth="1"/>
    <col min="11801" max="12033" width="9.140625" style="4"/>
    <col min="12034" max="12034" width="15.85546875" style="4" customWidth="1"/>
    <col min="12035" max="12035" width="12.28515625" style="4" customWidth="1"/>
    <col min="12036" max="12036" width="15.28515625" style="4" customWidth="1"/>
    <col min="12037" max="12037" width="9.85546875" style="4" customWidth="1"/>
    <col min="12038" max="12038" width="10.28515625" style="4" customWidth="1"/>
    <col min="12039" max="12039" width="9.140625" style="4" customWidth="1"/>
    <col min="12040" max="12040" width="10.140625" style="4" customWidth="1"/>
    <col min="12041" max="12041" width="10" style="4" customWidth="1"/>
    <col min="12042" max="12043" width="10.42578125" style="4" customWidth="1"/>
    <col min="12044" max="12044" width="9" style="4" customWidth="1"/>
    <col min="12045" max="12045" width="9.140625" style="4"/>
    <col min="12046" max="12046" width="10.7109375" style="4" customWidth="1"/>
    <col min="12047" max="12047" width="9.42578125" style="4" customWidth="1"/>
    <col min="12048" max="12048" width="9.140625" style="4"/>
    <col min="12049" max="12049" width="8.85546875" style="4" customWidth="1"/>
    <col min="12050" max="12050" width="16.85546875" style="4" customWidth="1"/>
    <col min="12051" max="12051" width="8.85546875" style="4" customWidth="1"/>
    <col min="12052" max="12052" width="10.28515625" style="4" bestFit="1" customWidth="1"/>
    <col min="12053" max="12053" width="9.140625" style="4"/>
    <col min="12054" max="12054" width="11.85546875" style="4" customWidth="1"/>
    <col min="12055" max="12055" width="11.28515625" style="4" customWidth="1"/>
    <col min="12056" max="12056" width="11.5703125" style="4" customWidth="1"/>
    <col min="12057" max="12289" width="9.140625" style="4"/>
    <col min="12290" max="12290" width="15.85546875" style="4" customWidth="1"/>
    <col min="12291" max="12291" width="12.28515625" style="4" customWidth="1"/>
    <col min="12292" max="12292" width="15.28515625" style="4" customWidth="1"/>
    <col min="12293" max="12293" width="9.85546875" style="4" customWidth="1"/>
    <col min="12294" max="12294" width="10.28515625" style="4" customWidth="1"/>
    <col min="12295" max="12295" width="9.140625" style="4" customWidth="1"/>
    <col min="12296" max="12296" width="10.140625" style="4" customWidth="1"/>
    <col min="12297" max="12297" width="10" style="4" customWidth="1"/>
    <col min="12298" max="12299" width="10.42578125" style="4" customWidth="1"/>
    <col min="12300" max="12300" width="9" style="4" customWidth="1"/>
    <col min="12301" max="12301" width="9.140625" style="4"/>
    <col min="12302" max="12302" width="10.7109375" style="4" customWidth="1"/>
    <col min="12303" max="12303" width="9.42578125" style="4" customWidth="1"/>
    <col min="12304" max="12304" width="9.140625" style="4"/>
    <col min="12305" max="12305" width="8.85546875" style="4" customWidth="1"/>
    <col min="12306" max="12306" width="16.85546875" style="4" customWidth="1"/>
    <col min="12307" max="12307" width="8.85546875" style="4" customWidth="1"/>
    <col min="12308" max="12308" width="10.28515625" style="4" bestFit="1" customWidth="1"/>
    <col min="12309" max="12309" width="9.140625" style="4"/>
    <col min="12310" max="12310" width="11.85546875" style="4" customWidth="1"/>
    <col min="12311" max="12311" width="11.28515625" style="4" customWidth="1"/>
    <col min="12312" max="12312" width="11.5703125" style="4" customWidth="1"/>
    <col min="12313" max="12545" width="9.140625" style="4"/>
    <col min="12546" max="12546" width="15.85546875" style="4" customWidth="1"/>
    <col min="12547" max="12547" width="12.28515625" style="4" customWidth="1"/>
    <col min="12548" max="12548" width="15.28515625" style="4" customWidth="1"/>
    <col min="12549" max="12549" width="9.85546875" style="4" customWidth="1"/>
    <col min="12550" max="12550" width="10.28515625" style="4" customWidth="1"/>
    <col min="12551" max="12551" width="9.140625" style="4" customWidth="1"/>
    <col min="12552" max="12552" width="10.140625" style="4" customWidth="1"/>
    <col min="12553" max="12553" width="10" style="4" customWidth="1"/>
    <col min="12554" max="12555" width="10.42578125" style="4" customWidth="1"/>
    <col min="12556" max="12556" width="9" style="4" customWidth="1"/>
    <col min="12557" max="12557" width="9.140625" style="4"/>
    <col min="12558" max="12558" width="10.7109375" style="4" customWidth="1"/>
    <col min="12559" max="12559" width="9.42578125" style="4" customWidth="1"/>
    <col min="12560" max="12560" width="9.140625" style="4"/>
    <col min="12561" max="12561" width="8.85546875" style="4" customWidth="1"/>
    <col min="12562" max="12562" width="16.85546875" style="4" customWidth="1"/>
    <col min="12563" max="12563" width="8.85546875" style="4" customWidth="1"/>
    <col min="12564" max="12564" width="10.28515625" style="4" bestFit="1" customWidth="1"/>
    <col min="12565" max="12565" width="9.140625" style="4"/>
    <col min="12566" max="12566" width="11.85546875" style="4" customWidth="1"/>
    <col min="12567" max="12567" width="11.28515625" style="4" customWidth="1"/>
    <col min="12568" max="12568" width="11.5703125" style="4" customWidth="1"/>
    <col min="12569" max="12801" width="9.140625" style="4"/>
    <col min="12802" max="12802" width="15.85546875" style="4" customWidth="1"/>
    <col min="12803" max="12803" width="12.28515625" style="4" customWidth="1"/>
    <col min="12804" max="12804" width="15.28515625" style="4" customWidth="1"/>
    <col min="12805" max="12805" width="9.85546875" style="4" customWidth="1"/>
    <col min="12806" max="12806" width="10.28515625" style="4" customWidth="1"/>
    <col min="12807" max="12807" width="9.140625" style="4" customWidth="1"/>
    <col min="12808" max="12808" width="10.140625" style="4" customWidth="1"/>
    <col min="12809" max="12809" width="10" style="4" customWidth="1"/>
    <col min="12810" max="12811" width="10.42578125" style="4" customWidth="1"/>
    <col min="12812" max="12812" width="9" style="4" customWidth="1"/>
    <col min="12813" max="12813" width="9.140625" style="4"/>
    <col min="12814" max="12814" width="10.7109375" style="4" customWidth="1"/>
    <col min="12815" max="12815" width="9.42578125" style="4" customWidth="1"/>
    <col min="12816" max="12816" width="9.140625" style="4"/>
    <col min="12817" max="12817" width="8.85546875" style="4" customWidth="1"/>
    <col min="12818" max="12818" width="16.85546875" style="4" customWidth="1"/>
    <col min="12819" max="12819" width="8.85546875" style="4" customWidth="1"/>
    <col min="12820" max="12820" width="10.28515625" style="4" bestFit="1" customWidth="1"/>
    <col min="12821" max="12821" width="9.140625" style="4"/>
    <col min="12822" max="12822" width="11.85546875" style="4" customWidth="1"/>
    <col min="12823" max="12823" width="11.28515625" style="4" customWidth="1"/>
    <col min="12824" max="12824" width="11.5703125" style="4" customWidth="1"/>
    <col min="12825" max="13057" width="9.140625" style="4"/>
    <col min="13058" max="13058" width="15.85546875" style="4" customWidth="1"/>
    <col min="13059" max="13059" width="12.28515625" style="4" customWidth="1"/>
    <col min="13060" max="13060" width="15.28515625" style="4" customWidth="1"/>
    <col min="13061" max="13061" width="9.85546875" style="4" customWidth="1"/>
    <col min="13062" max="13062" width="10.28515625" style="4" customWidth="1"/>
    <col min="13063" max="13063" width="9.140625" style="4" customWidth="1"/>
    <col min="13064" max="13064" width="10.140625" style="4" customWidth="1"/>
    <col min="13065" max="13065" width="10" style="4" customWidth="1"/>
    <col min="13066" max="13067" width="10.42578125" style="4" customWidth="1"/>
    <col min="13068" max="13068" width="9" style="4" customWidth="1"/>
    <col min="13069" max="13069" width="9.140625" style="4"/>
    <col min="13070" max="13070" width="10.7109375" style="4" customWidth="1"/>
    <col min="13071" max="13071" width="9.42578125" style="4" customWidth="1"/>
    <col min="13072" max="13072" width="9.140625" style="4"/>
    <col min="13073" max="13073" width="8.85546875" style="4" customWidth="1"/>
    <col min="13074" max="13074" width="16.85546875" style="4" customWidth="1"/>
    <col min="13075" max="13075" width="8.85546875" style="4" customWidth="1"/>
    <col min="13076" max="13076" width="10.28515625" style="4" bestFit="1" customWidth="1"/>
    <col min="13077" max="13077" width="9.140625" style="4"/>
    <col min="13078" max="13078" width="11.85546875" style="4" customWidth="1"/>
    <col min="13079" max="13079" width="11.28515625" style="4" customWidth="1"/>
    <col min="13080" max="13080" width="11.5703125" style="4" customWidth="1"/>
    <col min="13081" max="13313" width="9.140625" style="4"/>
    <col min="13314" max="13314" width="15.85546875" style="4" customWidth="1"/>
    <col min="13315" max="13315" width="12.28515625" style="4" customWidth="1"/>
    <col min="13316" max="13316" width="15.28515625" style="4" customWidth="1"/>
    <col min="13317" max="13317" width="9.85546875" style="4" customWidth="1"/>
    <col min="13318" max="13318" width="10.28515625" style="4" customWidth="1"/>
    <col min="13319" max="13319" width="9.140625" style="4" customWidth="1"/>
    <col min="13320" max="13320" width="10.140625" style="4" customWidth="1"/>
    <col min="13321" max="13321" width="10" style="4" customWidth="1"/>
    <col min="13322" max="13323" width="10.42578125" style="4" customWidth="1"/>
    <col min="13324" max="13324" width="9" style="4" customWidth="1"/>
    <col min="13325" max="13325" width="9.140625" style="4"/>
    <col min="13326" max="13326" width="10.7109375" style="4" customWidth="1"/>
    <col min="13327" max="13327" width="9.42578125" style="4" customWidth="1"/>
    <col min="13328" max="13328" width="9.140625" style="4"/>
    <col min="13329" max="13329" width="8.85546875" style="4" customWidth="1"/>
    <col min="13330" max="13330" width="16.85546875" style="4" customWidth="1"/>
    <col min="13331" max="13331" width="8.85546875" style="4" customWidth="1"/>
    <col min="13332" max="13332" width="10.28515625" style="4" bestFit="1" customWidth="1"/>
    <col min="13333" max="13333" width="9.140625" style="4"/>
    <col min="13334" max="13334" width="11.85546875" style="4" customWidth="1"/>
    <col min="13335" max="13335" width="11.28515625" style="4" customWidth="1"/>
    <col min="13336" max="13336" width="11.5703125" style="4" customWidth="1"/>
    <col min="13337" max="13569" width="9.140625" style="4"/>
    <col min="13570" max="13570" width="15.85546875" style="4" customWidth="1"/>
    <col min="13571" max="13571" width="12.28515625" style="4" customWidth="1"/>
    <col min="13572" max="13572" width="15.28515625" style="4" customWidth="1"/>
    <col min="13573" max="13573" width="9.85546875" style="4" customWidth="1"/>
    <col min="13574" max="13574" width="10.28515625" style="4" customWidth="1"/>
    <col min="13575" max="13575" width="9.140625" style="4" customWidth="1"/>
    <col min="13576" max="13576" width="10.140625" style="4" customWidth="1"/>
    <col min="13577" max="13577" width="10" style="4" customWidth="1"/>
    <col min="13578" max="13579" width="10.42578125" style="4" customWidth="1"/>
    <col min="13580" max="13580" width="9" style="4" customWidth="1"/>
    <col min="13581" max="13581" width="9.140625" style="4"/>
    <col min="13582" max="13582" width="10.7109375" style="4" customWidth="1"/>
    <col min="13583" max="13583" width="9.42578125" style="4" customWidth="1"/>
    <col min="13584" max="13584" width="9.140625" style="4"/>
    <col min="13585" max="13585" width="8.85546875" style="4" customWidth="1"/>
    <col min="13586" max="13586" width="16.85546875" style="4" customWidth="1"/>
    <col min="13587" max="13587" width="8.85546875" style="4" customWidth="1"/>
    <col min="13588" max="13588" width="10.28515625" style="4" bestFit="1" customWidth="1"/>
    <col min="13589" max="13589" width="9.140625" style="4"/>
    <col min="13590" max="13590" width="11.85546875" style="4" customWidth="1"/>
    <col min="13591" max="13591" width="11.28515625" style="4" customWidth="1"/>
    <col min="13592" max="13592" width="11.5703125" style="4" customWidth="1"/>
    <col min="13593" max="13825" width="9.140625" style="4"/>
    <col min="13826" max="13826" width="15.85546875" style="4" customWidth="1"/>
    <col min="13827" max="13827" width="12.28515625" style="4" customWidth="1"/>
    <col min="13828" max="13828" width="15.28515625" style="4" customWidth="1"/>
    <col min="13829" max="13829" width="9.85546875" style="4" customWidth="1"/>
    <col min="13830" max="13830" width="10.28515625" style="4" customWidth="1"/>
    <col min="13831" max="13831" width="9.140625" style="4" customWidth="1"/>
    <col min="13832" max="13832" width="10.140625" style="4" customWidth="1"/>
    <col min="13833" max="13833" width="10" style="4" customWidth="1"/>
    <col min="13834" max="13835" width="10.42578125" style="4" customWidth="1"/>
    <col min="13836" max="13836" width="9" style="4" customWidth="1"/>
    <col min="13837" max="13837" width="9.140625" style="4"/>
    <col min="13838" max="13838" width="10.7109375" style="4" customWidth="1"/>
    <col min="13839" max="13839" width="9.42578125" style="4" customWidth="1"/>
    <col min="13840" max="13840" width="9.140625" style="4"/>
    <col min="13841" max="13841" width="8.85546875" style="4" customWidth="1"/>
    <col min="13842" max="13842" width="16.85546875" style="4" customWidth="1"/>
    <col min="13843" max="13843" width="8.85546875" style="4" customWidth="1"/>
    <col min="13844" max="13844" width="10.28515625" style="4" bestFit="1" customWidth="1"/>
    <col min="13845" max="13845" width="9.140625" style="4"/>
    <col min="13846" max="13846" width="11.85546875" style="4" customWidth="1"/>
    <col min="13847" max="13847" width="11.28515625" style="4" customWidth="1"/>
    <col min="13848" max="13848" width="11.5703125" style="4" customWidth="1"/>
    <col min="13849" max="14081" width="9.140625" style="4"/>
    <col min="14082" max="14082" width="15.85546875" style="4" customWidth="1"/>
    <col min="14083" max="14083" width="12.28515625" style="4" customWidth="1"/>
    <col min="14084" max="14084" width="15.28515625" style="4" customWidth="1"/>
    <col min="14085" max="14085" width="9.85546875" style="4" customWidth="1"/>
    <col min="14086" max="14086" width="10.28515625" style="4" customWidth="1"/>
    <col min="14087" max="14087" width="9.140625" style="4" customWidth="1"/>
    <col min="14088" max="14088" width="10.140625" style="4" customWidth="1"/>
    <col min="14089" max="14089" width="10" style="4" customWidth="1"/>
    <col min="14090" max="14091" width="10.42578125" style="4" customWidth="1"/>
    <col min="14092" max="14092" width="9" style="4" customWidth="1"/>
    <col min="14093" max="14093" width="9.140625" style="4"/>
    <col min="14094" max="14094" width="10.7109375" style="4" customWidth="1"/>
    <col min="14095" max="14095" width="9.42578125" style="4" customWidth="1"/>
    <col min="14096" max="14096" width="9.140625" style="4"/>
    <col min="14097" max="14097" width="8.85546875" style="4" customWidth="1"/>
    <col min="14098" max="14098" width="16.85546875" style="4" customWidth="1"/>
    <col min="14099" max="14099" width="8.85546875" style="4" customWidth="1"/>
    <col min="14100" max="14100" width="10.28515625" style="4" bestFit="1" customWidth="1"/>
    <col min="14101" max="14101" width="9.140625" style="4"/>
    <col min="14102" max="14102" width="11.85546875" style="4" customWidth="1"/>
    <col min="14103" max="14103" width="11.28515625" style="4" customWidth="1"/>
    <col min="14104" max="14104" width="11.5703125" style="4" customWidth="1"/>
    <col min="14105" max="14337" width="9.140625" style="4"/>
    <col min="14338" max="14338" width="15.85546875" style="4" customWidth="1"/>
    <col min="14339" max="14339" width="12.28515625" style="4" customWidth="1"/>
    <col min="14340" max="14340" width="15.28515625" style="4" customWidth="1"/>
    <col min="14341" max="14341" width="9.85546875" style="4" customWidth="1"/>
    <col min="14342" max="14342" width="10.28515625" style="4" customWidth="1"/>
    <col min="14343" max="14343" width="9.140625" style="4" customWidth="1"/>
    <col min="14344" max="14344" width="10.140625" style="4" customWidth="1"/>
    <col min="14345" max="14345" width="10" style="4" customWidth="1"/>
    <col min="14346" max="14347" width="10.42578125" style="4" customWidth="1"/>
    <col min="14348" max="14348" width="9" style="4" customWidth="1"/>
    <col min="14349" max="14349" width="9.140625" style="4"/>
    <col min="14350" max="14350" width="10.7109375" style="4" customWidth="1"/>
    <col min="14351" max="14351" width="9.42578125" style="4" customWidth="1"/>
    <col min="14352" max="14352" width="9.140625" style="4"/>
    <col min="14353" max="14353" width="8.85546875" style="4" customWidth="1"/>
    <col min="14354" max="14354" width="16.85546875" style="4" customWidth="1"/>
    <col min="14355" max="14355" width="8.85546875" style="4" customWidth="1"/>
    <col min="14356" max="14356" width="10.28515625" style="4" bestFit="1" customWidth="1"/>
    <col min="14357" max="14357" width="9.140625" style="4"/>
    <col min="14358" max="14358" width="11.85546875" style="4" customWidth="1"/>
    <col min="14359" max="14359" width="11.28515625" style="4" customWidth="1"/>
    <col min="14360" max="14360" width="11.5703125" style="4" customWidth="1"/>
    <col min="14361" max="14593" width="9.140625" style="4"/>
    <col min="14594" max="14594" width="15.85546875" style="4" customWidth="1"/>
    <col min="14595" max="14595" width="12.28515625" style="4" customWidth="1"/>
    <col min="14596" max="14596" width="15.28515625" style="4" customWidth="1"/>
    <col min="14597" max="14597" width="9.85546875" style="4" customWidth="1"/>
    <col min="14598" max="14598" width="10.28515625" style="4" customWidth="1"/>
    <col min="14599" max="14599" width="9.140625" style="4" customWidth="1"/>
    <col min="14600" max="14600" width="10.140625" style="4" customWidth="1"/>
    <col min="14601" max="14601" width="10" style="4" customWidth="1"/>
    <col min="14602" max="14603" width="10.42578125" style="4" customWidth="1"/>
    <col min="14604" max="14604" width="9" style="4" customWidth="1"/>
    <col min="14605" max="14605" width="9.140625" style="4"/>
    <col min="14606" max="14606" width="10.7109375" style="4" customWidth="1"/>
    <col min="14607" max="14607" width="9.42578125" style="4" customWidth="1"/>
    <col min="14608" max="14608" width="9.140625" style="4"/>
    <col min="14609" max="14609" width="8.85546875" style="4" customWidth="1"/>
    <col min="14610" max="14610" width="16.85546875" style="4" customWidth="1"/>
    <col min="14611" max="14611" width="8.85546875" style="4" customWidth="1"/>
    <col min="14612" max="14612" width="10.28515625" style="4" bestFit="1" customWidth="1"/>
    <col min="14613" max="14613" width="9.140625" style="4"/>
    <col min="14614" max="14614" width="11.85546875" style="4" customWidth="1"/>
    <col min="14615" max="14615" width="11.28515625" style="4" customWidth="1"/>
    <col min="14616" max="14616" width="11.5703125" style="4" customWidth="1"/>
    <col min="14617" max="14849" width="9.140625" style="4"/>
    <col min="14850" max="14850" width="15.85546875" style="4" customWidth="1"/>
    <col min="14851" max="14851" width="12.28515625" style="4" customWidth="1"/>
    <col min="14852" max="14852" width="15.28515625" style="4" customWidth="1"/>
    <col min="14853" max="14853" width="9.85546875" style="4" customWidth="1"/>
    <col min="14854" max="14854" width="10.28515625" style="4" customWidth="1"/>
    <col min="14855" max="14855" width="9.140625" style="4" customWidth="1"/>
    <col min="14856" max="14856" width="10.140625" style="4" customWidth="1"/>
    <col min="14857" max="14857" width="10" style="4" customWidth="1"/>
    <col min="14858" max="14859" width="10.42578125" style="4" customWidth="1"/>
    <col min="14860" max="14860" width="9" style="4" customWidth="1"/>
    <col min="14861" max="14861" width="9.140625" style="4"/>
    <col min="14862" max="14862" width="10.7109375" style="4" customWidth="1"/>
    <col min="14863" max="14863" width="9.42578125" style="4" customWidth="1"/>
    <col min="14864" max="14864" width="9.140625" style="4"/>
    <col min="14865" max="14865" width="8.85546875" style="4" customWidth="1"/>
    <col min="14866" max="14866" width="16.85546875" style="4" customWidth="1"/>
    <col min="14867" max="14867" width="8.85546875" style="4" customWidth="1"/>
    <col min="14868" max="14868" width="10.28515625" style="4" bestFit="1" customWidth="1"/>
    <col min="14869" max="14869" width="9.140625" style="4"/>
    <col min="14870" max="14870" width="11.85546875" style="4" customWidth="1"/>
    <col min="14871" max="14871" width="11.28515625" style="4" customWidth="1"/>
    <col min="14872" max="14872" width="11.5703125" style="4" customWidth="1"/>
    <col min="14873" max="15105" width="9.140625" style="4"/>
    <col min="15106" max="15106" width="15.85546875" style="4" customWidth="1"/>
    <col min="15107" max="15107" width="12.28515625" style="4" customWidth="1"/>
    <col min="15108" max="15108" width="15.28515625" style="4" customWidth="1"/>
    <col min="15109" max="15109" width="9.85546875" style="4" customWidth="1"/>
    <col min="15110" max="15110" width="10.28515625" style="4" customWidth="1"/>
    <col min="15111" max="15111" width="9.140625" style="4" customWidth="1"/>
    <col min="15112" max="15112" width="10.140625" style="4" customWidth="1"/>
    <col min="15113" max="15113" width="10" style="4" customWidth="1"/>
    <col min="15114" max="15115" width="10.42578125" style="4" customWidth="1"/>
    <col min="15116" max="15116" width="9" style="4" customWidth="1"/>
    <col min="15117" max="15117" width="9.140625" style="4"/>
    <col min="15118" max="15118" width="10.7109375" style="4" customWidth="1"/>
    <col min="15119" max="15119" width="9.42578125" style="4" customWidth="1"/>
    <col min="15120" max="15120" width="9.140625" style="4"/>
    <col min="15121" max="15121" width="8.85546875" style="4" customWidth="1"/>
    <col min="15122" max="15122" width="16.85546875" style="4" customWidth="1"/>
    <col min="15123" max="15123" width="8.85546875" style="4" customWidth="1"/>
    <col min="15124" max="15124" width="10.28515625" style="4" bestFit="1" customWidth="1"/>
    <col min="15125" max="15125" width="9.140625" style="4"/>
    <col min="15126" max="15126" width="11.85546875" style="4" customWidth="1"/>
    <col min="15127" max="15127" width="11.28515625" style="4" customWidth="1"/>
    <col min="15128" max="15128" width="11.5703125" style="4" customWidth="1"/>
    <col min="15129" max="15361" width="9.140625" style="4"/>
    <col min="15362" max="15362" width="15.85546875" style="4" customWidth="1"/>
    <col min="15363" max="15363" width="12.28515625" style="4" customWidth="1"/>
    <col min="15364" max="15364" width="15.28515625" style="4" customWidth="1"/>
    <col min="15365" max="15365" width="9.85546875" style="4" customWidth="1"/>
    <col min="15366" max="15366" width="10.28515625" style="4" customWidth="1"/>
    <col min="15367" max="15367" width="9.140625" style="4" customWidth="1"/>
    <col min="15368" max="15368" width="10.140625" style="4" customWidth="1"/>
    <col min="15369" max="15369" width="10" style="4" customWidth="1"/>
    <col min="15370" max="15371" width="10.42578125" style="4" customWidth="1"/>
    <col min="15372" max="15372" width="9" style="4" customWidth="1"/>
    <col min="15373" max="15373" width="9.140625" style="4"/>
    <col min="15374" max="15374" width="10.7109375" style="4" customWidth="1"/>
    <col min="15375" max="15375" width="9.42578125" style="4" customWidth="1"/>
    <col min="15376" max="15376" width="9.140625" style="4"/>
    <col min="15377" max="15377" width="8.85546875" style="4" customWidth="1"/>
    <col min="15378" max="15378" width="16.85546875" style="4" customWidth="1"/>
    <col min="15379" max="15379" width="8.85546875" style="4" customWidth="1"/>
    <col min="15380" max="15380" width="10.28515625" style="4" bestFit="1" customWidth="1"/>
    <col min="15381" max="15381" width="9.140625" style="4"/>
    <col min="15382" max="15382" width="11.85546875" style="4" customWidth="1"/>
    <col min="15383" max="15383" width="11.28515625" style="4" customWidth="1"/>
    <col min="15384" max="15384" width="11.5703125" style="4" customWidth="1"/>
    <col min="15385" max="15617" width="9.140625" style="4"/>
    <col min="15618" max="15618" width="15.85546875" style="4" customWidth="1"/>
    <col min="15619" max="15619" width="12.28515625" style="4" customWidth="1"/>
    <col min="15620" max="15620" width="15.28515625" style="4" customWidth="1"/>
    <col min="15621" max="15621" width="9.85546875" style="4" customWidth="1"/>
    <col min="15622" max="15622" width="10.28515625" style="4" customWidth="1"/>
    <col min="15623" max="15623" width="9.140625" style="4" customWidth="1"/>
    <col min="15624" max="15624" width="10.140625" style="4" customWidth="1"/>
    <col min="15625" max="15625" width="10" style="4" customWidth="1"/>
    <col min="15626" max="15627" width="10.42578125" style="4" customWidth="1"/>
    <col min="15628" max="15628" width="9" style="4" customWidth="1"/>
    <col min="15629" max="15629" width="9.140625" style="4"/>
    <col min="15630" max="15630" width="10.7109375" style="4" customWidth="1"/>
    <col min="15631" max="15631" width="9.42578125" style="4" customWidth="1"/>
    <col min="15632" max="15632" width="9.140625" style="4"/>
    <col min="15633" max="15633" width="8.85546875" style="4" customWidth="1"/>
    <col min="15634" max="15634" width="16.85546875" style="4" customWidth="1"/>
    <col min="15635" max="15635" width="8.85546875" style="4" customWidth="1"/>
    <col min="15636" max="15636" width="10.28515625" style="4" bestFit="1" customWidth="1"/>
    <col min="15637" max="15637" width="9.140625" style="4"/>
    <col min="15638" max="15638" width="11.85546875" style="4" customWidth="1"/>
    <col min="15639" max="15639" width="11.28515625" style="4" customWidth="1"/>
    <col min="15640" max="15640" width="11.5703125" style="4" customWidth="1"/>
    <col min="15641" max="15873" width="9.140625" style="4"/>
    <col min="15874" max="15874" width="15.85546875" style="4" customWidth="1"/>
    <col min="15875" max="15875" width="12.28515625" style="4" customWidth="1"/>
    <col min="15876" max="15876" width="15.28515625" style="4" customWidth="1"/>
    <col min="15877" max="15877" width="9.85546875" style="4" customWidth="1"/>
    <col min="15878" max="15878" width="10.28515625" style="4" customWidth="1"/>
    <col min="15879" max="15879" width="9.140625" style="4" customWidth="1"/>
    <col min="15880" max="15880" width="10.140625" style="4" customWidth="1"/>
    <col min="15881" max="15881" width="10" style="4" customWidth="1"/>
    <col min="15882" max="15883" width="10.42578125" style="4" customWidth="1"/>
    <col min="15884" max="15884" width="9" style="4" customWidth="1"/>
    <col min="15885" max="15885" width="9.140625" style="4"/>
    <col min="15886" max="15886" width="10.7109375" style="4" customWidth="1"/>
    <col min="15887" max="15887" width="9.42578125" style="4" customWidth="1"/>
    <col min="15888" max="15888" width="9.140625" style="4"/>
    <col min="15889" max="15889" width="8.85546875" style="4" customWidth="1"/>
    <col min="15890" max="15890" width="16.85546875" style="4" customWidth="1"/>
    <col min="15891" max="15891" width="8.85546875" style="4" customWidth="1"/>
    <col min="15892" max="15892" width="10.28515625" style="4" bestFit="1" customWidth="1"/>
    <col min="15893" max="15893" width="9.140625" style="4"/>
    <col min="15894" max="15894" width="11.85546875" style="4" customWidth="1"/>
    <col min="15895" max="15895" width="11.28515625" style="4" customWidth="1"/>
    <col min="15896" max="15896" width="11.5703125" style="4" customWidth="1"/>
    <col min="15897" max="16129" width="9.140625" style="4"/>
    <col min="16130" max="16130" width="15.85546875" style="4" customWidth="1"/>
    <col min="16131" max="16131" width="12.28515625" style="4" customWidth="1"/>
    <col min="16132" max="16132" width="15.28515625" style="4" customWidth="1"/>
    <col min="16133" max="16133" width="9.85546875" style="4" customWidth="1"/>
    <col min="16134" max="16134" width="10.28515625" style="4" customWidth="1"/>
    <col min="16135" max="16135" width="9.140625" style="4" customWidth="1"/>
    <col min="16136" max="16136" width="10.140625" style="4" customWidth="1"/>
    <col min="16137" max="16137" width="10" style="4" customWidth="1"/>
    <col min="16138" max="16139" width="10.42578125" style="4" customWidth="1"/>
    <col min="16140" max="16140" width="9" style="4" customWidth="1"/>
    <col min="16141" max="16141" width="9.140625" style="4"/>
    <col min="16142" max="16142" width="10.7109375" style="4" customWidth="1"/>
    <col min="16143" max="16143" width="9.42578125" style="4" customWidth="1"/>
    <col min="16144" max="16144" width="9.140625" style="4"/>
    <col min="16145" max="16145" width="8.85546875" style="4" customWidth="1"/>
    <col min="16146" max="16146" width="16.85546875" style="4" customWidth="1"/>
    <col min="16147" max="16147" width="8.85546875" style="4" customWidth="1"/>
    <col min="16148" max="16148" width="10.28515625" style="4" bestFit="1" customWidth="1"/>
    <col min="16149" max="16149" width="9.140625" style="4"/>
    <col min="16150" max="16150" width="11.85546875" style="4" customWidth="1"/>
    <col min="16151" max="16151" width="11.28515625" style="4" customWidth="1"/>
    <col min="16152" max="16152" width="11.5703125" style="4" customWidth="1"/>
    <col min="16153" max="16384" width="9.140625" style="4"/>
  </cols>
  <sheetData>
    <row r="1" spans="2:18" ht="18" x14ac:dyDescent="0.25">
      <c r="B1" s="1" t="e">
        <v>#N/A</v>
      </c>
      <c r="D1" s="3"/>
      <c r="E1" s="3"/>
    </row>
    <row r="2" spans="2:18" ht="18" x14ac:dyDescent="0.25">
      <c r="B2" s="1" t="s">
        <v>0</v>
      </c>
      <c r="C2" s="5"/>
      <c r="D2" s="3"/>
      <c r="E2" s="3"/>
      <c r="G2" s="2"/>
      <c r="H2" s="2"/>
      <c r="I2" s="2"/>
    </row>
    <row r="3" spans="2:18" ht="18" x14ac:dyDescent="0.25">
      <c r="B3" s="1"/>
      <c r="C3" s="5"/>
      <c r="D3" s="3"/>
      <c r="E3" s="3"/>
      <c r="G3" s="2"/>
      <c r="H3" s="2"/>
      <c r="I3" s="2"/>
    </row>
    <row r="4" spans="2:18" ht="15.75" thickBot="1" x14ac:dyDescent="0.3">
      <c r="B4" s="6" t="s">
        <v>1</v>
      </c>
      <c r="C4" s="7"/>
      <c r="H4" s="6"/>
      <c r="I4" s="6"/>
      <c r="J4" s="6"/>
      <c r="L4" s="6"/>
    </row>
    <row r="5" spans="2:18" ht="13.5" thickBot="1" x14ac:dyDescent="0.25">
      <c r="B5" s="8"/>
      <c r="C5" s="9"/>
      <c r="D5" s="10"/>
      <c r="E5" s="11"/>
      <c r="F5" s="12"/>
      <c r="G5" s="12" t="s">
        <v>2</v>
      </c>
      <c r="H5" s="13" t="s">
        <v>3</v>
      </c>
      <c r="I5" s="14" t="s">
        <v>4</v>
      </c>
      <c r="J5" s="15" t="s">
        <v>3</v>
      </c>
      <c r="K5" s="14" t="s">
        <v>2</v>
      </c>
      <c r="L5" s="15"/>
      <c r="M5" s="16"/>
      <c r="N5" s="17"/>
    </row>
    <row r="6" spans="2:18" ht="26.25" thickBot="1" x14ac:dyDescent="0.25">
      <c r="B6" s="8"/>
      <c r="C6" s="18"/>
      <c r="D6" s="19" t="s">
        <v>5</v>
      </c>
      <c r="E6" s="3" t="s">
        <v>6</v>
      </c>
      <c r="F6" s="20" t="s">
        <v>7</v>
      </c>
      <c r="G6" s="21" t="s">
        <v>8</v>
      </c>
      <c r="H6" s="21" t="s">
        <v>9</v>
      </c>
      <c r="I6" s="22" t="s">
        <v>8</v>
      </c>
      <c r="J6" s="23" t="s">
        <v>10</v>
      </c>
      <c r="K6" s="24" t="s">
        <v>11</v>
      </c>
      <c r="L6" s="25" t="s">
        <v>12</v>
      </c>
      <c r="M6" s="16"/>
      <c r="N6" s="381" t="s">
        <v>13</v>
      </c>
      <c r="O6" s="382"/>
      <c r="Q6" s="381" t="s">
        <v>14</v>
      </c>
      <c r="R6" s="382"/>
    </row>
    <row r="7" spans="2:18" x14ac:dyDescent="0.2">
      <c r="B7" s="26" t="s">
        <v>15</v>
      </c>
      <c r="C7" s="27" t="s">
        <v>16</v>
      </c>
      <c r="D7" s="28">
        <v>12</v>
      </c>
      <c r="E7" s="29">
        <f t="shared" ref="E7:E17" si="0">D7/$D$27 * 100</f>
        <v>12.000000000000004</v>
      </c>
      <c r="F7" s="30">
        <f>2*O8</f>
        <v>2.0158</v>
      </c>
      <c r="G7" s="31">
        <f>12.102*Q9/Q10</f>
        <v>325.05744048212819</v>
      </c>
      <c r="H7" s="32">
        <f>G7*E7/100</f>
        <v>39.006892857855398</v>
      </c>
      <c r="I7" s="33">
        <v>274.13</v>
      </c>
      <c r="J7" s="32">
        <f>E7/100*I7</f>
        <v>32.895600000000009</v>
      </c>
      <c r="K7" s="34">
        <f>E7*F7/100</f>
        <v>0.24189600000000008</v>
      </c>
      <c r="L7" s="35">
        <f t="shared" ref="L7:L17" si="1">K7/$K$27</f>
        <v>1.4875880524938965E-2</v>
      </c>
      <c r="M7" s="16"/>
      <c r="N7" s="36" t="s">
        <v>17</v>
      </c>
      <c r="O7" s="37">
        <v>12.0107</v>
      </c>
      <c r="Q7" s="38">
        <v>1000</v>
      </c>
      <c r="R7" s="39" t="s">
        <v>18</v>
      </c>
    </row>
    <row r="8" spans="2:18" x14ac:dyDescent="0.2">
      <c r="B8" s="40" t="s">
        <v>19</v>
      </c>
      <c r="C8" s="41" t="s">
        <v>20</v>
      </c>
      <c r="D8" s="42">
        <v>0.2</v>
      </c>
      <c r="E8" s="43">
        <f t="shared" si="0"/>
        <v>0.20000000000000004</v>
      </c>
      <c r="F8" s="44">
        <f>2*O9</f>
        <v>31.998799999999999</v>
      </c>
      <c r="G8" s="45">
        <v>0</v>
      </c>
      <c r="H8" s="46">
        <f t="shared" ref="H8:H17" si="2">G8*E8/100</f>
        <v>0</v>
      </c>
      <c r="I8" s="47">
        <v>0</v>
      </c>
      <c r="J8" s="46">
        <f t="shared" ref="J8:J13" si="3">E8/100*I8</f>
        <v>0</v>
      </c>
      <c r="K8" s="48">
        <f t="shared" ref="K8:K17" si="4">E8*F8/100</f>
        <v>6.3997600000000016E-2</v>
      </c>
      <c r="L8" s="49">
        <f t="shared" si="1"/>
        <v>3.9356609926697169E-3</v>
      </c>
      <c r="M8" s="16"/>
      <c r="N8" s="36" t="s">
        <v>21</v>
      </c>
      <c r="O8" s="37">
        <v>1.0079</v>
      </c>
      <c r="Q8" s="38">
        <v>2.2050000000000001</v>
      </c>
      <c r="R8" s="39" t="s">
        <v>22</v>
      </c>
    </row>
    <row r="9" spans="2:18" x14ac:dyDescent="0.2">
      <c r="B9" s="40" t="s">
        <v>23</v>
      </c>
      <c r="C9" s="41" t="s">
        <v>24</v>
      </c>
      <c r="D9" s="42">
        <v>1.7999999999999998</v>
      </c>
      <c r="E9" s="43">
        <f t="shared" si="0"/>
        <v>1.8000000000000003</v>
      </c>
      <c r="F9" s="44">
        <f>2*O10</f>
        <v>28.013400000000001</v>
      </c>
      <c r="G9" s="45">
        <v>0</v>
      </c>
      <c r="H9" s="46">
        <f t="shared" si="2"/>
        <v>0</v>
      </c>
      <c r="I9" s="47">
        <v>0</v>
      </c>
      <c r="J9" s="46">
        <f t="shared" si="3"/>
        <v>0</v>
      </c>
      <c r="K9" s="48">
        <f t="shared" si="4"/>
        <v>0.50424120000000006</v>
      </c>
      <c r="L9" s="49">
        <f t="shared" si="1"/>
        <v>3.1009325689353492E-2</v>
      </c>
      <c r="M9" s="16"/>
      <c r="N9" s="36" t="s">
        <v>25</v>
      </c>
      <c r="O9" s="37">
        <v>15.9994</v>
      </c>
      <c r="Q9" s="47">
        <v>947.81700000000001</v>
      </c>
      <c r="R9" s="39" t="s">
        <v>26</v>
      </c>
    </row>
    <row r="10" spans="2:18" ht="13.5" thickBot="1" x14ac:dyDescent="0.25">
      <c r="B10" s="40" t="s">
        <v>27</v>
      </c>
      <c r="C10" s="41" t="s">
        <v>28</v>
      </c>
      <c r="D10" s="42">
        <v>0.2</v>
      </c>
      <c r="E10" s="43">
        <f t="shared" si="0"/>
        <v>0.20000000000000004</v>
      </c>
      <c r="F10" s="44">
        <f>2*O8+O9</f>
        <v>18.0152</v>
      </c>
      <c r="G10" s="45">
        <v>0</v>
      </c>
      <c r="H10" s="46">
        <f t="shared" si="2"/>
        <v>0</v>
      </c>
      <c r="I10" s="47">
        <v>0</v>
      </c>
      <c r="J10" s="46">
        <f t="shared" si="3"/>
        <v>0</v>
      </c>
      <c r="K10" s="48">
        <f t="shared" si="4"/>
        <v>3.6030400000000011E-2</v>
      </c>
      <c r="L10" s="49">
        <f t="shared" si="1"/>
        <v>2.2157618384171748E-3</v>
      </c>
      <c r="M10" s="16"/>
      <c r="N10" s="36" t="s">
        <v>29</v>
      </c>
      <c r="O10" s="37">
        <v>14.0067</v>
      </c>
      <c r="Q10" s="50">
        <f>3.28^3</f>
        <v>35.287551999999991</v>
      </c>
      <c r="R10" s="51" t="s">
        <v>30</v>
      </c>
    </row>
    <row r="11" spans="2:18" ht="13.5" thickBot="1" x14ac:dyDescent="0.25">
      <c r="B11" s="40" t="s">
        <v>31</v>
      </c>
      <c r="C11" s="41" t="s">
        <v>32</v>
      </c>
      <c r="D11" s="42">
        <v>80</v>
      </c>
      <c r="E11" s="43">
        <f t="shared" si="0"/>
        <v>80.000000000000028</v>
      </c>
      <c r="F11" s="44">
        <f>O7+ 4*O8</f>
        <v>16.042300000000001</v>
      </c>
      <c r="G11" s="45">
        <v>1010</v>
      </c>
      <c r="H11" s="46">
        <f t="shared" si="2"/>
        <v>808.00000000000034</v>
      </c>
      <c r="I11" s="47">
        <v>909.4</v>
      </c>
      <c r="J11" s="46">
        <f t="shared" si="3"/>
        <v>727.52000000000021</v>
      </c>
      <c r="K11" s="48">
        <f t="shared" si="4"/>
        <v>12.833840000000004</v>
      </c>
      <c r="L11" s="49">
        <f t="shared" si="1"/>
        <v>0.78924277588791336</v>
      </c>
      <c r="M11" s="16"/>
      <c r="N11" s="52" t="s">
        <v>33</v>
      </c>
      <c r="O11" s="53">
        <v>32.066000000000003</v>
      </c>
    </row>
    <row r="12" spans="2:18" x14ac:dyDescent="0.2">
      <c r="B12" s="40" t="s">
        <v>34</v>
      </c>
      <c r="C12" s="41" t="s">
        <v>35</v>
      </c>
      <c r="D12" s="42">
        <v>0.2</v>
      </c>
      <c r="E12" s="43">
        <f t="shared" si="0"/>
        <v>0.20000000000000004</v>
      </c>
      <c r="F12" s="44">
        <f>O7+O9</f>
        <v>28.010100000000001</v>
      </c>
      <c r="G12" s="45">
        <v>320.5</v>
      </c>
      <c r="H12" s="46">
        <f t="shared" si="2"/>
        <v>0.64100000000000013</v>
      </c>
      <c r="I12" s="47">
        <v>320.5</v>
      </c>
      <c r="J12" s="46">
        <f t="shared" si="3"/>
        <v>0.64100000000000013</v>
      </c>
      <c r="K12" s="48">
        <f t="shared" si="4"/>
        <v>5.6020200000000013E-2</v>
      </c>
      <c r="L12" s="49">
        <f t="shared" si="1"/>
        <v>3.4450747518900097E-3</v>
      </c>
      <c r="M12" s="16"/>
      <c r="N12" s="17"/>
    </row>
    <row r="13" spans="2:18" x14ac:dyDescent="0.2">
      <c r="B13" s="40" t="s">
        <v>36</v>
      </c>
      <c r="C13" s="41" t="s">
        <v>37</v>
      </c>
      <c r="D13" s="42">
        <v>0.6</v>
      </c>
      <c r="E13" s="43">
        <f t="shared" si="0"/>
        <v>0.6000000000000002</v>
      </c>
      <c r="F13" s="44">
        <f>O7+2*O9</f>
        <v>44.009500000000003</v>
      </c>
      <c r="G13" s="45">
        <v>0</v>
      </c>
      <c r="H13" s="46">
        <f t="shared" si="2"/>
        <v>0</v>
      </c>
      <c r="I13" s="47">
        <v>0</v>
      </c>
      <c r="J13" s="46">
        <f t="shared" si="3"/>
        <v>0</v>
      </c>
      <c r="K13" s="48">
        <f t="shared" si="4"/>
        <v>0.2640570000000001</v>
      </c>
      <c r="L13" s="49">
        <f t="shared" si="1"/>
        <v>1.6238715744674607E-2</v>
      </c>
      <c r="M13" s="16"/>
      <c r="Q13" s="2"/>
    </row>
    <row r="14" spans="2:18" ht="12.95" customHeight="1" x14ac:dyDescent="0.2">
      <c r="B14" s="40" t="s">
        <v>38</v>
      </c>
      <c r="C14" s="41" t="s">
        <v>39</v>
      </c>
      <c r="D14" s="42"/>
      <c r="E14" s="43">
        <f t="shared" si="0"/>
        <v>0</v>
      </c>
      <c r="F14" s="44">
        <f>2*O7+4*O8</f>
        <v>28.053000000000001</v>
      </c>
      <c r="G14" s="45">
        <v>1599.7</v>
      </c>
      <c r="H14" s="46">
        <f t="shared" si="2"/>
        <v>0</v>
      </c>
      <c r="I14" s="47">
        <v>1499</v>
      </c>
      <c r="J14" s="46">
        <f>E14/100*I14</f>
        <v>0</v>
      </c>
      <c r="K14" s="48">
        <f t="shared" si="4"/>
        <v>0</v>
      </c>
      <c r="L14" s="49">
        <f t="shared" si="1"/>
        <v>0</v>
      </c>
      <c r="M14" s="16"/>
    </row>
    <row r="15" spans="2:18" x14ac:dyDescent="0.2">
      <c r="B15" s="40" t="s">
        <v>40</v>
      </c>
      <c r="C15" s="41" t="s">
        <v>41</v>
      </c>
      <c r="D15" s="42">
        <v>1.3</v>
      </c>
      <c r="E15" s="43">
        <f t="shared" si="0"/>
        <v>1.3000000000000005</v>
      </c>
      <c r="F15" s="44">
        <f>2*O7+6*O8</f>
        <v>30.0688</v>
      </c>
      <c r="G15" s="45">
        <v>1769.7</v>
      </c>
      <c r="H15" s="46">
        <f t="shared" si="2"/>
        <v>23.006100000000011</v>
      </c>
      <c r="I15" s="47">
        <v>1619</v>
      </c>
      <c r="J15" s="46">
        <f>E15/100*I15</f>
        <v>21.047000000000008</v>
      </c>
      <c r="K15" s="48">
        <f t="shared" si="4"/>
        <v>0.3908944000000002</v>
      </c>
      <c r="L15" s="49">
        <f t="shared" si="1"/>
        <v>2.4038836492822135E-2</v>
      </c>
      <c r="M15" s="16"/>
    </row>
    <row r="16" spans="2:18" x14ac:dyDescent="0.2">
      <c r="B16" s="40" t="s">
        <v>42</v>
      </c>
      <c r="C16" s="41" t="s">
        <v>43</v>
      </c>
      <c r="D16" s="42">
        <v>2.6</v>
      </c>
      <c r="E16" s="43">
        <f t="shared" si="0"/>
        <v>2.600000000000001</v>
      </c>
      <c r="F16" s="44">
        <f>3*O7+8*O8</f>
        <v>44.095300000000002</v>
      </c>
      <c r="G16" s="45">
        <v>2516.1</v>
      </c>
      <c r="H16" s="46">
        <f t="shared" si="2"/>
        <v>65.418600000000026</v>
      </c>
      <c r="I16" s="47">
        <v>2315</v>
      </c>
      <c r="J16" s="46">
        <f>E16/100*I16</f>
        <v>60.190000000000019</v>
      </c>
      <c r="K16" s="48">
        <f t="shared" si="4"/>
        <v>1.1464778000000004</v>
      </c>
      <c r="L16" s="49">
        <f t="shared" si="1"/>
        <v>7.0504955754931334E-2</v>
      </c>
      <c r="M16" s="16"/>
    </row>
    <row r="17" spans="2:23" x14ac:dyDescent="0.2">
      <c r="B17" s="40" t="s">
        <v>44</v>
      </c>
      <c r="C17" s="41"/>
      <c r="D17" s="42"/>
      <c r="E17" s="43">
        <f t="shared" si="0"/>
        <v>0</v>
      </c>
      <c r="F17" s="44">
        <f>4*O7</f>
        <v>48.0428</v>
      </c>
      <c r="G17" s="45"/>
      <c r="H17" s="46">
        <f t="shared" si="2"/>
        <v>0</v>
      </c>
      <c r="I17" s="47"/>
      <c r="J17" s="46">
        <f>E17/100*I17</f>
        <v>0</v>
      </c>
      <c r="K17" s="48">
        <f t="shared" si="4"/>
        <v>0</v>
      </c>
      <c r="L17" s="49">
        <f t="shared" si="1"/>
        <v>0</v>
      </c>
      <c r="M17" s="16"/>
      <c r="N17" s="17"/>
      <c r="Q17" s="2"/>
    </row>
    <row r="18" spans="2:23" x14ac:dyDescent="0.2">
      <c r="B18" s="40" t="s">
        <v>45</v>
      </c>
      <c r="C18" s="41"/>
      <c r="D18" s="42"/>
      <c r="E18" s="43"/>
      <c r="F18" s="44"/>
      <c r="G18" s="45"/>
      <c r="H18" s="46"/>
      <c r="I18" s="47"/>
      <c r="J18" s="46"/>
      <c r="K18" s="48"/>
      <c r="L18" s="49"/>
      <c r="M18" s="16"/>
      <c r="N18" s="17"/>
      <c r="Q18" s="2"/>
    </row>
    <row r="19" spans="2:23" x14ac:dyDescent="0.2">
      <c r="B19" s="40" t="s">
        <v>46</v>
      </c>
      <c r="C19" s="41" t="s">
        <v>47</v>
      </c>
      <c r="D19" s="42">
        <v>0.1</v>
      </c>
      <c r="E19" s="43">
        <f t="shared" ref="E19:E20" si="5">D19/$D$27 * 100</f>
        <v>0.10000000000000002</v>
      </c>
      <c r="F19" s="44">
        <f>4*O7+10*O8</f>
        <v>58.1218</v>
      </c>
      <c r="G19" s="45">
        <v>3251.9</v>
      </c>
      <c r="H19" s="46">
        <f t="shared" ref="H19:H20" si="6">G19*E19/100</f>
        <v>3.2519000000000005</v>
      </c>
      <c r="I19" s="47">
        <v>3000</v>
      </c>
      <c r="J19" s="46">
        <f>E19/100*I19</f>
        <v>3.0000000000000009</v>
      </c>
      <c r="K19" s="48">
        <f t="shared" ref="K19:K20" si="7">E19*F19/100</f>
        <v>5.8121800000000015E-2</v>
      </c>
      <c r="L19" s="49">
        <f t="shared" ref="L19:L20" si="8">K19/$K$27</f>
        <v>3.5743168663160923E-3</v>
      </c>
      <c r="M19" s="16"/>
      <c r="N19" s="17"/>
      <c r="Q19" s="2"/>
    </row>
    <row r="20" spans="2:23" x14ac:dyDescent="0.2">
      <c r="B20" s="40" t="s">
        <v>48</v>
      </c>
      <c r="C20" s="41" t="s">
        <v>49</v>
      </c>
      <c r="D20" s="42">
        <v>0.5</v>
      </c>
      <c r="E20" s="43">
        <f t="shared" si="5"/>
        <v>0.50000000000000022</v>
      </c>
      <c r="F20" s="44">
        <f>4*O7+10*O8</f>
        <v>58.1218</v>
      </c>
      <c r="G20" s="45">
        <v>3262.3</v>
      </c>
      <c r="H20" s="46">
        <f t="shared" si="6"/>
        <v>16.311500000000009</v>
      </c>
      <c r="I20" s="47">
        <v>3011</v>
      </c>
      <c r="J20" s="46">
        <f>E20/100*I20</f>
        <v>15.055000000000005</v>
      </c>
      <c r="K20" s="48">
        <f t="shared" si="7"/>
        <v>0.29060900000000012</v>
      </c>
      <c r="L20" s="49">
        <f t="shared" si="8"/>
        <v>1.7871584331580464E-2</v>
      </c>
      <c r="M20" s="16"/>
      <c r="N20" s="17"/>
      <c r="Q20" s="2"/>
    </row>
    <row r="21" spans="2:23" x14ac:dyDescent="0.2">
      <c r="B21" s="40" t="s">
        <v>50</v>
      </c>
      <c r="C21" s="41"/>
      <c r="D21" s="42"/>
      <c r="E21" s="43"/>
      <c r="F21" s="44"/>
      <c r="G21" s="45"/>
      <c r="H21" s="46"/>
      <c r="I21" s="47"/>
      <c r="J21" s="46"/>
      <c r="K21" s="48"/>
      <c r="L21" s="49"/>
      <c r="M21" s="16"/>
      <c r="N21" s="17"/>
      <c r="Q21" s="2"/>
    </row>
    <row r="22" spans="2:23" x14ac:dyDescent="0.2">
      <c r="B22" s="40" t="s">
        <v>51</v>
      </c>
      <c r="C22" s="41"/>
      <c r="D22" s="42"/>
      <c r="E22" s="43"/>
      <c r="F22" s="44"/>
      <c r="G22" s="45"/>
      <c r="H22" s="46"/>
      <c r="I22" s="47"/>
      <c r="J22" s="46"/>
      <c r="K22" s="48"/>
      <c r="L22" s="49"/>
      <c r="M22" s="16"/>
      <c r="N22" s="17"/>
      <c r="Q22" s="2"/>
    </row>
    <row r="23" spans="2:23" x14ac:dyDescent="0.2">
      <c r="B23" s="40" t="s">
        <v>52</v>
      </c>
      <c r="C23" s="41"/>
      <c r="D23" s="42"/>
      <c r="E23" s="43"/>
      <c r="F23" s="44"/>
      <c r="G23" s="45"/>
      <c r="H23" s="46"/>
      <c r="I23" s="47"/>
      <c r="J23" s="46"/>
      <c r="K23" s="48"/>
      <c r="L23" s="49"/>
      <c r="M23" s="16"/>
      <c r="N23" s="17"/>
      <c r="Q23" s="2"/>
    </row>
    <row r="24" spans="2:23" x14ac:dyDescent="0.2">
      <c r="B24" s="40" t="s">
        <v>53</v>
      </c>
      <c r="C24" s="41" t="s">
        <v>54</v>
      </c>
      <c r="D24" s="42">
        <v>0.1</v>
      </c>
      <c r="E24" s="43">
        <f t="shared" ref="E24:E26" si="9">D24/$D$27 * 100</f>
        <v>0.10000000000000002</v>
      </c>
      <c r="F24" s="44">
        <f>5*O7+12*O8</f>
        <v>72.148300000000006</v>
      </c>
      <c r="G24" s="45">
        <v>4000.9</v>
      </c>
      <c r="H24" s="46">
        <f t="shared" ref="H24:H26" si="10">G24*E24/100</f>
        <v>4.0009000000000006</v>
      </c>
      <c r="I24" s="47">
        <v>3699</v>
      </c>
      <c r="J24" s="46">
        <f>E24/100*I24</f>
        <v>3.6990000000000007</v>
      </c>
      <c r="K24" s="48">
        <f t="shared" ref="K24:K26" si="11">E24*F24/100</f>
        <v>7.2148300000000012E-2</v>
      </c>
      <c r="L24" s="49">
        <f t="shared" ref="L24:L26" si="12">K24/$K$27</f>
        <v>4.4369046651348259E-3</v>
      </c>
      <c r="M24" s="16"/>
      <c r="N24" s="17"/>
      <c r="Q24" s="2"/>
    </row>
    <row r="25" spans="2:23" x14ac:dyDescent="0.2">
      <c r="B25" s="40" t="s">
        <v>55</v>
      </c>
      <c r="C25" s="41" t="s">
        <v>56</v>
      </c>
      <c r="D25" s="42">
        <v>0.3</v>
      </c>
      <c r="E25" s="43">
        <f t="shared" si="9"/>
        <v>0.3000000000000001</v>
      </c>
      <c r="F25" s="44">
        <f>5*O7+12*O8</f>
        <v>72.148300000000006</v>
      </c>
      <c r="G25" s="45">
        <v>4008.7</v>
      </c>
      <c r="H25" s="46">
        <f>G25*E25/100</f>
        <v>12.026100000000003</v>
      </c>
      <c r="I25" s="47">
        <v>3707</v>
      </c>
      <c r="J25" s="46">
        <f>E25/100*I25</f>
        <v>11.121000000000004</v>
      </c>
      <c r="K25" s="48">
        <f t="shared" si="11"/>
        <v>0.21644490000000008</v>
      </c>
      <c r="L25" s="49">
        <f t="shared" si="12"/>
        <v>1.3310713995404479E-2</v>
      </c>
      <c r="M25" s="16"/>
      <c r="N25" s="17"/>
      <c r="Q25" s="2"/>
    </row>
    <row r="26" spans="2:23" ht="13.5" thickBot="1" x14ac:dyDescent="0.25">
      <c r="B26" s="40" t="s">
        <v>57</v>
      </c>
      <c r="C26" s="41" t="s">
        <v>58</v>
      </c>
      <c r="D26" s="42">
        <v>0.1</v>
      </c>
      <c r="E26" s="43">
        <f t="shared" si="9"/>
        <v>0.10000000000000002</v>
      </c>
      <c r="F26" s="44">
        <f>6*O7+O8*14</f>
        <v>86.174800000000005</v>
      </c>
      <c r="G26" s="45">
        <v>4755.8999999999996</v>
      </c>
      <c r="H26" s="46">
        <f t="shared" si="10"/>
        <v>4.7559000000000005</v>
      </c>
      <c r="I26" s="47">
        <v>4404</v>
      </c>
      <c r="J26" s="46">
        <f>E26/100*I26</f>
        <v>4.4040000000000008</v>
      </c>
      <c r="K26" s="48">
        <f t="shared" si="11"/>
        <v>8.6174800000000024E-2</v>
      </c>
      <c r="L26" s="49">
        <f t="shared" si="12"/>
        <v>5.2994924639535599E-3</v>
      </c>
      <c r="M26" s="16"/>
      <c r="N26" s="17"/>
      <c r="Q26" s="2"/>
    </row>
    <row r="27" spans="2:23" ht="13.5" thickBot="1" x14ac:dyDescent="0.25">
      <c r="B27" s="54" t="s">
        <v>59</v>
      </c>
      <c r="C27" s="55"/>
      <c r="D27" s="56">
        <f>SUM(D7:D26)</f>
        <v>99.999999999999972</v>
      </c>
      <c r="E27" s="57">
        <f>SUM(E7:E26)</f>
        <v>100</v>
      </c>
      <c r="F27" s="58"/>
      <c r="G27" s="59"/>
      <c r="H27" s="60">
        <f>SUM(H7:H26)</f>
        <v>976.41889285785589</v>
      </c>
      <c r="I27" s="61"/>
      <c r="J27" s="60">
        <f>SUM(J7:J26)</f>
        <v>879.57260000000019</v>
      </c>
      <c r="K27" s="62">
        <f>SUM(K7:K26)</f>
        <v>16.260953400000002</v>
      </c>
      <c r="L27" s="63">
        <f>SUM(L7:L26)</f>
        <v>1.0000000000000002</v>
      </c>
      <c r="M27" s="16"/>
      <c r="N27" s="64" t="s">
        <v>60</v>
      </c>
    </row>
    <row r="28" spans="2:23" x14ac:dyDescent="0.2">
      <c r="B28" s="65"/>
      <c r="C28" s="66"/>
      <c r="F28" s="67"/>
      <c r="G28" s="68"/>
      <c r="H28" s="67"/>
      <c r="I28" s="68"/>
      <c r="J28" s="67"/>
      <c r="K28" s="68"/>
      <c r="L28" s="2"/>
      <c r="M28" s="16"/>
      <c r="N28" s="4" t="s">
        <v>61</v>
      </c>
      <c r="P28" s="69"/>
      <c r="Q28" s="70"/>
      <c r="W28" s="71"/>
    </row>
    <row r="29" spans="2:23" ht="12.95" customHeight="1" x14ac:dyDescent="0.2">
      <c r="C29" s="4"/>
      <c r="F29" s="4"/>
      <c r="O29" s="17"/>
      <c r="P29" s="69"/>
      <c r="Q29" s="70"/>
      <c r="W29" s="71"/>
    </row>
    <row r="30" spans="2:23" ht="16.5" thickBot="1" x14ac:dyDescent="0.3">
      <c r="B30" s="72" t="s">
        <v>62</v>
      </c>
      <c r="C30" s="72"/>
      <c r="D30" s="72"/>
      <c r="F30" s="4"/>
      <c r="M30" s="73"/>
      <c r="N30" s="73"/>
      <c r="O30" s="17"/>
      <c r="P30" s="69"/>
      <c r="Q30" s="70"/>
      <c r="W30" s="71"/>
    </row>
    <row r="31" spans="2:23" ht="57" customHeight="1" thickBot="1" x14ac:dyDescent="0.25">
      <c r="B31" s="74"/>
      <c r="C31" s="75"/>
      <c r="D31" s="76"/>
      <c r="E31" s="77" t="s">
        <v>63</v>
      </c>
      <c r="F31" s="78" t="s">
        <v>64</v>
      </c>
      <c r="G31" s="77" t="s">
        <v>65</v>
      </c>
      <c r="H31" s="77" t="s">
        <v>66</v>
      </c>
      <c r="I31" s="79" t="s">
        <v>67</v>
      </c>
      <c r="K31" s="383" t="s">
        <v>68</v>
      </c>
      <c r="L31" s="383"/>
      <c r="M31" s="383"/>
      <c r="N31" s="383"/>
      <c r="O31" s="383"/>
      <c r="P31" s="383"/>
      <c r="Q31" s="383"/>
      <c r="R31" s="383"/>
      <c r="W31" s="71"/>
    </row>
    <row r="32" spans="2:23" ht="15" customHeight="1" x14ac:dyDescent="0.2">
      <c r="B32" s="80" t="s">
        <v>15</v>
      </c>
      <c r="C32" s="81">
        <f t="shared" ref="C32:C41" si="13">E7</f>
        <v>12.000000000000004</v>
      </c>
      <c r="D32" s="82" t="s">
        <v>69</v>
      </c>
      <c r="E32" s="82">
        <v>0</v>
      </c>
      <c r="F32" s="83">
        <f>E32*C32</f>
        <v>0</v>
      </c>
      <c r="G32" s="84"/>
      <c r="H32" s="85"/>
      <c r="I32" s="86"/>
      <c r="K32" s="384" t="s">
        <v>70</v>
      </c>
      <c r="L32" s="385"/>
      <c r="M32" s="385"/>
      <c r="N32" s="386"/>
      <c r="O32" s="87">
        <f>H52</f>
        <v>0.7105544869220275</v>
      </c>
      <c r="P32" s="387"/>
      <c r="Q32" s="388"/>
      <c r="R32" s="389"/>
      <c r="W32" s="71"/>
    </row>
    <row r="33" spans="2:23" ht="15" customHeight="1" x14ac:dyDescent="0.2">
      <c r="B33" s="88" t="s">
        <v>19</v>
      </c>
      <c r="C33" s="89">
        <f t="shared" si="13"/>
        <v>0.20000000000000004</v>
      </c>
      <c r="D33" s="90" t="s">
        <v>71</v>
      </c>
      <c r="E33" s="90">
        <v>0</v>
      </c>
      <c r="F33" s="91">
        <f t="shared" ref="F33:F51" si="14">E33*C33</f>
        <v>0</v>
      </c>
      <c r="G33" s="45"/>
      <c r="H33" s="45"/>
      <c r="I33" s="39"/>
      <c r="K33" s="372" t="s">
        <v>72</v>
      </c>
      <c r="L33" s="373"/>
      <c r="M33" s="373"/>
      <c r="N33" s="374"/>
      <c r="O33" s="92">
        <f>K27</f>
        <v>16.260953400000002</v>
      </c>
      <c r="P33" s="378" t="s">
        <v>73</v>
      </c>
      <c r="Q33" s="379"/>
      <c r="R33" s="380"/>
      <c r="W33" s="71"/>
    </row>
    <row r="34" spans="2:23" ht="12" customHeight="1" x14ac:dyDescent="0.2">
      <c r="B34" s="88" t="s">
        <v>23</v>
      </c>
      <c r="C34" s="89">
        <f t="shared" si="13"/>
        <v>1.8000000000000003</v>
      </c>
      <c r="D34" s="90" t="s">
        <v>74</v>
      </c>
      <c r="E34" s="90">
        <v>0</v>
      </c>
      <c r="F34" s="91">
        <f t="shared" si="14"/>
        <v>0</v>
      </c>
      <c r="G34" s="45"/>
      <c r="H34" s="45"/>
      <c r="I34" s="93"/>
      <c r="J34" s="94"/>
      <c r="K34" s="372" t="s">
        <v>75</v>
      </c>
      <c r="L34" s="373"/>
      <c r="M34" s="373"/>
      <c r="N34" s="374"/>
      <c r="O34" s="95">
        <v>386.9</v>
      </c>
      <c r="P34" s="375" t="s">
        <v>197</v>
      </c>
      <c r="Q34" s="376"/>
      <c r="R34" s="377"/>
      <c r="W34" s="71"/>
    </row>
    <row r="35" spans="2:23" ht="15" customHeight="1" x14ac:dyDescent="0.2">
      <c r="B35" s="88" t="s">
        <v>27</v>
      </c>
      <c r="C35" s="89">
        <f t="shared" si="13"/>
        <v>0.20000000000000004</v>
      </c>
      <c r="D35" s="90" t="s">
        <v>76</v>
      </c>
      <c r="E35" s="90">
        <v>0</v>
      </c>
      <c r="F35" s="91">
        <f>E35*C35</f>
        <v>0</v>
      </c>
      <c r="G35" s="96"/>
      <c r="H35" s="45"/>
      <c r="I35" s="37"/>
      <c r="J35" s="73"/>
      <c r="K35" s="372"/>
      <c r="L35" s="373"/>
      <c r="M35" s="373"/>
      <c r="N35" s="374"/>
      <c r="O35" s="97">
        <f>O34*Q8</f>
        <v>853.11450000000002</v>
      </c>
      <c r="P35" s="378" t="s">
        <v>77</v>
      </c>
      <c r="Q35" s="379"/>
      <c r="R35" s="380"/>
    </row>
    <row r="36" spans="2:23" x14ac:dyDescent="0.2">
      <c r="B36" s="88" t="s">
        <v>31</v>
      </c>
      <c r="C36" s="89">
        <f t="shared" si="13"/>
        <v>80.000000000000028</v>
      </c>
      <c r="D36" s="98" t="s">
        <v>78</v>
      </c>
      <c r="E36" s="90">
        <v>1</v>
      </c>
      <c r="F36" s="91">
        <f>E36*C36</f>
        <v>80.000000000000028</v>
      </c>
      <c r="G36" s="96"/>
      <c r="H36" s="45"/>
      <c r="I36" s="37"/>
      <c r="J36" s="73"/>
      <c r="K36" s="372" t="s">
        <v>79</v>
      </c>
      <c r="L36" s="373"/>
      <c r="M36" s="373"/>
      <c r="N36" s="374"/>
      <c r="O36" s="99">
        <f>44/12*O32*O33/O35*0.001</f>
        <v>4.9660089550308502E-5</v>
      </c>
      <c r="P36" s="378" t="s">
        <v>80</v>
      </c>
      <c r="Q36" s="379"/>
      <c r="R36" s="380"/>
      <c r="W36" s="71"/>
    </row>
    <row r="37" spans="2:23" ht="15" customHeight="1" thickBot="1" x14ac:dyDescent="0.25">
      <c r="B37" s="88" t="s">
        <v>34</v>
      </c>
      <c r="C37" s="89">
        <f t="shared" si="13"/>
        <v>0.20000000000000004</v>
      </c>
      <c r="D37" s="98" t="s">
        <v>81</v>
      </c>
      <c r="E37" s="90">
        <v>1</v>
      </c>
      <c r="F37" s="91">
        <f t="shared" si="14"/>
        <v>0.20000000000000004</v>
      </c>
      <c r="G37" s="96"/>
      <c r="H37" s="45"/>
      <c r="I37" s="37"/>
      <c r="J37" s="73"/>
      <c r="K37" s="368"/>
      <c r="L37" s="369"/>
      <c r="M37" s="369"/>
      <c r="N37" s="369"/>
      <c r="O37" s="100">
        <f>O36*Q7</f>
        <v>4.9660089550308505E-2</v>
      </c>
      <c r="P37" s="370" t="s">
        <v>82</v>
      </c>
      <c r="Q37" s="370"/>
      <c r="R37" s="371"/>
      <c r="W37" s="71"/>
    </row>
    <row r="38" spans="2:23" x14ac:dyDescent="0.2">
      <c r="B38" s="88" t="s">
        <v>36</v>
      </c>
      <c r="C38" s="89">
        <f t="shared" si="13"/>
        <v>0.6000000000000002</v>
      </c>
      <c r="D38" s="90" t="s">
        <v>83</v>
      </c>
      <c r="E38" s="90">
        <v>1</v>
      </c>
      <c r="F38" s="91">
        <f t="shared" si="14"/>
        <v>0.6000000000000002</v>
      </c>
      <c r="G38" s="96"/>
      <c r="H38" s="45"/>
      <c r="I38" s="37"/>
      <c r="J38" s="73"/>
      <c r="L38" s="73"/>
      <c r="N38" s="101" t="s">
        <v>84</v>
      </c>
      <c r="O38" s="102" t="s">
        <v>85</v>
      </c>
      <c r="Q38" s="103"/>
    </row>
    <row r="39" spans="2:23" x14ac:dyDescent="0.2">
      <c r="B39" s="88" t="s">
        <v>38</v>
      </c>
      <c r="C39" s="89">
        <f t="shared" si="13"/>
        <v>0</v>
      </c>
      <c r="D39" s="90" t="s">
        <v>86</v>
      </c>
      <c r="E39" s="90">
        <v>2</v>
      </c>
      <c r="F39" s="91">
        <f t="shared" si="14"/>
        <v>0</v>
      </c>
      <c r="G39" s="96"/>
      <c r="H39" s="45"/>
      <c r="I39" s="39"/>
      <c r="Q39" s="103"/>
    </row>
    <row r="40" spans="2:23" x14ac:dyDescent="0.2">
      <c r="B40" s="88" t="s">
        <v>40</v>
      </c>
      <c r="C40" s="89">
        <f t="shared" si="13"/>
        <v>1.3000000000000005</v>
      </c>
      <c r="D40" s="90" t="s">
        <v>87</v>
      </c>
      <c r="E40" s="90">
        <v>2</v>
      </c>
      <c r="F40" s="91">
        <f t="shared" si="14"/>
        <v>2.600000000000001</v>
      </c>
      <c r="G40" s="96"/>
      <c r="H40" s="45"/>
      <c r="I40" s="39"/>
      <c r="N40" s="104" t="s">
        <v>88</v>
      </c>
      <c r="O40" s="105">
        <f>'Fuel Gas Props'!O37/H27*1000000*1.25</f>
        <v>63.574263455922633</v>
      </c>
      <c r="P40" s="21" t="s">
        <v>89</v>
      </c>
    </row>
    <row r="41" spans="2:23" x14ac:dyDescent="0.2">
      <c r="B41" s="88" t="s">
        <v>42</v>
      </c>
      <c r="C41" s="89">
        <f t="shared" si="13"/>
        <v>2.600000000000001</v>
      </c>
      <c r="D41" s="90" t="s">
        <v>90</v>
      </c>
      <c r="E41" s="90">
        <v>3</v>
      </c>
      <c r="F41" s="91">
        <f t="shared" si="14"/>
        <v>7.8000000000000025</v>
      </c>
      <c r="G41" s="96"/>
      <c r="H41" s="45"/>
      <c r="I41" s="39"/>
    </row>
    <row r="42" spans="2:23" x14ac:dyDescent="0.2">
      <c r="B42" s="88" t="s">
        <v>45</v>
      </c>
      <c r="C42" s="89">
        <f>E18</f>
        <v>0</v>
      </c>
      <c r="D42" s="90" t="s">
        <v>91</v>
      </c>
      <c r="E42" s="90">
        <v>3</v>
      </c>
      <c r="F42" s="91">
        <f t="shared" si="14"/>
        <v>0</v>
      </c>
      <c r="G42" s="96"/>
      <c r="H42" s="45"/>
      <c r="I42" s="39"/>
    </row>
    <row r="43" spans="2:23" x14ac:dyDescent="0.2">
      <c r="B43" s="88" t="s">
        <v>46</v>
      </c>
      <c r="C43" s="89">
        <f>E19</f>
        <v>0.10000000000000002</v>
      </c>
      <c r="D43" s="90" t="s">
        <v>92</v>
      </c>
      <c r="E43" s="90">
        <v>4</v>
      </c>
      <c r="F43" s="91">
        <f t="shared" si="14"/>
        <v>0.40000000000000008</v>
      </c>
      <c r="G43" s="96"/>
      <c r="H43" s="45"/>
      <c r="I43" s="39"/>
    </row>
    <row r="44" spans="2:23" x14ac:dyDescent="0.2">
      <c r="B44" s="88" t="s">
        <v>48</v>
      </c>
      <c r="C44" s="89">
        <f>E20</f>
        <v>0.50000000000000022</v>
      </c>
      <c r="D44" s="90" t="s">
        <v>92</v>
      </c>
      <c r="E44" s="90">
        <v>4</v>
      </c>
      <c r="F44" s="91">
        <f t="shared" si="14"/>
        <v>2.0000000000000009</v>
      </c>
      <c r="G44" s="96"/>
      <c r="H44" s="45"/>
      <c r="I44" s="39"/>
      <c r="O44" s="106"/>
      <c r="Q44" s="103"/>
    </row>
    <row r="45" spans="2:23" x14ac:dyDescent="0.2">
      <c r="B45" s="88" t="s">
        <v>50</v>
      </c>
      <c r="C45" s="89">
        <f>E21</f>
        <v>0</v>
      </c>
      <c r="D45" s="90" t="s">
        <v>93</v>
      </c>
      <c r="E45" s="90">
        <v>4</v>
      </c>
      <c r="F45" s="91">
        <f t="shared" si="14"/>
        <v>0</v>
      </c>
      <c r="G45" s="96"/>
      <c r="H45" s="45"/>
      <c r="I45" s="39"/>
      <c r="O45" s="106"/>
      <c r="Q45" s="103"/>
    </row>
    <row r="46" spans="2:23" x14ac:dyDescent="0.2">
      <c r="B46" s="88" t="s">
        <v>94</v>
      </c>
      <c r="C46" s="89">
        <f>E17</f>
        <v>0</v>
      </c>
      <c r="D46" s="90" t="s">
        <v>93</v>
      </c>
      <c r="E46" s="90">
        <v>4</v>
      </c>
      <c r="F46" s="91">
        <f t="shared" si="14"/>
        <v>0</v>
      </c>
      <c r="G46" s="96"/>
      <c r="H46" s="45"/>
      <c r="I46" s="39"/>
      <c r="O46" s="106"/>
      <c r="Q46" s="103"/>
    </row>
    <row r="47" spans="2:23" x14ac:dyDescent="0.2">
      <c r="B47" s="88" t="s">
        <v>51</v>
      </c>
      <c r="C47" s="89">
        <f>E22</f>
        <v>0</v>
      </c>
      <c r="D47" s="90" t="s">
        <v>93</v>
      </c>
      <c r="E47" s="90">
        <v>4</v>
      </c>
      <c r="F47" s="91">
        <f t="shared" si="14"/>
        <v>0</v>
      </c>
      <c r="G47" s="96"/>
      <c r="H47" s="45"/>
      <c r="I47" s="39"/>
      <c r="O47" s="106"/>
      <c r="Q47" s="103"/>
    </row>
    <row r="48" spans="2:23" x14ac:dyDescent="0.2">
      <c r="B48" s="88" t="s">
        <v>52</v>
      </c>
      <c r="C48" s="89">
        <f>E23</f>
        <v>0</v>
      </c>
      <c r="D48" s="90" t="s">
        <v>93</v>
      </c>
      <c r="E48" s="90">
        <v>4</v>
      </c>
      <c r="F48" s="91">
        <f t="shared" si="14"/>
        <v>0</v>
      </c>
      <c r="G48" s="96"/>
      <c r="H48" s="45"/>
      <c r="I48" s="39"/>
      <c r="O48" s="106"/>
      <c r="Q48" s="103"/>
    </row>
    <row r="49" spans="2:24" x14ac:dyDescent="0.2">
      <c r="B49" s="88" t="s">
        <v>53</v>
      </c>
      <c r="C49" s="89">
        <f>E24</f>
        <v>0.10000000000000002</v>
      </c>
      <c r="D49" s="90" t="s">
        <v>95</v>
      </c>
      <c r="E49" s="90">
        <v>5</v>
      </c>
      <c r="F49" s="91">
        <f t="shared" si="14"/>
        <v>0.50000000000000011</v>
      </c>
      <c r="G49" s="96"/>
      <c r="H49" s="45"/>
      <c r="I49" s="37"/>
      <c r="J49" s="73"/>
      <c r="K49" s="73"/>
      <c r="L49" s="73"/>
      <c r="M49" s="107"/>
      <c r="N49" s="108"/>
      <c r="O49" s="108"/>
      <c r="Q49" s="103"/>
    </row>
    <row r="50" spans="2:24" x14ac:dyDescent="0.2">
      <c r="B50" s="88" t="s">
        <v>55</v>
      </c>
      <c r="C50" s="89">
        <f>E25</f>
        <v>0.3000000000000001</v>
      </c>
      <c r="D50" s="90" t="s">
        <v>95</v>
      </c>
      <c r="E50" s="90">
        <v>5</v>
      </c>
      <c r="F50" s="91">
        <f t="shared" si="14"/>
        <v>1.5000000000000004</v>
      </c>
      <c r="G50" s="96"/>
      <c r="H50" s="90"/>
      <c r="I50" s="37"/>
      <c r="J50" s="73"/>
      <c r="K50" s="73"/>
      <c r="L50" s="73"/>
      <c r="M50" s="107"/>
      <c r="N50" s="108"/>
      <c r="O50" s="109"/>
      <c r="Q50" s="103"/>
    </row>
    <row r="51" spans="2:24" ht="13.5" thickBot="1" x14ac:dyDescent="0.25">
      <c r="B51" s="110" t="s">
        <v>96</v>
      </c>
      <c r="C51" s="111">
        <f>E26</f>
        <v>0.10000000000000002</v>
      </c>
      <c r="D51" s="112" t="s">
        <v>97</v>
      </c>
      <c r="E51" s="112">
        <v>6</v>
      </c>
      <c r="F51" s="113">
        <f t="shared" si="14"/>
        <v>0.60000000000000009</v>
      </c>
      <c r="G51" s="114"/>
      <c r="H51" s="115"/>
      <c r="I51" s="53"/>
      <c r="J51" s="73"/>
      <c r="K51" s="73"/>
      <c r="L51" s="73"/>
      <c r="M51" s="106"/>
      <c r="Q51" s="73"/>
    </row>
    <row r="52" spans="2:24" ht="13.5" thickBot="1" x14ac:dyDescent="0.25">
      <c r="B52" s="116" t="s">
        <v>59</v>
      </c>
      <c r="C52" s="117">
        <f>SUM(C32:C51)</f>
        <v>100</v>
      </c>
      <c r="D52" s="118"/>
      <c r="E52" s="118"/>
      <c r="F52" s="119">
        <f>SUM(F32:F51)</f>
        <v>96.200000000000017</v>
      </c>
      <c r="G52" s="119">
        <f>F52*O7/100</f>
        <v>11.554293400000001</v>
      </c>
      <c r="H52" s="120">
        <f>G52/K27</f>
        <v>0.7105544869220275</v>
      </c>
      <c r="I52" s="121">
        <f>G52/K27</f>
        <v>0.7105544869220275</v>
      </c>
      <c r="J52" s="73"/>
      <c r="K52" s="73"/>
      <c r="L52" s="73"/>
      <c r="M52" s="106"/>
      <c r="Q52" s="73"/>
    </row>
    <row r="53" spans="2:24" x14ac:dyDescent="0.2">
      <c r="D53" s="73"/>
      <c r="E53" s="73"/>
      <c r="F53" s="106"/>
      <c r="G53" s="122"/>
      <c r="H53" s="106"/>
      <c r="I53" s="73"/>
      <c r="J53" s="73"/>
      <c r="K53" s="73"/>
      <c r="L53" s="73"/>
      <c r="M53" s="106"/>
      <c r="Q53" s="73"/>
    </row>
    <row r="54" spans="2:24" outlineLevel="1" x14ac:dyDescent="0.2">
      <c r="D54" s="73"/>
      <c r="E54" s="73"/>
      <c r="F54" s="106"/>
      <c r="G54" s="122"/>
      <c r="H54" s="106"/>
      <c r="I54" s="73"/>
      <c r="J54" s="73"/>
      <c r="K54" s="73"/>
      <c r="L54" s="73"/>
      <c r="M54" s="106"/>
      <c r="Q54" s="73"/>
    </row>
    <row r="55" spans="2:24" ht="16.5" outlineLevel="1" thickBot="1" x14ac:dyDescent="0.3">
      <c r="B55" s="72" t="s">
        <v>98</v>
      </c>
      <c r="C55" s="72"/>
      <c r="D55" s="72"/>
      <c r="F55" s="4"/>
      <c r="G55" s="106"/>
      <c r="H55" s="106"/>
      <c r="I55" s="73"/>
      <c r="J55" s="73"/>
      <c r="K55" s="73"/>
      <c r="L55" s="73"/>
      <c r="M55" s="106"/>
      <c r="Q55" s="73"/>
    </row>
    <row r="56" spans="2:24" ht="48.75" outlineLevel="1" x14ac:dyDescent="0.2">
      <c r="B56" s="123" t="s">
        <v>99</v>
      </c>
      <c r="C56" s="124" t="s">
        <v>16</v>
      </c>
      <c r="D56" s="125" t="s">
        <v>20</v>
      </c>
      <c r="E56" s="125" t="s">
        <v>24</v>
      </c>
      <c r="F56" s="125" t="s">
        <v>32</v>
      </c>
      <c r="G56" s="125" t="s">
        <v>35</v>
      </c>
      <c r="H56" s="125" t="s">
        <v>37</v>
      </c>
      <c r="I56" s="125" t="s">
        <v>41</v>
      </c>
      <c r="J56" s="125" t="s">
        <v>39</v>
      </c>
      <c r="K56" s="125" t="s">
        <v>43</v>
      </c>
      <c r="L56" s="125" t="s">
        <v>169</v>
      </c>
      <c r="M56" s="125" t="s">
        <v>47</v>
      </c>
      <c r="N56" s="125" t="s">
        <v>170</v>
      </c>
      <c r="O56" s="125" t="s">
        <v>171</v>
      </c>
      <c r="P56" s="125" t="s">
        <v>172</v>
      </c>
      <c r="Q56" s="125" t="s">
        <v>173</v>
      </c>
      <c r="R56" s="125" t="s">
        <v>174</v>
      </c>
      <c r="S56" s="125" t="s">
        <v>54</v>
      </c>
      <c r="T56" s="125" t="s">
        <v>175</v>
      </c>
      <c r="U56" s="124" t="s">
        <v>176</v>
      </c>
      <c r="V56" s="126"/>
      <c r="W56" s="127"/>
      <c r="X56" s="127"/>
    </row>
    <row r="57" spans="2:24" ht="16.5" outlineLevel="1" thickBot="1" x14ac:dyDescent="0.25">
      <c r="B57" s="128" t="s">
        <v>100</v>
      </c>
      <c r="C57" s="129" t="s">
        <v>101</v>
      </c>
      <c r="D57" s="129" t="s">
        <v>71</v>
      </c>
      <c r="E57" s="129" t="s">
        <v>74</v>
      </c>
      <c r="F57" s="129" t="s">
        <v>78</v>
      </c>
      <c r="G57" s="129" t="s">
        <v>177</v>
      </c>
      <c r="H57" s="129" t="s">
        <v>83</v>
      </c>
      <c r="I57" s="129" t="s">
        <v>178</v>
      </c>
      <c r="J57" s="129" t="s">
        <v>179</v>
      </c>
      <c r="K57" s="129" t="s">
        <v>180</v>
      </c>
      <c r="L57" s="129" t="s">
        <v>181</v>
      </c>
      <c r="M57" s="129" t="s">
        <v>182</v>
      </c>
      <c r="N57" s="129" t="s">
        <v>183</v>
      </c>
      <c r="O57" s="129" t="s">
        <v>184</v>
      </c>
      <c r="P57" s="129" t="s">
        <v>185</v>
      </c>
      <c r="Q57" s="129" t="s">
        <v>186</v>
      </c>
      <c r="R57" s="129" t="s">
        <v>187</v>
      </c>
      <c r="S57" s="129" t="s">
        <v>188</v>
      </c>
      <c r="T57" s="129" t="s">
        <v>189</v>
      </c>
      <c r="U57" s="129" t="s">
        <v>190</v>
      </c>
      <c r="V57" s="130" t="s">
        <v>102</v>
      </c>
      <c r="W57" s="131"/>
      <c r="X57" s="127"/>
    </row>
    <row r="58" spans="2:24" outlineLevel="1" x14ac:dyDescent="0.2">
      <c r="B58" s="132" t="s">
        <v>103</v>
      </c>
      <c r="C58" s="133">
        <f>D7</f>
        <v>12</v>
      </c>
      <c r="D58" s="133">
        <f>D8</f>
        <v>0.2</v>
      </c>
      <c r="E58" s="133">
        <f>D9</f>
        <v>1.7999999999999998</v>
      </c>
      <c r="F58" s="133">
        <f>D11</f>
        <v>80</v>
      </c>
      <c r="G58" s="133">
        <f>D12</f>
        <v>0.2</v>
      </c>
      <c r="H58" s="133">
        <f>D13</f>
        <v>0.6</v>
      </c>
      <c r="I58" s="133">
        <f>D15</f>
        <v>1.3</v>
      </c>
      <c r="J58" s="133">
        <f>D14</f>
        <v>0</v>
      </c>
      <c r="K58" s="133">
        <f>D16</f>
        <v>2.6</v>
      </c>
      <c r="L58" s="133">
        <f>D18</f>
        <v>0</v>
      </c>
      <c r="M58" s="133">
        <f>D19</f>
        <v>0.1</v>
      </c>
      <c r="N58" s="133">
        <f>D20</f>
        <v>0.5</v>
      </c>
      <c r="O58" s="133">
        <f>D17</f>
        <v>0</v>
      </c>
      <c r="P58" s="133">
        <f>D22</f>
        <v>0</v>
      </c>
      <c r="Q58" s="133">
        <f>D21</f>
        <v>0</v>
      </c>
      <c r="R58" s="133">
        <f>D23</f>
        <v>0</v>
      </c>
      <c r="S58" s="133">
        <f>D24</f>
        <v>0.1</v>
      </c>
      <c r="T58" s="133">
        <f>D25</f>
        <v>0.3</v>
      </c>
      <c r="U58" s="133">
        <f>D26</f>
        <v>0.1</v>
      </c>
      <c r="V58" s="134">
        <f>SUM(C58:U58)</f>
        <v>99.799999999999969</v>
      </c>
      <c r="W58" s="135"/>
      <c r="X58" s="127"/>
    </row>
    <row r="59" spans="2:24" ht="13.5" outlineLevel="1" thickBot="1" x14ac:dyDescent="0.25">
      <c r="B59" s="136" t="s">
        <v>104</v>
      </c>
      <c r="C59" s="137">
        <f t="shared" ref="C59:U59" si="15">C58*100/$V$58</f>
        <v>12.024048096192388</v>
      </c>
      <c r="D59" s="137">
        <f t="shared" si="15"/>
        <v>0.20040080160320647</v>
      </c>
      <c r="E59" s="137">
        <f t="shared" si="15"/>
        <v>1.803607214428858</v>
      </c>
      <c r="F59" s="137">
        <f t="shared" si="15"/>
        <v>80.160320641282595</v>
      </c>
      <c r="G59" s="137">
        <f t="shared" si="15"/>
        <v>0.20040080160320647</v>
      </c>
      <c r="H59" s="137">
        <f t="shared" si="15"/>
        <v>0.6012024048096194</v>
      </c>
      <c r="I59" s="137">
        <f t="shared" si="15"/>
        <v>1.3026052104208421</v>
      </c>
      <c r="J59" s="137">
        <f t="shared" si="15"/>
        <v>0</v>
      </c>
      <c r="K59" s="137">
        <f t="shared" si="15"/>
        <v>2.6052104208416842</v>
      </c>
      <c r="L59" s="137">
        <f t="shared" si="15"/>
        <v>0</v>
      </c>
      <c r="M59" s="137">
        <f t="shared" si="15"/>
        <v>0.10020040080160324</v>
      </c>
      <c r="N59" s="137">
        <f t="shared" si="15"/>
        <v>0.5010020040080162</v>
      </c>
      <c r="O59" s="137">
        <f t="shared" si="15"/>
        <v>0</v>
      </c>
      <c r="P59" s="137">
        <f t="shared" si="15"/>
        <v>0</v>
      </c>
      <c r="Q59" s="137">
        <f t="shared" si="15"/>
        <v>0</v>
      </c>
      <c r="R59" s="137">
        <f t="shared" si="15"/>
        <v>0</v>
      </c>
      <c r="S59" s="137">
        <f t="shared" si="15"/>
        <v>0.10020040080160324</v>
      </c>
      <c r="T59" s="137">
        <f t="shared" si="15"/>
        <v>0.3006012024048097</v>
      </c>
      <c r="U59" s="137">
        <f t="shared" si="15"/>
        <v>0.10020040080160324</v>
      </c>
      <c r="V59" s="138">
        <f>SUM(C59:U59)</f>
        <v>100.00000000000001</v>
      </c>
      <c r="W59" s="135"/>
      <c r="X59" s="127"/>
    </row>
    <row r="60" spans="2:24" ht="13.5" outlineLevel="1" thickBot="1" x14ac:dyDescent="0.25"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27"/>
    </row>
    <row r="61" spans="2:24" ht="13.5" outlineLevel="1" thickBot="1" x14ac:dyDescent="0.25"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9" t="s">
        <v>59</v>
      </c>
      <c r="W61" s="135"/>
      <c r="X61" s="127"/>
    </row>
    <row r="62" spans="2:24" outlineLevel="1" x14ac:dyDescent="0.2">
      <c r="B62" s="140" t="s">
        <v>105</v>
      </c>
      <c r="C62" s="141">
        <v>2.016</v>
      </c>
      <c r="D62" s="141">
        <v>32</v>
      </c>
      <c r="E62" s="141">
        <v>28.015999999999998</v>
      </c>
      <c r="F62" s="141">
        <v>16.041</v>
      </c>
      <c r="G62" s="141">
        <v>28.01</v>
      </c>
      <c r="H62" s="141">
        <v>44.01</v>
      </c>
      <c r="I62" s="141">
        <v>30.067</v>
      </c>
      <c r="J62" s="141">
        <v>28.050999999999998</v>
      </c>
      <c r="K62" s="141">
        <v>44.091999999999999</v>
      </c>
      <c r="L62" s="141">
        <v>42.076999999999998</v>
      </c>
      <c r="M62" s="141">
        <v>58.118000000000002</v>
      </c>
      <c r="N62" s="141">
        <v>58.118000000000002</v>
      </c>
      <c r="O62" s="141">
        <v>56.106299999999997</v>
      </c>
      <c r="P62" s="141">
        <v>56.106299999999997</v>
      </c>
      <c r="Q62" s="141">
        <v>56.106299999999997</v>
      </c>
      <c r="R62" s="141">
        <v>56.106299999999997</v>
      </c>
      <c r="S62" s="141">
        <v>72.144000000000005</v>
      </c>
      <c r="T62" s="141">
        <v>72.144000000000005</v>
      </c>
      <c r="U62" s="142">
        <v>86.18</v>
      </c>
      <c r="V62" s="143"/>
      <c r="W62" s="135"/>
      <c r="X62" s="127"/>
    </row>
    <row r="63" spans="2:24" outlineLevel="1" x14ac:dyDescent="0.2">
      <c r="B63" s="144" t="s">
        <v>106</v>
      </c>
      <c r="C63" s="145">
        <v>3</v>
      </c>
      <c r="D63" s="145">
        <f t="shared" ref="D63:U63" si="16">D59*D62</f>
        <v>6.4128256513026072</v>
      </c>
      <c r="E63" s="145">
        <f t="shared" si="16"/>
        <v>50.529859719438882</v>
      </c>
      <c r="F63" s="145">
        <f t="shared" si="16"/>
        <v>1285.8517034068141</v>
      </c>
      <c r="G63" s="145">
        <f t="shared" si="16"/>
        <v>5.6132264529058133</v>
      </c>
      <c r="H63" s="145">
        <f t="shared" si="16"/>
        <v>26.458917835671347</v>
      </c>
      <c r="I63" s="145">
        <f t="shared" si="16"/>
        <v>39.165430861723458</v>
      </c>
      <c r="J63" s="145">
        <f t="shared" si="16"/>
        <v>0</v>
      </c>
      <c r="K63" s="145">
        <f t="shared" si="16"/>
        <v>114.86893787575154</v>
      </c>
      <c r="L63" s="145">
        <f t="shared" si="16"/>
        <v>0</v>
      </c>
      <c r="M63" s="145">
        <f t="shared" si="16"/>
        <v>5.823446893787577</v>
      </c>
      <c r="N63" s="145">
        <f t="shared" si="16"/>
        <v>29.117234468937887</v>
      </c>
      <c r="O63" s="145">
        <f t="shared" si="16"/>
        <v>0</v>
      </c>
      <c r="P63" s="145">
        <f t="shared" si="16"/>
        <v>0</v>
      </c>
      <c r="Q63" s="145">
        <f t="shared" si="16"/>
        <v>0</v>
      </c>
      <c r="R63" s="145">
        <f t="shared" si="16"/>
        <v>0</v>
      </c>
      <c r="S63" s="145">
        <f t="shared" si="16"/>
        <v>7.2288577154308644</v>
      </c>
      <c r="T63" s="145">
        <f t="shared" si="16"/>
        <v>21.686573146292591</v>
      </c>
      <c r="U63" s="146">
        <f t="shared" si="16"/>
        <v>8.6352705410821677</v>
      </c>
      <c r="V63" s="147">
        <f>SUM(C63:U63)</f>
        <v>1604.3922845691388</v>
      </c>
      <c r="W63" s="135"/>
    </row>
    <row r="64" spans="2:24" outlineLevel="1" x14ac:dyDescent="0.2">
      <c r="B64" s="144" t="s">
        <v>107</v>
      </c>
      <c r="C64" s="223">
        <f>C63/$V$63</f>
        <v>1.8698668828400985E-3</v>
      </c>
      <c r="D64" s="223">
        <f t="shared" ref="D64:U64" si="17">D63/$V$63</f>
        <v>3.9970434369327439E-3</v>
      </c>
      <c r="E64" s="223">
        <f t="shared" si="17"/>
        <v>3.1494703761311547E-2</v>
      </c>
      <c r="F64" s="223">
        <f t="shared" si="17"/>
        <v>0.80145717214797674</v>
      </c>
      <c r="G64" s="223">
        <f t="shared" si="17"/>
        <v>3.4986620833901924E-3</v>
      </c>
      <c r="H64" s="223">
        <f t="shared" si="17"/>
        <v>1.6491551405569689E-2</v>
      </c>
      <c r="I64" s="223">
        <f t="shared" si="17"/>
        <v>2.4411380706833411E-2</v>
      </c>
      <c r="J64" s="223">
        <f t="shared" si="17"/>
        <v>0</v>
      </c>
      <c r="K64" s="223">
        <f t="shared" si="17"/>
        <v>7.1596540933628161E-2</v>
      </c>
      <c r="L64" s="223">
        <f t="shared" si="17"/>
        <v>0</v>
      </c>
      <c r="M64" s="223">
        <f t="shared" si="17"/>
        <v>3.6296901635571436E-3</v>
      </c>
      <c r="N64" s="223">
        <f t="shared" si="17"/>
        <v>1.8148450817785721E-2</v>
      </c>
      <c r="O64" s="223">
        <f t="shared" si="17"/>
        <v>0</v>
      </c>
      <c r="P64" s="223">
        <f t="shared" si="17"/>
        <v>0</v>
      </c>
      <c r="Q64" s="223">
        <f t="shared" si="17"/>
        <v>0</v>
      </c>
      <c r="R64" s="223">
        <f t="shared" si="17"/>
        <v>0</v>
      </c>
      <c r="S64" s="223">
        <f t="shared" si="17"/>
        <v>4.5056672142824352E-3</v>
      </c>
      <c r="T64" s="223">
        <f t="shared" si="17"/>
        <v>1.3517001642847306E-2</v>
      </c>
      <c r="U64" s="224">
        <f t="shared" si="17"/>
        <v>5.3822688030447478E-3</v>
      </c>
      <c r="V64" s="225">
        <f>SUM(C64:U64)</f>
        <v>1.0000000000000002</v>
      </c>
      <c r="W64" s="135"/>
    </row>
    <row r="65" spans="2:24" outlineLevel="1" x14ac:dyDescent="0.2">
      <c r="B65" s="148" t="s">
        <v>108</v>
      </c>
      <c r="C65" s="92">
        <v>61.1</v>
      </c>
      <c r="D65" s="92">
        <v>0</v>
      </c>
      <c r="E65" s="92">
        <v>0</v>
      </c>
      <c r="F65" s="92">
        <v>23.879000000000001</v>
      </c>
      <c r="G65" s="92">
        <v>4.3470000000000004</v>
      </c>
      <c r="H65" s="92">
        <v>0</v>
      </c>
      <c r="I65" s="92">
        <v>22.32</v>
      </c>
      <c r="J65" s="92">
        <v>21.643999999999998</v>
      </c>
      <c r="K65" s="92">
        <v>21.661000000000001</v>
      </c>
      <c r="L65" s="92">
        <v>21.041</v>
      </c>
      <c r="M65" s="92">
        <v>21.257000000000001</v>
      </c>
      <c r="N65" s="92">
        <v>21.308</v>
      </c>
      <c r="O65" s="92">
        <v>20.84</v>
      </c>
      <c r="P65" s="92">
        <v>20.73</v>
      </c>
      <c r="Q65" s="215">
        <f>P65</f>
        <v>20.73</v>
      </c>
      <c r="R65" s="215">
        <f>Q65</f>
        <v>20.73</v>
      </c>
      <c r="S65" s="92">
        <v>21.052</v>
      </c>
      <c r="T65" s="92">
        <v>21.091000000000001</v>
      </c>
      <c r="U65" s="216">
        <v>20.97</v>
      </c>
      <c r="V65" s="149"/>
      <c r="W65" s="150"/>
      <c r="X65" s="127"/>
    </row>
    <row r="66" spans="2:24" outlineLevel="1" x14ac:dyDescent="0.2">
      <c r="B66" s="148" t="s">
        <v>109</v>
      </c>
      <c r="C66" s="92">
        <f t="shared" ref="C66:U66" si="18">C65*C64</f>
        <v>0.11424886654153002</v>
      </c>
      <c r="D66" s="92">
        <f t="shared" si="18"/>
        <v>0</v>
      </c>
      <c r="E66" s="92">
        <f t="shared" si="18"/>
        <v>0</v>
      </c>
      <c r="F66" s="92">
        <f t="shared" si="18"/>
        <v>19.137995813721538</v>
      </c>
      <c r="G66" s="92">
        <f t="shared" si="18"/>
        <v>1.5208684076497168E-2</v>
      </c>
      <c r="H66" s="92">
        <f t="shared" si="18"/>
        <v>0</v>
      </c>
      <c r="I66" s="92">
        <f t="shared" si="18"/>
        <v>0.54486201737652173</v>
      </c>
      <c r="J66" s="92">
        <f t="shared" si="18"/>
        <v>0</v>
      </c>
      <c r="K66" s="92">
        <f t="shared" si="18"/>
        <v>1.5508526731633197</v>
      </c>
      <c r="L66" s="92">
        <f t="shared" si="18"/>
        <v>0</v>
      </c>
      <c r="M66" s="92">
        <f t="shared" si="18"/>
        <v>7.7156323806734206E-2</v>
      </c>
      <c r="N66" s="92">
        <f t="shared" si="18"/>
        <v>0.38670719002537812</v>
      </c>
      <c r="O66" s="92">
        <f t="shared" si="18"/>
        <v>0</v>
      </c>
      <c r="P66" s="92">
        <f t="shared" si="18"/>
        <v>0</v>
      </c>
      <c r="Q66" s="92">
        <f t="shared" si="18"/>
        <v>0</v>
      </c>
      <c r="R66" s="92">
        <f t="shared" si="18"/>
        <v>0</v>
      </c>
      <c r="S66" s="92">
        <f t="shared" si="18"/>
        <v>9.485330619507383E-2</v>
      </c>
      <c r="T66" s="92">
        <f t="shared" si="18"/>
        <v>0.28508708164929253</v>
      </c>
      <c r="U66" s="151">
        <f t="shared" si="18"/>
        <v>0.11286617679984835</v>
      </c>
      <c r="V66" s="147">
        <f>SUM(C66:U66)</f>
        <v>22.319838133355738</v>
      </c>
      <c r="W66" s="127"/>
      <c r="X66" s="152"/>
    </row>
    <row r="67" spans="2:24" outlineLevel="1" x14ac:dyDescent="0.2">
      <c r="B67" s="148" t="s">
        <v>110</v>
      </c>
      <c r="C67" s="92">
        <f>1/2</f>
        <v>0.5</v>
      </c>
      <c r="D67" s="92">
        <v>0</v>
      </c>
      <c r="E67" s="92" t="s">
        <v>111</v>
      </c>
      <c r="F67" s="92">
        <f>F79+F78/4</f>
        <v>2</v>
      </c>
      <c r="G67" s="92">
        <v>0.5</v>
      </c>
      <c r="H67" s="92">
        <v>0</v>
      </c>
      <c r="I67" s="92">
        <f>I79+I78/4</f>
        <v>3.5</v>
      </c>
      <c r="J67" s="92">
        <f>J79+J78/4</f>
        <v>3</v>
      </c>
      <c r="K67" s="92">
        <f>K79+K78/4</f>
        <v>5</v>
      </c>
      <c r="L67" s="92">
        <f t="shared" ref="L67:U67" si="19">L79+L78/4</f>
        <v>4.5</v>
      </c>
      <c r="M67" s="92">
        <f t="shared" si="19"/>
        <v>6.5</v>
      </c>
      <c r="N67" s="92">
        <f t="shared" si="19"/>
        <v>6.5</v>
      </c>
      <c r="O67" s="92">
        <f t="shared" si="19"/>
        <v>6</v>
      </c>
      <c r="P67" s="92">
        <f t="shared" si="19"/>
        <v>6</v>
      </c>
      <c r="Q67" s="92">
        <f t="shared" si="19"/>
        <v>6</v>
      </c>
      <c r="R67" s="92">
        <f t="shared" si="19"/>
        <v>6</v>
      </c>
      <c r="S67" s="92">
        <f t="shared" si="19"/>
        <v>8</v>
      </c>
      <c r="T67" s="92">
        <f t="shared" si="19"/>
        <v>8</v>
      </c>
      <c r="U67" s="151">
        <f t="shared" si="19"/>
        <v>9.5</v>
      </c>
      <c r="V67" s="153"/>
      <c r="W67" s="127"/>
      <c r="X67" s="152"/>
    </row>
    <row r="68" spans="2:24" outlineLevel="1" x14ac:dyDescent="0.2">
      <c r="B68" s="148" t="s">
        <v>112</v>
      </c>
      <c r="C68" s="92">
        <f>C67*0.79/0.21</f>
        <v>1.8809523809523812</v>
      </c>
      <c r="D68" s="92">
        <v>0</v>
      </c>
      <c r="E68" s="92">
        <v>1</v>
      </c>
      <c r="F68" s="92">
        <f>F67*0.79/0.21</f>
        <v>7.5238095238095246</v>
      </c>
      <c r="G68" s="92">
        <f t="shared" ref="G68:U68" si="20">G67*0.79/0.21</f>
        <v>1.8809523809523812</v>
      </c>
      <c r="H68" s="92">
        <f t="shared" si="20"/>
        <v>0</v>
      </c>
      <c r="I68" s="92">
        <f t="shared" si="20"/>
        <v>13.166666666666668</v>
      </c>
      <c r="J68" s="92">
        <f t="shared" si="20"/>
        <v>11.285714285714286</v>
      </c>
      <c r="K68" s="92">
        <f t="shared" si="20"/>
        <v>18.80952380952381</v>
      </c>
      <c r="L68" s="92">
        <f t="shared" si="20"/>
        <v>16.928571428571431</v>
      </c>
      <c r="M68" s="92">
        <f t="shared" si="20"/>
        <v>24.452380952380953</v>
      </c>
      <c r="N68" s="92">
        <f t="shared" si="20"/>
        <v>24.452380952380953</v>
      </c>
      <c r="O68" s="92">
        <f t="shared" si="20"/>
        <v>22.571428571428573</v>
      </c>
      <c r="P68" s="92">
        <f t="shared" si="20"/>
        <v>22.571428571428573</v>
      </c>
      <c r="Q68" s="92">
        <f t="shared" si="20"/>
        <v>22.571428571428573</v>
      </c>
      <c r="R68" s="92">
        <f t="shared" si="20"/>
        <v>22.571428571428573</v>
      </c>
      <c r="S68" s="92">
        <f t="shared" si="20"/>
        <v>30.095238095238098</v>
      </c>
      <c r="T68" s="92">
        <f t="shared" si="20"/>
        <v>30.095238095238098</v>
      </c>
      <c r="U68" s="151">
        <f t="shared" si="20"/>
        <v>35.738095238095241</v>
      </c>
      <c r="V68" s="153"/>
      <c r="W68" s="127"/>
      <c r="X68" s="152"/>
    </row>
    <row r="69" spans="2:24" outlineLevel="1" x14ac:dyDescent="0.2">
      <c r="B69" s="148" t="s">
        <v>113</v>
      </c>
      <c r="C69" s="92">
        <f t="shared" ref="C69:U69" si="21">C68*C59/100</f>
        <v>0.22616661895219017</v>
      </c>
      <c r="D69" s="92">
        <f t="shared" si="21"/>
        <v>0</v>
      </c>
      <c r="E69" s="92">
        <f t="shared" si="21"/>
        <v>1.8036072144288581E-2</v>
      </c>
      <c r="F69" s="92">
        <f t="shared" si="21"/>
        <v>6.0311098387250714</v>
      </c>
      <c r="G69" s="92">
        <f t="shared" si="21"/>
        <v>3.7694436492031694E-3</v>
      </c>
      <c r="H69" s="92">
        <f t="shared" si="21"/>
        <v>0</v>
      </c>
      <c r="I69" s="92">
        <f t="shared" si="21"/>
        <v>0.17150968603874422</v>
      </c>
      <c r="J69" s="92">
        <f t="shared" si="21"/>
        <v>0</v>
      </c>
      <c r="K69" s="92">
        <f t="shared" si="21"/>
        <v>0.49002767439641204</v>
      </c>
      <c r="L69" s="92">
        <f t="shared" si="21"/>
        <v>0</v>
      </c>
      <c r="M69" s="92">
        <f t="shared" si="21"/>
        <v>2.4501383719820601E-2</v>
      </c>
      <c r="N69" s="92">
        <f t="shared" si="21"/>
        <v>0.12250691859910301</v>
      </c>
      <c r="O69" s="92">
        <f t="shared" si="21"/>
        <v>0</v>
      </c>
      <c r="P69" s="92">
        <f t="shared" si="21"/>
        <v>0</v>
      </c>
      <c r="Q69" s="92">
        <f t="shared" si="21"/>
        <v>0</v>
      </c>
      <c r="R69" s="92">
        <f t="shared" si="21"/>
        <v>0</v>
      </c>
      <c r="S69" s="92">
        <f t="shared" si="21"/>
        <v>3.0155549193625356E-2</v>
      </c>
      <c r="T69" s="92">
        <f t="shared" si="21"/>
        <v>9.0466647580876067E-2</v>
      </c>
      <c r="U69" s="151">
        <f t="shared" si="21"/>
        <v>3.5809714667430111E-2</v>
      </c>
      <c r="V69" s="153"/>
      <c r="W69" s="127"/>
      <c r="X69" s="152"/>
    </row>
    <row r="70" spans="2:24" outlineLevel="1" x14ac:dyDescent="0.2">
      <c r="B70" s="148" t="s">
        <v>114</v>
      </c>
      <c r="C70" s="92">
        <f>C79</f>
        <v>0</v>
      </c>
      <c r="D70" s="92">
        <f t="shared" ref="D70:U70" si="22">D79</f>
        <v>0</v>
      </c>
      <c r="E70" s="92">
        <f t="shared" si="22"/>
        <v>0</v>
      </c>
      <c r="F70" s="92">
        <f t="shared" si="22"/>
        <v>1</v>
      </c>
      <c r="G70" s="92">
        <f t="shared" si="22"/>
        <v>1</v>
      </c>
      <c r="H70" s="92">
        <f t="shared" si="22"/>
        <v>1</v>
      </c>
      <c r="I70" s="92">
        <f t="shared" si="22"/>
        <v>2</v>
      </c>
      <c r="J70" s="92">
        <f t="shared" si="22"/>
        <v>2</v>
      </c>
      <c r="K70" s="92">
        <f t="shared" si="22"/>
        <v>3</v>
      </c>
      <c r="L70" s="92">
        <f t="shared" si="22"/>
        <v>3</v>
      </c>
      <c r="M70" s="92">
        <f t="shared" si="22"/>
        <v>4</v>
      </c>
      <c r="N70" s="92">
        <f t="shared" si="22"/>
        <v>4</v>
      </c>
      <c r="O70" s="92">
        <f t="shared" si="22"/>
        <v>4</v>
      </c>
      <c r="P70" s="92">
        <f t="shared" si="22"/>
        <v>4</v>
      </c>
      <c r="Q70" s="92">
        <f t="shared" si="22"/>
        <v>4</v>
      </c>
      <c r="R70" s="92">
        <f t="shared" si="22"/>
        <v>4</v>
      </c>
      <c r="S70" s="92">
        <f t="shared" si="22"/>
        <v>5</v>
      </c>
      <c r="T70" s="92">
        <f t="shared" si="22"/>
        <v>5</v>
      </c>
      <c r="U70" s="151">
        <f t="shared" si="22"/>
        <v>6</v>
      </c>
      <c r="V70" s="153"/>
      <c r="W70" s="127"/>
      <c r="X70" s="152"/>
    </row>
    <row r="71" spans="2:24" outlineLevel="1" x14ac:dyDescent="0.2">
      <c r="B71" s="148" t="s">
        <v>115</v>
      </c>
      <c r="C71" s="92">
        <f t="shared" ref="C71:U71" si="23">C70*C59/100</f>
        <v>0</v>
      </c>
      <c r="D71" s="92">
        <f t="shared" si="23"/>
        <v>0</v>
      </c>
      <c r="E71" s="92">
        <f t="shared" si="23"/>
        <v>0</v>
      </c>
      <c r="F71" s="92">
        <f t="shared" si="23"/>
        <v>0.80160320641282601</v>
      </c>
      <c r="G71" s="92">
        <f t="shared" si="23"/>
        <v>2.0040080160320648E-3</v>
      </c>
      <c r="H71" s="92">
        <f t="shared" si="23"/>
        <v>6.0120240480961941E-3</v>
      </c>
      <c r="I71" s="92">
        <f t="shared" si="23"/>
        <v>2.6052104208416842E-2</v>
      </c>
      <c r="J71" s="92">
        <f t="shared" si="23"/>
        <v>0</v>
      </c>
      <c r="K71" s="92">
        <f t="shared" si="23"/>
        <v>7.8156312625250524E-2</v>
      </c>
      <c r="L71" s="92">
        <f t="shared" si="23"/>
        <v>0</v>
      </c>
      <c r="M71" s="92">
        <f t="shared" si="23"/>
        <v>4.0080160320641297E-3</v>
      </c>
      <c r="N71" s="92">
        <f t="shared" si="23"/>
        <v>2.0040080160320647E-2</v>
      </c>
      <c r="O71" s="92">
        <f t="shared" si="23"/>
        <v>0</v>
      </c>
      <c r="P71" s="92">
        <f t="shared" si="23"/>
        <v>0</v>
      </c>
      <c r="Q71" s="92">
        <f t="shared" si="23"/>
        <v>0</v>
      </c>
      <c r="R71" s="92">
        <f t="shared" si="23"/>
        <v>0</v>
      </c>
      <c r="S71" s="92">
        <f t="shared" si="23"/>
        <v>5.0100200400801619E-3</v>
      </c>
      <c r="T71" s="92">
        <f t="shared" si="23"/>
        <v>1.5030060120240486E-2</v>
      </c>
      <c r="U71" s="151">
        <f t="shared" si="23"/>
        <v>6.0120240480961941E-3</v>
      </c>
      <c r="V71" s="153"/>
      <c r="W71" s="127"/>
      <c r="X71" s="152"/>
    </row>
    <row r="72" spans="2:24" outlineLevel="1" x14ac:dyDescent="0.2">
      <c r="B72" s="148" t="s">
        <v>116</v>
      </c>
      <c r="C72" s="92">
        <f>C78/2</f>
        <v>1</v>
      </c>
      <c r="D72" s="92">
        <f t="shared" ref="D72:U72" si="24">D78/2</f>
        <v>0</v>
      </c>
      <c r="E72" s="92">
        <f t="shared" si="24"/>
        <v>0</v>
      </c>
      <c r="F72" s="92">
        <f t="shared" si="24"/>
        <v>2</v>
      </c>
      <c r="G72" s="92">
        <f t="shared" si="24"/>
        <v>0</v>
      </c>
      <c r="H72" s="92">
        <f t="shared" si="24"/>
        <v>0</v>
      </c>
      <c r="I72" s="92">
        <f t="shared" si="24"/>
        <v>3</v>
      </c>
      <c r="J72" s="92">
        <f t="shared" si="24"/>
        <v>2</v>
      </c>
      <c r="K72" s="92">
        <f t="shared" si="24"/>
        <v>4</v>
      </c>
      <c r="L72" s="92">
        <f t="shared" si="24"/>
        <v>3</v>
      </c>
      <c r="M72" s="92">
        <f t="shared" si="24"/>
        <v>5</v>
      </c>
      <c r="N72" s="92">
        <f t="shared" si="24"/>
        <v>5</v>
      </c>
      <c r="O72" s="92">
        <f t="shared" si="24"/>
        <v>4</v>
      </c>
      <c r="P72" s="92">
        <f t="shared" si="24"/>
        <v>4</v>
      </c>
      <c r="Q72" s="92">
        <f t="shared" si="24"/>
        <v>4</v>
      </c>
      <c r="R72" s="92">
        <f t="shared" si="24"/>
        <v>4</v>
      </c>
      <c r="S72" s="92">
        <f t="shared" si="24"/>
        <v>6</v>
      </c>
      <c r="T72" s="92">
        <f t="shared" si="24"/>
        <v>6</v>
      </c>
      <c r="U72" s="151">
        <f t="shared" si="24"/>
        <v>7</v>
      </c>
      <c r="V72" s="153"/>
      <c r="W72" s="127"/>
      <c r="X72" s="152"/>
    </row>
    <row r="73" spans="2:24" outlineLevel="1" x14ac:dyDescent="0.2">
      <c r="B73" s="148" t="s">
        <v>117</v>
      </c>
      <c r="C73" s="92">
        <f t="shared" ref="C73:U73" si="25">C72*C59/100</f>
        <v>0.12024048096192388</v>
      </c>
      <c r="D73" s="92">
        <f t="shared" si="25"/>
        <v>0</v>
      </c>
      <c r="E73" s="92">
        <f t="shared" si="25"/>
        <v>0</v>
      </c>
      <c r="F73" s="92">
        <f t="shared" si="25"/>
        <v>1.603206412825652</v>
      </c>
      <c r="G73" s="92">
        <f t="shared" si="25"/>
        <v>0</v>
      </c>
      <c r="H73" s="92">
        <f t="shared" si="25"/>
        <v>0</v>
      </c>
      <c r="I73" s="92">
        <f t="shared" si="25"/>
        <v>3.9078156312625262E-2</v>
      </c>
      <c r="J73" s="92">
        <f t="shared" si="25"/>
        <v>0</v>
      </c>
      <c r="K73" s="92">
        <f t="shared" si="25"/>
        <v>0.10420841683366737</v>
      </c>
      <c r="L73" s="92">
        <f t="shared" si="25"/>
        <v>0</v>
      </c>
      <c r="M73" s="92">
        <f t="shared" si="25"/>
        <v>5.0100200400801619E-3</v>
      </c>
      <c r="N73" s="92">
        <f t="shared" si="25"/>
        <v>2.5050100200400813E-2</v>
      </c>
      <c r="O73" s="92">
        <f t="shared" si="25"/>
        <v>0</v>
      </c>
      <c r="P73" s="92">
        <f t="shared" si="25"/>
        <v>0</v>
      </c>
      <c r="Q73" s="92">
        <f t="shared" si="25"/>
        <v>0</v>
      </c>
      <c r="R73" s="92">
        <f t="shared" si="25"/>
        <v>0</v>
      </c>
      <c r="S73" s="92">
        <f t="shared" si="25"/>
        <v>6.0120240480961941E-3</v>
      </c>
      <c r="T73" s="92">
        <f t="shared" si="25"/>
        <v>1.8036072144288581E-2</v>
      </c>
      <c r="U73" s="151">
        <f t="shared" si="25"/>
        <v>7.0140280561122271E-3</v>
      </c>
      <c r="V73" s="153"/>
      <c r="W73" s="127"/>
      <c r="X73" s="152"/>
    </row>
    <row r="74" spans="2:24" ht="13.5" outlineLevel="1" thickBot="1" x14ac:dyDescent="0.25">
      <c r="B74" s="154" t="s">
        <v>118</v>
      </c>
      <c r="C74" s="115">
        <f>C73+C71+C69</f>
        <v>0.34640709991411406</v>
      </c>
      <c r="D74" s="115">
        <f t="shared" ref="D74:U74" si="26">D73+D71+D69</f>
        <v>0</v>
      </c>
      <c r="E74" s="115">
        <f t="shared" si="26"/>
        <v>1.8036072144288581E-2</v>
      </c>
      <c r="F74" s="115">
        <f t="shared" si="26"/>
        <v>8.4359194579635499</v>
      </c>
      <c r="G74" s="115">
        <f t="shared" si="26"/>
        <v>5.7734516652352338E-3</v>
      </c>
      <c r="H74" s="115">
        <f t="shared" si="26"/>
        <v>6.0120240480961941E-3</v>
      </c>
      <c r="I74" s="115">
        <f t="shared" si="26"/>
        <v>0.23663994655978632</v>
      </c>
      <c r="J74" s="115">
        <f t="shared" si="26"/>
        <v>0</v>
      </c>
      <c r="K74" s="115">
        <f t="shared" si="26"/>
        <v>0.67239240385532995</v>
      </c>
      <c r="L74" s="115">
        <f t="shared" si="26"/>
        <v>0</v>
      </c>
      <c r="M74" s="115">
        <f t="shared" si="26"/>
        <v>3.3519419791964891E-2</v>
      </c>
      <c r="N74" s="115">
        <f t="shared" si="26"/>
        <v>0.16759709895982447</v>
      </c>
      <c r="O74" s="115">
        <f t="shared" si="26"/>
        <v>0</v>
      </c>
      <c r="P74" s="115">
        <f t="shared" si="26"/>
        <v>0</v>
      </c>
      <c r="Q74" s="115">
        <f t="shared" si="26"/>
        <v>0</v>
      </c>
      <c r="R74" s="115">
        <f t="shared" si="26"/>
        <v>0</v>
      </c>
      <c r="S74" s="115">
        <f t="shared" si="26"/>
        <v>4.1177593281801712E-2</v>
      </c>
      <c r="T74" s="115">
        <f t="shared" si="26"/>
        <v>0.12353277984540513</v>
      </c>
      <c r="U74" s="155">
        <f t="shared" si="26"/>
        <v>4.8835766771638534E-2</v>
      </c>
      <c r="V74" s="156">
        <f>SUM(C74:U74)</f>
        <v>10.135843114801034</v>
      </c>
    </row>
    <row r="75" spans="2:24" ht="13.5" outlineLevel="1" thickBot="1" x14ac:dyDescent="0.25">
      <c r="B75" s="157" t="s">
        <v>119</v>
      </c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9">
        <f>V74/H27*10^6</f>
        <v>10380.629859726178</v>
      </c>
    </row>
    <row r="76" spans="2:24" ht="13.5" outlineLevel="1" thickBot="1" x14ac:dyDescent="0.25">
      <c r="B76" s="160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61"/>
    </row>
    <row r="77" spans="2:24" ht="13.5" outlineLevel="1" thickBot="1" x14ac:dyDescent="0.25">
      <c r="B77" s="162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63" t="s">
        <v>120</v>
      </c>
      <c r="W77" s="127"/>
      <c r="X77" s="127"/>
    </row>
    <row r="78" spans="2:24" outlineLevel="1" x14ac:dyDescent="0.2">
      <c r="B78" s="164" t="s">
        <v>121</v>
      </c>
      <c r="C78" s="165">
        <v>2</v>
      </c>
      <c r="D78" s="165">
        <v>0</v>
      </c>
      <c r="E78" s="165">
        <v>0</v>
      </c>
      <c r="F78" s="165">
        <v>4</v>
      </c>
      <c r="G78" s="165">
        <v>0</v>
      </c>
      <c r="H78" s="165">
        <v>0</v>
      </c>
      <c r="I78" s="165">
        <v>6</v>
      </c>
      <c r="J78" s="165">
        <v>4</v>
      </c>
      <c r="K78" s="165">
        <v>8</v>
      </c>
      <c r="L78" s="165">
        <v>6</v>
      </c>
      <c r="M78" s="165">
        <v>10</v>
      </c>
      <c r="N78" s="165">
        <v>10</v>
      </c>
      <c r="O78" s="165">
        <v>8</v>
      </c>
      <c r="P78" s="165">
        <v>8</v>
      </c>
      <c r="Q78" s="165">
        <v>8</v>
      </c>
      <c r="R78" s="165">
        <v>8</v>
      </c>
      <c r="S78" s="165">
        <v>12</v>
      </c>
      <c r="T78" s="165">
        <v>12</v>
      </c>
      <c r="U78" s="166">
        <v>14</v>
      </c>
      <c r="V78" s="167">
        <v>1.008</v>
      </c>
      <c r="W78" s="127"/>
      <c r="X78" s="127"/>
    </row>
    <row r="79" spans="2:24" outlineLevel="1" x14ac:dyDescent="0.2">
      <c r="B79" s="148" t="s">
        <v>122</v>
      </c>
      <c r="C79" s="95">
        <v>0</v>
      </c>
      <c r="D79" s="95">
        <v>0</v>
      </c>
      <c r="E79" s="95">
        <v>0</v>
      </c>
      <c r="F79" s="95">
        <v>1</v>
      </c>
      <c r="G79" s="95">
        <v>1</v>
      </c>
      <c r="H79" s="95">
        <v>1</v>
      </c>
      <c r="I79" s="95">
        <v>2</v>
      </c>
      <c r="J79" s="95">
        <v>2</v>
      </c>
      <c r="K79" s="95">
        <v>3</v>
      </c>
      <c r="L79" s="95">
        <v>3</v>
      </c>
      <c r="M79" s="95">
        <v>4</v>
      </c>
      <c r="N79" s="95">
        <v>4</v>
      </c>
      <c r="O79" s="95">
        <v>4</v>
      </c>
      <c r="P79" s="95">
        <v>4</v>
      </c>
      <c r="Q79" s="95">
        <v>4</v>
      </c>
      <c r="R79" s="95">
        <v>4</v>
      </c>
      <c r="S79" s="95">
        <v>5</v>
      </c>
      <c r="T79" s="95">
        <v>5</v>
      </c>
      <c r="U79" s="168">
        <v>6</v>
      </c>
      <c r="V79" s="153">
        <v>12.01</v>
      </c>
      <c r="W79" s="127"/>
      <c r="X79" s="127"/>
    </row>
    <row r="80" spans="2:24" outlineLevel="1" x14ac:dyDescent="0.2">
      <c r="B80" s="148" t="s">
        <v>123</v>
      </c>
      <c r="C80" s="95">
        <v>0</v>
      </c>
      <c r="D80" s="95">
        <v>0</v>
      </c>
      <c r="E80" s="95">
        <v>0</v>
      </c>
      <c r="F80" s="95">
        <v>0</v>
      </c>
      <c r="G80" s="95">
        <v>0</v>
      </c>
      <c r="H80" s="95">
        <v>0</v>
      </c>
      <c r="I80" s="95">
        <v>0</v>
      </c>
      <c r="J80" s="95">
        <v>0</v>
      </c>
      <c r="K80" s="95">
        <v>0</v>
      </c>
      <c r="L80" s="95">
        <v>0</v>
      </c>
      <c r="M80" s="95">
        <v>0</v>
      </c>
      <c r="N80" s="95">
        <v>0</v>
      </c>
      <c r="O80" s="95">
        <v>0</v>
      </c>
      <c r="P80" s="95">
        <v>0</v>
      </c>
      <c r="Q80" s="95">
        <v>0</v>
      </c>
      <c r="R80" s="95">
        <v>0</v>
      </c>
      <c r="S80" s="95">
        <v>0</v>
      </c>
      <c r="T80" s="95">
        <v>0</v>
      </c>
      <c r="U80" s="168">
        <v>0</v>
      </c>
      <c r="V80" s="153">
        <v>32.06</v>
      </c>
      <c r="W80" s="127"/>
      <c r="X80" s="127"/>
    </row>
    <row r="81" spans="2:24" outlineLevel="1" x14ac:dyDescent="0.2">
      <c r="B81" s="148" t="s">
        <v>124</v>
      </c>
      <c r="C81" s="95">
        <v>0</v>
      </c>
      <c r="D81" s="95">
        <v>0</v>
      </c>
      <c r="E81" s="95">
        <v>2</v>
      </c>
      <c r="F81" s="95">
        <v>0</v>
      </c>
      <c r="G81" s="95">
        <v>0</v>
      </c>
      <c r="H81" s="95">
        <v>0</v>
      </c>
      <c r="I81" s="95">
        <v>0</v>
      </c>
      <c r="J81" s="95">
        <v>0</v>
      </c>
      <c r="K81" s="95">
        <v>0</v>
      </c>
      <c r="L81" s="95">
        <v>0</v>
      </c>
      <c r="M81" s="95">
        <v>0</v>
      </c>
      <c r="N81" s="95">
        <v>0</v>
      </c>
      <c r="O81" s="95">
        <v>0</v>
      </c>
      <c r="P81" s="95">
        <v>0</v>
      </c>
      <c r="Q81" s="95">
        <v>0</v>
      </c>
      <c r="R81" s="95">
        <v>0</v>
      </c>
      <c r="S81" s="95">
        <v>0</v>
      </c>
      <c r="T81" s="95">
        <v>0</v>
      </c>
      <c r="U81" s="168">
        <v>0</v>
      </c>
      <c r="V81" s="153">
        <v>14.01</v>
      </c>
      <c r="W81" s="127"/>
      <c r="X81" s="127"/>
    </row>
    <row r="82" spans="2:24" ht="13.5" outlineLevel="1" thickBot="1" x14ac:dyDescent="0.25">
      <c r="B82" s="154" t="s">
        <v>125</v>
      </c>
      <c r="C82" s="169">
        <v>0</v>
      </c>
      <c r="D82" s="169">
        <v>2</v>
      </c>
      <c r="E82" s="169">
        <v>0</v>
      </c>
      <c r="F82" s="169">
        <v>0</v>
      </c>
      <c r="G82" s="169">
        <v>1</v>
      </c>
      <c r="H82" s="169">
        <v>2</v>
      </c>
      <c r="I82" s="169">
        <v>0</v>
      </c>
      <c r="J82" s="169">
        <v>0</v>
      </c>
      <c r="K82" s="169">
        <v>0</v>
      </c>
      <c r="L82" s="169">
        <v>0</v>
      </c>
      <c r="M82" s="169">
        <v>0</v>
      </c>
      <c r="N82" s="169">
        <v>0</v>
      </c>
      <c r="O82" s="169">
        <v>0</v>
      </c>
      <c r="P82" s="169">
        <v>0</v>
      </c>
      <c r="Q82" s="169">
        <v>0</v>
      </c>
      <c r="R82" s="169">
        <v>0</v>
      </c>
      <c r="S82" s="169">
        <v>0</v>
      </c>
      <c r="T82" s="169">
        <v>0</v>
      </c>
      <c r="U82" s="170">
        <v>0</v>
      </c>
      <c r="V82" s="156">
        <v>16</v>
      </c>
      <c r="W82" s="127"/>
    </row>
    <row r="83" spans="2:24" ht="13.5" outlineLevel="1" thickBot="1" x14ac:dyDescent="0.25">
      <c r="B83" s="171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3"/>
      <c r="V83" s="127"/>
      <c r="W83" s="127"/>
      <c r="X83" s="152"/>
    </row>
    <row r="84" spans="2:24" ht="13.5" outlineLevel="1" thickBot="1" x14ac:dyDescent="0.25">
      <c r="B84" s="171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3"/>
      <c r="V84" s="163" t="s">
        <v>59</v>
      </c>
      <c r="W84" s="127"/>
      <c r="X84" s="152"/>
    </row>
    <row r="85" spans="2:24" outlineLevel="1" x14ac:dyDescent="0.2">
      <c r="B85" s="164" t="s">
        <v>126</v>
      </c>
      <c r="C85" s="174">
        <f>C78*$V78*C$59/100</f>
        <v>0.24240480961923855</v>
      </c>
      <c r="D85" s="174">
        <f t="shared" ref="D85:U89" si="27">D78*$V78*D$59/100</f>
        <v>0</v>
      </c>
      <c r="E85" s="174">
        <f t="shared" si="27"/>
        <v>0</v>
      </c>
      <c r="F85" s="174">
        <f t="shared" si="27"/>
        <v>3.2320641282565146</v>
      </c>
      <c r="G85" s="174">
        <f t="shared" si="27"/>
        <v>0</v>
      </c>
      <c r="H85" s="174">
        <f t="shared" si="27"/>
        <v>0</v>
      </c>
      <c r="I85" s="174">
        <f t="shared" si="27"/>
        <v>7.8781563126252535E-2</v>
      </c>
      <c r="J85" s="174">
        <f t="shared" si="27"/>
        <v>0</v>
      </c>
      <c r="K85" s="174">
        <f t="shared" si="27"/>
        <v>0.2100841683366734</v>
      </c>
      <c r="L85" s="174">
        <f t="shared" si="27"/>
        <v>0</v>
      </c>
      <c r="M85" s="174">
        <f t="shared" si="27"/>
        <v>1.0100200400801607E-2</v>
      </c>
      <c r="N85" s="174">
        <f t="shared" si="27"/>
        <v>5.0501002004008033E-2</v>
      </c>
      <c r="O85" s="174">
        <f t="shared" si="27"/>
        <v>0</v>
      </c>
      <c r="P85" s="174">
        <f t="shared" si="27"/>
        <v>0</v>
      </c>
      <c r="Q85" s="174">
        <f t="shared" si="27"/>
        <v>0</v>
      </c>
      <c r="R85" s="174">
        <f t="shared" si="27"/>
        <v>0</v>
      </c>
      <c r="S85" s="174">
        <f t="shared" si="27"/>
        <v>1.2120240480961927E-2</v>
      </c>
      <c r="T85" s="174">
        <f t="shared" si="27"/>
        <v>3.6360721442885782E-2</v>
      </c>
      <c r="U85" s="126">
        <f t="shared" si="27"/>
        <v>1.4140280561122249E-2</v>
      </c>
      <c r="V85" s="175">
        <f>SUM(C85:U85)</f>
        <v>3.8865571142284581</v>
      </c>
      <c r="W85" s="127"/>
    </row>
    <row r="86" spans="2:24" outlineLevel="1" x14ac:dyDescent="0.2">
      <c r="B86" s="148" t="s">
        <v>127</v>
      </c>
      <c r="C86" s="176">
        <f>C79*$V79*C$59/100</f>
        <v>0</v>
      </c>
      <c r="D86" s="176">
        <f t="shared" si="27"/>
        <v>0</v>
      </c>
      <c r="E86" s="176">
        <f t="shared" si="27"/>
        <v>0</v>
      </c>
      <c r="F86" s="176">
        <f t="shared" si="27"/>
        <v>9.627254509018039</v>
      </c>
      <c r="G86" s="176">
        <f t="shared" si="27"/>
        <v>2.4068136272545098E-2</v>
      </c>
      <c r="H86" s="176">
        <f t="shared" si="27"/>
        <v>7.2204408817635291E-2</v>
      </c>
      <c r="I86" s="176">
        <f t="shared" si="27"/>
        <v>0.31288577154308628</v>
      </c>
      <c r="J86" s="176">
        <f t="shared" si="27"/>
        <v>0</v>
      </c>
      <c r="K86" s="176">
        <f t="shared" si="27"/>
        <v>0.93865731462925883</v>
      </c>
      <c r="L86" s="176">
        <f t="shared" si="27"/>
        <v>0</v>
      </c>
      <c r="M86" s="176">
        <f t="shared" si="27"/>
        <v>4.8136272545090196E-2</v>
      </c>
      <c r="N86" s="176">
        <f t="shared" si="27"/>
        <v>0.24068136272545096</v>
      </c>
      <c r="O86" s="176">
        <f t="shared" si="27"/>
        <v>0</v>
      </c>
      <c r="P86" s="176">
        <f t="shared" si="27"/>
        <v>0</v>
      </c>
      <c r="Q86" s="176">
        <f t="shared" si="27"/>
        <v>0</v>
      </c>
      <c r="R86" s="176">
        <f t="shared" si="27"/>
        <v>0</v>
      </c>
      <c r="S86" s="176">
        <f t="shared" si="27"/>
        <v>6.017034068136274E-2</v>
      </c>
      <c r="T86" s="176">
        <f t="shared" si="27"/>
        <v>0.1805110220440882</v>
      </c>
      <c r="U86" s="177">
        <f t="shared" si="27"/>
        <v>7.2204408817635291E-2</v>
      </c>
      <c r="V86" s="147">
        <f>SUM(C86:U86)</f>
        <v>11.576773547094193</v>
      </c>
      <c r="W86" s="127"/>
    </row>
    <row r="87" spans="2:24" outlineLevel="1" x14ac:dyDescent="0.2">
      <c r="B87" s="148" t="s">
        <v>128</v>
      </c>
      <c r="C87" s="176">
        <f>C80*$V80*C$59/100</f>
        <v>0</v>
      </c>
      <c r="D87" s="176">
        <f t="shared" si="27"/>
        <v>0</v>
      </c>
      <c r="E87" s="176">
        <f t="shared" si="27"/>
        <v>0</v>
      </c>
      <c r="F87" s="176">
        <f t="shared" si="27"/>
        <v>0</v>
      </c>
      <c r="G87" s="176">
        <f t="shared" si="27"/>
        <v>0</v>
      </c>
      <c r="H87" s="176">
        <f t="shared" si="27"/>
        <v>0</v>
      </c>
      <c r="I87" s="176">
        <f t="shared" si="27"/>
        <v>0</v>
      </c>
      <c r="J87" s="176">
        <f t="shared" si="27"/>
        <v>0</v>
      </c>
      <c r="K87" s="176">
        <f t="shared" si="27"/>
        <v>0</v>
      </c>
      <c r="L87" s="176">
        <f t="shared" si="27"/>
        <v>0</v>
      </c>
      <c r="M87" s="176">
        <f t="shared" si="27"/>
        <v>0</v>
      </c>
      <c r="N87" s="176">
        <f t="shared" si="27"/>
        <v>0</v>
      </c>
      <c r="O87" s="176">
        <f t="shared" si="27"/>
        <v>0</v>
      </c>
      <c r="P87" s="176">
        <f t="shared" si="27"/>
        <v>0</v>
      </c>
      <c r="Q87" s="176">
        <f t="shared" si="27"/>
        <v>0</v>
      </c>
      <c r="R87" s="176">
        <f t="shared" si="27"/>
        <v>0</v>
      </c>
      <c r="S87" s="176">
        <f t="shared" si="27"/>
        <v>0</v>
      </c>
      <c r="T87" s="176">
        <f t="shared" si="27"/>
        <v>0</v>
      </c>
      <c r="U87" s="177">
        <f t="shared" si="27"/>
        <v>0</v>
      </c>
      <c r="V87" s="147">
        <f>SUM(C87:U87)</f>
        <v>0</v>
      </c>
      <c r="W87" s="127"/>
    </row>
    <row r="88" spans="2:24" outlineLevel="1" x14ac:dyDescent="0.2">
      <c r="B88" s="148" t="s">
        <v>129</v>
      </c>
      <c r="C88" s="176">
        <f>C81*$V81*C$59/100</f>
        <v>0</v>
      </c>
      <c r="D88" s="176">
        <f t="shared" si="27"/>
        <v>0</v>
      </c>
      <c r="E88" s="176">
        <f t="shared" si="27"/>
        <v>0.50537074148296601</v>
      </c>
      <c r="F88" s="176">
        <f t="shared" si="27"/>
        <v>0</v>
      </c>
      <c r="G88" s="176">
        <f t="shared" si="27"/>
        <v>0</v>
      </c>
      <c r="H88" s="176">
        <f t="shared" si="27"/>
        <v>0</v>
      </c>
      <c r="I88" s="176">
        <f t="shared" si="27"/>
        <v>0</v>
      </c>
      <c r="J88" s="176">
        <f t="shared" si="27"/>
        <v>0</v>
      </c>
      <c r="K88" s="176">
        <f t="shared" si="27"/>
        <v>0</v>
      </c>
      <c r="L88" s="176">
        <f t="shared" si="27"/>
        <v>0</v>
      </c>
      <c r="M88" s="176">
        <f t="shared" si="27"/>
        <v>0</v>
      </c>
      <c r="N88" s="176">
        <f t="shared" si="27"/>
        <v>0</v>
      </c>
      <c r="O88" s="176">
        <f t="shared" si="27"/>
        <v>0</v>
      </c>
      <c r="P88" s="176">
        <f t="shared" si="27"/>
        <v>0</v>
      </c>
      <c r="Q88" s="176">
        <f t="shared" si="27"/>
        <v>0</v>
      </c>
      <c r="R88" s="176">
        <f t="shared" si="27"/>
        <v>0</v>
      </c>
      <c r="S88" s="176">
        <f t="shared" si="27"/>
        <v>0</v>
      </c>
      <c r="T88" s="176">
        <f t="shared" si="27"/>
        <v>0</v>
      </c>
      <c r="U88" s="177">
        <f t="shared" si="27"/>
        <v>0</v>
      </c>
      <c r="V88" s="147">
        <f>SUM(C88:U88)</f>
        <v>0.50537074148296601</v>
      </c>
      <c r="W88" s="127"/>
    </row>
    <row r="89" spans="2:24" ht="13.5" outlineLevel="1" thickBot="1" x14ac:dyDescent="0.25">
      <c r="B89" s="154" t="s">
        <v>130</v>
      </c>
      <c r="C89" s="100">
        <f>C82*$V82*C$59/100</f>
        <v>0</v>
      </c>
      <c r="D89" s="100">
        <f t="shared" si="27"/>
        <v>6.4128256513026075E-2</v>
      </c>
      <c r="E89" s="100">
        <f t="shared" si="27"/>
        <v>0</v>
      </c>
      <c r="F89" s="100">
        <f t="shared" si="27"/>
        <v>0</v>
      </c>
      <c r="G89" s="100">
        <f t="shared" si="27"/>
        <v>3.2064128256513037E-2</v>
      </c>
      <c r="H89" s="100">
        <f t="shared" si="27"/>
        <v>0.19238476953907821</v>
      </c>
      <c r="I89" s="100">
        <f t="shared" si="27"/>
        <v>0</v>
      </c>
      <c r="J89" s="100">
        <f t="shared" si="27"/>
        <v>0</v>
      </c>
      <c r="K89" s="100">
        <f t="shared" si="27"/>
        <v>0</v>
      </c>
      <c r="L89" s="100">
        <f t="shared" si="27"/>
        <v>0</v>
      </c>
      <c r="M89" s="100">
        <f t="shared" si="27"/>
        <v>0</v>
      </c>
      <c r="N89" s="100">
        <f t="shared" si="27"/>
        <v>0</v>
      </c>
      <c r="O89" s="100">
        <f t="shared" si="27"/>
        <v>0</v>
      </c>
      <c r="P89" s="100">
        <f t="shared" si="27"/>
        <v>0</v>
      </c>
      <c r="Q89" s="100">
        <f t="shared" si="27"/>
        <v>0</v>
      </c>
      <c r="R89" s="100">
        <f t="shared" si="27"/>
        <v>0</v>
      </c>
      <c r="S89" s="100">
        <f t="shared" si="27"/>
        <v>0</v>
      </c>
      <c r="T89" s="100">
        <f t="shared" si="27"/>
        <v>0</v>
      </c>
      <c r="U89" s="178">
        <f t="shared" si="27"/>
        <v>0</v>
      </c>
      <c r="V89" s="179">
        <f>SUM(C89:U89)</f>
        <v>0.2885771543086173</v>
      </c>
      <c r="W89" s="127"/>
    </row>
    <row r="90" spans="2:24" ht="13.5" outlineLevel="1" thickBot="1" x14ac:dyDescent="0.25">
      <c r="B90" s="180" t="s">
        <v>131</v>
      </c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2">
        <f>SUM(V85:V89)</f>
        <v>16.257278557114233</v>
      </c>
      <c r="W90" s="183"/>
    </row>
    <row r="91" spans="2:24" ht="13.5" outlineLevel="1" thickBot="1" x14ac:dyDescent="0.25">
      <c r="B91" s="184"/>
      <c r="C91" s="4"/>
      <c r="F91" s="4"/>
      <c r="V91" s="185"/>
    </row>
    <row r="92" spans="2:24" outlineLevel="1" x14ac:dyDescent="0.2">
      <c r="B92" s="164" t="s">
        <v>132</v>
      </c>
      <c r="C92" s="186">
        <f>V85/$V$90</f>
        <v>0.23906566530027801</v>
      </c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</row>
    <row r="93" spans="2:24" outlineLevel="1" x14ac:dyDescent="0.2">
      <c r="B93" s="148" t="s">
        <v>133</v>
      </c>
      <c r="C93" s="187">
        <f>V86/$V$90</f>
        <v>0.71209787704770322</v>
      </c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</row>
    <row r="94" spans="2:24" outlineLevel="1" x14ac:dyDescent="0.2">
      <c r="B94" s="148" t="s">
        <v>134</v>
      </c>
      <c r="C94" s="187">
        <f>V87/$V$90</f>
        <v>0</v>
      </c>
      <c r="D94" s="127"/>
      <c r="E94" s="127"/>
      <c r="F94" s="127"/>
      <c r="G94" s="127"/>
      <c r="H94" s="127"/>
      <c r="I94" s="106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</row>
    <row r="95" spans="2:24" outlineLevel="1" x14ac:dyDescent="0.2">
      <c r="B95" s="148" t="s">
        <v>135</v>
      </c>
      <c r="C95" s="187">
        <f>V88/$V$90</f>
        <v>3.1085814252829806E-2</v>
      </c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</row>
    <row r="96" spans="2:24" outlineLevel="1" x14ac:dyDescent="0.2">
      <c r="B96" s="148" t="s">
        <v>136</v>
      </c>
      <c r="C96" s="187">
        <f>V89/$V$90</f>
        <v>1.7750643399189039E-2</v>
      </c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</row>
    <row r="97" spans="2:24" outlineLevel="1" x14ac:dyDescent="0.2">
      <c r="B97" s="148" t="s">
        <v>59</v>
      </c>
      <c r="C97" s="188">
        <f>SUM(C92:C96)</f>
        <v>1</v>
      </c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</row>
    <row r="98" spans="2:24" outlineLevel="1" x14ac:dyDescent="0.2">
      <c r="B98" s="148" t="s">
        <v>137</v>
      </c>
      <c r="C98" s="177">
        <v>3.64</v>
      </c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</row>
    <row r="99" spans="2:24" outlineLevel="1" x14ac:dyDescent="0.2">
      <c r="B99" s="148" t="s">
        <v>138</v>
      </c>
      <c r="C99" s="177">
        <v>1.53</v>
      </c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</row>
    <row r="100" spans="2:24" outlineLevel="1" x14ac:dyDescent="0.2">
      <c r="B100" s="148" t="s">
        <v>139</v>
      </c>
      <c r="C100" s="177">
        <v>0.56999999999999995</v>
      </c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</row>
    <row r="101" spans="2:24" outlineLevel="1" x14ac:dyDescent="0.2">
      <c r="B101" s="148" t="s">
        <v>140</v>
      </c>
      <c r="C101" s="177">
        <v>0.14000000000000001</v>
      </c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</row>
    <row r="102" spans="2:24" outlineLevel="1" x14ac:dyDescent="0.2">
      <c r="B102" s="148" t="s">
        <v>141</v>
      </c>
      <c r="C102" s="177">
        <v>0.46</v>
      </c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</row>
    <row r="103" spans="2:24" ht="13.5" outlineLevel="1" thickBot="1" x14ac:dyDescent="0.25">
      <c r="B103" s="189" t="s">
        <v>142</v>
      </c>
      <c r="C103" s="190">
        <f>10^6</f>
        <v>1000000</v>
      </c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</row>
    <row r="104" spans="2:24" ht="13.5" outlineLevel="1" thickBot="1" x14ac:dyDescent="0.25">
      <c r="B104" s="191" t="s">
        <v>143</v>
      </c>
      <c r="C104" s="192">
        <f>C103*(C98*C92*100+C99*C93*100+C100*C94*100+C95*C101*100-C102*C96*100)/(V66*1000)</f>
        <v>8763.0361829765789</v>
      </c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</row>
    <row r="105" spans="2:24" outlineLevel="1" x14ac:dyDescent="0.2">
      <c r="B105" s="193" t="s">
        <v>144</v>
      </c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</row>
    <row r="106" spans="2:24" outlineLevel="1" x14ac:dyDescent="0.2">
      <c r="B106" s="193" t="s">
        <v>145</v>
      </c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</row>
    <row r="107" spans="2:24" outlineLevel="1" x14ac:dyDescent="0.2">
      <c r="B107" s="193" t="s">
        <v>146</v>
      </c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</row>
    <row r="108" spans="2:24" outlineLevel="1" x14ac:dyDescent="0.2">
      <c r="B108" s="193" t="s">
        <v>147</v>
      </c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</row>
    <row r="109" spans="2:24" x14ac:dyDescent="0.2">
      <c r="D109" s="73"/>
      <c r="E109" s="69"/>
    </row>
    <row r="113" spans="4:20" x14ac:dyDescent="0.2">
      <c r="D113" s="194"/>
      <c r="E113" s="194"/>
      <c r="F113" s="195"/>
      <c r="G113" s="196"/>
    </row>
    <row r="114" spans="4:20" x14ac:dyDescent="0.2">
      <c r="F114" s="197"/>
      <c r="G114" s="198"/>
      <c r="H114" s="199"/>
      <c r="I114" s="199"/>
      <c r="J114" s="199"/>
      <c r="K114" s="199"/>
      <c r="L114" s="199"/>
      <c r="M114" s="199"/>
      <c r="N114" s="199"/>
    </row>
    <row r="115" spans="4:20" x14ac:dyDescent="0.2">
      <c r="F115" s="197"/>
      <c r="G115" s="198"/>
      <c r="H115" s="199"/>
      <c r="I115" s="199"/>
      <c r="J115" s="199"/>
      <c r="K115" s="199"/>
      <c r="L115" s="199"/>
      <c r="M115" s="200"/>
      <c r="N115" s="201"/>
      <c r="O115" s="202"/>
      <c r="P115" s="70"/>
      <c r="T115" s="2"/>
    </row>
    <row r="116" spans="4:20" x14ac:dyDescent="0.2">
      <c r="F116" s="197"/>
      <c r="G116" s="198"/>
      <c r="H116" s="199"/>
      <c r="I116" s="199"/>
      <c r="J116" s="199"/>
      <c r="K116" s="199"/>
      <c r="L116" s="199"/>
      <c r="M116" s="200"/>
      <c r="N116" s="201"/>
      <c r="O116" s="202"/>
      <c r="P116" s="70"/>
      <c r="T116" s="2"/>
    </row>
    <row r="117" spans="4:20" x14ac:dyDescent="0.2">
      <c r="F117" s="197"/>
      <c r="G117" s="198"/>
      <c r="H117" s="199"/>
      <c r="I117" s="199"/>
      <c r="J117" s="199"/>
      <c r="K117" s="199"/>
      <c r="L117" s="199"/>
      <c r="M117" s="200"/>
      <c r="N117" s="201"/>
      <c r="O117" s="202"/>
      <c r="P117" s="70"/>
      <c r="T117" s="2"/>
    </row>
    <row r="118" spans="4:20" x14ac:dyDescent="0.2">
      <c r="F118" s="197"/>
      <c r="G118" s="198"/>
      <c r="H118" s="199"/>
      <c r="I118" s="199"/>
      <c r="J118" s="199"/>
      <c r="K118" s="199"/>
      <c r="L118" s="199"/>
      <c r="M118" s="200"/>
      <c r="N118" s="201"/>
      <c r="O118" s="202"/>
      <c r="P118" s="70"/>
      <c r="T118" s="2"/>
    </row>
    <row r="119" spans="4:20" x14ac:dyDescent="0.2">
      <c r="F119" s="197"/>
      <c r="G119" s="198"/>
      <c r="H119" s="199"/>
      <c r="I119" s="199"/>
      <c r="J119" s="199"/>
      <c r="K119" s="199"/>
      <c r="L119" s="199"/>
      <c r="M119" s="200"/>
      <c r="N119" s="201"/>
      <c r="O119" s="202"/>
      <c r="P119" s="70"/>
      <c r="T119" s="2"/>
    </row>
    <row r="120" spans="4:20" x14ac:dyDescent="0.2">
      <c r="F120" s="197"/>
      <c r="G120" s="198"/>
      <c r="H120" s="199"/>
      <c r="I120" s="199"/>
      <c r="J120" s="199"/>
      <c r="K120" s="199"/>
      <c r="L120" s="199"/>
      <c r="M120" s="200"/>
      <c r="N120" s="201"/>
      <c r="O120" s="202"/>
      <c r="P120" s="70"/>
      <c r="Q120" s="199"/>
      <c r="R120" s="203"/>
      <c r="T120" s="2"/>
    </row>
    <row r="121" spans="4:20" x14ac:dyDescent="0.2">
      <c r="F121" s="197"/>
      <c r="G121" s="198"/>
      <c r="H121" s="199"/>
      <c r="I121" s="199"/>
      <c r="J121" s="199"/>
      <c r="K121" s="199"/>
      <c r="L121" s="199"/>
      <c r="M121" s="200"/>
      <c r="N121" s="201"/>
      <c r="O121" s="202"/>
      <c r="P121" s="70"/>
      <c r="Q121" s="204"/>
      <c r="R121" s="205"/>
      <c r="T121" s="2"/>
    </row>
    <row r="122" spans="4:20" x14ac:dyDescent="0.2">
      <c r="F122" s="197"/>
      <c r="G122" s="198"/>
      <c r="H122" s="199"/>
      <c r="I122" s="199"/>
      <c r="J122" s="199"/>
      <c r="K122" s="199"/>
      <c r="L122" s="199"/>
      <c r="M122" s="200"/>
      <c r="N122" s="201"/>
      <c r="O122" s="202"/>
      <c r="P122" s="70"/>
      <c r="Q122" s="199"/>
      <c r="R122" s="206"/>
      <c r="T122" s="2"/>
    </row>
    <row r="123" spans="4:20" x14ac:dyDescent="0.2">
      <c r="F123" s="197"/>
      <c r="G123" s="198"/>
      <c r="H123" s="206"/>
      <c r="I123" s="206"/>
      <c r="J123" s="206"/>
      <c r="K123" s="206"/>
      <c r="L123" s="206"/>
      <c r="M123" s="200"/>
      <c r="N123" s="201"/>
      <c r="O123" s="202"/>
      <c r="P123" s="70"/>
      <c r="Q123" s="204"/>
      <c r="R123" s="206"/>
      <c r="T123" s="2"/>
    </row>
    <row r="124" spans="4:20" x14ac:dyDescent="0.2">
      <c r="F124" s="207"/>
      <c r="G124" s="208"/>
      <c r="H124" s="199"/>
      <c r="I124" s="199"/>
      <c r="J124" s="199"/>
      <c r="K124" s="199"/>
      <c r="L124" s="199"/>
      <c r="M124" s="200"/>
      <c r="N124" s="209"/>
      <c r="O124" s="210"/>
      <c r="P124" s="70"/>
      <c r="Q124" s="204"/>
      <c r="R124" s="203"/>
      <c r="T124" s="2"/>
    </row>
    <row r="125" spans="4:20" x14ac:dyDescent="0.2">
      <c r="F125" s="207"/>
      <c r="G125" s="208"/>
      <c r="H125" s="199"/>
      <c r="I125" s="199"/>
      <c r="J125" s="199"/>
      <c r="K125" s="199"/>
      <c r="L125" s="199"/>
      <c r="M125" s="200"/>
      <c r="N125" s="209"/>
      <c r="O125" s="210"/>
      <c r="P125" s="70"/>
      <c r="Q125" s="204"/>
      <c r="R125" s="203"/>
      <c r="T125" s="2"/>
    </row>
    <row r="126" spans="4:20" x14ac:dyDescent="0.2">
      <c r="F126" s="207"/>
      <c r="G126" s="208"/>
      <c r="H126" s="199"/>
      <c r="I126" s="199"/>
      <c r="J126" s="199"/>
      <c r="K126" s="199"/>
      <c r="L126" s="199"/>
      <c r="M126" s="200"/>
      <c r="N126" s="209"/>
      <c r="O126" s="210"/>
      <c r="P126" s="70"/>
      <c r="Q126" s="199"/>
      <c r="R126" s="211"/>
      <c r="T126" s="2"/>
    </row>
    <row r="127" spans="4:20" x14ac:dyDescent="0.2">
      <c r="F127" s="207"/>
      <c r="G127" s="208"/>
      <c r="H127" s="199"/>
      <c r="I127" s="199"/>
      <c r="J127" s="199"/>
      <c r="K127" s="199"/>
      <c r="L127" s="199"/>
      <c r="M127" s="200"/>
      <c r="N127" s="209"/>
      <c r="O127" s="210"/>
      <c r="P127" s="70"/>
      <c r="Q127" s="199"/>
      <c r="R127" s="212"/>
      <c r="T127" s="2"/>
    </row>
    <row r="128" spans="4:20" x14ac:dyDescent="0.2">
      <c r="F128" s="207"/>
      <c r="G128" s="208"/>
      <c r="H128" s="199"/>
      <c r="I128" s="199"/>
      <c r="J128" s="199"/>
      <c r="K128" s="199"/>
      <c r="L128" s="199"/>
      <c r="M128" s="200"/>
      <c r="N128" s="209"/>
      <c r="O128" s="210"/>
      <c r="P128" s="70"/>
      <c r="Q128" s="199"/>
      <c r="R128" s="213"/>
      <c r="T128" s="2"/>
    </row>
    <row r="129" spans="6:20" x14ac:dyDescent="0.2">
      <c r="F129" s="207"/>
      <c r="G129" s="208"/>
      <c r="H129" s="199"/>
      <c r="I129" s="199"/>
      <c r="J129" s="199"/>
      <c r="K129" s="199"/>
      <c r="L129" s="199"/>
      <c r="M129" s="200"/>
      <c r="N129" s="209"/>
      <c r="O129" s="210"/>
      <c r="P129" s="70"/>
      <c r="Q129" s="199"/>
      <c r="R129" s="199"/>
      <c r="T129" s="2"/>
    </row>
    <row r="130" spans="6:20" x14ac:dyDescent="0.2">
      <c r="F130" s="207"/>
      <c r="G130" s="208"/>
      <c r="H130" s="199"/>
      <c r="I130" s="199"/>
      <c r="J130" s="199"/>
      <c r="K130" s="199"/>
      <c r="L130" s="199"/>
      <c r="M130" s="200"/>
      <c r="N130" s="209"/>
      <c r="O130" s="210"/>
      <c r="P130" s="70"/>
      <c r="Q130" s="199"/>
      <c r="R130" s="199"/>
      <c r="T130" s="2"/>
    </row>
    <row r="131" spans="6:20" x14ac:dyDescent="0.2">
      <c r="F131" s="207"/>
      <c r="G131" s="208"/>
      <c r="H131" s="199"/>
      <c r="I131" s="199"/>
      <c r="J131" s="199"/>
      <c r="K131" s="199"/>
      <c r="L131" s="199"/>
      <c r="M131" s="200"/>
      <c r="N131" s="209"/>
      <c r="O131" s="210"/>
      <c r="P131" s="70"/>
      <c r="T131" s="2"/>
    </row>
    <row r="132" spans="6:20" x14ac:dyDescent="0.2">
      <c r="F132" s="207"/>
      <c r="G132" s="208"/>
      <c r="H132" s="199"/>
      <c r="I132" s="199"/>
      <c r="J132" s="199"/>
      <c r="K132" s="199"/>
      <c r="L132" s="199"/>
      <c r="M132" s="200"/>
      <c r="N132" s="209"/>
      <c r="O132" s="210"/>
      <c r="P132" s="70"/>
      <c r="R132" s="71"/>
      <c r="T132" s="2"/>
    </row>
    <row r="133" spans="6:20" x14ac:dyDescent="0.2">
      <c r="F133" s="207"/>
      <c r="G133" s="208"/>
      <c r="H133" s="199"/>
      <c r="I133" s="199"/>
      <c r="J133" s="199"/>
      <c r="K133" s="199"/>
      <c r="L133" s="199"/>
      <c r="M133" s="200"/>
      <c r="N133" s="209"/>
      <c r="O133" s="210"/>
      <c r="P133" s="70"/>
      <c r="T133" s="2"/>
    </row>
    <row r="134" spans="6:20" x14ac:dyDescent="0.2">
      <c r="F134" s="197"/>
      <c r="G134" s="198"/>
      <c r="H134" s="199"/>
      <c r="I134" s="199"/>
      <c r="J134" s="199"/>
      <c r="K134" s="199"/>
      <c r="L134" s="199"/>
      <c r="M134" s="200"/>
      <c r="N134" s="201"/>
      <c r="O134" s="202"/>
      <c r="P134" s="70"/>
      <c r="R134" s="213"/>
      <c r="T134" s="2"/>
    </row>
    <row r="135" spans="6:20" x14ac:dyDescent="0.2">
      <c r="F135" s="197"/>
      <c r="G135" s="198"/>
      <c r="H135" s="199"/>
      <c r="I135" s="199"/>
      <c r="J135" s="199"/>
      <c r="K135" s="199"/>
      <c r="L135" s="199"/>
      <c r="M135" s="214"/>
      <c r="N135" s="201"/>
      <c r="O135" s="202"/>
      <c r="P135" s="69"/>
      <c r="Q135" s="70"/>
      <c r="T135" s="2"/>
    </row>
    <row r="136" spans="6:20" x14ac:dyDescent="0.2">
      <c r="Q136" s="69"/>
    </row>
  </sheetData>
  <mergeCells count="15">
    <mergeCell ref="K33:N33"/>
    <mergeCell ref="P33:R33"/>
    <mergeCell ref="N6:O6"/>
    <mergeCell ref="Q6:R6"/>
    <mergeCell ref="K31:R31"/>
    <mergeCell ref="K32:N32"/>
    <mergeCell ref="P32:R32"/>
    <mergeCell ref="K37:N37"/>
    <mergeCell ref="P37:R37"/>
    <mergeCell ref="K34:N34"/>
    <mergeCell ref="P34:R34"/>
    <mergeCell ref="K35:N35"/>
    <mergeCell ref="P35:R35"/>
    <mergeCell ref="K36:N36"/>
    <mergeCell ref="P36:R36"/>
  </mergeCells>
  <pageMargins left="0.7" right="0.7" top="0.5" bottom="0.5" header="0.3" footer="0.3"/>
  <pageSetup scale="58" orientation="landscape" r:id="rId1"/>
  <headerFooter>
    <oddHeader>&amp;L&amp;"Arial,Bold"&amp;14Martinez Renewable Fuels Project</oddHeader>
  </headerFooter>
  <rowBreaks count="1" manualBreakCount="1">
    <brk id="54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Compositions</vt:lpstr>
      <vt:lpstr>Fuel Gas Props</vt:lpstr>
      <vt:lpstr>Compositions!Print_Area</vt:lpstr>
      <vt:lpstr>'Fuel Gas Props'!Print_Area</vt:lpstr>
      <vt:lpstr>Compositions!Print_Titles</vt:lpstr>
      <vt:lpstr>'Fuel Gas Props'!Print_Titles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Widboom</dc:creator>
  <cp:lastModifiedBy>Phil Fish</cp:lastModifiedBy>
  <cp:lastPrinted>2025-02-13T20:44:34Z</cp:lastPrinted>
  <dcterms:created xsi:type="dcterms:W3CDTF">2025-02-03T20:16:31Z</dcterms:created>
  <dcterms:modified xsi:type="dcterms:W3CDTF">2025-02-13T20:49:07Z</dcterms:modified>
</cp:coreProperties>
</file>