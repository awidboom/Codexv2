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defaultThemeVersion="202300"/>
  <mc:AlternateContent xmlns:mc="http://schemas.openxmlformats.org/markup-compatibility/2006">
    <mc:Choice Requires="x15">
      <x15ac:absPath xmlns:x15ac="http://schemas.microsoft.com/office/spreadsheetml/2010/11/ac" url="P:\Mpls\05 CA\07\05071018 Confidential\WorkFiles\FWS App\Incompleteness Letter 3.27.2025\Response\"/>
    </mc:Choice>
  </mc:AlternateContent>
  <xr:revisionPtr revIDLastSave="0" documentId="13_ncr:1_{D641C70D-C041-4FBF-87FA-35D49913B6C3}" xr6:coauthVersionLast="47" xr6:coauthVersionMax="47" xr10:uidLastSave="{00000000-0000-0000-0000-000000000000}"/>
  <bookViews>
    <workbookView xWindow="28680" yWindow="-120" windowWidth="29040" windowHeight="15720" tabRatio="641" xr2:uid="{AEF1F638-48E2-4EA0-A609-FEC7DF67A207}"/>
  </bookViews>
  <sheets>
    <sheet name="PSD Summary" sheetId="6" r:id="rId1"/>
    <sheet name="ERCs Summary" sheetId="8" r:id="rId2"/>
    <sheet name="Rule 2-5 Evaluation" sheetId="9" r:id="rId3"/>
    <sheet name="SWS Offgas TO PTE (permitted)" sheetId="2" r:id="rId4"/>
    <sheet name="SWS Offgas TO PTE (proposed)" sheetId="3" r:id="rId5"/>
    <sheet name="Alt Ctrl Scenario 2b - Heaters" sheetId="7" r:id="rId6"/>
    <sheet name="NOx emissions and offset costs" sheetId="1" state="hidden" r:id="rId7"/>
  </sheets>
  <externalReferences>
    <externalReference r:id="rId8"/>
    <externalReference r:id="rId9"/>
    <externalReference r:id="rId10"/>
    <externalReference r:id="rId11"/>
    <externalReference r:id="rId12"/>
    <externalReference r:id="rId13"/>
  </externalReferences>
  <definedNames>
    <definedName name="_1" hidden="1">#REF!</definedName>
    <definedName name="_1_new" hidden="1">#REF!</definedName>
    <definedName name="_1ajs" hidden="1">#REF!</definedName>
    <definedName name="_2" hidden="1">#REF!</definedName>
    <definedName name="_2_new" hidden="1">#REF!</definedName>
    <definedName name="_300" hidden="1">#REF!</definedName>
    <definedName name="_31">31</definedName>
    <definedName name="_AMO_UniqueIdentifier" hidden="1">"'22a8cb35-69ac-4aee-a712-734a2ca4843e'"</definedName>
    <definedName name="_Fill" hidden="1">#REF!</definedName>
    <definedName name="_Fill2" hidden="1">#REF!</definedName>
    <definedName name="_xlnm._FilterDatabase" hidden="1">#REF!</definedName>
    <definedName name="_Key1" hidden="1">'[1]Comb Refs'!#REF!</definedName>
    <definedName name="_Key1_new" hidden="1">#REF!</definedName>
    <definedName name="_Key10" hidden="1">#REF!</definedName>
    <definedName name="_Key10_new" hidden="1">#REF!</definedName>
    <definedName name="_Order1" hidden="1">255</definedName>
    <definedName name="_Order2" hidden="1">255</definedName>
    <definedName name="_Sort" hidden="1">#REF!</definedName>
    <definedName name="_Sort_new" hidden="1">#REF!</definedName>
    <definedName name="_sort2" hidden="1">#REF!</definedName>
    <definedName name="a" hidden="1">#REF!</definedName>
    <definedName name="Access_Button" hidden="1">"ChemCatAdd00_MSDS_List"</definedName>
    <definedName name="Access_Button1" hidden="1">"ChemCatAdd00_MSDS_List"</definedName>
    <definedName name="Access_Button2" hidden="1">"ChemCatAdd00_MSDS_List"</definedName>
    <definedName name="AccessDatabase" hidden="1">"H:\DATA\EXCEL\ChemCatAdd00.mdb"</definedName>
    <definedName name="AS2DocOpenMode" hidden="1">"AS2DocumentEdit"</definedName>
    <definedName name="AS2NamedRange" hidden="1">3</definedName>
    <definedName name="AS2ReportLS" hidden="1">1</definedName>
    <definedName name="AS2SyncStepLS" hidden="1">0</definedName>
    <definedName name="AS2TickmarkLS" hidden="1">#REF!</definedName>
    <definedName name="AS2VersionLS" hidden="1">300</definedName>
    <definedName name="b" hidden="1">{"summ",#N/A,FALSE,"VOCs";"misc",#N/A,FALSE,"VOCs";"fugs",#N/A,FALSE,"VOCs"}</definedName>
    <definedName name="BG_Del" hidden="1">15</definedName>
    <definedName name="BG_Ins" hidden="1">4</definedName>
    <definedName name="BG_Mod" hidden="1">6</definedName>
    <definedName name="BSIWhichPageSetup" hidden="1">1</definedName>
    <definedName name="BSIWhichPageSetup_0" hidden="1">"0þ"</definedName>
    <definedName name="dfg" hidden="1">30</definedName>
    <definedName name="dfsd" hidden="1">"BWP"</definedName>
    <definedName name="EV__EVCOM_OPTIONS__" hidden="1">8</definedName>
    <definedName name="EV__EXPOPTIONS__" hidden="1">0</definedName>
    <definedName name="EV__LASTREFTIME__" hidden="1">41856.4816203704</definedName>
    <definedName name="EV__MAXEXPCOLS__" hidden="1">100</definedName>
    <definedName name="EV__MAXEXPROWS__" hidden="1">1000</definedName>
    <definedName name="EV__MEMORYCVW__" hidden="1">0</definedName>
    <definedName name="EV__WBEVMODE__" hidden="1">1</definedName>
    <definedName name="EV__WBREFOPTIONS__" hidden="1">134217740</definedName>
    <definedName name="EV__WBVERSION__" hidden="1">0</definedName>
    <definedName name="EV_LASTREFTIME_STAR" hidden="1">42145.4055902778</definedName>
    <definedName name="f" hidden="1">{"summ",#N/A,FALSE,"VOCs";"misc",#N/A,FALSE,"VOCs";"fugs",#N/A,FALSE,"VOCs"}</definedName>
    <definedName name="fill" hidden="1">#REF!</definedName>
    <definedName name="hap" hidden="1">#REF!</definedName>
    <definedName name="ListUnits">'[2]DEL List'!$T$4:$T$69</definedName>
    <definedName name="MDP_ARBComments" localSheetId="5">OFFSET(MDP_Flows,0,5)</definedName>
    <definedName name="MDP_ARBComments" localSheetId="1">OFFSET(MDP_Flows,0,5)</definedName>
    <definedName name="MDP_ARBComments" localSheetId="2">OFFSET(MDP_Flows,0,5)</definedName>
    <definedName name="MDP_ARBComments" localSheetId="4">OFFSET(MDP_Flows,0,5)</definedName>
    <definedName name="MDP_ARBComments">OFFSET(MDP_Flows,0,5)</definedName>
    <definedName name="MDP_Flags" localSheetId="5">OFFSET(MDP_Flows,0,1)</definedName>
    <definedName name="MDP_Flags" localSheetId="1">OFFSET(MDP_Flows,0,1)</definedName>
    <definedName name="MDP_Flags" localSheetId="2">OFFSET(MDP_Flows,0,1)</definedName>
    <definedName name="MDP_Flags" localSheetId="4">OFFSET(MDP_Flows,0,1)</definedName>
    <definedName name="MDP_Flags">OFFSET(MDP_Flows,0,1)</definedName>
    <definedName name="_xlnm.Print_Area" localSheetId="2">'Rule 2-5 Evaluation'!$A$1:$G$25</definedName>
    <definedName name="_xlnm.Print_Area" localSheetId="3">'SWS Offgas TO PTE (permitted)'!$A$1:$E$34</definedName>
    <definedName name="_xlnm.Print_Area" localSheetId="4">'SWS Offgas TO PTE (proposed)'!$A$1:$G$37</definedName>
    <definedName name="_xlnm.Print_Area">#N/A</definedName>
    <definedName name="_xlnm.Print_Titles" localSheetId="3">'SWS Offgas TO PTE (permitted)'!$2:$2</definedName>
    <definedName name="_xlnm.Print_Titles" localSheetId="4">'SWS Offgas TO PTE (proposed)'!$2:$3</definedName>
    <definedName name="RepYr">2015</definedName>
    <definedName name="S100_Materials">#REF!</definedName>
    <definedName name="SAPBEXhrIndnt" hidden="1">"Wide"</definedName>
    <definedName name="SAPBEXrevision" hidden="1">30</definedName>
    <definedName name="SAPBEXsysID" hidden="1">"BWP"</definedName>
    <definedName name="SAPBEXwbID" hidden="1">"5SB61HUAPF7F2OSXW35MH765L"</definedName>
    <definedName name="SAPsysID" hidden="1">"708C5W7SBKP804JT78WJ0JNKI"</definedName>
    <definedName name="SAPwbID" hidden="1">"ARS"</definedName>
    <definedName name="SpecData" localSheetId="5">OFFSET(SpecCASNo,2,0,ROWS(SpecList))</definedName>
    <definedName name="SpecData" localSheetId="1">OFFSET(SpecCASNo,2,0,ROWS(SpecList))</definedName>
    <definedName name="SpecData" localSheetId="2">OFFSET(SpecCASNo,2,0,ROWS(SpecList))</definedName>
    <definedName name="SpecData" localSheetId="3">OFFSET(SpecCASNo,2,0,ROWS(SpecList))</definedName>
    <definedName name="SpecData" localSheetId="4">OFFSET(SpecCASNo,2,0,ROWS(SpecList))</definedName>
    <definedName name="SpecData">OFFSET(SpecCASNo,2,0,ROWS(SpecList))</definedName>
    <definedName name="TankCalc_TankList">'[3]Tank Calculations'!$A$10:$A$623</definedName>
    <definedName name="tblCompoundProp" localSheetId="5">OFFSET(hdrCompoundProp,1,0,COUNTA(#REF!))</definedName>
    <definedName name="tblCompoundProp" localSheetId="1">OFFSET(hdrCompoundProp,1,0,COUNTA(#REF!))</definedName>
    <definedName name="tblCompoundProp" localSheetId="2">OFFSET(hdrCompoundProp,1,0,COUNTA(#REF!))</definedName>
    <definedName name="tblCompoundProp" localSheetId="4">OFFSET(hdrCompoundProp,1,0,COUNTA(#REF!))</definedName>
    <definedName name="tblCompoundProp">OFFSET(hdrCompoundProp,1,0,COUNTA(#REF!))</definedName>
    <definedName name="tblkpUnitID">'[4]Fug Speciation Lookup'!$A$6:$B$40</definedName>
    <definedName name="UNI_AA_VERSION" hidden="1">"150.2.0"</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RET_ATTRIB" hidden="1">64</definedName>
    <definedName name="UNI_RET_CONF" hidden="1">32</definedName>
    <definedName name="UNI_RET_DESC" hidden="1">4</definedName>
    <definedName name="UNI_RET_END" hidden="1">16384</definedName>
    <definedName name="UNI_RET_EQUIP" hidden="1">32768</definedName>
    <definedName name="UNI_RET_EVENT" hidden="1">4096</definedName>
    <definedName name="UNI_RET_OFFSPEC" hidden="1">512</definedName>
    <definedName name="UNI_RET_ONSPEC" hidden="1">256</definedName>
    <definedName name="UNI_RET_PROP" hidden="1">131072</definedName>
    <definedName name="UNI_RET_PROPDESC" hidden="1">262144</definedName>
    <definedName name="UNI_RET_SMPLPNT" hidden="1">65536</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FORMANCES1R1C13" hidden="1">#REF!</definedName>
    <definedName name="UNIFORMANCES1R1C8" hidden="1">#REF!</definedName>
    <definedName name="wrn.all3.">{"summ",#N/A,FALSE,"VOCs";"misc",#N/A,FALSE,"VOCs";"fugs",#N/A,FALSE,"VOCs"}</definedName>
    <definedName name="wrn.all4." hidden="1">{"summ",#N/A,FALSE,"VOCs";"misc",#N/A,FALSE,"VOCs";"fugs",#N/A,FALSE,"VOCs"}</definedName>
    <definedName name="wrn.CrudeDifferentials." hidden="1">{"CrudePage1",#N/A,FALSE,"CrudeBasis"}</definedName>
    <definedName name="wrn.DailyPricesNew." hidden="1">{#N/A,#N/A,TRUE,"Sum";#N/A,#N/A,TRUE,"USGC";#N/A,#N/A,TRUE,"Can";#N/A,#N/A,TRUE,"Cat";#N/A,#N/A,TRUE,"Det";#N/A,#N/A,TRUE,"Gvl";#N/A,#N/A,TRUE,"Rob";#N/A,#N/A,TRUE,"StP";#N/A,#N/A,TRUE,"TxC"}</definedName>
    <definedName name="wrn.DETQTR." hidden="1">{#N/A,#N/A,FALSE,"QTR"}</definedName>
    <definedName name="wrn.ESDETP1." hidden="1">{"esdet1",#N/A,FALSE,"REPORT"}</definedName>
    <definedName name="wrn.ESDETP2." hidden="1">{"esdet2",#N/A,FALSE,"REPORT"}</definedName>
    <definedName name="wrn.Fuel._.Determination." hidden="1">{"Fuel Determination",#N/A,FALSE,"NOx &amp; SOx (1)"}</definedName>
    <definedName name="wrn.Fuel._.Limits." hidden="1">{"Fuel Limit",#N/A,FALSE,"NOx &amp; SOx"}</definedName>
    <definedName name="wrn.Fugitive._.VOCs.">{"summary",#N/A,TRUE,"Fugitive VOC";"fugitives",#N/A,TRUE,"Fugitives";"facility fugitives",#N/A,TRUE,"Fugitive VOC";"compressor",#N/A,TRUE,"Fugitive VOC";"compressors",#N/A,TRUE,"Fugitive VOC";"cpi_separator",#N/A,TRUE,"Fugitive VOC";"blowdown",#N/A,TRUE,"Fugitive VOC";"waste treatment",#N/A,TRUE,"Fugitive VOC"}</definedName>
    <definedName name="wrn.hist." hidden="1">{"histcost",#N/A,FALSE,"hist-$";"histenergy",#N/A,FALSE,"hist-$"}</definedName>
    <definedName name="wrn.Inventory.">{#N/A,#N/A,FALSE,"Summary";#N/A,#N/A,FALSE,"Painting Summary";#N/A,#N/A,FALSE,"Painting Tank 921";#N/A,#N/A,FALSE,"Painting Tank 561";#N/A,#N/A,FALSE,"Painting Tank 560";#N/A,#N/A,FALSE,"Refrigerants";#N/A,#N/A,FALSE,"Diesel ICE";#N/A,#N/A,FALSE,"Diesel EF";#N/A,#N/A,FALSE,"Natural Gas Combustion";#N/A,#N/A,FALSE,"Nat.Gas-Ext. EF";#N/A,#N/A,FALSE,"Oil-Water Separator";#N/A,#N/A,FALSE,"Fuel Dispensing";#N/A,#N/A,FALSE,"Loading";#N/A,#N/A,FALSE,"Tanks";#N/A,#N/A,FALSE,"Chemicals Throughput";#N/A,#N/A,FALSE,"Fuels Throughput";#N/A,#N/A,FALSE,"Tank Controls";#N/A,#N/A,FALSE,"Degassing";#N/A,#N/A,FALSE,"Fugitives";#N/A,#N/A,FALSE,"Fugitives Fuels and Chemical";#N/A,#N/A,FALSE,"Fugitives Laboratory";#N/A,#N/A,FALSE,"Fugitive Components";#N/A,#N/A,FALSE,"Heavy Components";#N/A,#N/A,FALSE,"Transmix and MAK.GLY";#N/A,#N/A,FALSE,"Oxy_Hydro_CW Speciation";#N/A,#N/A,FALSE,"Speciation";#N/A,#N/A,FALSE,"Headspace"}</definedName>
    <definedName name="wrn.Jan." hidden="1">{"detj",#N/A,FALSE,"A";"fpjan",#N/A,FALSE,"A";"garj",#N/A,FALSE,"A";"robj",#N/A,FALSE,"A";"texj",#N/A,FALSE,"A"}</definedName>
    <definedName name="wrn.NOx._.and._.SO2." hidden="1">{"NOx and SO2",#N/A,FALSE,"NOx &amp; SOx (1)";"NOx and SO2",#N/A,FALSE,"NOx &amp; SOx (2)";"NOx and SO2",#N/A,FALSE,"NOx &amp; SOx (3)"}</definedName>
    <definedName name="wrn.pap85." hidden="1">{#N/A,#N/A,FALSE,"Sheet1";#N/A,#N/A,FALSE,"Sheet2";#N/A,#N/A,FALSE,"Sheet3"}</definedName>
    <definedName name="wrn.Permit._.Modification." hidden="1">{#N/A,#N/A,FALSE,"Sheet1";#N/A,#N/A,FALSE,"Sheet2";#N/A,#N/A,FALSE,"Sheet3"}</definedName>
    <definedName name="wrn.Remaining._.Fuel." hidden="1">{"Remaining Fuel",#N/A,FALSE,"NOx &amp; SOx"}</definedName>
    <definedName name="wrn.Roller._.Mills." hidden="1">{#N/A,#N/A,FALSE,"Roller Mills 1";#N/A,#N/A,FALSE,"Roller Mills 2";#N/A,#N/A,FALSE,"Roller Mills 3"}</definedName>
    <definedName name="wrn.Summary.">{"CO",#N/A,FALSE,"Summary Sheet";"H2S",#N/A,FALSE,"Summary Sheet";"NOx",#N/A,FALSE,"Summary Sheet";"SO2",#N/A,FALSE,"Summary Sheet";"PM",#N/A,FALSE,"Summary Sheet";"TRS",#N/A,FALSE,"Summary Sheet";"VOCs",#N/A,FALSE,"Summary Sheet"}</definedName>
    <definedName name="wrn.T5COMBO._.Report.">{#N/A,#N/A,FALSE,"Reconciled Quantified Sources";#N/A,#N/A,FALSE,"Source Group Splitting";#N/A,#N/A,FALSE,"CO";#N/A,#N/A,FALSE,"H2S";#N/A,#N/A,FALSE,"NOx";#N/A,#N/A,FALSE,"Other TRS";#N/A,#N/A,FALSE,"SO2";#N/A,#N/A,FALSE,"PM";#N/A,#N/A,FALSE,"VOC";#N/A,#N/A,FALSE,"Other Toxics"}</definedName>
    <definedName name="wrn.WorldScaleTrans." hidden="1">{"CrudePage2",#N/A,FALSE,"CrudeBasis"}</definedName>
    <definedName name="Z_4A691D42_3B2D_11D4_B614_006008A1A1C0_.wvu.PrintArea" hidden="1">'[5]Hg Flow DIAGRAM'!$A$1:$AA$110</definedName>
    <definedName name="Z_4A691D4D_3B2D_11D4_B614_006008A1A1C0_.wvu.PrintArea" hidden="1">'[5]Hg Flow DIAGRAM'!$A$1:$AA$110</definedName>
    <definedName name="Z_822069C1_5A8E_11D5_B117_006097B6F5C5_.wvu.Cols" hidden="1">#REF!</definedName>
    <definedName name="Z_B8156B4B_0907_11D5_A3D5_0090273149B6_.wvu.PrintTitles" hidden="1">#REF!,#REF!</definedName>
    <definedName name="Z_B8156B4B_0907_11D5_A3D5_0090273149B6_.wvu.Rows" hidden="1">#REF!,#REF!,#REF!,#REF!,#REF!,#REF!,#REF!,#REF!,#REF!,#REF!,#REF!,#REF!,#REF!,#REF!,#REF!,#REF!</definedName>
    <definedName name="Z_DC66756E_0709_11D5_8931_F69EA8DDEA18_.wvu.PrintArea" hidden="1">#REF!</definedName>
    <definedName name="Z_EE5BAD4A_58D6_11D5_B2FD_00805F578C8B_.wvu.PrintTitles" hidden="1">#REF!,#REF!</definedName>
    <definedName name="Z_EE5BAD4A_58D6_11D5_B2FD_00805F578C8B_.wvu.Rows" hidden="1">#REF!,#REF!,#REF!,#REF!,#REF!,#REF!,#REF!,#REF!,#REF!,#REF!,#REF!,#REF!,#REF!,#REF!,#REF!,#REF!</definedName>
    <definedName name="Z_F085D2F4_0CC7_11D5_B841_00B0D03E13D1_.wvu.Cols" hidden="1">'[6]COPI Compns'!#REF!,'[6]COPI Compns'!#REF!</definedName>
    <definedName name="Z_F085D2F4_0CC7_11D5_B841_00B0D03E13D1_.wvu.PrintTitles" hidden="1">'[6]COPI Combn Emiss'!$A$1:$G$65536,'[6]COPI Combn Emiss'!$A$1:$IV$21</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3" i="3" l="1"/>
  <c r="F14" i="3" l="1"/>
  <c r="F15" i="3"/>
  <c r="E15" i="3"/>
  <c r="D15" i="3"/>
  <c r="B11" i="7"/>
  <c r="B19" i="2"/>
  <c r="D19" i="2" s="1"/>
  <c r="B20" i="2"/>
  <c r="D20" i="2" s="1"/>
  <c r="B21" i="2"/>
  <c r="D21" i="2" s="1"/>
  <c r="B19" i="6" l="1"/>
  <c r="B24" i="7"/>
  <c r="D16" i="7" s="1"/>
  <c r="C7" i="9" s="1"/>
  <c r="E16" i="7" l="1"/>
  <c r="F16" i="7"/>
  <c r="A1" i="7" l="1"/>
  <c r="A1" i="3"/>
  <c r="A1" i="2"/>
  <c r="C29" i="3"/>
  <c r="B22" i="7" s="1"/>
  <c r="B7" i="9" l="1"/>
  <c r="D7" i="9" s="1"/>
  <c r="C19" i="9"/>
  <c r="E7" i="9" l="1"/>
  <c r="G7" i="9" s="1"/>
  <c r="D16" i="3" l="1"/>
  <c r="D14" i="3"/>
  <c r="B20" i="1"/>
  <c r="B6" i="1"/>
  <c r="E16" i="3"/>
  <c r="E14" i="3"/>
  <c r="B35" i="1"/>
  <c r="C33" i="3"/>
  <c r="B11" i="9" l="1"/>
  <c r="D11" i="9" s="1"/>
  <c r="C19" i="6"/>
  <c r="C11" i="8"/>
  <c r="C9" i="8"/>
  <c r="C9" i="6"/>
  <c r="C11" i="6"/>
  <c r="E11" i="6" s="1"/>
  <c r="D33" i="3"/>
  <c r="B23" i="9" s="1"/>
  <c r="D23" i="9" s="1"/>
  <c r="B32" i="3"/>
  <c r="B31" i="3"/>
  <c r="B30" i="3"/>
  <c r="B21" i="3"/>
  <c r="D21" i="3" s="1"/>
  <c r="B20" i="3"/>
  <c r="B19" i="3"/>
  <c r="B18" i="3"/>
  <c r="D18" i="3" s="1"/>
  <c r="B17" i="3"/>
  <c r="D17" i="3" s="1"/>
  <c r="F16" i="3"/>
  <c r="B13" i="3"/>
  <c r="D13" i="3" s="1"/>
  <c r="B12" i="3"/>
  <c r="D12" i="3" s="1"/>
  <c r="B11" i="3"/>
  <c r="B16" i="1"/>
  <c r="E19" i="6" l="1"/>
  <c r="F19" i="6" s="1"/>
  <c r="K19" i="6" s="1"/>
  <c r="E23" i="9"/>
  <c r="G23" i="9" s="1"/>
  <c r="E9" i="6"/>
  <c r="E11" i="8"/>
  <c r="B23" i="3"/>
  <c r="D23" i="3" s="1"/>
  <c r="E11" i="9"/>
  <c r="G11" i="9" s="1"/>
  <c r="C7" i="8"/>
  <c r="C8" i="8"/>
  <c r="E9" i="8"/>
  <c r="B6" i="9"/>
  <c r="D6" i="9" s="1"/>
  <c r="C12" i="8"/>
  <c r="C13" i="8"/>
  <c r="D19" i="3"/>
  <c r="C10" i="8"/>
  <c r="C31" i="3"/>
  <c r="C32" i="3"/>
  <c r="D32" i="3" s="1"/>
  <c r="B22" i="9" s="1"/>
  <c r="C10" i="6"/>
  <c r="E20" i="3"/>
  <c r="D20" i="3"/>
  <c r="C16" i="6"/>
  <c r="C8" i="6"/>
  <c r="B18" i="1"/>
  <c r="B19" i="1" s="1"/>
  <c r="B21" i="1" s="1"/>
  <c r="C7" i="6"/>
  <c r="C12" i="6"/>
  <c r="D29" i="3"/>
  <c r="B19" i="9" s="1"/>
  <c r="D19" i="9" s="1"/>
  <c r="E11" i="3"/>
  <c r="D11" i="3"/>
  <c r="C13" i="6"/>
  <c r="F18" i="3"/>
  <c r="E18" i="3"/>
  <c r="F13" i="3"/>
  <c r="E13" i="3"/>
  <c r="F21" i="3"/>
  <c r="E21" i="3"/>
  <c r="C30" i="3"/>
  <c r="F11" i="3"/>
  <c r="F12" i="3"/>
  <c r="E12" i="3"/>
  <c r="F17" i="3"/>
  <c r="B18" i="9" s="1"/>
  <c r="D18" i="9" s="1"/>
  <c r="E17" i="3"/>
  <c r="F19" i="3"/>
  <c r="E19" i="3"/>
  <c r="B22" i="3"/>
  <c r="D22" i="3" s="1"/>
  <c r="F20" i="3"/>
  <c r="B31" i="2"/>
  <c r="C31" i="2" s="1"/>
  <c r="D31" i="2" s="1"/>
  <c r="B30" i="2"/>
  <c r="C30" i="2" s="1"/>
  <c r="D30" i="2" s="1"/>
  <c r="B29" i="2"/>
  <c r="C29" i="2" s="1"/>
  <c r="D29" i="2" s="1"/>
  <c r="C28" i="2"/>
  <c r="B31" i="1" s="1"/>
  <c r="B32" i="1" s="1"/>
  <c r="B16" i="6"/>
  <c r="B14" i="6"/>
  <c r="B18" i="2"/>
  <c r="D18" i="2" s="1"/>
  <c r="B17" i="2"/>
  <c r="D17" i="2" s="1"/>
  <c r="D16" i="2"/>
  <c r="B15" i="2"/>
  <c r="D15" i="2" s="1"/>
  <c r="D14" i="2"/>
  <c r="B13" i="2"/>
  <c r="D13" i="2" s="1"/>
  <c r="B12" i="2"/>
  <c r="D12" i="2" s="1"/>
  <c r="B11" i="2"/>
  <c r="D11" i="2" s="1"/>
  <c r="E7" i="8" l="1"/>
  <c r="E8" i="8"/>
  <c r="E19" i="9"/>
  <c r="G19" i="9" s="1"/>
  <c r="E18" i="9"/>
  <c r="G18" i="9" s="1"/>
  <c r="C14" i="6"/>
  <c r="E14" i="6" s="1"/>
  <c r="F14" i="6" s="1"/>
  <c r="K14" i="6" s="1"/>
  <c r="B10" i="6"/>
  <c r="B10" i="8"/>
  <c r="B9" i="6"/>
  <c r="F9" i="6" s="1"/>
  <c r="K9" i="6" s="1"/>
  <c r="B9" i="8"/>
  <c r="F9" i="8" s="1"/>
  <c r="H9" i="8" s="1"/>
  <c r="B12" i="6"/>
  <c r="B12" i="8"/>
  <c r="B8" i="6"/>
  <c r="B8" i="8"/>
  <c r="B7" i="6"/>
  <c r="B7" i="8"/>
  <c r="B11" i="6"/>
  <c r="F11" i="6" s="1"/>
  <c r="K11" i="6" s="1"/>
  <c r="B11" i="8"/>
  <c r="F11" i="8" s="1"/>
  <c r="H11" i="8" s="1"/>
  <c r="B13" i="6"/>
  <c r="B13" i="8"/>
  <c r="B6" i="6"/>
  <c r="B6" i="8"/>
  <c r="E6" i="9"/>
  <c r="G6" i="9" s="1"/>
  <c r="E13" i="8"/>
  <c r="F13" i="8" s="1"/>
  <c r="H13" i="8" s="1"/>
  <c r="B8" i="9"/>
  <c r="D8" i="9" s="1"/>
  <c r="E13" i="6"/>
  <c r="B9" i="9"/>
  <c r="D9" i="9" s="1"/>
  <c r="E12" i="8"/>
  <c r="E10" i="8"/>
  <c r="B10" i="9"/>
  <c r="D10" i="9" s="1"/>
  <c r="D22" i="9"/>
  <c r="C6" i="8"/>
  <c r="D31" i="3"/>
  <c r="B21" i="9" s="1"/>
  <c r="E10" i="6"/>
  <c r="E7" i="6"/>
  <c r="C6" i="6"/>
  <c r="C18" i="6"/>
  <c r="C17" i="6"/>
  <c r="E8" i="6"/>
  <c r="D30" i="3"/>
  <c r="B20" i="9" s="1"/>
  <c r="B15" i="6"/>
  <c r="E12" i="6"/>
  <c r="E16" i="6"/>
  <c r="F16" i="6" s="1"/>
  <c r="K16" i="6" s="1"/>
  <c r="C15" i="6"/>
  <c r="F22" i="3"/>
  <c r="E22" i="3"/>
  <c r="F23" i="3"/>
  <c r="E23" i="3"/>
  <c r="D28" i="2"/>
  <c r="B25" i="1"/>
  <c r="B27" i="1" s="1"/>
  <c r="B28" i="1" s="1"/>
  <c r="B22" i="2"/>
  <c r="D22" i="2" s="1"/>
  <c r="B17" i="6" s="1"/>
  <c r="B23" i="2"/>
  <c r="D23" i="2" s="1"/>
  <c r="B18" i="6" s="1"/>
  <c r="F7" i="6" l="1"/>
  <c r="K7" i="6" s="1"/>
  <c r="F10" i="6"/>
  <c r="K10" i="6" s="1"/>
  <c r="F8" i="8"/>
  <c r="H8" i="8" s="1"/>
  <c r="F12" i="6"/>
  <c r="K12" i="6" s="1"/>
  <c r="F10" i="8"/>
  <c r="F12" i="8"/>
  <c r="F7" i="8"/>
  <c r="H7" i="8" s="1"/>
  <c r="D21" i="9"/>
  <c r="E21" i="9" s="1"/>
  <c r="G21" i="9" s="1"/>
  <c r="E22" i="9"/>
  <c r="G22" i="9" s="1"/>
  <c r="F13" i="6"/>
  <c r="K13" i="6" s="1"/>
  <c r="H11" i="6"/>
  <c r="F8" i="6"/>
  <c r="K8" i="6" s="1"/>
  <c r="E9" i="9"/>
  <c r="G9" i="9" s="1"/>
  <c r="E10" i="9"/>
  <c r="G10" i="9" s="1"/>
  <c r="E8" i="9"/>
  <c r="G8" i="9" s="1"/>
  <c r="E6" i="8"/>
  <c r="F6" i="8" s="1"/>
  <c r="D20" i="9"/>
  <c r="E6" i="6"/>
  <c r="F6" i="6" s="1"/>
  <c r="K6" i="6" s="1"/>
  <c r="H9" i="6"/>
  <c r="H10" i="6"/>
  <c r="H14" i="6"/>
  <c r="H16" i="6"/>
  <c r="H7" i="6"/>
  <c r="H12" i="6"/>
  <c r="E15" i="6"/>
  <c r="E17" i="6"/>
  <c r="F17" i="6" s="1"/>
  <c r="K17" i="6" s="1"/>
  <c r="E18" i="6"/>
  <c r="F18" i="6" s="1"/>
  <c r="K18" i="6" s="1"/>
  <c r="H13" i="6" l="1"/>
  <c r="E20" i="9"/>
  <c r="G20" i="9" s="1"/>
  <c r="H8" i="6"/>
  <c r="H18" i="6"/>
  <c r="H6" i="6"/>
  <c r="H17" i="6"/>
  <c r="F15" i="6"/>
  <c r="K15" i="6" s="1"/>
  <c r="H15" i="6" l="1"/>
</calcChain>
</file>

<file path=xl/sharedStrings.xml><?xml version="1.0" encoding="utf-8"?>
<sst xmlns="http://schemas.openxmlformats.org/spreadsheetml/2006/main" count="412" uniqueCount="173">
  <si>
    <t>lb/hr</t>
  </si>
  <si>
    <t>Reference</t>
  </si>
  <si>
    <t>"Tracking Spreadsheet for FWS.xlsx" prepared by Sharon Lim</t>
  </si>
  <si>
    <t>Ammonia mass rate:</t>
  </si>
  <si>
    <t>Quantity</t>
  </si>
  <si>
    <t>Value</t>
  </si>
  <si>
    <t>Units</t>
  </si>
  <si>
    <t>Max Firing Rate:</t>
  </si>
  <si>
    <t>MMBtu/hr</t>
  </si>
  <si>
    <t>Engineering estimate</t>
  </si>
  <si>
    <r>
      <t>CO</t>
    </r>
    <r>
      <rPr>
        <vertAlign val="subscript"/>
        <sz val="10"/>
        <rFont val="Arial"/>
        <family val="2"/>
      </rPr>
      <t>2</t>
    </r>
    <r>
      <rPr>
        <sz val="10"/>
        <rFont val="Arial"/>
        <family val="2"/>
      </rPr>
      <t xml:space="preserve"> emission factor:</t>
    </r>
  </si>
  <si>
    <t>kg/MMBtu</t>
  </si>
  <si>
    <t>CARB default for natural gas</t>
  </si>
  <si>
    <t>hr/yr</t>
  </si>
  <si>
    <t>Pollutant</t>
  </si>
  <si>
    <t>Emission Factor</t>
  </si>
  <si>
    <t>Potential Emissions (tpy) [1]</t>
  </si>
  <si>
    <t>Emission Factor Reference</t>
  </si>
  <si>
    <t>PM</t>
  </si>
  <si>
    <t>lb/MMBtu</t>
  </si>
  <si>
    <t>AP-42 Section 1.4</t>
  </si>
  <si>
    <r>
      <t>PM</t>
    </r>
    <r>
      <rPr>
        <vertAlign val="subscript"/>
        <sz val="10"/>
        <rFont val="Arial"/>
        <family val="2"/>
      </rPr>
      <t>10</t>
    </r>
  </si>
  <si>
    <r>
      <t>PM</t>
    </r>
    <r>
      <rPr>
        <vertAlign val="subscript"/>
        <sz val="10"/>
        <rFont val="Arial"/>
        <family val="2"/>
      </rPr>
      <t>2.5</t>
    </r>
  </si>
  <si>
    <r>
      <t>NO</t>
    </r>
    <r>
      <rPr>
        <vertAlign val="subscript"/>
        <sz val="10"/>
        <rFont val="Arial"/>
        <family val="2"/>
      </rPr>
      <t>X</t>
    </r>
  </si>
  <si>
    <t>Vendor Estimate</t>
  </si>
  <si>
    <t>CO</t>
  </si>
  <si>
    <r>
      <t>SO</t>
    </r>
    <r>
      <rPr>
        <vertAlign val="subscript"/>
        <sz val="10"/>
        <rFont val="Arial"/>
        <family val="2"/>
      </rPr>
      <t>2</t>
    </r>
  </si>
  <si>
    <r>
      <t>H</t>
    </r>
    <r>
      <rPr>
        <vertAlign val="subscript"/>
        <sz val="10"/>
        <rFont val="Arial"/>
        <family val="2"/>
      </rPr>
      <t>2</t>
    </r>
    <r>
      <rPr>
        <sz val="10"/>
        <rFont val="Arial"/>
        <family val="2"/>
      </rPr>
      <t>SO</t>
    </r>
    <r>
      <rPr>
        <vertAlign val="subscript"/>
        <sz val="10"/>
        <rFont val="Arial"/>
        <family val="2"/>
      </rPr>
      <t>4</t>
    </r>
  </si>
  <si>
    <t>Eng. Estimate</t>
  </si>
  <si>
    <t>POC</t>
  </si>
  <si>
    <t>Default</t>
  </si>
  <si>
    <r>
      <t>CO</t>
    </r>
    <r>
      <rPr>
        <vertAlign val="subscript"/>
        <sz val="10"/>
        <rFont val="Arial"/>
        <family val="2"/>
      </rPr>
      <t>2</t>
    </r>
  </si>
  <si>
    <t>CARB default EF for natural gas</t>
  </si>
  <si>
    <r>
      <t>CH</t>
    </r>
    <r>
      <rPr>
        <vertAlign val="subscript"/>
        <sz val="10"/>
        <rFont val="Arial"/>
        <family val="2"/>
      </rPr>
      <t>4</t>
    </r>
  </si>
  <si>
    <r>
      <t>N</t>
    </r>
    <r>
      <rPr>
        <vertAlign val="subscript"/>
        <sz val="10"/>
        <rFont val="Arial"/>
        <family val="2"/>
      </rPr>
      <t>2</t>
    </r>
    <r>
      <rPr>
        <sz val="10"/>
        <rFont val="Arial"/>
        <family val="2"/>
      </rPr>
      <t>O</t>
    </r>
  </si>
  <si>
    <t>GHG (mass)</t>
  </si>
  <si>
    <t>Calculated</t>
  </si>
  <si>
    <r>
      <t>GHG (CO</t>
    </r>
    <r>
      <rPr>
        <vertAlign val="subscript"/>
        <sz val="10"/>
        <rFont val="Arial"/>
        <family val="2"/>
      </rPr>
      <t>2</t>
    </r>
    <r>
      <rPr>
        <sz val="10"/>
        <rFont val="Arial"/>
        <family val="2"/>
      </rPr>
      <t>e)</t>
    </r>
  </si>
  <si>
    <r>
      <t>[1]</t>
    </r>
    <r>
      <rPr>
        <vertAlign val="superscript"/>
        <sz val="10"/>
        <color indexed="8"/>
        <rFont val="Arial"/>
        <family val="2"/>
      </rPr>
      <t xml:space="preserve"> </t>
    </r>
    <r>
      <rPr>
        <sz val="10"/>
        <color indexed="8"/>
        <rFont val="Arial"/>
        <family val="2"/>
      </rPr>
      <t>Potential Emissions (tpy) = Emission Factor (lb/MMBtu) x Max Firing Rate (MMBtu/hr) x Hours of Operation (hr/yr) / 2000 lb/ton</t>
    </r>
  </si>
  <si>
    <t>Potential Emissions (tpy)</t>
  </si>
  <si>
    <r>
      <t>CH</t>
    </r>
    <r>
      <rPr>
        <vertAlign val="subscript"/>
        <sz val="10"/>
        <rFont val="Arial"/>
        <family val="2"/>
      </rPr>
      <t xml:space="preserve">4 </t>
    </r>
  </si>
  <si>
    <r>
      <t xml:space="preserve">Emission Factor </t>
    </r>
    <r>
      <rPr>
        <b/>
        <vertAlign val="superscript"/>
        <sz val="10"/>
        <rFont val="Arial"/>
        <family val="2"/>
      </rPr>
      <t>[1], [2]</t>
    </r>
  </si>
  <si>
    <t>Emission Rate</t>
  </si>
  <si>
    <t>(lb/MMBtu)</t>
  </si>
  <si>
    <t>(lb/hr)</t>
  </si>
  <si>
    <t>(tpy)</t>
  </si>
  <si>
    <t>Ammonia</t>
  </si>
  <si>
    <t>-</t>
  </si>
  <si>
    <t>Benzene</t>
  </si>
  <si>
    <t>Formaldehyde</t>
  </si>
  <si>
    <t>Toluene</t>
  </si>
  <si>
    <t>[2] Ammonia emission rates from the vendor specifications and account for the unit's destruction efficiency.</t>
  </si>
  <si>
    <t>CONFIDENTIAL, SUBJECT TO ATTORNEY WORK PRODUCT DOCTRINE AND/OR ATTORNEY/CLIENT PRIVILEGE</t>
  </si>
  <si>
    <t>TCEQ guidance (https://www.tceq.texas.gov/assets/public/permitting/air/Guidance/NewSourceReview/emiss_calc_flares.pdf)</t>
  </si>
  <si>
    <t>Conversion to NOx:</t>
  </si>
  <si>
    <t>Fuel NOx emission rate:</t>
  </si>
  <si>
    <t>NOx Emission Calculations from Combustion</t>
  </si>
  <si>
    <t>Fuel NOx emissions from combustion of the SWS offgas stream would be in addition to NOx emissions from current operations.</t>
  </si>
  <si>
    <t>Alternative 1: Combustion in fuel gas system by process heaters</t>
  </si>
  <si>
    <t>Process heaters are subject to either NOx limits (e.g., Hot Oil Heater) or the Rule 9-10 cap of 834 lb/day.</t>
  </si>
  <si>
    <t>Offset value</t>
  </si>
  <si>
    <t>$/(ton/yr)</t>
  </si>
  <si>
    <t>Alternative scenario duration:</t>
  </si>
  <si>
    <t>Alternative scenario cost:</t>
  </si>
  <si>
    <t>Offset ratio:</t>
  </si>
  <si>
    <t>Recent costs per Bart Leininger</t>
  </si>
  <si>
    <t>Proposed value</t>
  </si>
  <si>
    <t>BAAQMD Rule 2-2-302.2</t>
  </si>
  <si>
    <t>Calculated (note: theoretical max = 2.7 if all NH3 converted to NO2)</t>
  </si>
  <si>
    <t>Suggested approach: no increase in PTE as a result of this alternative operating scenario</t>
  </si>
  <si>
    <t>Alternative 2: Combustion in flares</t>
  </si>
  <si>
    <t>Heat rate</t>
  </si>
  <si>
    <t>Permitted value for thermal oxidizer, assumed representative of firing rate of the same gas stream at the flare</t>
  </si>
  <si>
    <t>AP-42 Section 13.5</t>
  </si>
  <si>
    <t>NOx emission factor</t>
  </si>
  <si>
    <t>Thermal NOx emission rate</t>
  </si>
  <si>
    <t>Total emission rate</t>
  </si>
  <si>
    <t>ton/yr</t>
  </si>
  <si>
    <t>Current permitted emission rate</t>
  </si>
  <si>
    <t>Additional emissions to offset</t>
  </si>
  <si>
    <t>SWS Offgas TO PTE (permitted)</t>
  </si>
  <si>
    <t>Hydrogen Sulfide</t>
  </si>
  <si>
    <t>Toxic Air Pollutant</t>
  </si>
  <si>
    <t>NH3 Emissions from Flaring</t>
  </si>
  <si>
    <t>Current destruction</t>
  </si>
  <si>
    <t>Flare destruction</t>
  </si>
  <si>
    <t>MRF Permit</t>
  </si>
  <si>
    <t>NOx emission rate:</t>
  </si>
  <si>
    <t>NH3 emission rate</t>
  </si>
  <si>
    <t>Current permitted NH3 emission rate</t>
  </si>
  <si>
    <t xml:space="preserve">Incremental process heater ammonia emissions </t>
  </si>
  <si>
    <t xml:space="preserve">Compared to fuel gas, the all of the criteria pollutant emissions would be the same except for ammonia. That is materially different. </t>
  </si>
  <si>
    <t xml:space="preserve">For flare should use the same methodology for the other criteria pollutants for completeness. </t>
  </si>
  <si>
    <t xml:space="preserve">TO vs flaring emission factors </t>
  </si>
  <si>
    <t>Potential Emissions (lb/day)</t>
  </si>
  <si>
    <t>Potential Emissions (lb/hr)</t>
  </si>
  <si>
    <t>MMBtu/MMscf</t>
  </si>
  <si>
    <t xml:space="preserve">Proposed Alternative Control Scenario Annual Operating Limit </t>
  </si>
  <si>
    <t>Engineering Estimate</t>
  </si>
  <si>
    <t>See Below</t>
  </si>
  <si>
    <t>Ammonia Emission Factor:</t>
  </si>
  <si>
    <t>Pre-Project (Permitted) PTE Emission Calculations</t>
  </si>
  <si>
    <t>Post-Project PTE Emission Calculations</t>
  </si>
  <si>
    <t xml:space="preserve">Post-Project Incremental Emission Calculations </t>
  </si>
  <si>
    <r>
      <t xml:space="preserve">As such, </t>
    </r>
    <r>
      <rPr>
        <b/>
        <u/>
        <sz val="11"/>
        <color theme="1"/>
        <rFont val="Aptos Narrow"/>
        <family val="2"/>
        <scheme val="minor"/>
      </rPr>
      <t>the Project will not result in an increase in PTE</t>
    </r>
    <r>
      <rPr>
        <sz val="11"/>
        <color theme="1"/>
        <rFont val="Aptos Narrow"/>
        <family val="2"/>
        <scheme val="minor"/>
      </rPr>
      <t xml:space="preserve"> because of this alternative operating scenario.</t>
    </r>
  </si>
  <si>
    <t>[2] Alternative Control Scenario 2b does not result in incremental emissions due to existing permit limits and SWS offgas is sufficiently similar to the existing fuel gas.</t>
  </si>
  <si>
    <t>Normal Operation 
(PTE)</t>
  </si>
  <si>
    <t>[1] BAAQMD and federal baseline emissions are equal to the existing PTE and permitted limits because the unit has operated less than 24 months, pursuant to 2-2-603.2.2.2 and 40 CFR 52.21(b)(48)(iii).</t>
  </si>
  <si>
    <t>Projected Actual Emissions (tpy)</t>
  </si>
  <si>
    <t>Worst-case PAE Increase</t>
  </si>
  <si>
    <t>Project Emission Increase (tpy) [3]</t>
  </si>
  <si>
    <t>N/A</t>
  </si>
  <si>
    <t>PSD Significant Emission Rate (SER) per 2-2-227 [4]</t>
  </si>
  <si>
    <t>[3] Emissions increase is calculated as potential emissions minus baseline actual emissions.</t>
  </si>
  <si>
    <t>[4] Per Rule 2-2-227, PM2.5 and POC are not PSD pollutants because the Bay Area remains in nonattainment with the National Ambient Air Quality Standards for PM2.5 and ozone.</t>
  </si>
  <si>
    <t>Alternative Control Scenario 2b:
-8,260 hr/yr to SWS TO
-500 hr/yr to Process Heaters 
(PTE) [2]</t>
  </si>
  <si>
    <t>Is Project Emission Increase Greater than BAAQMD PSD SER?</t>
  </si>
  <si>
    <t>Federal PSD SER Per 40 CFR 52.21(b)(23)(i)</t>
  </si>
  <si>
    <t>BAAQMD PSD Major Modification Analysis</t>
  </si>
  <si>
    <t>Emission Reduction Credits (ERCs) Summary</t>
  </si>
  <si>
    <t>Post-Project PTE (tpy)</t>
  </si>
  <si>
    <t>Worst-case PTE Scenario</t>
  </si>
  <si>
    <t>Offset Ratios</t>
  </si>
  <si>
    <t>Emission Offsets</t>
  </si>
  <si>
    <t>Offsets Required</t>
  </si>
  <si>
    <t>Is Project Emission Increase Greater than Federal SERs?</t>
  </si>
  <si>
    <t>Federal NA NSR / PSD Major Modification Analysis</t>
  </si>
  <si>
    <t>Federal NA NSR SER per 51.165(a)(1)(x)(A) [5]</t>
  </si>
  <si>
    <t>[5] The nonattainment NSR significant emission rate for direct PM2.5 emissions is 10 tpy; additionally, this includes 40 tpy of SO2 emissions, 40 tpy of NOx emissions, or 40 tpy of VOC emissions unless they are demonstrated not to be a PM2.5 precursor. The NSR significant emission rate is assessed based on emissions of VOC and NOx, individually.</t>
  </si>
  <si>
    <t>BAAQMD and Federal Non-Attainment New Source Review (NA NSR) / Prevention of Significant Deterioration (PSD) Major Modification Analysis</t>
  </si>
  <si>
    <t>BAAQMD Rule 2-5 New Source Review of Toxic Air Contaminants Analysis</t>
  </si>
  <si>
    <t>Is Project Emission Increase Greater than BAAQMD Rule 2-5 Acute Trigger Level?</t>
  </si>
  <si>
    <t>Is Project Emission Increase Greater than BAAQMD Rule 2-5 Chronic Trigger Level?</t>
  </si>
  <si>
    <t>H2SO4</t>
  </si>
  <si>
    <t xml:space="preserve">Normal Operation 
</t>
  </si>
  <si>
    <t xml:space="preserve">BAAQMD Rule 2-5 New Source Review of Toxic Air Contaminants Analysis </t>
  </si>
  <si>
    <t>CARB AR4 GWP Factors</t>
  </si>
  <si>
    <t>Permitted Emission Limit for S-1600</t>
  </si>
  <si>
    <t>Current permitted NH3 emission rate:</t>
  </si>
  <si>
    <t>Current destruction efficiency:</t>
  </si>
  <si>
    <t>Heater destruction efficiency:</t>
  </si>
  <si>
    <t>Ammonia emission rate:</t>
  </si>
  <si>
    <t>Assumed same ammonia destruction efficiency as a flare; TCEQ guidance (https://www.tceq.texas.gov/assets/public/permitting/air/Guidance/NewSourceReview/emiss_calc_flares.pdf)</t>
  </si>
  <si>
    <t>BAAQMD and Federal Baseline Emissions (tpy) [1]</t>
  </si>
  <si>
    <t>Alternative Control Scenario 2b:
-8,260 hr/yr to SWS TO
-500 hr/yr to Process Heaters 
(PTE) [1]</t>
  </si>
  <si>
    <t>Cumulative Increase
(tpy) [2]</t>
  </si>
  <si>
    <t>[1] Alternative Control Scenario 2b does not result in incremental emissions due to existing permit limits and SWS offgas is sufficiently similar to the existing fuel gas.</t>
  </si>
  <si>
    <t>[2] Cumulative increase is calculated as post-project PTE minus pre-project PTE.</t>
  </si>
  <si>
    <t>Existing Pre-Project PTE 
(tpy)</t>
  </si>
  <si>
    <t>Heat value:</t>
  </si>
  <si>
    <t>Max firing rate:</t>
  </si>
  <si>
    <t>Hours of operation:</t>
  </si>
  <si>
    <t>CARB SAR GWP Factors</t>
  </si>
  <si>
    <t>[1] Hazardous Air Pollutant emission factors based on BAAQMD's 2008 Policy: Emission Factors for Toxic Air Contaminants from Miscellaneous Natural Gas Combustion Sources. https://www.baaqmd.gov/~/media/files/engineering/policy_and_procedures/tacemfacfromnatgascombustion.ashx</t>
  </si>
  <si>
    <r>
      <t xml:space="preserve">Emission Factor </t>
    </r>
    <r>
      <rPr>
        <b/>
        <vertAlign val="superscript"/>
        <sz val="10"/>
        <rFont val="Arial"/>
        <family val="2"/>
      </rPr>
      <t>[1], [2], [3]</t>
    </r>
  </si>
  <si>
    <t>Alternative Control Scenario 2b:
-8,260 hr/yr to SWS TO
-500 hr/yr to Process Heaters [1]</t>
  </si>
  <si>
    <t>Project Emissions Increase
(lb/hr) [2]</t>
  </si>
  <si>
    <t>Worst-case PTE</t>
  </si>
  <si>
    <t>BAAQMD Rule 2-5 Acute Trigger Level  (lb/hr) [3]</t>
  </si>
  <si>
    <t>Alternative Control Scenario 2b:
-8,260 hr/yr to SWS TO
-500 hr/yr to Process Heaters  [1]</t>
  </si>
  <si>
    <t>Project Emissions Increase
(lb/yr) [2]</t>
  </si>
  <si>
    <t>BAAQMD Rule 2-5 Chronic Trigger Level (lb/yr) [3]</t>
  </si>
  <si>
    <t>Post-Project PTE 
(lb/hr)</t>
  </si>
  <si>
    <t>Post-Project PTE 
(tpy)</t>
  </si>
  <si>
    <t>[2] The project emissions increase is equal to the worst-case PTE.</t>
  </si>
  <si>
    <t>Foul Water Stripper Offgas Thermal Oxidizer (S-1600/A-2000)</t>
  </si>
  <si>
    <t>Foul Water Stripper Offgas (S-1600) Combustion in Downstream Fuel Gas Combustion Devices (Alternative Control Scenario 2b)</t>
  </si>
  <si>
    <t>The FWS offgas stream will be sufficiently similar the existing fuel gas for all pollutants except for ammonia concentration and resulting NOx formation during combustion.</t>
  </si>
  <si>
    <t>Fuel NOx emissions from combustion of the FWS offgas stream would be in addition to NOx emissions from current operations.</t>
  </si>
  <si>
    <t>Foul Water Stripper Permit Modifications</t>
  </si>
  <si>
    <t>[2] https://www.baaqmd.gov/~/media/files/engineering/policy_and_procedures/bart_ract/noxandcoractforthermaloxidizers.pdf</t>
  </si>
  <si>
    <t xml:space="preserve"> BAAQMD's 107 PPMv CO (at 15% O2) Proposed Emission Limit</t>
  </si>
  <si>
    <t>[3] Hydrogen sulfide emission factor based upon engineering estimate of 2 ppmv at 15% O2.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</si>
</sst>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164" formatCode="[&lt;0.1]0.00E+00;#,##0.00"/>
    <numFmt numFmtId="165" formatCode="0.000"/>
    <numFmt numFmtId="166" formatCode="[&lt;0.1]0E+00;#,##0"/>
    <numFmt numFmtId="167" formatCode="[&lt;0.1]0.000E+00;#,##0.000"/>
    <numFmt numFmtId="168" formatCode="0.0E+00"/>
    <numFmt numFmtId="169" formatCode="#,##0.000"/>
    <numFmt numFmtId="170" formatCode="0.0"/>
  </numFmts>
  <fonts count="20"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
      <name val="Aptos Narrow"/>
      <family val="2"/>
      <scheme val="minor"/>
    </font>
    <font>
      <sz val="10"/>
      <name val="Arial"/>
      <family val="2"/>
    </font>
    <font>
      <sz val="10"/>
      <color indexed="8"/>
      <name val="Arial"/>
      <family val="2"/>
    </font>
    <font>
      <b/>
      <sz val="14"/>
      <color indexed="8"/>
      <name val="Arial"/>
      <family val="2"/>
    </font>
    <font>
      <b/>
      <u/>
      <sz val="10"/>
      <name val="Arial"/>
      <family val="2"/>
    </font>
    <font>
      <vertAlign val="subscript"/>
      <sz val="10"/>
      <name val="Arial"/>
      <family val="2"/>
    </font>
    <font>
      <b/>
      <sz val="10"/>
      <name val="Arial"/>
      <family val="2"/>
    </font>
    <font>
      <sz val="10"/>
      <color rgb="FFFF0000"/>
      <name val="Arial"/>
      <family val="2"/>
    </font>
    <font>
      <vertAlign val="superscript"/>
      <sz val="10"/>
      <color indexed="8"/>
      <name val="Arial"/>
      <family val="2"/>
    </font>
    <font>
      <b/>
      <vertAlign val="superscript"/>
      <sz val="10"/>
      <name val="Arial"/>
      <family val="2"/>
    </font>
    <font>
      <b/>
      <sz val="10"/>
      <color theme="1"/>
      <name val="Arial"/>
      <family val="2"/>
    </font>
    <font>
      <sz val="10"/>
      <color theme="1"/>
      <name val="Arial"/>
      <family val="2"/>
    </font>
    <font>
      <b/>
      <sz val="10"/>
      <color indexed="8"/>
      <name val="Arial"/>
      <family val="2"/>
    </font>
    <font>
      <b/>
      <sz val="11"/>
      <color rgb="FFFF0000"/>
      <name val="Aptos Narrow"/>
      <family val="2"/>
      <scheme val="minor"/>
    </font>
    <font>
      <sz val="11"/>
      <color theme="1"/>
      <name val="Arial"/>
      <family val="2"/>
    </font>
    <font>
      <u/>
      <sz val="10"/>
      <color theme="1"/>
      <name val="Arial"/>
      <family val="2"/>
    </font>
    <font>
      <b/>
      <u/>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47">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auto="1"/>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auto="1"/>
      </top>
      <bottom style="medium">
        <color indexed="64"/>
      </bottom>
      <diagonal/>
    </border>
    <border>
      <left/>
      <right/>
      <top style="medium">
        <color indexed="64"/>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indexed="64"/>
      </left>
      <right style="medium">
        <color indexed="64"/>
      </right>
      <top style="medium">
        <color indexed="64"/>
      </top>
      <bottom style="thin">
        <color indexed="64"/>
      </bottom>
      <diagonal/>
    </border>
    <border>
      <left/>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auto="1"/>
      </left>
      <right style="thin">
        <color auto="1"/>
      </right>
      <top/>
      <bottom style="medium">
        <color indexed="64"/>
      </bottom>
      <diagonal/>
    </border>
    <border>
      <left style="thin">
        <color auto="1"/>
      </left>
      <right/>
      <top/>
      <bottom style="medium">
        <color indexed="64"/>
      </bottom>
      <diagonal/>
    </border>
    <border>
      <left style="thin">
        <color auto="1"/>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auto="1"/>
      </top>
      <bottom/>
      <diagonal/>
    </border>
    <border>
      <left style="thin">
        <color indexed="64"/>
      </left>
      <right style="thin">
        <color indexed="64"/>
      </right>
      <top style="thin">
        <color indexed="64"/>
      </top>
      <bottom/>
      <diagonal/>
    </border>
    <border>
      <left/>
      <right/>
      <top/>
      <bottom style="thin">
        <color indexed="64"/>
      </bottom>
      <diagonal/>
    </border>
    <border>
      <left style="thin">
        <color auto="1"/>
      </left>
      <right/>
      <top/>
      <bottom style="thin">
        <color auto="1"/>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auto="1"/>
      </left>
      <right/>
      <top style="thin">
        <color auto="1"/>
      </top>
      <bottom style="thin">
        <color auto="1"/>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indexed="64"/>
      </left>
      <right/>
      <top style="thin">
        <color indexed="64"/>
      </top>
      <bottom/>
      <diagonal/>
    </border>
    <border>
      <left/>
      <right style="medium">
        <color indexed="64"/>
      </right>
      <top/>
      <bottom style="thin">
        <color auto="1"/>
      </bottom>
      <diagonal/>
    </border>
    <border>
      <left/>
      <right style="medium">
        <color indexed="64"/>
      </right>
      <top style="thin">
        <color auto="1"/>
      </top>
      <bottom style="thin">
        <color auto="1"/>
      </bottom>
      <diagonal/>
    </border>
    <border>
      <left/>
      <right style="medium">
        <color indexed="64"/>
      </right>
      <top style="thin">
        <color auto="1"/>
      </top>
      <bottom/>
      <diagonal/>
    </border>
    <border>
      <left/>
      <right style="medium">
        <color indexed="64"/>
      </right>
      <top style="thin">
        <color auto="1"/>
      </top>
      <bottom style="medium">
        <color indexed="64"/>
      </bottom>
      <diagonal/>
    </border>
  </borders>
  <cellStyleXfs count="4">
    <xf numFmtId="0" fontId="0" fillId="0" borderId="0"/>
    <xf numFmtId="44" fontId="1" fillId="0" borderId="0" applyFont="0" applyFill="0" applyBorder="0" applyAlignment="0" applyProtection="0"/>
    <xf numFmtId="0" fontId="4" fillId="0" borderId="0"/>
    <xf numFmtId="9" fontId="1" fillId="0" borderId="0" applyFont="0" applyFill="0" applyBorder="0" applyAlignment="0" applyProtection="0"/>
  </cellStyleXfs>
  <cellXfs count="225">
    <xf numFmtId="0" fontId="0" fillId="0" borderId="0" xfId="0"/>
    <xf numFmtId="0" fontId="2" fillId="0" borderId="0" xfId="0" applyFont="1"/>
    <xf numFmtId="0" fontId="3" fillId="0" borderId="0" xfId="0" applyFont="1"/>
    <xf numFmtId="0" fontId="5" fillId="0" borderId="0" xfId="2" applyFont="1"/>
    <xf numFmtId="0" fontId="6" fillId="0" borderId="0" xfId="2" applyFont="1"/>
    <xf numFmtId="0" fontId="5" fillId="0" borderId="0" xfId="2" applyFont="1" applyAlignment="1">
      <alignment horizontal="left"/>
    </xf>
    <xf numFmtId="0" fontId="7" fillId="0" borderId="0" xfId="2" applyFont="1"/>
    <xf numFmtId="2" fontId="4" fillId="0" borderId="0" xfId="2" applyNumberFormat="1"/>
    <xf numFmtId="0" fontId="4" fillId="0" borderId="0" xfId="2"/>
    <xf numFmtId="1" fontId="4" fillId="0" borderId="0" xfId="2" applyNumberFormat="1"/>
    <xf numFmtId="0" fontId="5" fillId="0" borderId="0" xfId="2" applyFont="1" applyAlignment="1">
      <alignment horizontal="right"/>
    </xf>
    <xf numFmtId="0" fontId="4" fillId="0" borderId="4" xfId="2" applyBorder="1" applyAlignment="1">
      <alignment horizontal="center"/>
    </xf>
    <xf numFmtId="164" fontId="4" fillId="0" borderId="5" xfId="2" applyNumberFormat="1" applyBorder="1"/>
    <xf numFmtId="165" fontId="4" fillId="0" borderId="5" xfId="2" applyNumberFormat="1" applyBorder="1" applyAlignment="1">
      <alignment horizontal="center"/>
    </xf>
    <xf numFmtId="0" fontId="4" fillId="0" borderId="6" xfId="2" applyBorder="1" applyAlignment="1">
      <alignment horizontal="center"/>
    </xf>
    <xf numFmtId="0" fontId="4" fillId="0" borderId="7" xfId="2" applyBorder="1" applyAlignment="1">
      <alignment horizontal="center"/>
    </xf>
    <xf numFmtId="164" fontId="4" fillId="0" borderId="8" xfId="2" applyNumberFormat="1" applyBorder="1"/>
    <xf numFmtId="165" fontId="4" fillId="0" borderId="8" xfId="2" applyNumberFormat="1" applyBorder="1" applyAlignment="1">
      <alignment horizontal="center"/>
    </xf>
    <xf numFmtId="0" fontId="4" fillId="0" borderId="9" xfId="2" applyBorder="1" applyAlignment="1">
      <alignment horizontal="center"/>
    </xf>
    <xf numFmtId="164" fontId="5" fillId="0" borderId="0" xfId="2" applyNumberFormat="1" applyFont="1"/>
    <xf numFmtId="0" fontId="10" fillId="0" borderId="0" xfId="2" applyFont="1"/>
    <xf numFmtId="166" fontId="4" fillId="0" borderId="8" xfId="2" applyNumberFormat="1" applyBorder="1"/>
    <xf numFmtId="0" fontId="4" fillId="0" borderId="10" xfId="2" applyBorder="1" applyAlignment="1">
      <alignment horizontal="center"/>
    </xf>
    <xf numFmtId="164" fontId="4" fillId="0" borderId="11" xfId="2" applyNumberFormat="1" applyBorder="1"/>
    <xf numFmtId="165" fontId="4" fillId="0" borderId="11" xfId="2" applyNumberFormat="1" applyBorder="1" applyAlignment="1">
      <alignment horizontal="center"/>
    </xf>
    <xf numFmtId="166" fontId="4" fillId="0" borderId="11" xfId="2" applyNumberFormat="1" applyBorder="1"/>
    <xf numFmtId="0" fontId="4" fillId="0" borderId="12" xfId="2" applyBorder="1" applyAlignment="1">
      <alignment horizontal="center"/>
    </xf>
    <xf numFmtId="165" fontId="4" fillId="0" borderId="0" xfId="2" applyNumberFormat="1" applyAlignment="1">
      <alignment horizontal="center"/>
    </xf>
    <xf numFmtId="164" fontId="4" fillId="0" borderId="0" xfId="2" applyNumberFormat="1"/>
    <xf numFmtId="0" fontId="14" fillId="0" borderId="4" xfId="0" applyFont="1" applyBorder="1" applyAlignment="1">
      <alignment vertical="center"/>
    </xf>
    <xf numFmtId="11" fontId="14" fillId="0" borderId="5" xfId="0" quotePrefix="1" applyNumberFormat="1" applyFont="1" applyBorder="1"/>
    <xf numFmtId="11" fontId="14" fillId="0" borderId="5" xfId="0" applyNumberFormat="1" applyFont="1" applyBorder="1" applyAlignment="1">
      <alignment horizontal="center"/>
    </xf>
    <xf numFmtId="11" fontId="14" fillId="0" borderId="6" xfId="0" applyNumberFormat="1" applyFont="1" applyBorder="1" applyAlignment="1">
      <alignment horizontal="center"/>
    </xf>
    <xf numFmtId="11" fontId="4" fillId="0" borderId="0" xfId="2" applyNumberFormat="1"/>
    <xf numFmtId="11" fontId="5" fillId="0" borderId="0" xfId="2" applyNumberFormat="1" applyFont="1"/>
    <xf numFmtId="11" fontId="14" fillId="0" borderId="5" xfId="0" applyNumberFormat="1" applyFont="1" applyBorder="1"/>
    <xf numFmtId="0" fontId="14" fillId="0" borderId="7" xfId="0" applyFont="1" applyBorder="1" applyAlignment="1">
      <alignment vertical="center"/>
    </xf>
    <xf numFmtId="11" fontId="14" fillId="0" borderId="8" xfId="0" applyNumberFormat="1" applyFont="1" applyBorder="1"/>
    <xf numFmtId="11" fontId="14" fillId="0" borderId="8" xfId="0" applyNumberFormat="1" applyFont="1" applyBorder="1" applyAlignment="1">
      <alignment horizontal="center"/>
    </xf>
    <xf numFmtId="11" fontId="14" fillId="0" borderId="9" xfId="0" applyNumberFormat="1" applyFont="1" applyBorder="1" applyAlignment="1">
      <alignment horizontal="center"/>
    </xf>
    <xf numFmtId="0" fontId="14" fillId="0" borderId="10" xfId="0" applyFont="1" applyBorder="1" applyAlignment="1">
      <alignment vertical="center"/>
    </xf>
    <xf numFmtId="11" fontId="14" fillId="0" borderId="11" xfId="0" applyNumberFormat="1" applyFont="1" applyBorder="1"/>
    <xf numFmtId="11" fontId="14" fillId="0" borderId="11" xfId="0" applyNumberFormat="1" applyFont="1" applyBorder="1" applyAlignment="1">
      <alignment horizontal="center"/>
    </xf>
    <xf numFmtId="11" fontId="14" fillId="0" borderId="12" xfId="0" applyNumberFormat="1" applyFont="1" applyBorder="1" applyAlignment="1">
      <alignment horizontal="center"/>
    </xf>
    <xf numFmtId="0" fontId="5" fillId="0" borderId="0" xfId="2" applyFont="1" applyAlignment="1">
      <alignment horizontal="center"/>
    </xf>
    <xf numFmtId="0" fontId="15" fillId="0" borderId="0" xfId="2" applyFont="1" applyAlignment="1">
      <alignment horizontal="left"/>
    </xf>
    <xf numFmtId="0" fontId="16" fillId="0" borderId="0" xfId="0" applyFont="1"/>
    <xf numFmtId="44" fontId="0" fillId="0" borderId="0" xfId="1" applyFont="1"/>
    <xf numFmtId="0" fontId="0" fillId="2" borderId="0" xfId="0" applyFill="1"/>
    <xf numFmtId="2" fontId="0" fillId="0" borderId="0" xfId="0" applyNumberFormat="1"/>
    <xf numFmtId="165" fontId="0" fillId="0" borderId="0" xfId="0" applyNumberFormat="1"/>
    <xf numFmtId="44" fontId="2" fillId="0" borderId="0" xfId="1" applyFont="1"/>
    <xf numFmtId="44" fontId="0" fillId="0" borderId="0" xfId="0" applyNumberFormat="1"/>
    <xf numFmtId="167" fontId="5" fillId="0" borderId="0" xfId="2" applyNumberFormat="1" applyFont="1"/>
    <xf numFmtId="10" fontId="0" fillId="0" borderId="0" xfId="3" applyNumberFormat="1" applyFont="1"/>
    <xf numFmtId="9" fontId="0" fillId="0" borderId="0" xfId="0" applyNumberFormat="1"/>
    <xf numFmtId="167" fontId="4" fillId="0" borderId="8" xfId="2" applyNumberFormat="1" applyBorder="1"/>
    <xf numFmtId="0" fontId="9" fillId="0" borderId="1" xfId="2" applyFont="1" applyBorder="1" applyAlignment="1">
      <alignment horizontal="center" vertical="center" wrapText="1"/>
    </xf>
    <xf numFmtId="0" fontId="9" fillId="0" borderId="2" xfId="2" applyFont="1" applyBorder="1" applyAlignment="1">
      <alignment horizontal="center" vertical="center" wrapText="1"/>
    </xf>
    <xf numFmtId="0" fontId="9" fillId="0" borderId="3" xfId="2" applyFont="1" applyBorder="1" applyAlignment="1">
      <alignment horizontal="center" vertical="center" wrapText="1"/>
    </xf>
    <xf numFmtId="0" fontId="9" fillId="0" borderId="15" xfId="0" applyFont="1" applyBorder="1" applyAlignment="1">
      <alignment horizontal="center" vertical="center" wrapText="1"/>
    </xf>
    <xf numFmtId="0" fontId="13" fillId="0" borderId="11" xfId="0" applyFont="1" applyBorder="1" applyAlignment="1">
      <alignment horizontal="center" vertical="center" wrapText="1"/>
    </xf>
    <xf numFmtId="0" fontId="9" fillId="0" borderId="11" xfId="0" applyFont="1" applyBorder="1" applyAlignment="1">
      <alignment horizontal="center" vertical="center"/>
    </xf>
    <xf numFmtId="0" fontId="9" fillId="0" borderId="12" xfId="0" applyFont="1" applyBorder="1" applyAlignment="1">
      <alignment horizontal="center" vertical="center"/>
    </xf>
    <xf numFmtId="0" fontId="4" fillId="0" borderId="4" xfId="2" applyBorder="1" applyAlignment="1">
      <alignment horizontal="left"/>
    </xf>
    <xf numFmtId="0" fontId="4" fillId="0" borderId="7" xfId="2" applyBorder="1" applyAlignment="1">
      <alignment horizontal="left"/>
    </xf>
    <xf numFmtId="0" fontId="4" fillId="0" borderId="10" xfId="2" applyBorder="1" applyAlignment="1">
      <alignment horizontal="left"/>
    </xf>
    <xf numFmtId="0" fontId="14" fillId="0" borderId="4" xfId="0" applyFont="1" applyBorder="1" applyAlignment="1">
      <alignment horizontal="left" vertical="center"/>
    </xf>
    <xf numFmtId="0" fontId="14" fillId="0" borderId="7" xfId="0" applyFont="1" applyBorder="1" applyAlignment="1">
      <alignment horizontal="left" vertical="center"/>
    </xf>
    <xf numFmtId="0" fontId="14" fillId="0" borderId="10" xfId="0" applyFont="1" applyBorder="1" applyAlignment="1">
      <alignment horizontal="left" vertical="center"/>
    </xf>
    <xf numFmtId="11" fontId="4" fillId="0" borderId="20" xfId="2" applyNumberFormat="1" applyBorder="1" applyAlignment="1">
      <alignment horizontal="center" vertical="center" wrapText="1"/>
    </xf>
    <xf numFmtId="11" fontId="14" fillId="0" borderId="6" xfId="0" applyNumberFormat="1" applyFont="1" applyBorder="1"/>
    <xf numFmtId="0" fontId="0" fillId="0" borderId="0" xfId="0" applyAlignment="1">
      <alignment horizontal="left"/>
    </xf>
    <xf numFmtId="3" fontId="0" fillId="0" borderId="0" xfId="0" applyNumberFormat="1"/>
    <xf numFmtId="0" fontId="14" fillId="0" borderId="0" xfId="0" applyFont="1"/>
    <xf numFmtId="0" fontId="17" fillId="0" borderId="0" xfId="0" applyFont="1" applyAlignment="1">
      <alignment horizontal="left" vertical="top" wrapText="1"/>
    </xf>
    <xf numFmtId="0" fontId="14" fillId="0" borderId="5" xfId="0" quotePrefix="1" applyFont="1" applyBorder="1" applyAlignment="1">
      <alignment horizontal="right"/>
    </xf>
    <xf numFmtId="0" fontId="14" fillId="0" borderId="8" xfId="0" applyFont="1" applyBorder="1" applyAlignment="1">
      <alignment horizontal="right"/>
    </xf>
    <xf numFmtId="0" fontId="14" fillId="0" borderId="11" xfId="0" applyFont="1" applyBorder="1" applyAlignment="1">
      <alignment horizontal="right"/>
    </xf>
    <xf numFmtId="166" fontId="4" fillId="0" borderId="9" xfId="2" applyNumberFormat="1" applyBorder="1" applyAlignment="1">
      <alignment horizontal="right"/>
    </xf>
    <xf numFmtId="164" fontId="4" fillId="0" borderId="9" xfId="2" applyNumberFormat="1" applyBorder="1" applyAlignment="1">
      <alignment horizontal="right"/>
    </xf>
    <xf numFmtId="166" fontId="4" fillId="0" borderId="12" xfId="2" applyNumberFormat="1" applyBorder="1" applyAlignment="1">
      <alignment horizontal="right"/>
    </xf>
    <xf numFmtId="11" fontId="14" fillId="0" borderId="6" xfId="0" applyNumberFormat="1" applyFont="1" applyBorder="1" applyAlignment="1">
      <alignment horizontal="right"/>
    </xf>
    <xf numFmtId="1" fontId="4" fillId="0" borderId="9" xfId="2" applyNumberFormat="1" applyBorder="1" applyAlignment="1">
      <alignment horizontal="right"/>
    </xf>
    <xf numFmtId="11" fontId="4" fillId="0" borderId="19" xfId="2" applyNumberFormat="1" applyBorder="1" applyAlignment="1">
      <alignment horizontal="center" vertical="center" wrapText="1"/>
    </xf>
    <xf numFmtId="11" fontId="4" fillId="0" borderId="22" xfId="2" applyNumberFormat="1" applyBorder="1" applyAlignment="1">
      <alignment horizontal="center" vertical="center" wrapText="1"/>
    </xf>
    <xf numFmtId="0" fontId="4" fillId="0" borderId="1" xfId="2" applyBorder="1" applyAlignment="1">
      <alignment horizontal="center" vertical="center" wrapText="1"/>
    </xf>
    <xf numFmtId="0" fontId="4" fillId="0" borderId="3" xfId="2" applyBorder="1" applyAlignment="1">
      <alignment horizontal="center" vertical="center" wrapText="1"/>
    </xf>
    <xf numFmtId="166" fontId="4" fillId="0" borderId="14" xfId="2" applyNumberFormat="1" applyBorder="1"/>
    <xf numFmtId="166" fontId="4" fillId="0" borderId="16" xfId="2" applyNumberFormat="1" applyBorder="1" applyAlignment="1">
      <alignment horizontal="right"/>
    </xf>
    <xf numFmtId="166" fontId="4" fillId="0" borderId="7" xfId="2" applyNumberFormat="1" applyBorder="1"/>
    <xf numFmtId="164" fontId="4" fillId="0" borderId="7" xfId="2" applyNumberFormat="1" applyBorder="1" applyAlignment="1">
      <alignment horizontal="right"/>
    </xf>
    <xf numFmtId="166" fontId="4" fillId="0" borderId="7" xfId="2" applyNumberFormat="1" applyBorder="1" applyAlignment="1">
      <alignment horizontal="right"/>
    </xf>
    <xf numFmtId="1" fontId="4" fillId="0" borderId="7" xfId="2" applyNumberFormat="1" applyBorder="1" applyAlignment="1">
      <alignment horizontal="right"/>
    </xf>
    <xf numFmtId="164" fontId="4" fillId="0" borderId="14" xfId="2" applyNumberFormat="1" applyBorder="1" applyAlignment="1">
      <alignment horizontal="right"/>
    </xf>
    <xf numFmtId="164" fontId="4" fillId="0" borderId="7" xfId="2" quotePrefix="1" applyNumberFormat="1" applyBorder="1" applyAlignment="1">
      <alignment horizontal="right"/>
    </xf>
    <xf numFmtId="166" fontId="4" fillId="0" borderId="30" xfId="2" applyNumberFormat="1" applyBorder="1" applyAlignment="1">
      <alignment horizontal="right"/>
    </xf>
    <xf numFmtId="166" fontId="4" fillId="0" borderId="16" xfId="2" quotePrefix="1" applyNumberFormat="1" applyBorder="1" applyAlignment="1">
      <alignment horizontal="right"/>
    </xf>
    <xf numFmtId="2" fontId="4" fillId="0" borderId="7" xfId="2" applyNumberFormat="1" applyBorder="1" applyAlignment="1">
      <alignment horizontal="right"/>
    </xf>
    <xf numFmtId="0" fontId="18" fillId="0" borderId="0" xfId="0" applyFont="1"/>
    <xf numFmtId="10" fontId="14" fillId="0" borderId="0" xfId="3" applyNumberFormat="1" applyFont="1"/>
    <xf numFmtId="9" fontId="14" fillId="0" borderId="0" xfId="0" applyNumberFormat="1" applyFont="1"/>
    <xf numFmtId="168" fontId="14" fillId="0" borderId="0" xfId="0" applyNumberFormat="1" applyFont="1"/>
    <xf numFmtId="0" fontId="14" fillId="0" borderId="19" xfId="0" applyFont="1" applyBorder="1" applyAlignment="1">
      <alignment vertical="center"/>
    </xf>
    <xf numFmtId="11" fontId="4" fillId="0" borderId="20" xfId="2" quotePrefix="1" applyNumberFormat="1" applyBorder="1" applyAlignment="1">
      <alignment horizontal="right" vertical="center"/>
    </xf>
    <xf numFmtId="11" fontId="4" fillId="0" borderId="20" xfId="2" quotePrefix="1" applyNumberFormat="1" applyBorder="1" applyAlignment="1">
      <alignment horizontal="center" vertical="center"/>
    </xf>
    <xf numFmtId="2" fontId="4" fillId="0" borderId="20" xfId="2" quotePrefix="1" applyNumberFormat="1" applyBorder="1" applyAlignment="1">
      <alignment horizontal="right" vertical="center"/>
    </xf>
    <xf numFmtId="2" fontId="4" fillId="0" borderId="11" xfId="2" applyNumberFormat="1" applyBorder="1" applyAlignment="1">
      <alignment horizontal="right" vertical="center"/>
    </xf>
    <xf numFmtId="0" fontId="14" fillId="0" borderId="22" xfId="0" applyFont="1" applyBorder="1" applyAlignment="1">
      <alignment horizontal="center" wrapText="1"/>
    </xf>
    <xf numFmtId="0" fontId="4" fillId="0" borderId="29" xfId="2" applyBorder="1" applyAlignment="1">
      <alignment horizontal="left"/>
    </xf>
    <xf numFmtId="166" fontId="4" fillId="0" borderId="29" xfId="2" applyNumberFormat="1" applyBorder="1" applyAlignment="1">
      <alignment horizontal="right"/>
    </xf>
    <xf numFmtId="11" fontId="14" fillId="0" borderId="10" xfId="0" applyNumberFormat="1" applyFont="1" applyBorder="1" applyAlignment="1">
      <alignment horizontal="right"/>
    </xf>
    <xf numFmtId="11" fontId="14" fillId="0" borderId="12" xfId="0" applyNumberFormat="1" applyFont="1" applyBorder="1" applyAlignment="1">
      <alignment horizontal="right"/>
    </xf>
    <xf numFmtId="2" fontId="14" fillId="0" borderId="10" xfId="0" applyNumberFormat="1" applyFont="1" applyBorder="1" applyAlignment="1">
      <alignment horizontal="right"/>
    </xf>
    <xf numFmtId="0" fontId="4" fillId="0" borderId="2" xfId="2" applyBorder="1" applyAlignment="1">
      <alignment horizontal="center" vertical="center" wrapText="1"/>
    </xf>
    <xf numFmtId="166" fontId="4" fillId="0" borderId="14" xfId="2" applyNumberFormat="1" applyBorder="1" applyAlignment="1">
      <alignment horizontal="right"/>
    </xf>
    <xf numFmtId="166" fontId="4" fillId="0" borderId="15" xfId="2" applyNumberFormat="1" applyBorder="1"/>
    <xf numFmtId="166" fontId="4" fillId="0" borderId="4" xfId="2" applyNumberFormat="1" applyBorder="1" applyAlignment="1">
      <alignment horizontal="right"/>
    </xf>
    <xf numFmtId="166" fontId="4" fillId="0" borderId="8" xfId="2" quotePrefix="1" applyNumberFormat="1" applyBorder="1" applyAlignment="1">
      <alignment horizontal="right"/>
    </xf>
    <xf numFmtId="1" fontId="4" fillId="0" borderId="4" xfId="2" applyNumberFormat="1" applyBorder="1" applyAlignment="1">
      <alignment horizontal="right"/>
    </xf>
    <xf numFmtId="166" fontId="4" fillId="0" borderId="8" xfId="2" applyNumberFormat="1" applyBorder="1" applyAlignment="1">
      <alignment horizontal="right"/>
    </xf>
    <xf numFmtId="164" fontId="4" fillId="0" borderId="8" xfId="2" applyNumberFormat="1" applyBorder="1" applyAlignment="1">
      <alignment horizontal="right"/>
    </xf>
    <xf numFmtId="166" fontId="4" fillId="0" borderId="31" xfId="2" applyNumberFormat="1" applyBorder="1" applyAlignment="1">
      <alignment horizontal="right"/>
    </xf>
    <xf numFmtId="1" fontId="14" fillId="0" borderId="11" xfId="0" applyNumberFormat="1" applyFont="1" applyBorder="1" applyAlignment="1">
      <alignment horizontal="right"/>
    </xf>
    <xf numFmtId="164" fontId="4" fillId="0" borderId="10" xfId="2" applyNumberFormat="1" applyBorder="1" applyAlignment="1">
      <alignment horizontal="right"/>
    </xf>
    <xf numFmtId="11" fontId="0" fillId="0" borderId="0" xfId="0" applyNumberFormat="1"/>
    <xf numFmtId="11" fontId="14" fillId="0" borderId="9" xfId="0" applyNumberFormat="1" applyFont="1" applyBorder="1" applyAlignment="1">
      <alignment horizontal="right"/>
    </xf>
    <xf numFmtId="11" fontId="14" fillId="0" borderId="7" xfId="0" applyNumberFormat="1" applyFont="1" applyBorder="1"/>
    <xf numFmtId="11" fontId="14" fillId="0" borderId="4" xfId="0" applyNumberFormat="1" applyFont="1" applyBorder="1"/>
    <xf numFmtId="11" fontId="4" fillId="0" borderId="1" xfId="2" applyNumberFormat="1" applyBorder="1" applyAlignment="1">
      <alignment horizontal="center" vertical="center" wrapText="1"/>
    </xf>
    <xf numFmtId="11" fontId="4" fillId="0" borderId="2" xfId="2" applyNumberFormat="1" applyBorder="1" applyAlignment="1">
      <alignment horizontal="center" vertical="center" wrapText="1"/>
    </xf>
    <xf numFmtId="11" fontId="4" fillId="0" borderId="3" xfId="2" applyNumberFormat="1" applyBorder="1" applyAlignment="1">
      <alignment horizontal="center" vertical="center" wrapText="1"/>
    </xf>
    <xf numFmtId="11" fontId="4" fillId="0" borderId="21" xfId="2" applyNumberFormat="1" applyBorder="1" applyAlignment="1">
      <alignment horizontal="center" vertical="center" wrapText="1"/>
    </xf>
    <xf numFmtId="164" fontId="4" fillId="0" borderId="40" xfId="2" applyNumberFormat="1" applyBorder="1"/>
    <xf numFmtId="1" fontId="4" fillId="0" borderId="40" xfId="2" applyNumberFormat="1" applyBorder="1"/>
    <xf numFmtId="165" fontId="14" fillId="0" borderId="4" xfId="0" applyNumberFormat="1" applyFont="1" applyBorder="1"/>
    <xf numFmtId="165" fontId="14" fillId="0" borderId="7" xfId="0" applyNumberFormat="1" applyFont="1" applyBorder="1"/>
    <xf numFmtId="165" fontId="14" fillId="0" borderId="8" xfId="0" applyNumberFormat="1" applyFont="1" applyBorder="1" applyAlignment="1">
      <alignment horizontal="right"/>
    </xf>
    <xf numFmtId="165" fontId="14" fillId="0" borderId="11" xfId="0" applyNumberFormat="1" applyFont="1" applyBorder="1" applyAlignment="1">
      <alignment horizontal="right"/>
    </xf>
    <xf numFmtId="165" fontId="14" fillId="0" borderId="10" xfId="0" applyNumberFormat="1" applyFont="1" applyBorder="1"/>
    <xf numFmtId="165" fontId="14" fillId="0" borderId="5" xfId="0" applyNumberFormat="1" applyFont="1" applyBorder="1"/>
    <xf numFmtId="165" fontId="14" fillId="0" borderId="5" xfId="0" applyNumberFormat="1" applyFont="1" applyBorder="1" applyAlignment="1">
      <alignment horizontal="right"/>
    </xf>
    <xf numFmtId="165" fontId="14" fillId="0" borderId="11" xfId="0" applyNumberFormat="1" applyFont="1" applyBorder="1"/>
    <xf numFmtId="165" fontId="14" fillId="0" borderId="6" xfId="0" applyNumberFormat="1" applyFont="1" applyBorder="1"/>
    <xf numFmtId="165" fontId="14" fillId="0" borderId="22" xfId="0" applyNumberFormat="1" applyFont="1" applyBorder="1"/>
    <xf numFmtId="165" fontId="4" fillId="0" borderId="5" xfId="2" applyNumberFormat="1" applyBorder="1"/>
    <xf numFmtId="165" fontId="4" fillId="0" borderId="11" xfId="2" applyNumberFormat="1" applyBorder="1"/>
    <xf numFmtId="169" fontId="14" fillId="0" borderId="4" xfId="0" applyNumberFormat="1" applyFont="1" applyBorder="1"/>
    <xf numFmtId="170" fontId="14" fillId="0" borderId="32" xfId="0" applyNumberFormat="1" applyFont="1" applyBorder="1" applyAlignment="1">
      <alignment horizontal="right"/>
    </xf>
    <xf numFmtId="170" fontId="14" fillId="0" borderId="34" xfId="0" applyNumberFormat="1" applyFont="1" applyBorder="1" applyAlignment="1">
      <alignment horizontal="right"/>
    </xf>
    <xf numFmtId="165" fontId="4" fillId="0" borderId="40" xfId="2" applyNumberFormat="1" applyBorder="1"/>
    <xf numFmtId="165" fontId="4" fillId="0" borderId="9" xfId="2" applyNumberFormat="1" applyBorder="1" applyAlignment="1">
      <alignment horizontal="right"/>
    </xf>
    <xf numFmtId="165" fontId="4" fillId="0" borderId="12" xfId="2" applyNumberFormat="1" applyBorder="1" applyAlignment="1">
      <alignment horizontal="right"/>
    </xf>
    <xf numFmtId="165" fontId="4" fillId="0" borderId="41" xfId="2" applyNumberFormat="1" applyBorder="1"/>
    <xf numFmtId="165" fontId="4" fillId="0" borderId="35" xfId="2" applyNumberFormat="1" applyBorder="1"/>
    <xf numFmtId="165" fontId="14" fillId="0" borderId="8" xfId="0" applyNumberFormat="1" applyFont="1" applyBorder="1"/>
    <xf numFmtId="165" fontId="4" fillId="0" borderId="8" xfId="2" applyNumberFormat="1" applyBorder="1"/>
    <xf numFmtId="165" fontId="4" fillId="0" borderId="36" xfId="2" applyNumberFormat="1" applyBorder="1"/>
    <xf numFmtId="165" fontId="4" fillId="0" borderId="33" xfId="2" applyNumberFormat="1" applyBorder="1"/>
    <xf numFmtId="165" fontId="4" fillId="0" borderId="39" xfId="2" applyNumberFormat="1" applyBorder="1"/>
    <xf numFmtId="165" fontId="4" fillId="0" borderId="9" xfId="2" applyNumberFormat="1" applyBorder="1"/>
    <xf numFmtId="165" fontId="14" fillId="0" borderId="31" xfId="0" applyNumberFormat="1" applyFont="1" applyBorder="1" applyAlignment="1">
      <alignment horizontal="right"/>
    </xf>
    <xf numFmtId="165" fontId="14" fillId="0" borderId="12" xfId="0" applyNumberFormat="1" applyFont="1" applyBorder="1"/>
    <xf numFmtId="165" fontId="14" fillId="0" borderId="33" xfId="0" applyNumberFormat="1" applyFont="1" applyBorder="1"/>
    <xf numFmtId="165" fontId="14" fillId="0" borderId="36" xfId="0" applyNumberFormat="1" applyFont="1" applyBorder="1"/>
    <xf numFmtId="169" fontId="14" fillId="0" borderId="36" xfId="0" applyNumberFormat="1" applyFont="1" applyBorder="1"/>
    <xf numFmtId="169" fontId="14" fillId="0" borderId="42" xfId="0" applyNumberFormat="1" applyFont="1" applyBorder="1"/>
    <xf numFmtId="1" fontId="14" fillId="0" borderId="35" xfId="0" applyNumberFormat="1" applyFont="1" applyBorder="1"/>
    <xf numFmtId="165" fontId="4" fillId="0" borderId="43" xfId="2" applyNumberFormat="1" applyBorder="1"/>
    <xf numFmtId="165" fontId="4" fillId="0" borderId="44" xfId="2" applyNumberFormat="1" applyBorder="1"/>
    <xf numFmtId="1" fontId="4" fillId="0" borderId="44" xfId="2" applyNumberFormat="1" applyBorder="1"/>
    <xf numFmtId="11" fontId="4" fillId="0" borderId="44" xfId="2" applyNumberFormat="1" applyBorder="1"/>
    <xf numFmtId="165" fontId="4" fillId="0" borderId="45" xfId="2" applyNumberFormat="1" applyBorder="1"/>
    <xf numFmtId="165" fontId="14" fillId="0" borderId="46" xfId="0" applyNumberFormat="1" applyFont="1" applyBorder="1"/>
    <xf numFmtId="165" fontId="4" fillId="0" borderId="14" xfId="2" applyNumberFormat="1" applyBorder="1"/>
    <xf numFmtId="165" fontId="14" fillId="0" borderId="15" xfId="0" quotePrefix="1" applyNumberFormat="1" applyFont="1" applyBorder="1" applyAlignment="1">
      <alignment horizontal="right"/>
    </xf>
    <xf numFmtId="165" fontId="4" fillId="0" borderId="16" xfId="2" applyNumberFormat="1" applyBorder="1"/>
    <xf numFmtId="165" fontId="4" fillId="0" borderId="7" xfId="2" applyNumberFormat="1" applyBorder="1"/>
    <xf numFmtId="169" fontId="4" fillId="0" borderId="7" xfId="2" applyNumberFormat="1" applyBorder="1"/>
    <xf numFmtId="169" fontId="4" fillId="0" borderId="9" xfId="2" applyNumberFormat="1" applyBorder="1"/>
    <xf numFmtId="169" fontId="4" fillId="0" borderId="29" xfId="2" applyNumberFormat="1" applyBorder="1"/>
    <xf numFmtId="169" fontId="4" fillId="0" borderId="30" xfId="2" applyNumberFormat="1" applyBorder="1"/>
    <xf numFmtId="0" fontId="14" fillId="0" borderId="14" xfId="0" applyFont="1" applyBorder="1" applyAlignment="1">
      <alignment vertical="center"/>
    </xf>
    <xf numFmtId="11" fontId="14" fillId="0" borderId="15" xfId="0" quotePrefix="1" applyNumberFormat="1" applyFont="1" applyBorder="1"/>
    <xf numFmtId="167" fontId="4" fillId="0" borderId="11" xfId="2" applyNumberFormat="1" applyBorder="1"/>
    <xf numFmtId="165" fontId="14" fillId="0" borderId="5" xfId="0" applyNumberFormat="1" applyFont="1" applyBorder="1" applyAlignment="1">
      <alignment horizontal="center"/>
    </xf>
    <xf numFmtId="165" fontId="14" fillId="0" borderId="6" xfId="0" applyNumberFormat="1" applyFont="1" applyBorder="1" applyAlignment="1">
      <alignment horizontal="center"/>
    </xf>
    <xf numFmtId="165" fontId="14" fillId="0" borderId="9" xfId="0" applyNumberFormat="1" applyFont="1" applyBorder="1" applyAlignment="1">
      <alignment horizontal="center"/>
    </xf>
    <xf numFmtId="165" fontId="14" fillId="0" borderId="11" xfId="0" applyNumberFormat="1" applyFont="1" applyBorder="1" applyAlignment="1">
      <alignment horizontal="center"/>
    </xf>
    <xf numFmtId="165" fontId="14" fillId="0" borderId="12" xfId="0" applyNumberFormat="1" applyFont="1" applyBorder="1" applyAlignment="1">
      <alignment horizontal="center"/>
    </xf>
    <xf numFmtId="165" fontId="14" fillId="0" borderId="16" xfId="0" applyNumberFormat="1" applyFont="1" applyBorder="1" applyAlignment="1">
      <alignment horizontal="center"/>
    </xf>
    <xf numFmtId="165" fontId="14" fillId="0" borderId="15" xfId="0" applyNumberFormat="1" applyFont="1" applyBorder="1" applyAlignment="1">
      <alignment horizontal="center"/>
    </xf>
    <xf numFmtId="0" fontId="5" fillId="0" borderId="0" xfId="2" applyFont="1" applyAlignment="1">
      <alignment vertical="top"/>
    </xf>
    <xf numFmtId="0" fontId="5" fillId="0" borderId="0" xfId="2" applyFont="1" applyAlignment="1">
      <alignment vertical="top" wrapText="1"/>
    </xf>
    <xf numFmtId="170" fontId="4" fillId="0" borderId="0" xfId="2" applyNumberFormat="1"/>
    <xf numFmtId="170" fontId="0" fillId="0" borderId="0" xfId="0" applyNumberFormat="1"/>
    <xf numFmtId="0" fontId="4" fillId="0" borderId="9" xfId="2" applyBorder="1" applyAlignment="1">
      <alignment horizontal="center" wrapText="1"/>
    </xf>
    <xf numFmtId="0" fontId="2" fillId="0" borderId="23" xfId="0" applyFont="1" applyBorder="1" applyAlignment="1">
      <alignment horizontal="center"/>
    </xf>
    <xf numFmtId="0" fontId="9" fillId="0" borderId="27" xfId="2" applyFont="1" applyBorder="1" applyAlignment="1">
      <alignment horizontal="center" vertical="center" wrapText="1"/>
    </xf>
    <xf numFmtId="0" fontId="9" fillId="0" borderId="17" xfId="2" applyFont="1" applyBorder="1" applyAlignment="1">
      <alignment horizontal="center" vertical="center" wrapText="1"/>
    </xf>
    <xf numFmtId="0" fontId="9" fillId="0" borderId="28" xfId="2" applyFont="1" applyBorder="1" applyAlignment="1">
      <alignment horizontal="center" vertical="center" wrapText="1"/>
    </xf>
    <xf numFmtId="0" fontId="9" fillId="0" borderId="24" xfId="2" applyFont="1" applyBorder="1" applyAlignment="1">
      <alignment horizontal="center" vertical="center" wrapText="1"/>
    </xf>
    <xf numFmtId="0" fontId="9" fillId="0" borderId="21" xfId="2" applyFont="1" applyBorder="1" applyAlignment="1">
      <alignment horizontal="center" vertical="center" wrapText="1"/>
    </xf>
    <xf numFmtId="0" fontId="9" fillId="0" borderId="18" xfId="2" applyFont="1" applyBorder="1" applyAlignment="1">
      <alignment horizontal="center" vertical="center" wrapText="1"/>
    </xf>
    <xf numFmtId="0" fontId="9" fillId="0" borderId="19" xfId="2" applyFont="1" applyBorder="1" applyAlignment="1">
      <alignment horizontal="center" vertical="center" wrapText="1"/>
    </xf>
    <xf numFmtId="0" fontId="9" fillId="0" borderId="25" xfId="2" applyFont="1" applyBorder="1" applyAlignment="1">
      <alignment horizontal="center" vertical="center" wrapText="1"/>
    </xf>
    <xf numFmtId="0" fontId="9" fillId="0" borderId="26" xfId="2" applyFont="1" applyBorder="1" applyAlignment="1">
      <alignment horizontal="center" vertical="center" wrapText="1"/>
    </xf>
    <xf numFmtId="0" fontId="5" fillId="0" borderId="0" xfId="2" applyFont="1" applyAlignment="1">
      <alignment horizontal="left" vertical="top" wrapText="1"/>
    </xf>
    <xf numFmtId="0" fontId="5" fillId="0" borderId="0" xfId="2" quotePrefix="1" applyFont="1" applyAlignment="1">
      <alignment horizontal="left" vertical="top" wrapText="1"/>
    </xf>
    <xf numFmtId="0" fontId="5" fillId="0" borderId="0" xfId="2" applyFont="1" applyAlignment="1">
      <alignment horizontal="left" vertical="top"/>
    </xf>
    <xf numFmtId="0" fontId="9" fillId="0" borderId="37" xfId="2" applyFont="1" applyBorder="1" applyAlignment="1">
      <alignment horizontal="center" vertical="center" wrapText="1"/>
    </xf>
    <xf numFmtId="0" fontId="9" fillId="0" borderId="38" xfId="2" applyFont="1" applyBorder="1" applyAlignment="1">
      <alignment horizontal="center" vertical="center" wrapText="1"/>
    </xf>
    <xf numFmtId="0" fontId="5" fillId="0" borderId="13" xfId="2" applyFont="1" applyBorder="1" applyAlignment="1">
      <alignment vertical="top"/>
    </xf>
    <xf numFmtId="0" fontId="5" fillId="0" borderId="0" xfId="2" applyFont="1" applyAlignment="1">
      <alignment vertical="top" wrapText="1"/>
    </xf>
    <xf numFmtId="0" fontId="2" fillId="0" borderId="27" xfId="0" applyFont="1" applyBorder="1" applyAlignment="1">
      <alignment horizontal="center" wrapText="1"/>
    </xf>
    <xf numFmtId="0" fontId="2" fillId="0" borderId="17" xfId="0" applyFont="1" applyBorder="1" applyAlignment="1">
      <alignment horizontal="center" wrapText="1"/>
    </xf>
    <xf numFmtId="0" fontId="2" fillId="0" borderId="28" xfId="0" applyFont="1" applyBorder="1" applyAlignment="1">
      <alignment horizontal="center" wrapText="1"/>
    </xf>
    <xf numFmtId="0" fontId="5" fillId="0" borderId="13" xfId="2" applyFont="1" applyBorder="1" applyAlignment="1">
      <alignment wrapText="1"/>
    </xf>
    <xf numFmtId="0" fontId="9" fillId="0" borderId="14" xfId="0" applyFont="1" applyBorder="1" applyAlignment="1">
      <alignment horizontal="center" vertical="center"/>
    </xf>
    <xf numFmtId="0" fontId="9" fillId="0" borderId="10" xfId="0" applyFont="1" applyBorder="1" applyAlignment="1">
      <alignment horizontal="center" vertical="center"/>
    </xf>
    <xf numFmtId="0" fontId="9" fillId="0" borderId="15" xfId="0" applyFont="1" applyBorder="1" applyAlignment="1">
      <alignment horizontal="center" vertical="center"/>
    </xf>
    <xf numFmtId="0" fontId="9" fillId="0" borderId="16" xfId="0" applyFont="1" applyBorder="1" applyAlignment="1">
      <alignment horizontal="center" vertical="center"/>
    </xf>
    <xf numFmtId="0" fontId="14" fillId="0" borderId="0" xfId="0" applyFont="1" applyAlignment="1">
      <alignment vertical="top" wrapText="1"/>
    </xf>
    <xf numFmtId="0" fontId="5" fillId="0" borderId="13" xfId="2" applyFont="1" applyBorder="1" applyAlignment="1">
      <alignment horizontal="left" wrapText="1"/>
    </xf>
    <xf numFmtId="0" fontId="14" fillId="0" borderId="0" xfId="0" applyFont="1" applyAlignment="1">
      <alignment horizontal="left" wrapText="1"/>
    </xf>
  </cellXfs>
  <cellStyles count="4">
    <cellStyle name="Currency" xfId="1" builtinId="4"/>
    <cellStyle name="Normal" xfId="0" builtinId="0"/>
    <cellStyle name="Normal 2 2" xfId="2" xr:uid="{D76C668A-1439-43D3-AEA1-248E62B513BF}"/>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BFFF0D2F\CALCS_superseded_08_24_04.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DEL%20List"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pls/05%20CA/07/05071018%20Confidential/WorkFiles/Tank%20Calcs/Appendix%20B%20Tank%20Calcs%20v4.xlsm"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Fug%20Speciation%20Lookup"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barr.com\projects\Mpls\23%20MN\31\2331286%20MSI\WorkFiles\WO%20E003%20Air%20Permit%20Application\Emission%20Inventory\Current%20EI\MSI%20Hg%20Balanc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barr.com\projects\projects\Mpls\23%20MN\31\2331335%20Keetac%20Line%201\WorkFiles\air\EA10%20EInv\EICurrent_jts_01_06_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ERA ADM"/>
      <sheetName val="Stacks"/>
      <sheetName val="Alt Materials Emission Calcs"/>
      <sheetName val="Notes"/>
      <sheetName val="New EI"/>
      <sheetName val="General"/>
      <sheetName val="Emissions Compare"/>
      <sheetName val="RHF Table"/>
      <sheetName val="Emission Calc Table - RHF"/>
      <sheetName val="Results Summary"/>
      <sheetName val="Results Table"/>
      <sheetName val="Orig loc ADM Input  (2)"/>
      <sheetName val="New loc ADM Input "/>
      <sheetName val="ST. Test Data"/>
      <sheetName val="RHF Haps"/>
      <sheetName val="Ins. Act."/>
      <sheetName val="Comb Refs"/>
      <sheetName val="Table 17 Haps"/>
      <sheetName val="Pivot Table New Calcs"/>
      <sheetName val="New Calcs"/>
      <sheetName val="PAH Brkout"/>
      <sheetName val="g per s after summary"/>
      <sheetName val="Material Handling"/>
      <sheetName val="MNC Changes"/>
      <sheetName val="Emission Table - NonRHF"/>
      <sheetName val="MNCOnly g per s"/>
      <sheetName val="MNCOnly"/>
      <sheetName val="Pivot Table MNCOnly"/>
      <sheetName val="ADM Input"/>
      <sheetName val="EF Compare"/>
      <sheetName val="Pivot Table Previous New EF"/>
      <sheetName val="Previous Calcs New EF"/>
      <sheetName val="g per s before summary"/>
      <sheetName val="Pivot Table Previous Old EF"/>
      <sheetName val="Previous Calcs Old EF"/>
      <sheetName val="Calcs_Superseded"/>
      <sheetName val="Fug EFs"/>
      <sheetName val="Fug EFs_Superseded"/>
      <sheetName val="Stack Test Results"/>
      <sheetName val="Haul Road LTs"/>
      <sheetName val="Haul Road VMTs"/>
      <sheetName val="ADM Inputs"/>
      <sheetName val="ADM Inputs_Superseded"/>
      <sheetName val="BPIP"/>
      <sheetName val="AAQS"/>
      <sheetName val="ISCST3 Results"/>
      <sheetName val="ISCST3 Run Data"/>
      <sheetName val="PM10 24hr Culpabilit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L List"/>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rr Contact and Version"/>
      <sheetName val="Barr Terms of Service"/>
      <sheetName val="Instructions"/>
      <sheetName val="Calculation Setup"/>
      <sheetName val="Tank Properties"/>
      <sheetName val="Chemical Properties Database"/>
      <sheetName val="ChemPropGraph"/>
      <sheetName val="Meteorological Data"/>
      <sheetName val="Stored Product Data"/>
      <sheetName val="Floating Roof Landing Events"/>
      <sheetName val="Tank Cleaning Events"/>
      <sheetName val="v3 Updates"/>
      <sheetName val="v4 Updates"/>
      <sheetName val="Historic Throughputs"/>
      <sheetName val="Toxics Data"/>
      <sheetName val="Feedstock Properties"/>
      <sheetName val="Max Pumping Rates"/>
      <sheetName val="H2S-NH3 Calcs"/>
      <sheetName val="PTE-PAE Inputs &amp; Output Sum"/>
      <sheetName val="TAC Rollup"/>
      <sheetName val="TAC Comparison lb per hr"/>
      <sheetName val="TAC Comparison lb per day"/>
      <sheetName val="TAC Comparison lb per year"/>
      <sheetName val="Renewable Naphtha Analysis"/>
      <sheetName val="Dickinson Naphtha Analysis"/>
      <sheetName val="Routine Emissions Report"/>
      <sheetName val="Non-Routine Report - Landings"/>
      <sheetName val="Non-Routine Reports - Cleanings"/>
      <sheetName val="Tanks Emission Summary Report"/>
      <sheetName val="Tank Calculations"/>
      <sheetName val="Tank Landing Calculations"/>
      <sheetName val="Tank Cleaning Calculations"/>
      <sheetName val="TANKS Lookup Tables"/>
      <sheetName val="Deck Fitting Loss Factors"/>
      <sheetName val="Met Data"/>
      <sheetName val="Tank Properties Menu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ow r="10">
          <cell r="A10" t="str">
            <v>Tank Number</v>
          </cell>
        </row>
        <row r="11">
          <cell r="A11" t="str">
            <v>Tank A-323 (Pre-Project PTE)</v>
          </cell>
        </row>
        <row r="12">
          <cell r="A12" t="str">
            <v>Tank A-323 (Pre-Project PTE)</v>
          </cell>
        </row>
        <row r="13">
          <cell r="A13" t="str">
            <v>Tank A-323 (Pre-Project PTE)</v>
          </cell>
        </row>
        <row r="14">
          <cell r="A14" t="str">
            <v>Tank A-323 (Pre-Project PTE)</v>
          </cell>
        </row>
        <row r="15">
          <cell r="A15" t="str">
            <v>Tank A-323 (Pre-Project PTE)</v>
          </cell>
        </row>
        <row r="16">
          <cell r="A16" t="str">
            <v>Tank A-323 (Pre-Project PTE)</v>
          </cell>
        </row>
        <row r="17">
          <cell r="A17" t="str">
            <v>Tank A-323 (Pre-Project PTE)</v>
          </cell>
        </row>
        <row r="18">
          <cell r="A18" t="str">
            <v>Tank A-323 (Pre-Project PTE)</v>
          </cell>
        </row>
        <row r="19">
          <cell r="A19" t="str">
            <v>Tank A-323 (Pre-Project PTE)</v>
          </cell>
        </row>
        <row r="20">
          <cell r="A20" t="str">
            <v>Tank A-323 (Pre-Project PTE)</v>
          </cell>
        </row>
        <row r="21">
          <cell r="A21" t="str">
            <v>Tank A-323 (Pre-Project PTE)</v>
          </cell>
        </row>
        <row r="22">
          <cell r="A22" t="str">
            <v>Tank A-323 (Pre-Project PTE)</v>
          </cell>
        </row>
        <row r="23">
          <cell r="A23" t="str">
            <v>Tank A-323 (Post-Project PTE)</v>
          </cell>
        </row>
        <row r="24">
          <cell r="A24" t="str">
            <v>Tank A-323 (Post-Project PTE)</v>
          </cell>
        </row>
        <row r="25">
          <cell r="A25" t="str">
            <v>Tank A-323 (Post-Project PTE)</v>
          </cell>
        </row>
        <row r="26">
          <cell r="A26" t="str">
            <v>Tank A-323 (Post-Project PTE)</v>
          </cell>
        </row>
        <row r="27">
          <cell r="A27" t="str">
            <v>Tank A-323 (Post-Project PTE)</v>
          </cell>
        </row>
        <row r="28">
          <cell r="A28" t="str">
            <v>Tank A-323 (Post-Project PTE)</v>
          </cell>
        </row>
        <row r="29">
          <cell r="A29" t="str">
            <v>Tank A-323 (Post-Project PTE)</v>
          </cell>
        </row>
        <row r="30">
          <cell r="A30" t="str">
            <v>Tank A-323 (Post-Project PTE)</v>
          </cell>
        </row>
        <row r="31">
          <cell r="A31" t="str">
            <v>Tank A-323 (Post-Project PTE)</v>
          </cell>
        </row>
        <row r="32">
          <cell r="A32" t="str">
            <v>Tank A-323 (Post-Project PTE)</v>
          </cell>
        </row>
        <row r="33">
          <cell r="A33" t="str">
            <v>Tank A-323 (Post-Project PTE)</v>
          </cell>
        </row>
        <row r="34">
          <cell r="A34" t="str">
            <v>Tank A-323 (Post-Project PTE)</v>
          </cell>
        </row>
        <row r="35">
          <cell r="A35" t="str">
            <v>Tank A-432 (Pre-Project PTE)</v>
          </cell>
        </row>
        <row r="36">
          <cell r="A36" t="str">
            <v>Tank A-432 (Pre-Project PTE)</v>
          </cell>
        </row>
        <row r="37">
          <cell r="A37" t="str">
            <v>Tank A-432 (Pre-Project PTE)</v>
          </cell>
        </row>
        <row r="38">
          <cell r="A38" t="str">
            <v>Tank A-432 (Pre-Project PTE)</v>
          </cell>
        </row>
        <row r="39">
          <cell r="A39" t="str">
            <v>Tank A-432 (Pre-Project PTE)</v>
          </cell>
        </row>
        <row r="40">
          <cell r="A40" t="str">
            <v>Tank A-432 (Pre-Project PTE)</v>
          </cell>
        </row>
        <row r="41">
          <cell r="A41" t="str">
            <v>Tank A-432 (Pre-Project PTE)</v>
          </cell>
        </row>
        <row r="42">
          <cell r="A42" t="str">
            <v>Tank A-432 (Pre-Project PTE)</v>
          </cell>
        </row>
        <row r="43">
          <cell r="A43" t="str">
            <v>Tank A-432 (Pre-Project PTE)</v>
          </cell>
        </row>
        <row r="44">
          <cell r="A44" t="str">
            <v>Tank A-432 (Pre-Project PTE)</v>
          </cell>
        </row>
        <row r="45">
          <cell r="A45" t="str">
            <v>Tank A-432 (Pre-Project PTE)</v>
          </cell>
        </row>
        <row r="46">
          <cell r="A46" t="str">
            <v>Tank A-432 (Pre-Project PTE)</v>
          </cell>
        </row>
        <row r="47">
          <cell r="A47" t="str">
            <v>Tank A-517 (Post-Project PTE)</v>
          </cell>
        </row>
        <row r="48">
          <cell r="A48" t="str">
            <v>Tank A-517 (Post-Project PTE)</v>
          </cell>
        </row>
        <row r="49">
          <cell r="A49" t="str">
            <v>Tank A-517 (Post-Project PTE)</v>
          </cell>
        </row>
        <row r="50">
          <cell r="A50" t="str">
            <v>Tank A-517 (Post-Project PTE)</v>
          </cell>
        </row>
        <row r="51">
          <cell r="A51" t="str">
            <v>Tank A-517 (Post-Project PTE)</v>
          </cell>
        </row>
        <row r="52">
          <cell r="A52" t="str">
            <v>Tank A-517 (Post-Project PTE)</v>
          </cell>
        </row>
        <row r="53">
          <cell r="A53" t="str">
            <v>Tank A-517 (Post-Project PTE)</v>
          </cell>
        </row>
        <row r="54">
          <cell r="A54" t="str">
            <v>Tank A-517 (Post-Project PTE)</v>
          </cell>
        </row>
        <row r="55">
          <cell r="A55" t="str">
            <v>Tank A-517 (Post-Project PTE)</v>
          </cell>
        </row>
        <row r="56">
          <cell r="A56" t="str">
            <v>Tank A-517 (Post-Project PTE)</v>
          </cell>
        </row>
        <row r="57">
          <cell r="A57" t="str">
            <v>Tank A-517 (Post-Project PTE)</v>
          </cell>
        </row>
        <row r="58">
          <cell r="A58" t="str">
            <v>Tank A-517 (Post-Project PTE)</v>
          </cell>
        </row>
        <row r="59">
          <cell r="A59" t="str">
            <v>Tank A-517 (Pre-Project PTE)</v>
          </cell>
        </row>
        <row r="60">
          <cell r="A60" t="str">
            <v>Tank A-517 (Pre-Project PTE)</v>
          </cell>
        </row>
        <row r="61">
          <cell r="A61" t="str">
            <v>Tank A-517 (Pre-Project PTE)</v>
          </cell>
        </row>
        <row r="62">
          <cell r="A62" t="str">
            <v>Tank A-517 (Pre-Project PTE)</v>
          </cell>
        </row>
        <row r="63">
          <cell r="A63" t="str">
            <v>Tank A-517 (Pre-Project PTE)</v>
          </cell>
        </row>
        <row r="64">
          <cell r="A64" t="str">
            <v>Tank A-517 (Pre-Project PTE)</v>
          </cell>
        </row>
        <row r="65">
          <cell r="A65" t="str">
            <v>Tank A-517 (Pre-Project PTE)</v>
          </cell>
        </row>
        <row r="66">
          <cell r="A66" t="str">
            <v>Tank A-517 (Pre-Project PTE)</v>
          </cell>
        </row>
        <row r="67">
          <cell r="A67" t="str">
            <v>Tank A-517 (Pre-Project PTE)</v>
          </cell>
        </row>
        <row r="68">
          <cell r="A68" t="str">
            <v>Tank A-517 (Pre-Project PTE)</v>
          </cell>
        </row>
        <row r="69">
          <cell r="A69" t="str">
            <v>Tank A-517 (Pre-Project PTE)</v>
          </cell>
        </row>
        <row r="70">
          <cell r="A70" t="str">
            <v>Tank A-517 (Pre-Project PTE)</v>
          </cell>
        </row>
        <row r="71">
          <cell r="A71" t="str">
            <v>Tank A-601 (Post-Project PTE)</v>
          </cell>
        </row>
        <row r="72">
          <cell r="A72" t="str">
            <v>Tank A-601 (Post-Project PTE)</v>
          </cell>
        </row>
        <row r="73">
          <cell r="A73" t="str">
            <v>Tank A-601 (Post-Project PTE)</v>
          </cell>
        </row>
        <row r="74">
          <cell r="A74" t="str">
            <v>Tank A-601 (Post-Project PTE)</v>
          </cell>
        </row>
        <row r="75">
          <cell r="A75" t="str">
            <v>Tank A-601 (Post-Project PTE)</v>
          </cell>
        </row>
        <row r="76">
          <cell r="A76" t="str">
            <v>Tank A-601 (Post-Project PTE)</v>
          </cell>
        </row>
        <row r="77">
          <cell r="A77" t="str">
            <v>Tank A-601 (Post-Project PTE)</v>
          </cell>
        </row>
        <row r="78">
          <cell r="A78" t="str">
            <v>Tank A-601 (Post-Project PTE)</v>
          </cell>
        </row>
        <row r="79">
          <cell r="A79" t="str">
            <v>Tank A-601 (Post-Project PTE)</v>
          </cell>
        </row>
        <row r="80">
          <cell r="A80" t="str">
            <v>Tank A-601 (Post-Project PTE)</v>
          </cell>
        </row>
        <row r="81">
          <cell r="A81" t="str">
            <v>Tank A-601 (Post-Project PTE)</v>
          </cell>
        </row>
        <row r="82">
          <cell r="A82" t="str">
            <v>Tank A-601 (Post-Project PTE)</v>
          </cell>
        </row>
        <row r="83">
          <cell r="A83" t="str">
            <v>Tank A-601 (Pre-Project PTE)</v>
          </cell>
        </row>
        <row r="84">
          <cell r="A84" t="str">
            <v>Tank A-601 (Pre-Project PTE)</v>
          </cell>
        </row>
        <row r="85">
          <cell r="A85" t="str">
            <v>Tank A-601 (Pre-Project PTE)</v>
          </cell>
        </row>
        <row r="86">
          <cell r="A86" t="str">
            <v>Tank A-601 (Pre-Project PTE)</v>
          </cell>
        </row>
        <row r="87">
          <cell r="A87" t="str">
            <v>Tank A-601 (Pre-Project PTE)</v>
          </cell>
        </row>
        <row r="88">
          <cell r="A88" t="str">
            <v>Tank A-601 (Pre-Project PTE)</v>
          </cell>
        </row>
        <row r="89">
          <cell r="A89" t="str">
            <v>Tank A-601 (Pre-Project PTE)</v>
          </cell>
        </row>
        <row r="90">
          <cell r="A90" t="str">
            <v>Tank A-601 (Pre-Project PTE)</v>
          </cell>
        </row>
        <row r="91">
          <cell r="A91" t="str">
            <v>Tank A-601 (Pre-Project PTE)</v>
          </cell>
        </row>
        <row r="92">
          <cell r="A92" t="str">
            <v>Tank A-601 (Pre-Project PTE)</v>
          </cell>
        </row>
        <row r="93">
          <cell r="A93" t="str">
            <v>Tank A-601 (Pre-Project PTE)</v>
          </cell>
        </row>
        <row r="94">
          <cell r="A94" t="str">
            <v>Tank A-601 (Pre-Project PTE)</v>
          </cell>
        </row>
        <row r="95">
          <cell r="A95" t="str">
            <v>Tank A-620 (Post-Project PTE)</v>
          </cell>
        </row>
        <row r="96">
          <cell r="A96" t="str">
            <v>Tank A-620 (Post-Project PTE)</v>
          </cell>
        </row>
        <row r="97">
          <cell r="A97" t="str">
            <v>Tank A-620 (Post-Project PTE)</v>
          </cell>
        </row>
        <row r="98">
          <cell r="A98" t="str">
            <v>Tank A-620 (Post-Project PTE)</v>
          </cell>
        </row>
        <row r="99">
          <cell r="A99" t="str">
            <v>Tank A-620 (Post-Project PTE)</v>
          </cell>
        </row>
        <row r="100">
          <cell r="A100" t="str">
            <v>Tank A-620 (Post-Project PTE)</v>
          </cell>
        </row>
        <row r="101">
          <cell r="A101" t="str">
            <v>Tank A-620 (Post-Project PTE)</v>
          </cell>
        </row>
        <row r="102">
          <cell r="A102" t="str">
            <v>Tank A-620 (Post-Project PTE)</v>
          </cell>
        </row>
        <row r="103">
          <cell r="A103" t="str">
            <v>Tank A-620 (Post-Project PTE)</v>
          </cell>
        </row>
        <row r="104">
          <cell r="A104" t="str">
            <v>Tank A-620 (Post-Project PTE)</v>
          </cell>
        </row>
        <row r="105">
          <cell r="A105" t="str">
            <v>Tank A-620 (Post-Project PTE)</v>
          </cell>
        </row>
        <row r="106">
          <cell r="A106" t="str">
            <v>Tank A-620 (Post-Project PTE)</v>
          </cell>
        </row>
        <row r="107">
          <cell r="A107" t="str">
            <v>Tank A-620 (Pre-Project PTE)</v>
          </cell>
        </row>
        <row r="108">
          <cell r="A108" t="str">
            <v>Tank A-620 (Pre-Project PTE)</v>
          </cell>
        </row>
        <row r="109">
          <cell r="A109" t="str">
            <v>Tank A-620 (Pre-Project PTE)</v>
          </cell>
        </row>
        <row r="110">
          <cell r="A110" t="str">
            <v>Tank A-620 (Pre-Project PTE)</v>
          </cell>
        </row>
        <row r="111">
          <cell r="A111" t="str">
            <v>Tank A-620 (Pre-Project PTE)</v>
          </cell>
        </row>
        <row r="112">
          <cell r="A112" t="str">
            <v>Tank A-620 (Pre-Project PTE)</v>
          </cell>
        </row>
        <row r="113">
          <cell r="A113" t="str">
            <v>Tank A-620 (Pre-Project PTE)</v>
          </cell>
        </row>
        <row r="114">
          <cell r="A114" t="str">
            <v>Tank A-620 (Pre-Project PTE)</v>
          </cell>
        </row>
        <row r="115">
          <cell r="A115" t="str">
            <v>Tank A-620 (Pre-Project PTE)</v>
          </cell>
        </row>
        <row r="116">
          <cell r="A116" t="str">
            <v>Tank A-620 (Pre-Project PTE)</v>
          </cell>
        </row>
        <row r="117">
          <cell r="A117" t="str">
            <v>Tank A-620 (Pre-Project PTE)</v>
          </cell>
        </row>
        <row r="118">
          <cell r="A118" t="str">
            <v>Tank A-620 (Pre-Project PTE)</v>
          </cell>
        </row>
        <row r="119">
          <cell r="A119" t="str">
            <v>Tank A-621 (Post-Project PTE)</v>
          </cell>
        </row>
        <row r="120">
          <cell r="A120" t="str">
            <v>Tank A-621 (Post-Project PTE)</v>
          </cell>
        </row>
        <row r="121">
          <cell r="A121" t="str">
            <v>Tank A-621 (Post-Project PTE)</v>
          </cell>
        </row>
        <row r="122">
          <cell r="A122" t="str">
            <v>Tank A-621 (Post-Project PTE)</v>
          </cell>
        </row>
        <row r="123">
          <cell r="A123" t="str">
            <v>Tank A-621 (Post-Project PTE)</v>
          </cell>
        </row>
        <row r="124">
          <cell r="A124" t="str">
            <v>Tank A-621 (Post-Project PTE)</v>
          </cell>
        </row>
        <row r="125">
          <cell r="A125" t="str">
            <v>Tank A-621 (Post-Project PTE)</v>
          </cell>
        </row>
        <row r="126">
          <cell r="A126" t="str">
            <v>Tank A-621 (Post-Project PTE)</v>
          </cell>
        </row>
        <row r="127">
          <cell r="A127" t="str">
            <v>Tank A-621 (Post-Project PTE)</v>
          </cell>
        </row>
        <row r="128">
          <cell r="A128" t="str">
            <v>Tank A-621 (Post-Project PTE)</v>
          </cell>
        </row>
        <row r="129">
          <cell r="A129" t="str">
            <v>Tank A-621 (Post-Project PTE)</v>
          </cell>
        </row>
        <row r="130">
          <cell r="A130" t="str">
            <v>Tank A-621 (Post-Project PTE)</v>
          </cell>
        </row>
        <row r="131">
          <cell r="A131" t="str">
            <v>Tank A-621 (Pre-Project PTE)</v>
          </cell>
        </row>
        <row r="132">
          <cell r="A132" t="str">
            <v>Tank A-621 (Pre-Project PTE)</v>
          </cell>
        </row>
        <row r="133">
          <cell r="A133" t="str">
            <v>Tank A-621 (Pre-Project PTE)</v>
          </cell>
        </row>
        <row r="134">
          <cell r="A134" t="str">
            <v>Tank A-621 (Pre-Project PTE)</v>
          </cell>
        </row>
        <row r="135">
          <cell r="A135" t="str">
            <v>Tank A-621 (Pre-Project PTE)</v>
          </cell>
        </row>
        <row r="136">
          <cell r="A136" t="str">
            <v>Tank A-621 (Pre-Project PTE)</v>
          </cell>
        </row>
        <row r="137">
          <cell r="A137" t="str">
            <v>Tank A-621 (Pre-Project PTE)</v>
          </cell>
        </row>
        <row r="138">
          <cell r="A138" t="str">
            <v>Tank A-621 (Pre-Project PTE)</v>
          </cell>
        </row>
        <row r="139">
          <cell r="A139" t="str">
            <v>Tank A-621 (Pre-Project PTE)</v>
          </cell>
        </row>
        <row r="140">
          <cell r="A140" t="str">
            <v>Tank A-621 (Pre-Project PTE)</v>
          </cell>
        </row>
        <row r="141">
          <cell r="A141" t="str">
            <v>Tank A-621 (Pre-Project PTE)</v>
          </cell>
        </row>
        <row r="142">
          <cell r="A142" t="str">
            <v>Tank A-621 (Pre-Project PTE)</v>
          </cell>
        </row>
        <row r="143">
          <cell r="A143" t="str">
            <v>Tank A-622 (Post-Project PTE)</v>
          </cell>
        </row>
        <row r="144">
          <cell r="A144" t="str">
            <v>Tank A-622 (Post-Project PTE)</v>
          </cell>
        </row>
        <row r="145">
          <cell r="A145" t="str">
            <v>Tank A-622 (Post-Project PTE)</v>
          </cell>
        </row>
        <row r="146">
          <cell r="A146" t="str">
            <v>Tank A-622 (Post-Project PTE)</v>
          </cell>
        </row>
        <row r="147">
          <cell r="A147" t="str">
            <v>Tank A-622 (Post-Project PTE)</v>
          </cell>
        </row>
        <row r="148">
          <cell r="A148" t="str">
            <v>Tank A-622 (Post-Project PTE)</v>
          </cell>
        </row>
        <row r="149">
          <cell r="A149" t="str">
            <v>Tank A-622 (Post-Project PTE)</v>
          </cell>
        </row>
        <row r="150">
          <cell r="A150" t="str">
            <v>Tank A-622 (Post-Project PTE)</v>
          </cell>
        </row>
        <row r="151">
          <cell r="A151" t="str">
            <v>Tank A-622 (Post-Project PTE)</v>
          </cell>
        </row>
        <row r="152">
          <cell r="A152" t="str">
            <v>Tank A-622 (Post-Project PTE)</v>
          </cell>
        </row>
        <row r="153">
          <cell r="A153" t="str">
            <v>Tank A-622 (Post-Project PTE)</v>
          </cell>
        </row>
        <row r="154">
          <cell r="A154" t="str">
            <v>Tank A-622 (Post-Project PTE)</v>
          </cell>
        </row>
        <row r="155">
          <cell r="A155" t="str">
            <v>Tank A-622 (Pre-Project PTE)</v>
          </cell>
        </row>
        <row r="156">
          <cell r="A156" t="str">
            <v>Tank A-622 (Pre-Project PTE)</v>
          </cell>
        </row>
        <row r="157">
          <cell r="A157" t="str">
            <v>Tank A-622 (Pre-Project PTE)</v>
          </cell>
        </row>
        <row r="158">
          <cell r="A158" t="str">
            <v>Tank A-622 (Pre-Project PTE)</v>
          </cell>
        </row>
        <row r="159">
          <cell r="A159" t="str">
            <v>Tank A-622 (Pre-Project PTE)</v>
          </cell>
        </row>
        <row r="160">
          <cell r="A160" t="str">
            <v>Tank A-622 (Pre-Project PTE)</v>
          </cell>
        </row>
        <row r="161">
          <cell r="A161" t="str">
            <v>Tank A-622 (Pre-Project PTE)</v>
          </cell>
        </row>
        <row r="162">
          <cell r="A162" t="str">
            <v>Tank A-622 (Pre-Project PTE)</v>
          </cell>
        </row>
        <row r="163">
          <cell r="A163" t="str">
            <v>Tank A-622 (Pre-Project PTE)</v>
          </cell>
        </row>
        <row r="164">
          <cell r="A164" t="str">
            <v>Tank A-622 (Pre-Project PTE)</v>
          </cell>
        </row>
        <row r="165">
          <cell r="A165" t="str">
            <v>Tank A-622 (Pre-Project PTE)</v>
          </cell>
        </row>
        <row r="166">
          <cell r="A166" t="str">
            <v>Tank A-622 (Pre-Project PTE)</v>
          </cell>
        </row>
        <row r="167">
          <cell r="A167" t="str">
            <v>Tank A-650 (Post-Project PTE)</v>
          </cell>
        </row>
        <row r="168">
          <cell r="A168" t="str">
            <v>Tank A-650 (Post-Project PTE)</v>
          </cell>
        </row>
        <row r="169">
          <cell r="A169" t="str">
            <v>Tank A-650 (Post-Project PTE)</v>
          </cell>
        </row>
        <row r="170">
          <cell r="A170" t="str">
            <v>Tank A-650 (Post-Project PTE)</v>
          </cell>
        </row>
        <row r="171">
          <cell r="A171" t="str">
            <v>Tank A-650 (Post-Project PTE)</v>
          </cell>
        </row>
        <row r="172">
          <cell r="A172" t="str">
            <v>Tank A-650 (Post-Project PTE)</v>
          </cell>
        </row>
        <row r="173">
          <cell r="A173" t="str">
            <v>Tank A-650 (Post-Project PTE)</v>
          </cell>
        </row>
        <row r="174">
          <cell r="A174" t="str">
            <v>Tank A-650 (Post-Project PTE)</v>
          </cell>
        </row>
        <row r="175">
          <cell r="A175" t="str">
            <v>Tank A-650 (Post-Project PTE)</v>
          </cell>
        </row>
        <row r="176">
          <cell r="A176" t="str">
            <v>Tank A-650 (Post-Project PTE)</v>
          </cell>
        </row>
        <row r="177">
          <cell r="A177" t="str">
            <v>Tank A-650 (Post-Project PTE)</v>
          </cell>
        </row>
        <row r="178">
          <cell r="A178" t="str">
            <v>Tank A-650 (Post-Project PTE)</v>
          </cell>
        </row>
        <row r="179">
          <cell r="A179" t="str">
            <v>Tank A-650 (Pre-Project PTE)</v>
          </cell>
        </row>
        <row r="180">
          <cell r="A180" t="str">
            <v>Tank A-650 (Pre-Project PTE)</v>
          </cell>
        </row>
        <row r="181">
          <cell r="A181" t="str">
            <v>Tank A-650 (Pre-Project PTE)</v>
          </cell>
        </row>
        <row r="182">
          <cell r="A182" t="str">
            <v>Tank A-650 (Pre-Project PTE)</v>
          </cell>
        </row>
        <row r="183">
          <cell r="A183" t="str">
            <v>Tank A-650 (Pre-Project PTE)</v>
          </cell>
        </row>
        <row r="184">
          <cell r="A184" t="str">
            <v>Tank A-650 (Pre-Project PTE)</v>
          </cell>
        </row>
        <row r="185">
          <cell r="A185" t="str">
            <v>Tank A-650 (Pre-Project PTE)</v>
          </cell>
        </row>
        <row r="186">
          <cell r="A186" t="str">
            <v>Tank A-650 (Pre-Project PTE)</v>
          </cell>
        </row>
        <row r="187">
          <cell r="A187" t="str">
            <v>Tank A-650 (Pre-Project PTE)</v>
          </cell>
        </row>
        <row r="188">
          <cell r="A188" t="str">
            <v>Tank A-650 (Pre-Project PTE)</v>
          </cell>
        </row>
        <row r="189">
          <cell r="A189" t="str">
            <v>Tank A-650 (Pre-Project PTE)</v>
          </cell>
        </row>
        <row r="190">
          <cell r="A190" t="str">
            <v>Tank A-650 (Pre-Project PTE)</v>
          </cell>
        </row>
        <row r="191">
          <cell r="A191" t="str">
            <v>Tank A-651 (Post-Project PTE)</v>
          </cell>
        </row>
        <row r="192">
          <cell r="A192" t="str">
            <v>Tank A-651 (Post-Project PTE)</v>
          </cell>
        </row>
        <row r="193">
          <cell r="A193" t="str">
            <v>Tank A-651 (Post-Project PTE)</v>
          </cell>
        </row>
        <row r="194">
          <cell r="A194" t="str">
            <v>Tank A-651 (Post-Project PTE)</v>
          </cell>
        </row>
        <row r="195">
          <cell r="A195" t="str">
            <v>Tank A-651 (Post-Project PTE)</v>
          </cell>
        </row>
        <row r="196">
          <cell r="A196" t="str">
            <v>Tank A-651 (Post-Project PTE)</v>
          </cell>
        </row>
        <row r="197">
          <cell r="A197" t="str">
            <v>Tank A-651 (Post-Project PTE)</v>
          </cell>
        </row>
        <row r="198">
          <cell r="A198" t="str">
            <v>Tank A-651 (Post-Project PTE)</v>
          </cell>
        </row>
        <row r="199">
          <cell r="A199" t="str">
            <v>Tank A-651 (Post-Project PTE)</v>
          </cell>
        </row>
        <row r="200">
          <cell r="A200" t="str">
            <v>Tank A-651 (Post-Project PTE)</v>
          </cell>
        </row>
        <row r="201">
          <cell r="A201" t="str">
            <v>Tank A-651 (Post-Project PTE)</v>
          </cell>
        </row>
        <row r="202">
          <cell r="A202" t="str">
            <v>Tank A-651 (Post-Project PTE)</v>
          </cell>
        </row>
        <row r="203">
          <cell r="A203" t="str">
            <v>Tank A-651 (Pre-Project PTE)</v>
          </cell>
        </row>
        <row r="204">
          <cell r="A204" t="str">
            <v>Tank A-651 (Pre-Project PTE)</v>
          </cell>
        </row>
        <row r="205">
          <cell r="A205" t="str">
            <v>Tank A-651 (Pre-Project PTE)</v>
          </cell>
        </row>
        <row r="206">
          <cell r="A206" t="str">
            <v>Tank A-651 (Pre-Project PTE)</v>
          </cell>
        </row>
        <row r="207">
          <cell r="A207" t="str">
            <v>Tank A-651 (Pre-Project PTE)</v>
          </cell>
        </row>
        <row r="208">
          <cell r="A208" t="str">
            <v>Tank A-651 (Pre-Project PTE)</v>
          </cell>
        </row>
        <row r="209">
          <cell r="A209" t="str">
            <v>Tank A-651 (Pre-Project PTE)</v>
          </cell>
        </row>
        <row r="210">
          <cell r="A210" t="str">
            <v>Tank A-651 (Pre-Project PTE)</v>
          </cell>
        </row>
        <row r="211">
          <cell r="A211" t="str">
            <v>Tank A-651 (Pre-Project PTE)</v>
          </cell>
        </row>
        <row r="212">
          <cell r="A212" t="str">
            <v>Tank A-651 (Pre-Project PTE)</v>
          </cell>
        </row>
        <row r="213">
          <cell r="A213" t="str">
            <v>Tank A-651 (Pre-Project PTE)</v>
          </cell>
        </row>
        <row r="214">
          <cell r="A214" t="str">
            <v>Tank A-651 (Pre-Project PTE)</v>
          </cell>
        </row>
        <row r="215">
          <cell r="A215" t="str">
            <v>Tank A-692 (Post-Project PTE)</v>
          </cell>
        </row>
        <row r="216">
          <cell r="A216" t="str">
            <v>Tank A-692 (Post-Project PTE)</v>
          </cell>
        </row>
        <row r="217">
          <cell r="A217" t="str">
            <v>Tank A-692 (Post-Project PTE)</v>
          </cell>
        </row>
        <row r="218">
          <cell r="A218" t="str">
            <v>Tank A-692 (Post-Project PTE)</v>
          </cell>
        </row>
        <row r="219">
          <cell r="A219" t="str">
            <v>Tank A-692 (Post-Project PTE)</v>
          </cell>
        </row>
        <row r="220">
          <cell r="A220" t="str">
            <v>Tank A-692 (Post-Project PTE)</v>
          </cell>
        </row>
        <row r="221">
          <cell r="A221" t="str">
            <v>Tank A-692 (Post-Project PTE)</v>
          </cell>
        </row>
        <row r="222">
          <cell r="A222" t="str">
            <v>Tank A-692 (Post-Project PTE)</v>
          </cell>
        </row>
        <row r="223">
          <cell r="A223" t="str">
            <v>Tank A-692 (Post-Project PTE)</v>
          </cell>
        </row>
        <row r="224">
          <cell r="A224" t="str">
            <v>Tank A-692 (Post-Project PTE)</v>
          </cell>
        </row>
        <row r="225">
          <cell r="A225" t="str">
            <v>Tank A-692 (Post-Project PTE)</v>
          </cell>
        </row>
        <row r="226">
          <cell r="A226" t="str">
            <v>Tank A-692 (Post-Project PTE)</v>
          </cell>
        </row>
        <row r="227">
          <cell r="A227" t="str">
            <v>Tank A-692 (Post-Project PTE, max hourly)</v>
          </cell>
        </row>
        <row r="228">
          <cell r="A228" t="str">
            <v>Tank A-692 (Post-Project PTE, max hourly)</v>
          </cell>
        </row>
        <row r="229">
          <cell r="A229" t="str">
            <v>Tank A-692 (Post-Project PTE, max hourly)</v>
          </cell>
        </row>
        <row r="230">
          <cell r="A230" t="str">
            <v>Tank A-692 (Post-Project PTE, max hourly)</v>
          </cell>
        </row>
        <row r="231">
          <cell r="A231" t="str">
            <v>Tank A-692 (Post-Project PTE, max hourly)</v>
          </cell>
        </row>
        <row r="232">
          <cell r="A232" t="str">
            <v>Tank A-692 (Post-Project PTE, max hourly)</v>
          </cell>
        </row>
        <row r="233">
          <cell r="A233" t="str">
            <v>Tank A-692 (Post-Project PTE, max hourly)</v>
          </cell>
        </row>
        <row r="234">
          <cell r="A234" t="str">
            <v>Tank A-692 (Post-Project PTE, max hourly)</v>
          </cell>
        </row>
        <row r="235">
          <cell r="A235" t="str">
            <v>Tank A-692 (Post-Project PTE, max hourly)</v>
          </cell>
        </row>
        <row r="236">
          <cell r="A236" t="str">
            <v>Tank A-692 (Post-Project PTE, max hourly)</v>
          </cell>
        </row>
        <row r="237">
          <cell r="A237" t="str">
            <v>Tank A-692 (Post-Project PTE, max hourly)</v>
          </cell>
        </row>
        <row r="238">
          <cell r="A238" t="str">
            <v>Tank A-692 (Post-Project PTE, max hourly)</v>
          </cell>
        </row>
        <row r="239">
          <cell r="A239" t="str">
            <v>Tank A-692 (Pre-Project PTE)</v>
          </cell>
        </row>
        <row r="240">
          <cell r="A240" t="str">
            <v>Tank A-692 (Pre-Project PTE)</v>
          </cell>
        </row>
        <row r="241">
          <cell r="A241" t="str">
            <v>Tank A-692 (Pre-Project PTE)</v>
          </cell>
        </row>
        <row r="242">
          <cell r="A242" t="str">
            <v>Tank A-692 (Pre-Project PTE)</v>
          </cell>
        </row>
        <row r="243">
          <cell r="A243" t="str">
            <v>Tank A-692 (Pre-Project PTE)</v>
          </cell>
        </row>
        <row r="244">
          <cell r="A244" t="str">
            <v>Tank A-692 (Pre-Project PTE)</v>
          </cell>
        </row>
        <row r="245">
          <cell r="A245" t="str">
            <v>Tank A-692 (Pre-Project PTE)</v>
          </cell>
        </row>
        <row r="246">
          <cell r="A246" t="str">
            <v>Tank A-692 (Pre-Project PTE)</v>
          </cell>
        </row>
        <row r="247">
          <cell r="A247" t="str">
            <v>Tank A-692 (Pre-Project PTE)</v>
          </cell>
        </row>
        <row r="248">
          <cell r="A248" t="str">
            <v>Tank A-692 (Pre-Project PTE)</v>
          </cell>
        </row>
        <row r="249">
          <cell r="A249" t="str">
            <v>Tank A-692 (Pre-Project PTE)</v>
          </cell>
        </row>
        <row r="250">
          <cell r="A250" t="str">
            <v>Tank A-692 (Pre-Project PTE)</v>
          </cell>
        </row>
        <row r="251">
          <cell r="A251" t="str">
            <v>Tank A-692 (Pre-Project PTE, Max Hourly)</v>
          </cell>
        </row>
        <row r="252">
          <cell r="A252" t="str">
            <v>Tank A-692 (Pre-Project PTE, Max Hourly)</v>
          </cell>
        </row>
        <row r="253">
          <cell r="A253" t="str">
            <v>Tank A-692 (Pre-Project PTE, Max Hourly)</v>
          </cell>
        </row>
        <row r="254">
          <cell r="A254" t="str">
            <v>Tank A-692 (Pre-Project PTE, Max Hourly)</v>
          </cell>
        </row>
        <row r="255">
          <cell r="A255" t="str">
            <v>Tank A-692 (Pre-Project PTE, Max Hourly)</v>
          </cell>
        </row>
        <row r="256">
          <cell r="A256" t="str">
            <v>Tank A-692 (Pre-Project PTE, Max Hourly)</v>
          </cell>
        </row>
        <row r="257">
          <cell r="A257" t="str">
            <v>Tank A-692 (Pre-Project PTE, Max Hourly)</v>
          </cell>
        </row>
        <row r="258">
          <cell r="A258" t="str">
            <v>Tank A-692 (Pre-Project PTE, Max Hourly)</v>
          </cell>
        </row>
        <row r="259">
          <cell r="A259" t="str">
            <v>Tank A-692 (Pre-Project PTE, Max Hourly)</v>
          </cell>
        </row>
        <row r="260">
          <cell r="A260" t="str">
            <v>Tank A-692 (Pre-Project PTE, Max Hourly)</v>
          </cell>
        </row>
        <row r="261">
          <cell r="A261" t="str">
            <v>Tank A-692 (Pre-Project PTE, Max Hourly)</v>
          </cell>
        </row>
        <row r="262">
          <cell r="A262" t="str">
            <v>Tank A-692 (Pre-Project PTE, Max Hourly)</v>
          </cell>
        </row>
        <row r="263">
          <cell r="A263" t="str">
            <v>Tank A-711 (Post-Project PTE)</v>
          </cell>
        </row>
        <row r="264">
          <cell r="A264" t="str">
            <v>Tank A-711 (Post-Project PTE)</v>
          </cell>
        </row>
        <row r="265">
          <cell r="A265" t="str">
            <v>Tank A-711 (Post-Project PTE)</v>
          </cell>
        </row>
        <row r="266">
          <cell r="A266" t="str">
            <v>Tank A-711 (Post-Project PTE)</v>
          </cell>
        </row>
        <row r="267">
          <cell r="A267" t="str">
            <v>Tank A-711 (Post-Project PTE)</v>
          </cell>
        </row>
        <row r="268">
          <cell r="A268" t="str">
            <v>Tank A-711 (Post-Project PTE)</v>
          </cell>
        </row>
        <row r="269">
          <cell r="A269" t="str">
            <v>Tank A-711 (Post-Project PTE)</v>
          </cell>
        </row>
        <row r="270">
          <cell r="A270" t="str">
            <v>Tank A-711 (Post-Project PTE)</v>
          </cell>
        </row>
        <row r="271">
          <cell r="A271" t="str">
            <v>Tank A-711 (Post-Project PTE)</v>
          </cell>
        </row>
        <row r="272">
          <cell r="A272" t="str">
            <v>Tank A-711 (Post-Project PTE)</v>
          </cell>
        </row>
        <row r="273">
          <cell r="A273" t="str">
            <v>Tank A-711 (Post-Project PTE)</v>
          </cell>
        </row>
        <row r="274">
          <cell r="A274" t="str">
            <v>Tank A-711 (Post-Project PTE)</v>
          </cell>
        </row>
        <row r="275">
          <cell r="A275" t="str">
            <v>Tank A-711 (Post-Project PTE, max hourly)</v>
          </cell>
        </row>
        <row r="276">
          <cell r="A276" t="str">
            <v>Tank A-711 (Post-Project PTE, max hourly)</v>
          </cell>
        </row>
        <row r="277">
          <cell r="A277" t="str">
            <v>Tank A-711 (Post-Project PTE, max hourly)</v>
          </cell>
        </row>
        <row r="278">
          <cell r="A278" t="str">
            <v>Tank A-711 (Post-Project PTE, max hourly)</v>
          </cell>
        </row>
        <row r="279">
          <cell r="A279" t="str">
            <v>Tank A-711 (Post-Project PTE, max hourly)</v>
          </cell>
        </row>
        <row r="280">
          <cell r="A280" t="str">
            <v>Tank A-711 (Post-Project PTE, max hourly)</v>
          </cell>
        </row>
        <row r="281">
          <cell r="A281" t="str">
            <v>Tank A-711 (Post-Project PTE, max hourly)</v>
          </cell>
        </row>
        <row r="282">
          <cell r="A282" t="str">
            <v>Tank A-711 (Post-Project PTE, max hourly)</v>
          </cell>
        </row>
        <row r="283">
          <cell r="A283" t="str">
            <v>Tank A-711 (Post-Project PTE, max hourly)</v>
          </cell>
        </row>
        <row r="284">
          <cell r="A284" t="str">
            <v>Tank A-711 (Post-Project PTE, max hourly)</v>
          </cell>
        </row>
        <row r="285">
          <cell r="A285" t="str">
            <v>Tank A-711 (Post-Project PTE, max hourly)</v>
          </cell>
        </row>
        <row r="286">
          <cell r="A286" t="str">
            <v>Tank A-711 (Post-Project PTE, max hourly)</v>
          </cell>
        </row>
        <row r="287">
          <cell r="A287" t="str">
            <v>Tank A-711 (Pre-Project PTE, Max Hourly)</v>
          </cell>
        </row>
        <row r="288">
          <cell r="A288" t="str">
            <v>Tank A-711 (Pre-Project PTE, Max Hourly)</v>
          </cell>
        </row>
        <row r="289">
          <cell r="A289" t="str">
            <v>Tank A-711 (Pre-Project PTE, Max Hourly)</v>
          </cell>
        </row>
        <row r="290">
          <cell r="A290" t="str">
            <v>Tank A-711 (Pre-Project PTE, Max Hourly)</v>
          </cell>
        </row>
        <row r="291">
          <cell r="A291" t="str">
            <v>Tank A-711 (Pre-Project PTE, Max Hourly)</v>
          </cell>
        </row>
        <row r="292">
          <cell r="A292" t="str">
            <v>Tank A-711 (Pre-Project PTE, Max Hourly)</v>
          </cell>
        </row>
        <row r="293">
          <cell r="A293" t="str">
            <v>Tank A-711 (Pre-Project PTE, Max Hourly)</v>
          </cell>
        </row>
        <row r="294">
          <cell r="A294" t="str">
            <v>Tank A-711 (Pre-Project PTE, Max Hourly)</v>
          </cell>
        </row>
        <row r="295">
          <cell r="A295" t="str">
            <v>Tank A-711 (Pre-Project PTE, Max Hourly)</v>
          </cell>
        </row>
        <row r="296">
          <cell r="A296" t="str">
            <v>Tank A-711 (Pre-Project PTE, Max Hourly)</v>
          </cell>
        </row>
        <row r="297">
          <cell r="A297" t="str">
            <v>Tank A-711 (Pre-Project PTE, Max Hourly)</v>
          </cell>
        </row>
        <row r="298">
          <cell r="A298" t="str">
            <v>Tank A-711 (Pre-Project PTE, Max Hourly)</v>
          </cell>
        </row>
        <row r="299">
          <cell r="A299" t="str">
            <v>Tank A-711 (Pre-Project PTE)</v>
          </cell>
        </row>
        <row r="300">
          <cell r="A300" t="str">
            <v>Tank A-711 (Pre-Project PTE)</v>
          </cell>
        </row>
        <row r="301">
          <cell r="A301" t="str">
            <v>Tank A-711 (Pre-Project PTE)</v>
          </cell>
        </row>
        <row r="302">
          <cell r="A302" t="str">
            <v>Tank A-711 (Pre-Project PTE)</v>
          </cell>
        </row>
        <row r="303">
          <cell r="A303" t="str">
            <v>Tank A-711 (Pre-Project PTE)</v>
          </cell>
        </row>
        <row r="304">
          <cell r="A304" t="str">
            <v>Tank A-711 (Pre-Project PTE)</v>
          </cell>
        </row>
        <row r="305">
          <cell r="A305" t="str">
            <v>Tank A-711 (Pre-Project PTE)</v>
          </cell>
        </row>
        <row r="306">
          <cell r="A306" t="str">
            <v>Tank A-711 (Pre-Project PTE)</v>
          </cell>
        </row>
        <row r="307">
          <cell r="A307" t="str">
            <v>Tank A-711 (Pre-Project PTE)</v>
          </cell>
        </row>
        <row r="308">
          <cell r="A308" t="str">
            <v>Tank A-711 (Pre-Project PTE)</v>
          </cell>
        </row>
        <row r="309">
          <cell r="A309" t="str">
            <v>Tank A-711 (Pre-Project PTE)</v>
          </cell>
        </row>
        <row r="310">
          <cell r="A310" t="str">
            <v>Tank A-711 (Pre-Project PTE)</v>
          </cell>
        </row>
        <row r="311">
          <cell r="A311" t="str">
            <v>Tank A-846 (Post-Project PTE)</v>
          </cell>
        </row>
        <row r="312">
          <cell r="A312" t="str">
            <v>Tank A-846 (Post-Project PTE)</v>
          </cell>
        </row>
        <row r="313">
          <cell r="A313" t="str">
            <v>Tank A-846 (Post-Project PTE)</v>
          </cell>
        </row>
        <row r="314">
          <cell r="A314" t="str">
            <v>Tank A-846 (Post-Project PTE)</v>
          </cell>
        </row>
        <row r="315">
          <cell r="A315" t="str">
            <v>Tank A-846 (Post-Project PTE)</v>
          </cell>
        </row>
        <row r="316">
          <cell r="A316" t="str">
            <v>Tank A-846 (Post-Project PTE)</v>
          </cell>
        </row>
        <row r="317">
          <cell r="A317" t="str">
            <v>Tank A-846 (Post-Project PTE)</v>
          </cell>
        </row>
        <row r="318">
          <cell r="A318" t="str">
            <v>Tank A-846 (Post-Project PTE)</v>
          </cell>
        </row>
        <row r="319">
          <cell r="A319" t="str">
            <v>Tank A-846 (Post-Project PTE)</v>
          </cell>
        </row>
        <row r="320">
          <cell r="A320" t="str">
            <v>Tank A-846 (Post-Project PTE)</v>
          </cell>
        </row>
        <row r="321">
          <cell r="A321" t="str">
            <v>Tank A-846 (Post-Project PTE)</v>
          </cell>
        </row>
        <row r="322">
          <cell r="A322" t="str">
            <v>Tank A-846 (Post-Project PTE)</v>
          </cell>
        </row>
        <row r="323">
          <cell r="A323" t="str">
            <v>Tank A-846 (Pre-Project PTE)</v>
          </cell>
        </row>
        <row r="324">
          <cell r="A324" t="str">
            <v>Tank A-846 (Pre-Project PTE)</v>
          </cell>
        </row>
        <row r="325">
          <cell r="A325" t="str">
            <v>Tank A-846 (Pre-Project PTE)</v>
          </cell>
        </row>
        <row r="326">
          <cell r="A326" t="str">
            <v>Tank A-846 (Pre-Project PTE)</v>
          </cell>
        </row>
        <row r="327">
          <cell r="A327" t="str">
            <v>Tank A-846 (Pre-Project PTE)</v>
          </cell>
        </row>
        <row r="328">
          <cell r="A328" t="str">
            <v>Tank A-846 (Pre-Project PTE)</v>
          </cell>
        </row>
        <row r="329">
          <cell r="A329" t="str">
            <v>Tank A-846 (Pre-Project PTE)</v>
          </cell>
        </row>
        <row r="330">
          <cell r="A330" t="str">
            <v>Tank A-846 (Pre-Project PTE)</v>
          </cell>
        </row>
        <row r="331">
          <cell r="A331" t="str">
            <v>Tank A-846 (Pre-Project PTE)</v>
          </cell>
        </row>
        <row r="332">
          <cell r="A332" t="str">
            <v>Tank A-846 (Pre-Project PTE)</v>
          </cell>
        </row>
        <row r="333">
          <cell r="A333" t="str">
            <v>Tank A-846 (Pre-Project PTE)</v>
          </cell>
        </row>
        <row r="334">
          <cell r="A334" t="str">
            <v>Tank A-846 (Pre-Project PTE)</v>
          </cell>
        </row>
        <row r="335">
          <cell r="A335" t="str">
            <v>Tank A-847 (Post-Project PTE)</v>
          </cell>
        </row>
        <row r="336">
          <cell r="A336" t="str">
            <v>Tank A-847 (Post-Project PTE)</v>
          </cell>
        </row>
        <row r="337">
          <cell r="A337" t="str">
            <v>Tank A-847 (Post-Project PTE)</v>
          </cell>
        </row>
        <row r="338">
          <cell r="A338" t="str">
            <v>Tank A-847 (Post-Project PTE)</v>
          </cell>
        </row>
        <row r="339">
          <cell r="A339" t="str">
            <v>Tank A-847 (Post-Project PTE)</v>
          </cell>
        </row>
        <row r="340">
          <cell r="A340" t="str">
            <v>Tank A-847 (Post-Project PTE)</v>
          </cell>
        </row>
        <row r="341">
          <cell r="A341" t="str">
            <v>Tank A-847 (Post-Project PTE)</v>
          </cell>
        </row>
        <row r="342">
          <cell r="A342" t="str">
            <v>Tank A-847 (Post-Project PTE)</v>
          </cell>
        </row>
        <row r="343">
          <cell r="A343" t="str">
            <v>Tank A-847 (Post-Project PTE)</v>
          </cell>
        </row>
        <row r="344">
          <cell r="A344" t="str">
            <v>Tank A-847 (Post-Project PTE)</v>
          </cell>
        </row>
        <row r="345">
          <cell r="A345" t="str">
            <v>Tank A-847 (Post-Project PTE)</v>
          </cell>
        </row>
        <row r="346">
          <cell r="A346" t="str">
            <v>Tank A-847 (Post-Project PTE)</v>
          </cell>
        </row>
        <row r="347">
          <cell r="A347" t="str">
            <v>Tank A-847 (Pre-Project PTE)</v>
          </cell>
        </row>
        <row r="348">
          <cell r="A348" t="str">
            <v>Tank A-847 (Pre-Project PTE)</v>
          </cell>
        </row>
        <row r="349">
          <cell r="A349" t="str">
            <v>Tank A-847 (Pre-Project PTE)</v>
          </cell>
        </row>
        <row r="350">
          <cell r="A350" t="str">
            <v>Tank A-847 (Pre-Project PTE)</v>
          </cell>
        </row>
        <row r="351">
          <cell r="A351" t="str">
            <v>Tank A-847 (Pre-Project PTE)</v>
          </cell>
        </row>
        <row r="352">
          <cell r="A352" t="str">
            <v>Tank A-847 (Pre-Project PTE)</v>
          </cell>
        </row>
        <row r="353">
          <cell r="A353" t="str">
            <v>Tank A-847 (Pre-Project PTE)</v>
          </cell>
        </row>
        <row r="354">
          <cell r="A354" t="str">
            <v>Tank A-847 (Pre-Project PTE)</v>
          </cell>
        </row>
        <row r="355">
          <cell r="A355" t="str">
            <v>Tank A-847 (Pre-Project PTE)</v>
          </cell>
        </row>
        <row r="356">
          <cell r="A356" t="str">
            <v>Tank A-847 (Pre-Project PTE)</v>
          </cell>
        </row>
        <row r="357">
          <cell r="A357" t="str">
            <v>Tank A-847 (Pre-Project PTE)</v>
          </cell>
        </row>
        <row r="358">
          <cell r="A358" t="str">
            <v>Tank A-847 (Pre-Project PTE)</v>
          </cell>
        </row>
        <row r="359">
          <cell r="A359" t="str">
            <v>Tank A-867 (Pre-Project PTE)</v>
          </cell>
        </row>
        <row r="360">
          <cell r="A360" t="str">
            <v>Tank A-867 (Pre-Project PTE)</v>
          </cell>
        </row>
        <row r="361">
          <cell r="A361" t="str">
            <v>Tank A-867 (Pre-Project PTE)</v>
          </cell>
        </row>
        <row r="362">
          <cell r="A362" t="str">
            <v>Tank A-867 (Pre-Project PTE)</v>
          </cell>
        </row>
        <row r="363">
          <cell r="A363" t="str">
            <v>Tank A-867 (Pre-Project PTE)</v>
          </cell>
        </row>
        <row r="364">
          <cell r="A364" t="str">
            <v>Tank A-867 (Pre-Project PTE)</v>
          </cell>
        </row>
        <row r="365">
          <cell r="A365" t="str">
            <v>Tank A-867 (Pre-Project PTE)</v>
          </cell>
        </row>
        <row r="366">
          <cell r="A366" t="str">
            <v>Tank A-867 (Pre-Project PTE)</v>
          </cell>
        </row>
        <row r="367">
          <cell r="A367" t="str">
            <v>Tank A-867 (Pre-Project PTE)</v>
          </cell>
        </row>
        <row r="368">
          <cell r="A368" t="str">
            <v>Tank A-867 (Pre-Project PTE)</v>
          </cell>
        </row>
        <row r="369">
          <cell r="A369" t="str">
            <v>Tank A-867 (Pre-Project PTE)</v>
          </cell>
        </row>
        <row r="370">
          <cell r="A370" t="str">
            <v>Tank A-867 (Pre-Project PTE)</v>
          </cell>
        </row>
        <row r="371">
          <cell r="A371" t="str">
            <v>Tank A-867 (Post-Project PTE)</v>
          </cell>
        </row>
        <row r="372">
          <cell r="A372" t="str">
            <v>Tank A-867 (Post-Project PTE)</v>
          </cell>
        </row>
        <row r="373">
          <cell r="A373" t="str">
            <v>Tank A-867 (Post-Project PTE)</v>
          </cell>
        </row>
        <row r="374">
          <cell r="A374" t="str">
            <v>Tank A-867 (Post-Project PTE)</v>
          </cell>
        </row>
        <row r="375">
          <cell r="A375" t="str">
            <v>Tank A-867 (Post-Project PTE)</v>
          </cell>
        </row>
        <row r="376">
          <cell r="A376" t="str">
            <v>Tank A-867 (Post-Project PTE)</v>
          </cell>
        </row>
        <row r="377">
          <cell r="A377" t="str">
            <v>Tank A-867 (Post-Project PTE)</v>
          </cell>
        </row>
        <row r="378">
          <cell r="A378" t="str">
            <v>Tank A-867 (Post-Project PTE)</v>
          </cell>
        </row>
        <row r="379">
          <cell r="A379" t="str">
            <v>Tank A-867 (Post-Project PTE)</v>
          </cell>
        </row>
        <row r="380">
          <cell r="A380" t="str">
            <v>Tank A-867 (Post-Project PTE)</v>
          </cell>
        </row>
        <row r="381">
          <cell r="A381" t="str">
            <v>Tank A-867 (Post-Project PTE)</v>
          </cell>
        </row>
        <row r="382">
          <cell r="A382" t="str">
            <v>Tank A-867 (Post-Project PTE)</v>
          </cell>
        </row>
        <row r="383">
          <cell r="A383" t="str">
            <v>Tank A-868 (Pre-Project PTE)</v>
          </cell>
        </row>
        <row r="384">
          <cell r="A384" t="str">
            <v>Tank A-868 (Pre-Project PTE)</v>
          </cell>
        </row>
        <row r="385">
          <cell r="A385" t="str">
            <v>Tank A-868 (Pre-Project PTE)</v>
          </cell>
        </row>
        <row r="386">
          <cell r="A386" t="str">
            <v>Tank A-868 (Pre-Project PTE)</v>
          </cell>
        </row>
        <row r="387">
          <cell r="A387" t="str">
            <v>Tank A-868 (Pre-Project PTE)</v>
          </cell>
        </row>
        <row r="388">
          <cell r="A388" t="str">
            <v>Tank A-868 (Pre-Project PTE)</v>
          </cell>
        </row>
        <row r="389">
          <cell r="A389" t="str">
            <v>Tank A-868 (Pre-Project PTE)</v>
          </cell>
        </row>
        <row r="390">
          <cell r="A390" t="str">
            <v>Tank A-868 (Pre-Project PTE)</v>
          </cell>
        </row>
        <row r="391">
          <cell r="A391" t="str">
            <v>Tank A-868 (Pre-Project PTE)</v>
          </cell>
        </row>
        <row r="392">
          <cell r="A392" t="str">
            <v>Tank A-868 (Pre-Project PTE)</v>
          </cell>
        </row>
        <row r="393">
          <cell r="A393" t="str">
            <v>Tank A-868 (Pre-Project PTE)</v>
          </cell>
        </row>
        <row r="394">
          <cell r="A394" t="str">
            <v>Tank A-868 (Pre-Project PTE)</v>
          </cell>
        </row>
        <row r="395">
          <cell r="A395" t="str">
            <v>Tank A-868 (Post-Project PTE)</v>
          </cell>
        </row>
        <row r="396">
          <cell r="A396" t="str">
            <v>Tank A-868 (Post-Project PTE)</v>
          </cell>
        </row>
        <row r="397">
          <cell r="A397" t="str">
            <v>Tank A-868 (Post-Project PTE)</v>
          </cell>
        </row>
        <row r="398">
          <cell r="A398" t="str">
            <v>Tank A-868 (Post-Project PTE)</v>
          </cell>
        </row>
        <row r="399">
          <cell r="A399" t="str">
            <v>Tank A-868 (Post-Project PTE)</v>
          </cell>
        </row>
        <row r="400">
          <cell r="A400" t="str">
            <v>Tank A-868 (Post-Project PTE)</v>
          </cell>
        </row>
        <row r="401">
          <cell r="A401" t="str">
            <v>Tank A-868 (Post-Project PTE)</v>
          </cell>
        </row>
        <row r="402">
          <cell r="A402" t="str">
            <v>Tank A-868 (Post-Project PTE)</v>
          </cell>
        </row>
        <row r="403">
          <cell r="A403" t="str">
            <v>Tank A-868 (Post-Project PTE)</v>
          </cell>
        </row>
        <row r="404">
          <cell r="A404" t="str">
            <v>Tank A-868 (Post-Project PTE)</v>
          </cell>
        </row>
        <row r="405">
          <cell r="A405" t="str">
            <v>Tank A-868 (Post-Project PTE)</v>
          </cell>
        </row>
        <row r="406">
          <cell r="A406" t="str">
            <v>Tank A-868 (Post-Project PTE)</v>
          </cell>
        </row>
        <row r="407">
          <cell r="A407" t="str">
            <v>Tank A-869 (Pre-Project PTE)</v>
          </cell>
        </row>
        <row r="408">
          <cell r="A408" t="str">
            <v>Tank A-869 (Pre-Project PTE)</v>
          </cell>
        </row>
        <row r="409">
          <cell r="A409" t="str">
            <v>Tank A-869 (Pre-Project PTE)</v>
          </cell>
        </row>
        <row r="410">
          <cell r="A410" t="str">
            <v>Tank A-869 (Pre-Project PTE)</v>
          </cell>
        </row>
        <row r="411">
          <cell r="A411" t="str">
            <v>Tank A-869 (Pre-Project PTE)</v>
          </cell>
        </row>
        <row r="412">
          <cell r="A412" t="str">
            <v>Tank A-869 (Pre-Project PTE)</v>
          </cell>
        </row>
        <row r="413">
          <cell r="A413" t="str">
            <v>Tank A-869 (Pre-Project PTE)</v>
          </cell>
        </row>
        <row r="414">
          <cell r="A414" t="str">
            <v>Tank A-869 (Pre-Project PTE)</v>
          </cell>
        </row>
        <row r="415">
          <cell r="A415" t="str">
            <v>Tank A-869 (Pre-Project PTE)</v>
          </cell>
        </row>
        <row r="416">
          <cell r="A416" t="str">
            <v>Tank A-869 (Pre-Project PTE)</v>
          </cell>
        </row>
        <row r="417">
          <cell r="A417" t="str">
            <v>Tank A-869 (Pre-Project PTE)</v>
          </cell>
        </row>
        <row r="418">
          <cell r="A418" t="str">
            <v>Tank A-869 (Pre-Project PTE)</v>
          </cell>
        </row>
        <row r="419">
          <cell r="A419" t="str">
            <v>Tank A-869 (Post-Project PTE)</v>
          </cell>
        </row>
        <row r="420">
          <cell r="A420" t="str">
            <v>Tank A-869 (Post-Project PTE)</v>
          </cell>
        </row>
        <row r="421">
          <cell r="A421" t="str">
            <v>Tank A-869 (Post-Project PTE)</v>
          </cell>
        </row>
        <row r="422">
          <cell r="A422" t="str">
            <v>Tank A-869 (Post-Project PTE)</v>
          </cell>
        </row>
        <row r="423">
          <cell r="A423" t="str">
            <v>Tank A-869 (Post-Project PTE)</v>
          </cell>
        </row>
        <row r="424">
          <cell r="A424" t="str">
            <v>Tank A-869 (Post-Project PTE)</v>
          </cell>
        </row>
        <row r="425">
          <cell r="A425" t="str">
            <v>Tank A-869 (Post-Project PTE)</v>
          </cell>
        </row>
        <row r="426">
          <cell r="A426" t="str">
            <v>Tank A-869 (Post-Project PTE)</v>
          </cell>
        </row>
        <row r="427">
          <cell r="A427" t="str">
            <v>Tank A-869 (Post-Project PTE)</v>
          </cell>
        </row>
        <row r="428">
          <cell r="A428" t="str">
            <v>Tank A-869 (Post-Project PTE)</v>
          </cell>
        </row>
        <row r="429">
          <cell r="A429" t="str">
            <v>Tank A-869 (Post-Project PTE)</v>
          </cell>
        </row>
        <row r="430">
          <cell r="A430" t="str">
            <v>Tank A-869 (Post-Project PTE)</v>
          </cell>
        </row>
        <row r="431">
          <cell r="A431" t="str">
            <v>Tank A-872 (Post-Project PTE)</v>
          </cell>
        </row>
        <row r="432">
          <cell r="A432" t="str">
            <v>Tank A-872 (Post-Project PTE)</v>
          </cell>
        </row>
        <row r="433">
          <cell r="A433" t="str">
            <v>Tank A-872 (Post-Project PTE)</v>
          </cell>
        </row>
        <row r="434">
          <cell r="A434" t="str">
            <v>Tank A-872 (Post-Project PTE)</v>
          </cell>
        </row>
        <row r="435">
          <cell r="A435" t="str">
            <v>Tank A-872 (Post-Project PTE)</v>
          </cell>
        </row>
        <row r="436">
          <cell r="A436" t="str">
            <v>Tank A-872 (Post-Project PTE)</v>
          </cell>
        </row>
        <row r="437">
          <cell r="A437" t="str">
            <v>Tank A-872 (Post-Project PTE)</v>
          </cell>
        </row>
        <row r="438">
          <cell r="A438" t="str">
            <v>Tank A-872 (Post-Project PTE)</v>
          </cell>
        </row>
        <row r="439">
          <cell r="A439" t="str">
            <v>Tank A-872 (Post-Project PTE)</v>
          </cell>
        </row>
        <row r="440">
          <cell r="A440" t="str">
            <v>Tank A-872 (Post-Project PTE)</v>
          </cell>
        </row>
        <row r="441">
          <cell r="A441" t="str">
            <v>Tank A-872 (Post-Project PTE)</v>
          </cell>
        </row>
        <row r="442">
          <cell r="A442" t="str">
            <v>Tank A-872 (Post-Project PTE)</v>
          </cell>
        </row>
        <row r="443">
          <cell r="A443" t="str">
            <v>Tank A-872 (Pre-Project PTE)</v>
          </cell>
        </row>
        <row r="444">
          <cell r="A444" t="str">
            <v>Tank A-872 (Pre-Project PTE)</v>
          </cell>
        </row>
        <row r="445">
          <cell r="A445" t="str">
            <v>Tank A-872 (Pre-Project PTE)</v>
          </cell>
        </row>
        <row r="446">
          <cell r="A446" t="str">
            <v>Tank A-872 (Pre-Project PTE)</v>
          </cell>
        </row>
        <row r="447">
          <cell r="A447" t="str">
            <v>Tank A-872 (Pre-Project PTE)</v>
          </cell>
        </row>
        <row r="448">
          <cell r="A448" t="str">
            <v>Tank A-872 (Pre-Project PTE)</v>
          </cell>
        </row>
        <row r="449">
          <cell r="A449" t="str">
            <v>Tank A-872 (Pre-Project PTE)</v>
          </cell>
        </row>
        <row r="450">
          <cell r="A450" t="str">
            <v>Tank A-872 (Pre-Project PTE)</v>
          </cell>
        </row>
        <row r="451">
          <cell r="A451" t="str">
            <v>Tank A-872 (Pre-Project PTE)</v>
          </cell>
        </row>
        <row r="452">
          <cell r="A452" t="str">
            <v>Tank A-872 (Pre-Project PTE)</v>
          </cell>
        </row>
        <row r="453">
          <cell r="A453" t="str">
            <v>Tank A-872 (Pre-Project PTE)</v>
          </cell>
        </row>
        <row r="454">
          <cell r="A454" t="str">
            <v>Tank A-872 (Pre-Project PTE)</v>
          </cell>
        </row>
        <row r="455">
          <cell r="A455" t="str">
            <v>Tank A-876 (Pre-Project PTE)</v>
          </cell>
        </row>
        <row r="456">
          <cell r="A456" t="str">
            <v>Tank A-876 (Pre-Project PTE)</v>
          </cell>
        </row>
        <row r="457">
          <cell r="A457" t="str">
            <v>Tank A-876 (Pre-Project PTE)</v>
          </cell>
        </row>
        <row r="458">
          <cell r="A458" t="str">
            <v>Tank A-876 (Pre-Project PTE)</v>
          </cell>
        </row>
        <row r="459">
          <cell r="A459" t="str">
            <v>Tank A-876 (Pre-Project PTE)</v>
          </cell>
        </row>
        <row r="460">
          <cell r="A460" t="str">
            <v>Tank A-876 (Pre-Project PTE)</v>
          </cell>
        </row>
        <row r="461">
          <cell r="A461" t="str">
            <v>Tank A-876 (Pre-Project PTE)</v>
          </cell>
        </row>
        <row r="462">
          <cell r="A462" t="str">
            <v>Tank A-876 (Pre-Project PTE)</v>
          </cell>
        </row>
        <row r="463">
          <cell r="A463" t="str">
            <v>Tank A-876 (Pre-Project PTE)</v>
          </cell>
        </row>
        <row r="464">
          <cell r="A464" t="str">
            <v>Tank A-876 (Pre-Project PTE)</v>
          </cell>
        </row>
        <row r="465">
          <cell r="A465" t="str">
            <v>Tank A-876 (Pre-Project PTE)</v>
          </cell>
        </row>
        <row r="466">
          <cell r="A466" t="str">
            <v>Tank A-876 (Pre-Project PTE)</v>
          </cell>
        </row>
        <row r="467">
          <cell r="A467" t="str">
            <v>Tank A-877 (Post-Project PTE)</v>
          </cell>
        </row>
        <row r="468">
          <cell r="A468" t="str">
            <v>Tank A-877 (Post-Project PTE)</v>
          </cell>
        </row>
        <row r="469">
          <cell r="A469" t="str">
            <v>Tank A-877 (Post-Project PTE)</v>
          </cell>
        </row>
        <row r="470">
          <cell r="A470" t="str">
            <v>Tank A-877 (Post-Project PTE)</v>
          </cell>
        </row>
        <row r="471">
          <cell r="A471" t="str">
            <v>Tank A-877 (Post-Project PTE)</v>
          </cell>
        </row>
        <row r="472">
          <cell r="A472" t="str">
            <v>Tank A-877 (Post-Project PTE)</v>
          </cell>
        </row>
        <row r="473">
          <cell r="A473" t="str">
            <v>Tank A-877 (Post-Project PTE)</v>
          </cell>
        </row>
        <row r="474">
          <cell r="A474" t="str">
            <v>Tank A-877 (Post-Project PTE)</v>
          </cell>
        </row>
        <row r="475">
          <cell r="A475" t="str">
            <v>Tank A-877 (Post-Project PTE)</v>
          </cell>
        </row>
        <row r="476">
          <cell r="A476" t="str">
            <v>Tank A-877 (Post-Project PTE)</v>
          </cell>
        </row>
        <row r="477">
          <cell r="A477" t="str">
            <v>Tank A-877 (Post-Project PTE)</v>
          </cell>
        </row>
        <row r="478">
          <cell r="A478" t="str">
            <v>Tank A-877 (Post-Project PTE)</v>
          </cell>
        </row>
        <row r="479">
          <cell r="A479" t="str">
            <v>Tank A-877 (Pre-Project PTE)</v>
          </cell>
        </row>
        <row r="480">
          <cell r="A480" t="str">
            <v>Tank A-877 (Pre-Project PTE)</v>
          </cell>
        </row>
        <row r="481">
          <cell r="A481" t="str">
            <v>Tank A-877 (Pre-Project PTE)</v>
          </cell>
        </row>
        <row r="482">
          <cell r="A482" t="str">
            <v>Tank A-877 (Pre-Project PTE)</v>
          </cell>
        </row>
        <row r="483">
          <cell r="A483" t="str">
            <v>Tank A-877 (Pre-Project PTE)</v>
          </cell>
        </row>
        <row r="484">
          <cell r="A484" t="str">
            <v>Tank A-877 (Pre-Project PTE)</v>
          </cell>
        </row>
        <row r="485">
          <cell r="A485" t="str">
            <v>Tank A-877 (Pre-Project PTE)</v>
          </cell>
        </row>
        <row r="486">
          <cell r="A486" t="str">
            <v>Tank A-877 (Pre-Project PTE)</v>
          </cell>
        </row>
        <row r="487">
          <cell r="A487" t="str">
            <v>Tank A-877 (Pre-Project PTE)</v>
          </cell>
        </row>
        <row r="488">
          <cell r="A488" t="str">
            <v>Tank A-877 (Pre-Project PTE)</v>
          </cell>
        </row>
        <row r="489">
          <cell r="A489" t="str">
            <v>Tank A-877 (Pre-Project PTE)</v>
          </cell>
        </row>
        <row r="490">
          <cell r="A490" t="str">
            <v>Tank A-877 (Pre-Project PTE)</v>
          </cell>
        </row>
        <row r="491">
          <cell r="A491" t="str">
            <v>Tank A-895 (Post-Project PTE)</v>
          </cell>
        </row>
        <row r="492">
          <cell r="A492" t="str">
            <v>Tank A-895 (Post-Project PTE)</v>
          </cell>
        </row>
        <row r="493">
          <cell r="A493" t="str">
            <v>Tank A-895 (Post-Project PTE)</v>
          </cell>
        </row>
        <row r="494">
          <cell r="A494" t="str">
            <v>Tank A-895 (Post-Project PTE)</v>
          </cell>
        </row>
        <row r="495">
          <cell r="A495" t="str">
            <v>Tank A-895 (Post-Project PTE)</v>
          </cell>
        </row>
        <row r="496">
          <cell r="A496" t="str">
            <v>Tank A-895 (Post-Project PTE)</v>
          </cell>
        </row>
        <row r="497">
          <cell r="A497" t="str">
            <v>Tank A-895 (Post-Project PTE)</v>
          </cell>
        </row>
        <row r="498">
          <cell r="A498" t="str">
            <v>Tank A-895 (Post-Project PTE)</v>
          </cell>
        </row>
        <row r="499">
          <cell r="A499" t="str">
            <v>Tank A-895 (Post-Project PTE)</v>
          </cell>
        </row>
        <row r="500">
          <cell r="A500" t="str">
            <v>Tank A-895 (Post-Project PTE)</v>
          </cell>
        </row>
        <row r="501">
          <cell r="A501" t="str">
            <v>Tank A-895 (Post-Project PTE)</v>
          </cell>
        </row>
        <row r="502">
          <cell r="A502" t="str">
            <v>Tank A-895 (Post-Project PTE)</v>
          </cell>
        </row>
        <row r="503">
          <cell r="A503" t="str">
            <v>Tank A-895 (Pre-Project PTE)</v>
          </cell>
        </row>
        <row r="504">
          <cell r="A504" t="str">
            <v>Tank A-895 (Pre-Project PTE)</v>
          </cell>
        </row>
        <row r="505">
          <cell r="A505" t="str">
            <v>Tank A-895 (Pre-Project PTE)</v>
          </cell>
        </row>
        <row r="506">
          <cell r="A506" t="str">
            <v>Tank A-895 (Pre-Project PTE)</v>
          </cell>
        </row>
        <row r="507">
          <cell r="A507" t="str">
            <v>Tank A-895 (Pre-Project PTE)</v>
          </cell>
        </row>
        <row r="508">
          <cell r="A508" t="str">
            <v>Tank A-895 (Pre-Project PTE)</v>
          </cell>
        </row>
        <row r="509">
          <cell r="A509" t="str">
            <v>Tank A-895 (Pre-Project PTE)</v>
          </cell>
        </row>
        <row r="510">
          <cell r="A510" t="str">
            <v>Tank A-895 (Pre-Project PTE)</v>
          </cell>
        </row>
        <row r="511">
          <cell r="A511" t="str">
            <v>Tank A-895 (Pre-Project PTE)</v>
          </cell>
        </row>
        <row r="512">
          <cell r="A512" t="str">
            <v>Tank A-895 (Pre-Project PTE)</v>
          </cell>
        </row>
        <row r="513">
          <cell r="A513" t="str">
            <v>Tank A-895 (Pre-Project PTE)</v>
          </cell>
        </row>
        <row r="514">
          <cell r="A514" t="str">
            <v>Tank A-895 (Pre-Project PTE)</v>
          </cell>
        </row>
        <row r="515">
          <cell r="A515" t="str">
            <v>Tank A-905 (Post-Project PTE)</v>
          </cell>
        </row>
        <row r="516">
          <cell r="A516" t="str">
            <v>Tank A-905 (Post-Project PTE)</v>
          </cell>
        </row>
        <row r="517">
          <cell r="A517" t="str">
            <v>Tank A-905 (Post-Project PTE)</v>
          </cell>
        </row>
        <row r="518">
          <cell r="A518" t="str">
            <v>Tank A-905 (Post-Project PTE)</v>
          </cell>
        </row>
        <row r="519">
          <cell r="A519" t="str">
            <v>Tank A-905 (Post-Project PTE)</v>
          </cell>
        </row>
        <row r="520">
          <cell r="A520" t="str">
            <v>Tank A-905 (Post-Project PTE)</v>
          </cell>
        </row>
        <row r="521">
          <cell r="A521" t="str">
            <v>Tank A-905 (Post-Project PTE)</v>
          </cell>
        </row>
        <row r="522">
          <cell r="A522" t="str">
            <v>Tank A-905 (Post-Project PTE)</v>
          </cell>
        </row>
        <row r="523">
          <cell r="A523" t="str">
            <v>Tank A-905 (Post-Project PTE)</v>
          </cell>
        </row>
        <row r="524">
          <cell r="A524" t="str">
            <v>Tank A-905 (Post-Project PTE)</v>
          </cell>
        </row>
        <row r="525">
          <cell r="A525" t="str">
            <v>Tank A-905 (Post-Project PTE)</v>
          </cell>
        </row>
        <row r="526">
          <cell r="A526" t="str">
            <v>Tank A-905 (Post-Project PTE)</v>
          </cell>
        </row>
        <row r="527">
          <cell r="A527" t="str">
            <v>Tank A-905 (Pre-Project PTE)</v>
          </cell>
        </row>
        <row r="528">
          <cell r="A528" t="str">
            <v>Tank A-905 (Pre-Project PTE)</v>
          </cell>
        </row>
        <row r="529">
          <cell r="A529" t="str">
            <v>Tank A-905 (Pre-Project PTE)</v>
          </cell>
        </row>
        <row r="530">
          <cell r="A530" t="str">
            <v>Tank A-905 (Pre-Project PTE)</v>
          </cell>
        </row>
        <row r="531">
          <cell r="A531" t="str">
            <v>Tank A-905 (Pre-Project PTE)</v>
          </cell>
        </row>
        <row r="532">
          <cell r="A532" t="str">
            <v>Tank A-905 (Pre-Project PTE)</v>
          </cell>
        </row>
        <row r="533">
          <cell r="A533" t="str">
            <v>Tank A-905 (Pre-Project PTE)</v>
          </cell>
        </row>
        <row r="534">
          <cell r="A534" t="str">
            <v>Tank A-905 (Pre-Project PTE)</v>
          </cell>
        </row>
        <row r="535">
          <cell r="A535" t="str">
            <v>Tank A-905 (Pre-Project PTE)</v>
          </cell>
        </row>
        <row r="536">
          <cell r="A536" t="str">
            <v>Tank A-905 (Pre-Project PTE)</v>
          </cell>
        </row>
        <row r="537">
          <cell r="A537" t="str">
            <v>Tank A-905 (Pre-Project PTE)</v>
          </cell>
        </row>
        <row r="538">
          <cell r="A538" t="str">
            <v>Tank A-905 (Pre-Project PTE)</v>
          </cell>
        </row>
        <row r="539">
          <cell r="A539" t="str">
            <v>Tank A-932 (Post-Project PTE)</v>
          </cell>
        </row>
        <row r="540">
          <cell r="A540" t="str">
            <v>Tank A-932 (Post-Project PTE)</v>
          </cell>
        </row>
        <row r="541">
          <cell r="A541" t="str">
            <v>Tank A-932 (Post-Project PTE)</v>
          </cell>
        </row>
        <row r="542">
          <cell r="A542" t="str">
            <v>Tank A-932 (Post-Project PTE)</v>
          </cell>
        </row>
        <row r="543">
          <cell r="A543" t="str">
            <v>Tank A-932 (Post-Project PTE)</v>
          </cell>
        </row>
        <row r="544">
          <cell r="A544" t="str">
            <v>Tank A-932 (Post-Project PTE)</v>
          </cell>
        </row>
        <row r="545">
          <cell r="A545" t="str">
            <v>Tank A-932 (Post-Project PTE)</v>
          </cell>
        </row>
        <row r="546">
          <cell r="A546" t="str">
            <v>Tank A-932 (Post-Project PTE)</v>
          </cell>
        </row>
        <row r="547">
          <cell r="A547" t="str">
            <v>Tank A-932 (Post-Project PTE)</v>
          </cell>
        </row>
        <row r="548">
          <cell r="A548" t="str">
            <v>Tank A-932 (Post-Project PTE)</v>
          </cell>
        </row>
        <row r="549">
          <cell r="A549" t="str">
            <v>Tank A-932 (Post-Project PTE)</v>
          </cell>
        </row>
        <row r="550">
          <cell r="A550" t="str">
            <v>Tank A-932 (Post-Project PTE)</v>
          </cell>
        </row>
        <row r="551">
          <cell r="A551" t="str">
            <v>Tank A-932 (Pre-Project PTE)</v>
          </cell>
        </row>
        <row r="552">
          <cell r="A552" t="str">
            <v>Tank A-932 (Pre-Project PTE)</v>
          </cell>
        </row>
        <row r="553">
          <cell r="A553" t="str">
            <v>Tank A-932 (Pre-Project PTE)</v>
          </cell>
        </row>
        <row r="554">
          <cell r="A554" t="str">
            <v>Tank A-932 (Pre-Project PTE)</v>
          </cell>
        </row>
        <row r="555">
          <cell r="A555" t="str">
            <v>Tank A-932 (Pre-Project PTE)</v>
          </cell>
        </row>
        <row r="556">
          <cell r="A556" t="str">
            <v>Tank A-932 (Pre-Project PTE)</v>
          </cell>
        </row>
        <row r="557">
          <cell r="A557" t="str">
            <v>Tank A-932 (Pre-Project PTE)</v>
          </cell>
        </row>
        <row r="558">
          <cell r="A558" t="str">
            <v>Tank A-932 (Pre-Project PTE)</v>
          </cell>
        </row>
        <row r="559">
          <cell r="A559" t="str">
            <v>Tank A-932 (Pre-Project PTE)</v>
          </cell>
        </row>
        <row r="560">
          <cell r="A560" t="str">
            <v>Tank A-932 (Pre-Project PTE)</v>
          </cell>
        </row>
        <row r="561">
          <cell r="A561" t="str">
            <v>Tank A-932 (Pre-Project PTE)</v>
          </cell>
        </row>
        <row r="562">
          <cell r="A562" t="str">
            <v>Tank A-932 (Pre-Project PTE)</v>
          </cell>
        </row>
        <row r="563">
          <cell r="A563" t="str">
            <v>Tank A-933 (Post-Project PTE)</v>
          </cell>
        </row>
        <row r="564">
          <cell r="A564" t="str">
            <v>Tank A-933 (Post-Project PTE)</v>
          </cell>
        </row>
        <row r="565">
          <cell r="A565" t="str">
            <v>Tank A-933 (Post-Project PTE)</v>
          </cell>
        </row>
        <row r="566">
          <cell r="A566" t="str">
            <v>Tank A-933 (Post-Project PTE)</v>
          </cell>
        </row>
        <row r="567">
          <cell r="A567" t="str">
            <v>Tank A-933 (Post-Project PTE)</v>
          </cell>
        </row>
        <row r="568">
          <cell r="A568" t="str">
            <v>Tank A-933 (Post-Project PTE)</v>
          </cell>
        </row>
        <row r="569">
          <cell r="A569" t="str">
            <v>Tank A-933 (Post-Project PTE)</v>
          </cell>
        </row>
        <row r="570">
          <cell r="A570" t="str">
            <v>Tank A-933 (Post-Project PTE)</v>
          </cell>
        </row>
        <row r="571">
          <cell r="A571" t="str">
            <v>Tank A-933 (Post-Project PTE)</v>
          </cell>
        </row>
        <row r="572">
          <cell r="A572" t="str">
            <v>Tank A-933 (Post-Project PTE)</v>
          </cell>
        </row>
        <row r="573">
          <cell r="A573" t="str">
            <v>Tank A-933 (Post-Project PTE)</v>
          </cell>
        </row>
        <row r="574">
          <cell r="A574" t="str">
            <v>Tank A-933 (Post-Project PTE)</v>
          </cell>
        </row>
        <row r="575">
          <cell r="A575" t="str">
            <v>Tank A-933 (Pre-Project PTE)</v>
          </cell>
        </row>
        <row r="576">
          <cell r="A576" t="str">
            <v>Tank A-933 (Pre-Project PTE)</v>
          </cell>
        </row>
        <row r="577">
          <cell r="A577" t="str">
            <v>Tank A-933 (Pre-Project PTE)</v>
          </cell>
        </row>
        <row r="578">
          <cell r="A578" t="str">
            <v>Tank A-933 (Pre-Project PTE)</v>
          </cell>
        </row>
        <row r="579">
          <cell r="A579" t="str">
            <v>Tank A-933 (Pre-Project PTE)</v>
          </cell>
        </row>
        <row r="580">
          <cell r="A580" t="str">
            <v>Tank A-933 (Pre-Project PTE)</v>
          </cell>
        </row>
        <row r="581">
          <cell r="A581" t="str">
            <v>Tank A-933 (Pre-Project PTE)</v>
          </cell>
        </row>
        <row r="582">
          <cell r="A582" t="str">
            <v>Tank A-933 (Pre-Project PTE)</v>
          </cell>
        </row>
        <row r="583">
          <cell r="A583" t="str">
            <v>Tank A-933 (Pre-Project PTE)</v>
          </cell>
        </row>
        <row r="584">
          <cell r="A584" t="str">
            <v>Tank A-933 (Pre-Project PTE)</v>
          </cell>
        </row>
        <row r="585">
          <cell r="A585" t="str">
            <v>Tank A-933 (Pre-Project PTE)</v>
          </cell>
        </row>
        <row r="586">
          <cell r="A586" t="str">
            <v>Tank A-933 (Pre-Project PTE)</v>
          </cell>
        </row>
        <row r="587">
          <cell r="A587" t="str">
            <v>Tank A-943 (Pre-Project PTE)</v>
          </cell>
        </row>
        <row r="588">
          <cell r="A588" t="str">
            <v>Tank A-943 (Pre-Project PTE)</v>
          </cell>
        </row>
        <row r="589">
          <cell r="A589" t="str">
            <v>Tank A-943 (Pre-Project PTE)</v>
          </cell>
        </row>
        <row r="590">
          <cell r="A590" t="str">
            <v>Tank A-943 (Pre-Project PTE)</v>
          </cell>
        </row>
        <row r="591">
          <cell r="A591" t="str">
            <v>Tank A-943 (Pre-Project PTE)</v>
          </cell>
        </row>
        <row r="592">
          <cell r="A592" t="str">
            <v>Tank A-943 (Pre-Project PTE)</v>
          </cell>
        </row>
        <row r="593">
          <cell r="A593" t="str">
            <v>Tank A-943 (Pre-Project PTE)</v>
          </cell>
        </row>
        <row r="594">
          <cell r="A594" t="str">
            <v>Tank A-943 (Pre-Project PTE)</v>
          </cell>
        </row>
        <row r="595">
          <cell r="A595" t="str">
            <v>Tank A-943 (Pre-Project PTE)</v>
          </cell>
        </row>
        <row r="596">
          <cell r="A596" t="str">
            <v>Tank A-943 (Pre-Project PTE)</v>
          </cell>
        </row>
        <row r="597">
          <cell r="A597" t="str">
            <v>Tank A-943 (Pre-Project PTE)</v>
          </cell>
        </row>
        <row r="598">
          <cell r="A598" t="str">
            <v>Tank A-943 (Pre-Project PTE)</v>
          </cell>
        </row>
        <row r="599">
          <cell r="A599" t="str">
            <v>Tank A-943 (Post-Project PTE)</v>
          </cell>
        </row>
        <row r="600">
          <cell r="A600" t="str">
            <v>Tank A-943 (Post-Project PTE)</v>
          </cell>
        </row>
        <row r="601">
          <cell r="A601" t="str">
            <v>Tank A-943 (Post-Project PTE)</v>
          </cell>
        </row>
        <row r="602">
          <cell r="A602" t="str">
            <v>Tank A-943 (Post-Project PTE)</v>
          </cell>
        </row>
        <row r="603">
          <cell r="A603" t="str">
            <v>Tank A-943 (Post-Project PTE)</v>
          </cell>
        </row>
        <row r="604">
          <cell r="A604" t="str">
            <v>Tank A-943 (Post-Project PTE)</v>
          </cell>
        </row>
        <row r="605">
          <cell r="A605" t="str">
            <v>Tank A-943 (Post-Project PTE)</v>
          </cell>
        </row>
        <row r="606">
          <cell r="A606" t="str">
            <v>Tank A-943 (Post-Project PTE)</v>
          </cell>
        </row>
        <row r="607">
          <cell r="A607" t="str">
            <v>Tank A-943 (Post-Project PTE)</v>
          </cell>
        </row>
        <row r="608">
          <cell r="A608" t="str">
            <v>Tank A-943 (Post-Project PTE)</v>
          </cell>
        </row>
        <row r="609">
          <cell r="A609" t="str">
            <v>Tank A-943 (Post-Project PTE)</v>
          </cell>
        </row>
        <row r="610">
          <cell r="A610" t="str">
            <v>Tank A-943 (Post-Project PTE)</v>
          </cell>
        </row>
        <row r="611">
          <cell r="A611" t="str">
            <v>Tank MTK-10162 (Post-Project PTE)</v>
          </cell>
        </row>
        <row r="612">
          <cell r="A612" t="str">
            <v>Tank MTK-10162 (Post-Project PTE)</v>
          </cell>
        </row>
        <row r="613">
          <cell r="A613" t="str">
            <v>Tank MTK-10162 (Post-Project PTE)</v>
          </cell>
        </row>
        <row r="614">
          <cell r="A614" t="str">
            <v>Tank MTK-10162 (Post-Project PTE)</v>
          </cell>
        </row>
        <row r="615">
          <cell r="A615" t="str">
            <v>Tank MTK-10162 (Post-Project PTE)</v>
          </cell>
        </row>
        <row r="616">
          <cell r="A616" t="str">
            <v>Tank MTK-10162 (Post-Project PTE)</v>
          </cell>
        </row>
        <row r="617">
          <cell r="A617" t="str">
            <v>Tank MTK-10162 (Post-Project PTE)</v>
          </cell>
        </row>
        <row r="618">
          <cell r="A618" t="str">
            <v>Tank MTK-10162 (Post-Project PTE)</v>
          </cell>
        </row>
        <row r="619">
          <cell r="A619" t="str">
            <v>Tank MTK-10162 (Post-Project PTE)</v>
          </cell>
        </row>
        <row r="620">
          <cell r="A620" t="str">
            <v>Tank MTK-10162 (Post-Project PTE)</v>
          </cell>
        </row>
        <row r="621">
          <cell r="A621" t="str">
            <v>Tank MTK-10162 (Post-Project PTE)</v>
          </cell>
        </row>
        <row r="622">
          <cell r="A622" t="str">
            <v>Tank MTK-10162 (Post-Project PTE)</v>
          </cell>
        </row>
        <row r="623">
          <cell r="A623" t="str">
            <v>Insert New Rows Above This Line</v>
          </cell>
        </row>
      </sheetData>
      <sheetData sheetId="30"/>
      <sheetData sheetId="31"/>
      <sheetData sheetId="32"/>
      <sheetData sheetId="33"/>
      <sheetData sheetId="34"/>
      <sheetData sheetId="3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ug Speciation Lookup"/>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 Comments"/>
      <sheetName val="Hg Flow DIAGRAM"/>
      <sheetName val="Hg footnotes"/>
      <sheetName val="Drill Core 23"/>
      <sheetName val="Hg Diagram"/>
    </sheetNames>
    <sheetDataSet>
      <sheetData sheetId="0"/>
      <sheetData sheetId="1">
        <row r="1">
          <cell r="B1" t="str">
            <v xml:space="preserve">MINNESOTA STEEL INDUSTRIES - MERCURY MASS BALANCE FLOW DIAGRAM                  </v>
          </cell>
          <cell r="O1">
            <v>39149</v>
          </cell>
          <cell r="Q1" t="str">
            <v>Based on publicly available data on taconite mining facilities</v>
          </cell>
        </row>
        <row r="2">
          <cell r="B2" t="str">
            <v>Ref: Process Flow &amp; Annual Capacity - Minnesota Steel/Barr Engineering; 11/16/05</v>
          </cell>
          <cell r="Q2" t="str">
            <v>Footnotes in orange blocks and linked to separate "footnotes" worksheet</v>
          </cell>
        </row>
        <row r="6">
          <cell r="J6" t="str">
            <v>Hg Transfer by Process</v>
          </cell>
          <cell r="L6" t="str">
            <v>PROCESS OUTPUTS / TREATMENT SYSTEM INPUTS</v>
          </cell>
          <cell r="T6" t="str">
            <v>AIR &amp; WATER TREATMENT SYSTEMS</v>
          </cell>
        </row>
        <row r="7">
          <cell r="A7" t="str">
            <v xml:space="preserve"> </v>
          </cell>
          <cell r="B7" t="str">
            <v>PROCESS INPUTS</v>
          </cell>
          <cell r="W7" t="str">
            <v>EXTERNAL OUTPUTS</v>
          </cell>
        </row>
        <row r="8">
          <cell r="B8" t="str">
            <v>COMPOUND</v>
          </cell>
          <cell r="C8" t="str">
            <v>INPUT RATE</v>
          </cell>
          <cell r="D8" t="str">
            <v>Units</v>
          </cell>
          <cell r="E8" t="str">
            <v>ppb Hg</v>
          </cell>
          <cell r="F8" t="str">
            <v>lb Hg/y</v>
          </cell>
          <cell r="G8" t="str">
            <v>notes</v>
          </cell>
          <cell r="M8" t="str">
            <v>mass flux</v>
          </cell>
          <cell r="N8" t="str">
            <v>units</v>
          </cell>
          <cell r="O8" t="str">
            <v>ppb Hg</v>
          </cell>
          <cell r="P8" t="str">
            <v>lb Hg/y</v>
          </cell>
          <cell r="Q8" t="str">
            <v>notes</v>
          </cell>
          <cell r="T8" t="str">
            <v>WATER TREATMENT</v>
          </cell>
          <cell r="U8" t="str">
            <v>AIR TREATMENT</v>
          </cell>
          <cell r="X8" t="str">
            <v>mass</v>
          </cell>
          <cell r="Y8" t="str">
            <v>units</v>
          </cell>
          <cell r="Z8" t="str">
            <v>ppb Hg</v>
          </cell>
          <cell r="AA8" t="str">
            <v>lb Hg/y (Air)</v>
          </cell>
        </row>
        <row r="9">
          <cell r="B9" t="str">
            <v>MINING</v>
          </cell>
        </row>
        <row r="10">
          <cell r="W10" t="str">
            <v>Stream</v>
          </cell>
          <cell r="X10">
            <v>21.349723679999897</v>
          </cell>
          <cell r="Y10" t="str">
            <v>cmh</v>
          </cell>
          <cell r="Z10">
            <v>2E-3</v>
          </cell>
        </row>
        <row r="11">
          <cell r="L11" t="str">
            <v>Fresh Water used in Processes</v>
          </cell>
          <cell r="M11">
            <v>1324.8184917600001</v>
          </cell>
          <cell r="N11" t="str">
            <v>cmh</v>
          </cell>
          <cell r="O11">
            <v>2E-3</v>
          </cell>
          <cell r="P11">
            <v>5.1170238041523805E-2</v>
          </cell>
          <cell r="W11" t="str">
            <v xml:space="preserve"> Augmentation and Excess Water</v>
          </cell>
        </row>
        <row r="12">
          <cell r="B12" t="str">
            <v>Pits 1/2, Harrison and other water sources</v>
          </cell>
          <cell r="C12">
            <v>1346.16821544</v>
          </cell>
          <cell r="D12" t="str">
            <v>cmh</v>
          </cell>
          <cell r="E12">
            <v>2E-3</v>
          </cell>
          <cell r="F12">
            <v>5.199485699847619E-2</v>
          </cell>
          <cell r="G12">
            <v>1</v>
          </cell>
          <cell r="H12" t="str">
            <v xml:space="preserve">Flow rates provided by "Water Treatment Plan: Revised Dissolved Solids Modeling for the Plant and Tailings Basin, and Expected Water Quality of Tailings Basin and Seepage Water"; Minnesota Steel Industries; Figure 1; June 2006; mercury concentration provided by "Surface Water Quality Monitoring for Pits, Lakes, and Streams within and Dowstream of the Minnesota Steel Industries Project Area", June 2005 sampling data for Pits 1/2 and 5/6; January, 2006
</v>
          </cell>
        </row>
        <row r="13">
          <cell r="B13" t="str">
            <v>Diesel engine emissions</v>
          </cell>
          <cell r="C13">
            <v>2708643.6787528917</v>
          </cell>
          <cell r="D13" t="str">
            <v>gal/yr</v>
          </cell>
          <cell r="E13">
            <v>1</v>
          </cell>
          <cell r="F13">
            <v>1.9041765061632829E-2</v>
          </cell>
          <cell r="G13">
            <v>2</v>
          </cell>
          <cell r="H13" t="str">
            <v>Mine truck and shovel fuel use provide by Criteria EI.xls, "Truck Usage and Emissions"</v>
          </cell>
          <cell r="W13" t="str">
            <v>diesel air emissions</v>
          </cell>
          <cell r="AA13">
            <v>1.9041765061632829E-2</v>
          </cell>
        </row>
        <row r="16">
          <cell r="F16" t="str">
            <v xml:space="preserve"> </v>
          </cell>
          <cell r="J16" t="str">
            <v>CRUSHER</v>
          </cell>
          <cell r="V16" t="str">
            <v xml:space="preserve"> </v>
          </cell>
        </row>
        <row r="17">
          <cell r="B17" t="str">
            <v>CRUSHER</v>
          </cell>
          <cell r="C17" t="str">
            <v xml:space="preserve"> </v>
          </cell>
          <cell r="E17" t="str">
            <v xml:space="preserve"> </v>
          </cell>
          <cell r="G17" t="str">
            <v xml:space="preserve"> </v>
          </cell>
          <cell r="H17" t="str">
            <v xml:space="preserve"> </v>
          </cell>
          <cell r="J17" t="str">
            <v>crushed ore Hg (lb/yr)</v>
          </cell>
          <cell r="L17" t="str">
            <v>Crushing Dust</v>
          </cell>
          <cell r="M17">
            <v>1613.8531005093751</v>
          </cell>
          <cell r="N17" t="str">
            <v>tpy</v>
          </cell>
          <cell r="O17">
            <v>12.177874999999998</v>
          </cell>
          <cell r="P17">
            <v>3.9306602652731212E-2</v>
          </cell>
          <cell r="Q17">
            <v>32</v>
          </cell>
          <cell r="R17" t="str">
            <v>Dust tonnage provided by "Criteria EI.xls" "Point Source EI" worksheet.  [Hg] = ore content.</v>
          </cell>
          <cell r="S17" t="str">
            <v xml:space="preserve"> </v>
          </cell>
          <cell r="V17" t="str">
            <v xml:space="preserve"> </v>
          </cell>
          <cell r="W17" t="str">
            <v>air emissions</v>
          </cell>
          <cell r="X17">
            <v>16.13853100509375</v>
          </cell>
          <cell r="Y17" t="str">
            <v>tpy</v>
          </cell>
          <cell r="Z17">
            <v>12.177874999999998</v>
          </cell>
          <cell r="AA17">
            <v>3.9306602652731205E-4</v>
          </cell>
        </row>
        <row r="18">
          <cell r="A18" t="str">
            <v xml:space="preserve"> </v>
          </cell>
          <cell r="B18" t="str">
            <v>Raw taconite ore</v>
          </cell>
          <cell r="C18">
            <v>14386821.9</v>
          </cell>
          <cell r="D18" t="str">
            <v>mtpy</v>
          </cell>
          <cell r="E18">
            <v>12.177874999999998</v>
          </cell>
          <cell r="F18">
            <v>386.24794546624662</v>
          </cell>
          <cell r="G18">
            <v>3</v>
          </cell>
          <cell r="H18" t="str">
            <v xml:space="preserve">Ore tonnage provided by Minnesota Steel (11/16/05 Update) X 1.1.  [Hg] based on analysis of Minnesota Steel ore (August 2005).  </v>
          </cell>
          <cell r="I18" t="str">
            <v xml:space="preserve"> </v>
          </cell>
          <cell r="J18">
            <v>386.19626876100659</v>
          </cell>
          <cell r="L18" t="str">
            <v>Mining Fugitive Emissions (Crude Ore)</v>
          </cell>
          <cell r="M18">
            <v>1595.42145137846</v>
          </cell>
          <cell r="N18" t="str">
            <v>tpy</v>
          </cell>
          <cell r="O18">
            <v>12.177874999999998</v>
          </cell>
          <cell r="P18">
            <v>3.8857686014410926E-2</v>
          </cell>
          <cell r="Q18">
            <v>33</v>
          </cell>
          <cell r="R18" t="str">
            <v>Dust tonnage provided by "Criteria EI.xls" "Point Source EI" worksheet.  [Hg] = ore content.</v>
          </cell>
          <cell r="S18" t="str">
            <v xml:space="preserve"> </v>
          </cell>
          <cell r="U18" t="str">
            <v xml:space="preserve"> </v>
          </cell>
          <cell r="V18" t="str">
            <v xml:space="preserve"> </v>
          </cell>
          <cell r="W18" t="str">
            <v>baghouse dust</v>
          </cell>
          <cell r="X18">
            <v>1597.7145695042814</v>
          </cell>
          <cell r="Y18" t="str">
            <v>tpy</v>
          </cell>
          <cell r="Z18">
            <v>12.177874999999998</v>
          </cell>
        </row>
        <row r="19">
          <cell r="L19" t="str">
            <v xml:space="preserve"> </v>
          </cell>
          <cell r="W19" t="str">
            <v>particulate</v>
          </cell>
          <cell r="X19">
            <v>1595.42145137846</v>
          </cell>
          <cell r="Y19" t="str">
            <v>tpy</v>
          </cell>
          <cell r="Z19">
            <v>12.177874999999998</v>
          </cell>
          <cell r="AA19">
            <v>3.8857686014410926E-2</v>
          </cell>
        </row>
        <row r="20">
          <cell r="E20" t="str">
            <v>Mining/Crusher Input Subtotal:</v>
          </cell>
          <cell r="F20">
            <v>386.31898208830671</v>
          </cell>
          <cell r="O20" t="str">
            <v>Mining/Crusher Output Subtotal---&gt;</v>
          </cell>
          <cell r="P20">
            <v>7.8164288667142146E-2</v>
          </cell>
          <cell r="Z20" t="str">
            <v>Mining/crusher subtotals:</v>
          </cell>
          <cell r="AA20">
            <v>5.8292517102571065E-2</v>
          </cell>
        </row>
        <row r="21">
          <cell r="B21" t="str">
            <v xml:space="preserve"> </v>
          </cell>
          <cell r="F21" t="str">
            <v xml:space="preserve"> </v>
          </cell>
          <cell r="G21" t="str">
            <v xml:space="preserve"> </v>
          </cell>
          <cell r="H21" t="str">
            <v xml:space="preserve"> </v>
          </cell>
          <cell r="L21" t="str">
            <v>Crushed Ore Conveying &amp; Grinding</v>
          </cell>
          <cell r="M21">
            <v>507.89249303821106</v>
          </cell>
          <cell r="N21" t="str">
            <v>tpy</v>
          </cell>
          <cell r="O21">
            <v>12.177874999999998</v>
          </cell>
          <cell r="P21">
            <v>1.2370102587315409E-2</v>
          </cell>
          <cell r="Q21">
            <v>34</v>
          </cell>
          <cell r="R21" t="str">
            <v>Dust tonnage provided by "Criteria EI.xls" "Point Source EI" worksheet.  [Hg] = ore content.</v>
          </cell>
          <cell r="S21" t="str">
            <v xml:space="preserve"> </v>
          </cell>
          <cell r="V21" t="str">
            <v xml:space="preserve"> </v>
          </cell>
          <cell r="W21" t="str">
            <v>air emissions</v>
          </cell>
          <cell r="X21">
            <v>5.0789249303821107</v>
          </cell>
          <cell r="Y21" t="str">
            <v>tpy</v>
          </cell>
          <cell r="Z21">
            <v>12.177874999999998</v>
          </cell>
          <cell r="AA21">
            <v>1.2370102587315408E-4</v>
          </cell>
        </row>
        <row r="22">
          <cell r="S22" t="str">
            <v xml:space="preserve"> </v>
          </cell>
          <cell r="V22" t="str">
            <v xml:space="preserve"> </v>
          </cell>
          <cell r="W22" t="str">
            <v>baghouse dust</v>
          </cell>
          <cell r="X22">
            <v>502.81356810782893</v>
          </cell>
          <cell r="Y22" t="str">
            <v>tpy</v>
          </cell>
          <cell r="Z22">
            <v>12.177874999999998</v>
          </cell>
        </row>
        <row r="23">
          <cell r="B23" t="str">
            <v>CONCENTRATOR</v>
          </cell>
          <cell r="L23" t="str">
            <v>Tailings - water</v>
          </cell>
          <cell r="M23">
            <v>2202.4284098400003</v>
          </cell>
          <cell r="N23" t="str">
            <v>cmh</v>
          </cell>
          <cell r="O23">
            <v>4.0000000000000001E-3</v>
          </cell>
          <cell r="P23">
            <v>0.17013468139504762</v>
          </cell>
          <cell r="Q23">
            <v>35</v>
          </cell>
          <cell r="R23" t="str">
            <v xml:space="preserve">Flow rates provided by "Water Treatment Plan: Revised Dissolved Solids Modeling for the Plant and Tailings Basin, and Expected Water Quality of Tailings Basin and Seepage Water"; Minnesota Steel Industries; Figure 1; June 2006; Process water mercury concentration is assumed to range from 2 to 4 ng/l (ppb) based on industry experience.  </v>
          </cell>
          <cell r="S23" t="str">
            <v xml:space="preserve"> </v>
          </cell>
          <cell r="V23" t="str">
            <v xml:space="preserve"> </v>
          </cell>
        </row>
        <row r="24">
          <cell r="B24" t="str">
            <v>Crushed ore</v>
          </cell>
          <cell r="C24">
            <v>14385357.822071569</v>
          </cell>
          <cell r="D24" t="str">
            <v>mtpy</v>
          </cell>
          <cell r="E24">
            <v>12.177874999999998</v>
          </cell>
          <cell r="F24">
            <v>386.20863886359388</v>
          </cell>
          <cell r="G24">
            <v>4</v>
          </cell>
          <cell r="H24" t="str">
            <v>Crushed ore tonnage at the concentrator equals the crusher input minus crushing dust and crushed ore conveying dust; assume Hg concentration equal to raw ore.</v>
          </cell>
          <cell r="I24" t="str">
            <v xml:space="preserve"> </v>
          </cell>
          <cell r="L24" t="str">
            <v>Tailings - solids</v>
          </cell>
          <cell r="M24">
            <v>10206370.9</v>
          </cell>
          <cell r="N24" t="str">
            <v>mtpy</v>
          </cell>
          <cell r="O24">
            <v>14.994999686466663</v>
          </cell>
          <cell r="P24">
            <v>337.40196741086658</v>
          </cell>
          <cell r="Q24">
            <v>36</v>
          </cell>
          <cell r="R24" t="str">
            <v>Mercury provided by MSI Haps EI.xls, "1-2 COPI Compounds"; mercury concentration for tailings = ore Hg concentration x (1-.172) / (% of tailings from crude ore); ref. 'Mercury Distribution around Taconite Concentrators' Coleraine Minerals Research Laboratory (12/9/03), based on National Steel results showing a partitioning of 17.2% of the mercury to the concentrate and the balance to the tailings.</v>
          </cell>
          <cell r="S24" t="str">
            <v xml:space="preserve"> </v>
          </cell>
          <cell r="T24" t="str">
            <v xml:space="preserve">      (to tailings thickener)</v>
          </cell>
        </row>
        <row r="25">
          <cell r="A25" t="str">
            <v xml:space="preserve"> </v>
          </cell>
          <cell r="B25" t="str">
            <v>Fresh Water</v>
          </cell>
          <cell r="C25">
            <v>211.22598960000002</v>
          </cell>
          <cell r="D25" t="str">
            <v>cmh</v>
          </cell>
          <cell r="E25">
            <v>2E-3</v>
          </cell>
          <cell r="F25">
            <v>8.1584641485714284E-3</v>
          </cell>
          <cell r="G25">
            <v>5</v>
          </cell>
          <cell r="H25" t="str">
            <v xml:space="preserve">Flow rates provided by "Water Treatment Plan: Revised Dissolved Solids Modeling for the Plant and Tailings Basin, and Expected Water Quality of Tailings Basin and Seepage Water"; Minnesota Steel Industries; Figure 1; June 2006; mercury concentration provided by "Surface Water Quality Monitoring for Pits, Lakes, and Streams within and Dowstream of the Minnesota Steel Industries Project Area", June 2005 sampling data for Pits 1/2 and 5/6; January, 2006
</v>
          </cell>
          <cell r="I25" t="str">
            <v xml:space="preserve"> </v>
          </cell>
          <cell r="J25" t="str">
            <v>CONCENTRATOR</v>
          </cell>
          <cell r="L25" t="str">
            <v>Water to Concentrate Thickener</v>
          </cell>
          <cell r="S25" t="str">
            <v xml:space="preserve"> </v>
          </cell>
          <cell r="V25" t="str">
            <v xml:space="preserve"> </v>
          </cell>
        </row>
        <row r="26">
          <cell r="B26" t="str">
            <v>Tailings basin recycle</v>
          </cell>
          <cell r="C26">
            <v>2022.7727563200001</v>
          </cell>
          <cell r="D26" t="str">
            <v>cmh</v>
          </cell>
          <cell r="E26">
            <v>4.0000000000000001E-3</v>
          </cell>
          <cell r="F26">
            <v>0.15625651980038094</v>
          </cell>
          <cell r="G26">
            <v>6</v>
          </cell>
          <cell r="H26" t="str">
            <v xml:space="preserve">Flow rates provided by "Water Treatment Plan: Revised Dissolved Solids Modeling for the Plant and Tailings Basin, and Expected Water Quality of Tailings Basin and Seepage Water"; Minnesota Steel Industries; Figure 1; Process water mercury concentration is assumed to range from 2 to 4 ng/l (0.002 - 0.004 ppb) based on industry experience.  </v>
          </cell>
          <cell r="I26" t="str">
            <v xml:space="preserve"> </v>
          </cell>
          <cell r="S26" t="str">
            <v xml:space="preserve"> </v>
          </cell>
          <cell r="V26" t="str">
            <v xml:space="preserve"> </v>
          </cell>
        </row>
        <row r="27">
          <cell r="B27" t="str">
            <v>Frother (MIBC)</v>
          </cell>
          <cell r="C27">
            <v>159.27933007472268</v>
          </cell>
          <cell r="D27" t="str">
            <v>(short) tpy</v>
          </cell>
          <cell r="E27">
            <v>0</v>
          </cell>
          <cell r="F27">
            <v>0</v>
          </cell>
          <cell r="G27">
            <v>7</v>
          </cell>
          <cell r="H27" t="str">
            <v>MSDS information for this material indicates it does not contain mercury.  This material input is listed to document that it has been considered.</v>
          </cell>
          <cell r="I27" t="str">
            <v xml:space="preserve"> </v>
          </cell>
          <cell r="S27" t="str">
            <v xml:space="preserve"> </v>
          </cell>
          <cell r="T27" t="str">
            <v xml:space="preserve"> </v>
          </cell>
          <cell r="V27" t="str">
            <v xml:space="preserve"> </v>
          </cell>
        </row>
        <row r="28">
          <cell r="I28" t="str">
            <v xml:space="preserve"> </v>
          </cell>
          <cell r="K28" t="str">
            <v xml:space="preserve"> </v>
          </cell>
          <cell r="L28" t="str">
            <v xml:space="preserve"> </v>
          </cell>
          <cell r="R28" t="str">
            <v xml:space="preserve"> </v>
          </cell>
          <cell r="S28" t="str">
            <v xml:space="preserve"> </v>
          </cell>
          <cell r="V28" t="str">
            <v xml:space="preserve"> </v>
          </cell>
        </row>
        <row r="29">
          <cell r="C29" t="str">
            <v xml:space="preserve"> </v>
          </cell>
          <cell r="L29" t="str">
            <v xml:space="preserve">Underflow to slurry tank </v>
          </cell>
          <cell r="M29">
            <v>278.45490672</v>
          </cell>
          <cell r="N29" t="str">
            <v>cmh</v>
          </cell>
          <cell r="O29">
            <v>4.0000000000000001E-3</v>
          </cell>
          <cell r="P29">
            <v>2.1510273217523811E-2</v>
          </cell>
          <cell r="R29" t="str">
            <v xml:space="preserve">Water flow rate from 3/8/06 Minnesota Steel conceptual drawings water balance; Process water mercury concentration is assumed to range from 2 to 4 ng/l (0.002 - 0.004 ppb) based on industry experience.  </v>
          </cell>
          <cell r="S29" t="str">
            <v xml:space="preserve"> </v>
          </cell>
          <cell r="V29" t="str">
            <v xml:space="preserve"> </v>
          </cell>
        </row>
        <row r="30">
          <cell r="S30" t="str">
            <v xml:space="preserve"> </v>
          </cell>
          <cell r="T30" t="str">
            <v xml:space="preserve"> </v>
          </cell>
        </row>
        <row r="31">
          <cell r="H31" t="str">
            <v xml:space="preserve"> </v>
          </cell>
          <cell r="L31" t="str">
            <v>Overflow to tailings thickener</v>
          </cell>
          <cell r="M31">
            <v>353.63318903999999</v>
          </cell>
          <cell r="N31" t="str">
            <v>cmh</v>
          </cell>
          <cell r="O31">
            <v>4.0000000000000001E-3</v>
          </cell>
          <cell r="P31">
            <v>2.7317696084571425E-2</v>
          </cell>
          <cell r="Q31">
            <v>37</v>
          </cell>
          <cell r="R31" t="str">
            <v xml:space="preserve">Water flow rate from 3/8/06 Minnesota Steel conceptual drawings water balance;Process water mercury concentration is assumed to range from 2 to 4 ng/l (0.002 - 0.004 ppb) based on industry experience.  </v>
          </cell>
          <cell r="S31" t="str">
            <v xml:space="preserve"> </v>
          </cell>
          <cell r="T31">
            <v>37</v>
          </cell>
        </row>
        <row r="32">
          <cell r="R32" t="str">
            <v xml:space="preserve"> </v>
          </cell>
        </row>
        <row r="33">
          <cell r="L33" t="str">
            <v>Crude Ore Fugitive Emissions</v>
          </cell>
          <cell r="M33">
            <v>478.02919626894834</v>
          </cell>
          <cell r="N33" t="str">
            <v>tpy</v>
          </cell>
          <cell r="O33">
            <v>12.177874999999998</v>
          </cell>
          <cell r="P33">
            <v>1.1642759597027439E-2</v>
          </cell>
          <cell r="S33" t="str">
            <v xml:space="preserve"> </v>
          </cell>
          <cell r="W33" t="str">
            <v>air emissions</v>
          </cell>
          <cell r="X33">
            <v>478.02919626894834</v>
          </cell>
          <cell r="Y33" t="str">
            <v>tpy</v>
          </cell>
          <cell r="Z33">
            <v>12.177874999999998</v>
          </cell>
          <cell r="AA33">
            <v>1.1642759597027435E-2</v>
          </cell>
        </row>
        <row r="34">
          <cell r="J34" t="str">
            <v>concentrate Hg (lb/yr)</v>
          </cell>
          <cell r="L34" t="str">
            <v>Tailings Basin Activity Fugitive Emiss.</v>
          </cell>
          <cell r="M34">
            <v>8.5292768783558515</v>
          </cell>
          <cell r="N34" t="str">
            <v>tpy</v>
          </cell>
          <cell r="O34">
            <v>14.994999686466663</v>
          </cell>
          <cell r="P34">
            <v>2.5579300823346673E-4</v>
          </cell>
          <cell r="S34" t="str">
            <v xml:space="preserve"> </v>
          </cell>
          <cell r="W34" t="str">
            <v>air emissions</v>
          </cell>
          <cell r="X34">
            <v>8.5292768783558515</v>
          </cell>
          <cell r="Y34" t="str">
            <v>tpy</v>
          </cell>
          <cell r="Z34">
            <v>14.994999686466663</v>
          </cell>
          <cell r="AA34">
            <v>2.5579300823346673E-4</v>
          </cell>
        </row>
        <row r="35">
          <cell r="B35" t="str">
            <v xml:space="preserve"> </v>
          </cell>
          <cell r="G35" t="str">
            <v xml:space="preserve"> </v>
          </cell>
          <cell r="H35" t="str">
            <v xml:space="preserve"> </v>
          </cell>
          <cell r="I35" t="str">
            <v xml:space="preserve"> </v>
          </cell>
          <cell r="J35">
            <v>48.773634059196581</v>
          </cell>
          <cell r="L35" t="str">
            <v xml:space="preserve"> </v>
          </cell>
          <cell r="M35" t="str">
            <v xml:space="preserve"> </v>
          </cell>
          <cell r="S35" t="str">
            <v xml:space="preserve"> </v>
          </cell>
          <cell r="V35" t="str">
            <v xml:space="preserve"> </v>
          </cell>
        </row>
        <row r="36">
          <cell r="E36" t="str">
            <v>Concentrator Input Subtotal:</v>
          </cell>
          <cell r="F36">
            <v>386.37305384754279</v>
          </cell>
          <cell r="O36" t="str">
            <v>Concentrator Output Subtotal---&gt;</v>
          </cell>
          <cell r="P36">
            <v>337.59941978834621</v>
          </cell>
          <cell r="Z36" t="str">
            <v>Concentrator subtotals:</v>
          </cell>
          <cell r="AA36">
            <v>1.2022253631134057E-2</v>
          </cell>
        </row>
        <row r="37">
          <cell r="A37" t="str">
            <v xml:space="preserve"> </v>
          </cell>
          <cell r="B37" t="str">
            <v>PELLETIZER</v>
          </cell>
          <cell r="G37" t="str">
            <v xml:space="preserve"> </v>
          </cell>
          <cell r="L37" t="str">
            <v>Water to scrubbers</v>
          </cell>
          <cell r="M37">
            <v>206.00212104000002</v>
          </cell>
          <cell r="N37" t="str">
            <v>cmh</v>
          </cell>
          <cell r="O37">
            <v>4.0000000000000001E-3</v>
          </cell>
          <cell r="P37">
            <v>1.5913391360761905E-2</v>
          </cell>
          <cell r="Q37">
            <v>38</v>
          </cell>
          <cell r="R37" t="str">
            <v xml:space="preserve">Water flow rate from 3/8/06 Minnesota Steel conceptual drawings water balance; Process water mercury concentration is assumed to range from 2 to 4 ng/l (0.002 - 0.004 ppb) based on industry experience.  </v>
          </cell>
          <cell r="S37" t="str">
            <v xml:space="preserve"> </v>
          </cell>
          <cell r="U37">
            <v>38</v>
          </cell>
          <cell r="V37" t="str">
            <v xml:space="preserve"> </v>
          </cell>
        </row>
        <row r="38">
          <cell r="A38" t="str">
            <v xml:space="preserve"> </v>
          </cell>
          <cell r="B38" t="str">
            <v>Concentrate</v>
          </cell>
          <cell r="C38">
            <v>4180451.0000000005</v>
          </cell>
          <cell r="D38" t="str">
            <v>mtpy</v>
          </cell>
          <cell r="E38">
            <v>5.3</v>
          </cell>
          <cell r="F38">
            <v>48.845978055380002</v>
          </cell>
          <cell r="G38">
            <v>8</v>
          </cell>
          <cell r="H38" t="str">
            <v>Concentrate tonnage provided by Process Flow &amp; Annual Capacity - Minnesota Steel/Barr Engineering (9/29/05), also shown in MSI Emission Inventory Table B-2; the [Hg] concentration is from the May 6 &amp; 17, 2005 pilot plant concentrate characteristics.</v>
          </cell>
          <cell r="I38" t="str">
            <v xml:space="preserve"> </v>
          </cell>
          <cell r="J38" t="str">
            <v>PELLETIZER</v>
          </cell>
          <cell r="L38" t="str">
            <v>Pelletizer Uncontrolled emissions (sum of inputs)</v>
          </cell>
          <cell r="N38" t="str">
            <v xml:space="preserve"> </v>
          </cell>
          <cell r="P38">
            <v>49.258699013015644</v>
          </cell>
          <cell r="Q38">
            <v>39</v>
          </cell>
          <cell r="R38" t="str">
            <v>Assumes that all mercury entering the pelletizer via the green ball composition is liberated as a result of exposure to pellet induration temperatures.</v>
          </cell>
          <cell r="S38" t="str">
            <v xml:space="preserve"> </v>
          </cell>
          <cell r="V38" t="str">
            <v xml:space="preserve"> </v>
          </cell>
          <cell r="W38" t="str">
            <v>air emissions</v>
          </cell>
        </row>
        <row r="39">
          <cell r="A39" t="str">
            <v xml:space="preserve"> </v>
          </cell>
          <cell r="B39" t="str">
            <v>Fresh Water</v>
          </cell>
          <cell r="C39">
            <v>129.23396568000001</v>
          </cell>
          <cell r="D39" t="str">
            <v>cmh</v>
          </cell>
          <cell r="E39">
            <v>2E-3</v>
          </cell>
          <cell r="F39">
            <v>4.9915764521904762E-3</v>
          </cell>
          <cell r="G39">
            <v>9</v>
          </cell>
          <cell r="H39" t="str">
            <v xml:space="preserve">Flow rates provided by "Water Treatment Plan: Revised Dissolved Solids Modeling for the Plant and Tailings Basin, and Expected Water Quality of Tailings Basin and Seepage Water"; Minnesota Steel Industries; Figure 1; June 2006; mercury concentration provided by "Surface Water Quality Monitoring for Pits, Lakes, and Streams within and Dowstream of the Minnesota Steel Industries Project Area", June 2005 sampling data for Pits 1/2 and 5/6; January, 2006
</v>
          </cell>
          <cell r="I39" t="str">
            <v xml:space="preserve"> </v>
          </cell>
          <cell r="J39" t="str">
            <v xml:space="preserve">(GRATE-KILN </v>
          </cell>
          <cell r="L39" t="str">
            <v>Pellet Handling particulate w/scrubbers</v>
          </cell>
          <cell r="M39">
            <v>1033.6198181940474</v>
          </cell>
          <cell r="N39" t="str">
            <v>tpy</v>
          </cell>
          <cell r="O39">
            <v>7.0000000000000007E-2</v>
          </cell>
          <cell r="P39">
            <v>1.4470677454716667E-4</v>
          </cell>
          <cell r="Q39">
            <v>40</v>
          </cell>
          <cell r="R39" t="str">
            <v>Dust tonnage provided by "MSI Criteria EI.xls" "Point Source EI" worksheet: add together all the PM emissions (including the Hood and Waste Gas) and back calculate uncontolled based on control efficiencies.  [Hg] assumed to equal [Hg] for finished oxide pellets.</v>
          </cell>
          <cell r="S39" t="str">
            <v xml:space="preserve"> </v>
          </cell>
          <cell r="V39" t="str">
            <v xml:space="preserve"> </v>
          </cell>
          <cell r="W39" t="str">
            <v>particulate</v>
          </cell>
          <cell r="X39">
            <v>51.680990909702373</v>
          </cell>
          <cell r="Y39" t="str">
            <v>tpy</v>
          </cell>
          <cell r="Z39">
            <v>7.0000000000000007E-2</v>
          </cell>
          <cell r="AA39">
            <v>7.2353387273583343E-6</v>
          </cell>
        </row>
        <row r="40">
          <cell r="B40" t="str">
            <v>Concentrate moisture</v>
          </cell>
          <cell r="C40">
            <v>62.005048560000006</v>
          </cell>
          <cell r="D40" t="str">
            <v>cmh</v>
          </cell>
          <cell r="E40">
            <v>0</v>
          </cell>
          <cell r="F40">
            <v>0</v>
          </cell>
          <cell r="G40">
            <v>10</v>
          </cell>
          <cell r="H40" t="str">
            <v xml:space="preserve">Flow rates provided by "Water Treatment Plan: Revised Dissolved Solids Modeling for the Plant and Tailings Basin, and Expected Water Quality of Tailings Basin and Seepage Water"; Minnesota Steel Industries; Figure 1; June 2006
</v>
          </cell>
          <cell r="I40" t="str">
            <v xml:space="preserve"> </v>
          </cell>
          <cell r="J40" t="str">
            <v>INDURATION)</v>
          </cell>
          <cell r="S40" t="str">
            <v xml:space="preserve"> </v>
          </cell>
          <cell r="V40" t="str">
            <v xml:space="preserve"> </v>
          </cell>
          <cell r="W40" t="str">
            <v>vapor phase - hood exhaust</v>
          </cell>
          <cell r="Y40" t="str">
            <v>-</v>
          </cell>
          <cell r="Z40" t="str">
            <v>-</v>
          </cell>
          <cell r="AA40">
            <v>17.733131644685631</v>
          </cell>
        </row>
        <row r="41">
          <cell r="A41" t="str">
            <v xml:space="preserve"> </v>
          </cell>
          <cell r="B41" t="str">
            <v>Organic Binder</v>
          </cell>
          <cell r="C41">
            <v>1900.2049999999999</v>
          </cell>
          <cell r="D41" t="str">
            <v>mtpy</v>
          </cell>
          <cell r="E41">
            <v>0</v>
          </cell>
          <cell r="F41">
            <v>0</v>
          </cell>
          <cell r="G41">
            <v>11</v>
          </cell>
          <cell r="H41" t="str">
            <v>Assumes 0.12% addition by wt. of organic (methyl cellulose) binder to concentrate; Available information for these materials indicates it does not contain mercury.</v>
          </cell>
          <cell r="I41" t="str">
            <v xml:space="preserve"> </v>
          </cell>
          <cell r="L41" t="str">
            <v>particulate</v>
          </cell>
          <cell r="M41">
            <v>981.93882728434505</v>
          </cell>
          <cell r="N41" t="str">
            <v>tpy</v>
          </cell>
          <cell r="O41">
            <v>7.0000000000000007E-2</v>
          </cell>
          <cell r="P41">
            <v>1.3747143581980834E-4</v>
          </cell>
          <cell r="Q41">
            <v>41</v>
          </cell>
          <cell r="R41" t="str">
            <v>Blowdown flowrate provided by "Water Treatment Plan: Revised Dissolved Solids Modeling for the Plant and Tailings Basin, and Expected Water Quality of Tailings Basin and Seepage Water"; Minnesota Steel Industries; Figure 1; June 2006; assumes 10% control efficiency on estimated gaseous Hg input to scrubbers; Process water mercury concentration is assumed to range from 2 to 4 ng/l (0.002 - 0.004 ppb) based on industry experience; [Hg] in particulate same as oxide pellet concentration; scrubbed Hg assumed to be Hg++ (i.e., oxidized Hg) removed from flue gas.</v>
          </cell>
          <cell r="S41" t="str">
            <v xml:space="preserve"> </v>
          </cell>
          <cell r="U41">
            <v>41</v>
          </cell>
          <cell r="V41" t="str">
            <v xml:space="preserve"> </v>
          </cell>
          <cell r="W41" t="str">
            <v>vapor phase - waste gas</v>
          </cell>
          <cell r="Y41" t="str">
            <v>-</v>
          </cell>
          <cell r="Z41" t="str">
            <v>-</v>
          </cell>
          <cell r="AA41">
            <v>31.525567368330012</v>
          </cell>
        </row>
        <row r="42">
          <cell r="A42" t="str">
            <v xml:space="preserve"> </v>
          </cell>
          <cell r="B42" t="str">
            <v>Limestone</v>
          </cell>
          <cell r="C42">
            <v>38004.1</v>
          </cell>
          <cell r="D42" t="str">
            <v>mtpy</v>
          </cell>
          <cell r="E42">
            <v>0.69500000000000006</v>
          </cell>
          <cell r="F42">
            <v>5.8229768007700002E-2</v>
          </cell>
          <cell r="G42">
            <v>12</v>
          </cell>
          <cell r="H42" t="str">
            <v>Assumes 1% limestone addition to concentrate slurry; limestone average Hg content based on MN-DNR 'Mercury and Mining in Minnesota' report (revised Oct. 15, 2003), using Northshore Mining's average limestone hg content found in Appendix 1 (pg 57)</v>
          </cell>
          <cell r="I42" t="str">
            <v xml:space="preserve"> </v>
          </cell>
          <cell r="L42" t="str">
            <v>Blowdown stream                                  water</v>
          </cell>
          <cell r="M42">
            <v>111.06398808</v>
          </cell>
          <cell r="N42" t="str">
            <v>cmh</v>
          </cell>
          <cell r="O42">
            <v>4.0000000000000001E-3</v>
          </cell>
          <cell r="P42">
            <v>8.5795461691428581E-3</v>
          </cell>
          <cell r="S42" t="str">
            <v xml:space="preserve"> </v>
          </cell>
          <cell r="V42" t="str">
            <v xml:space="preserve"> </v>
          </cell>
        </row>
        <row r="43">
          <cell r="A43" t="str">
            <v xml:space="preserve"> </v>
          </cell>
          <cell r="B43" t="str">
            <v>Soda Ash  (optional)</v>
          </cell>
          <cell r="C43">
            <v>38004.1</v>
          </cell>
          <cell r="D43" t="str">
            <v>mtpy</v>
          </cell>
          <cell r="E43">
            <v>0</v>
          </cell>
          <cell r="F43">
            <v>0</v>
          </cell>
          <cell r="G43">
            <v>13</v>
          </cell>
          <cell r="H43" t="str">
            <v>Soda ash use would coincide with the use of organic binder and at a rate equal to organic binder. Available information for these materials indicates it does not contain mercury.</v>
          </cell>
          <cell r="I43" t="str">
            <v xml:space="preserve"> </v>
          </cell>
          <cell r="L43" t="str">
            <v>scrubbed Hg</v>
          </cell>
          <cell r="M43" t="str">
            <v>-</v>
          </cell>
          <cell r="N43" t="str">
            <v>-</v>
          </cell>
          <cell r="O43" t="str">
            <v>-</v>
          </cell>
          <cell r="P43">
            <v>4.9258699013015645</v>
          </cell>
          <cell r="S43" t="str">
            <v xml:space="preserve"> </v>
          </cell>
          <cell r="V43" t="str">
            <v xml:space="preserve"> </v>
          </cell>
        </row>
        <row r="44">
          <cell r="B44" t="str">
            <v>Natural Gas</v>
          </cell>
          <cell r="C44">
            <v>1344.2292814452057</v>
          </cell>
          <cell r="D44" t="str">
            <v>MMCF/yr</v>
          </cell>
          <cell r="E44">
            <v>2.5999999999999998E-4</v>
          </cell>
          <cell r="F44">
            <v>0.34949961317575345</v>
          </cell>
          <cell r="G44">
            <v>14</v>
          </cell>
          <cell r="H44" t="str">
            <v>AP-42, 5th Ed. (3/98) factor for natural gas combustion of 0.00026 lb Hg/MMCF X annual gas use (MMCF) = lbs Hg per year.  Gas use taken from Criteria EI.xls, "MSI Natural Gas Summary" for the pellet section of the project.</v>
          </cell>
          <cell r="I44" t="str">
            <v xml:space="preserve"> </v>
          </cell>
          <cell r="S44" t="str">
            <v xml:space="preserve"> </v>
          </cell>
          <cell r="V44" t="str">
            <v xml:space="preserve"> </v>
          </cell>
          <cell r="W44" t="str">
            <v>particulate</v>
          </cell>
          <cell r="X44">
            <v>12.368529757281188</v>
          </cell>
          <cell r="Y44" t="str">
            <v>tpy</v>
          </cell>
          <cell r="Z44">
            <v>5.3</v>
          </cell>
          <cell r="AA44">
            <v>1.3110641542718059E-4</v>
          </cell>
        </row>
        <row r="45">
          <cell r="I45" t="str">
            <v xml:space="preserve"> </v>
          </cell>
          <cell r="S45" t="str">
            <v xml:space="preserve"> </v>
          </cell>
          <cell r="V45" t="str">
            <v xml:space="preserve"> </v>
          </cell>
        </row>
        <row r="46">
          <cell r="L46" t="str">
            <v>Pellet Plant Fugitives - Concentrate</v>
          </cell>
          <cell r="M46">
            <v>12.368529757281188</v>
          </cell>
          <cell r="N46" t="str">
            <v>tpy</v>
          </cell>
          <cell r="O46">
            <v>5.3</v>
          </cell>
          <cell r="P46">
            <v>1.3110641542718059E-4</v>
          </cell>
          <cell r="Q46">
            <v>42</v>
          </cell>
          <cell r="R46" t="str">
            <v>Dust tonnage provided by "MSI Criteria EI.xls" "Fugitives EI" worksheet.</v>
          </cell>
          <cell r="S46" t="str">
            <v xml:space="preserve"> </v>
          </cell>
          <cell r="V46" t="str">
            <v xml:space="preserve"> </v>
          </cell>
          <cell r="W46" t="str">
            <v>particulate</v>
          </cell>
          <cell r="X46">
            <v>0.52059277685632033</v>
          </cell>
          <cell r="Y46" t="str">
            <v>tpy</v>
          </cell>
          <cell r="Z46">
            <v>7.0000000000000007E-2</v>
          </cell>
          <cell r="AA46">
            <v>7.2882988759884865E-8</v>
          </cell>
        </row>
        <row r="47">
          <cell r="L47" t="str">
            <v>Pellet Plant Fugitives - Pellets</v>
          </cell>
          <cell r="M47">
            <v>0.52059277685632033</v>
          </cell>
          <cell r="N47" t="str">
            <v>tpy</v>
          </cell>
          <cell r="O47">
            <v>7.0000000000000007E-2</v>
          </cell>
          <cell r="P47">
            <v>7.2882988759884865E-8</v>
          </cell>
          <cell r="S47" t="str">
            <v xml:space="preserve"> </v>
          </cell>
        </row>
        <row r="49">
          <cell r="L49" t="str">
            <v>Limestone Handling emissions</v>
          </cell>
          <cell r="M49">
            <v>2.0736500117849537</v>
          </cell>
          <cell r="N49" t="str">
            <v>tpy</v>
          </cell>
          <cell r="O49">
            <v>0.69500000000000006</v>
          </cell>
          <cell r="P49">
            <v>2.8823735163810858E-6</v>
          </cell>
          <cell r="Q49">
            <v>43</v>
          </cell>
          <cell r="R49" t="str">
            <v>Limestone average Hg content based on MN-DNR 'Mercury and Mining in Minnesota' report (revised Oct. 15, 2003), using Northshore Mining's average limestone hg content found in Appendix 1 (pg 57)</v>
          </cell>
          <cell r="S49" t="str">
            <v xml:space="preserve"> </v>
          </cell>
          <cell r="W49" t="str">
            <v>air emissions</v>
          </cell>
          <cell r="X49">
            <v>2.0736500117849537E-2</v>
          </cell>
          <cell r="Y49" t="str">
            <v>tpy</v>
          </cell>
          <cell r="Z49">
            <v>0.69500000000000006</v>
          </cell>
          <cell r="AA49">
            <v>2.882373516381086E-8</v>
          </cell>
        </row>
        <row r="50">
          <cell r="W50" t="str">
            <v>baghouse dust</v>
          </cell>
          <cell r="X50">
            <v>2.052913511667104</v>
          </cell>
          <cell r="Y50" t="str">
            <v>tpy</v>
          </cell>
          <cell r="Z50">
            <v>0.69500000000000006</v>
          </cell>
        </row>
        <row r="51">
          <cell r="L51" t="str">
            <v>Binder/Soda Ash Handling emissions</v>
          </cell>
          <cell r="M51">
            <v>4.9652397504406416</v>
          </cell>
          <cell r="N51" t="str">
            <v>tpy</v>
          </cell>
          <cell r="O51">
            <v>0</v>
          </cell>
          <cell r="P51">
            <v>0</v>
          </cell>
          <cell r="V51" t="str">
            <v xml:space="preserve"> </v>
          </cell>
          <cell r="W51" t="str">
            <v>air emissions</v>
          </cell>
          <cell r="X51">
            <v>4.965239750440642E-2</v>
          </cell>
          <cell r="Y51" t="str">
            <v>tpy</v>
          </cell>
          <cell r="Z51">
            <v>0</v>
          </cell>
          <cell r="AA51">
            <v>0</v>
          </cell>
        </row>
        <row r="52">
          <cell r="W52" t="str">
            <v>baghouse dust</v>
          </cell>
          <cell r="X52">
            <v>4.9155873529362353</v>
          </cell>
          <cell r="Y52" t="str">
            <v>tpy</v>
          </cell>
          <cell r="Z52">
            <v>0</v>
          </cell>
        </row>
        <row r="53">
          <cell r="J53" t="str">
            <v>oxide pellet Hg (lb/yr)</v>
          </cell>
          <cell r="L53" t="str">
            <v>Hearth Layer Pellet Handling emissions</v>
          </cell>
          <cell r="M53">
            <v>457.12462482016053</v>
          </cell>
          <cell r="N53" t="str">
            <v>tpy</v>
          </cell>
          <cell r="O53">
            <v>7.0000000000000007E-2</v>
          </cell>
          <cell r="P53">
            <v>6.3997447474822486E-5</v>
          </cell>
          <cell r="Q53">
            <v>44</v>
          </cell>
          <cell r="R53" t="str">
            <v>Pellet handling emissions provided by "MSI Criteria EI.xls", "Point Source EI" worksheet. [Hg] based on measured values from 2005 Pelletizer Study.</v>
          </cell>
          <cell r="S53" t="str">
            <v xml:space="preserve"> </v>
          </cell>
          <cell r="V53" t="str">
            <v xml:space="preserve"> </v>
          </cell>
          <cell r="W53" t="str">
            <v>air emissions</v>
          </cell>
          <cell r="X53">
            <v>4.5712462482016054</v>
          </cell>
          <cell r="Y53" t="str">
            <v>tpy</v>
          </cell>
          <cell r="Z53">
            <v>7.0000000000000007E-2</v>
          </cell>
          <cell r="AA53">
            <v>6.3997447474822492E-7</v>
          </cell>
        </row>
        <row r="54">
          <cell r="J54">
            <v>-3.3981063744903395E-4</v>
          </cell>
          <cell r="S54" t="str">
            <v xml:space="preserve"> </v>
          </cell>
          <cell r="V54" t="str">
            <v xml:space="preserve"> </v>
          </cell>
          <cell r="W54" t="str">
            <v>baghouse dust</v>
          </cell>
          <cell r="X54">
            <v>452.55337857195894</v>
          </cell>
          <cell r="Y54" t="str">
            <v>tpy</v>
          </cell>
          <cell r="Z54">
            <v>7.0000000000000007E-2</v>
          </cell>
        </row>
        <row r="55">
          <cell r="E55" t="str">
            <v>Pelletizer Input Subtotal:</v>
          </cell>
          <cell r="F55">
            <v>49.258699013015644</v>
          </cell>
          <cell r="O55" t="str">
            <v>Pelletizer Output Subtotal---&gt;</v>
          </cell>
          <cell r="P55">
            <v>49.259038823653093</v>
          </cell>
          <cell r="Z55" t="str">
            <v>Pelletizer subtotals:</v>
          </cell>
          <cell r="AA55">
            <v>49.258838096450994</v>
          </cell>
        </row>
        <row r="56">
          <cell r="L56" t="str">
            <v>Oxide Pellet Handling</v>
          </cell>
          <cell r="M56">
            <v>107.15232386823909</v>
          </cell>
          <cell r="N56" t="str">
            <v>tpy</v>
          </cell>
          <cell r="O56">
            <v>7.0000000000000007E-2</v>
          </cell>
          <cell r="P56">
            <v>1.5001325341553476E-5</v>
          </cell>
          <cell r="R56">
            <v>0</v>
          </cell>
          <cell r="S56" t="str">
            <v xml:space="preserve"> </v>
          </cell>
          <cell r="T56" t="str">
            <v xml:space="preserve"> </v>
          </cell>
          <cell r="V56" t="str">
            <v xml:space="preserve"> </v>
          </cell>
          <cell r="W56" t="str">
            <v>air emissions</v>
          </cell>
          <cell r="X56">
            <v>5.3576161934119551</v>
          </cell>
          <cell r="Y56" t="str">
            <v>tpy</v>
          </cell>
          <cell r="Z56">
            <v>7.0000000000000007E-2</v>
          </cell>
          <cell r="AA56">
            <v>7.500497312252249E-7</v>
          </cell>
        </row>
        <row r="57">
          <cell r="T57" t="str">
            <v xml:space="preserve"> </v>
          </cell>
          <cell r="V57" t="str">
            <v xml:space="preserve"> </v>
          </cell>
        </row>
        <row r="58">
          <cell r="B58" t="str">
            <v>DRI PLANT</v>
          </cell>
          <cell r="G58" t="str">
            <v xml:space="preserve"> </v>
          </cell>
          <cell r="L58" t="str">
            <v>particulate</v>
          </cell>
          <cell r="M58">
            <v>1906.7885346155097</v>
          </cell>
          <cell r="N58" t="str">
            <v>tpy</v>
          </cell>
          <cell r="O58">
            <v>7.0000000000000007E-2</v>
          </cell>
          <cell r="P58">
            <v>2.6695039484617139E-4</v>
          </cell>
          <cell r="Q58">
            <v>45</v>
          </cell>
          <cell r="R58" t="str">
            <v xml:space="preserve">Blowdown stream flow rate provided by DRI vendor; assumes 10% control efficiency on estimated gaseous Hg input to scrubbers; assume 95% control on particulates; Process water mercury concentration is assumed to range from 2 to 4 ng/l (0.002 - 0.004 ppb) based on industry experience.  </v>
          </cell>
          <cell r="S58" t="str">
            <v xml:space="preserve"> </v>
          </cell>
          <cell r="T58" t="str">
            <v xml:space="preserve"> </v>
          </cell>
          <cell r="V58" t="str">
            <v xml:space="preserve"> </v>
          </cell>
        </row>
        <row r="59">
          <cell r="B59" t="str">
            <v>Oxide Pellets</v>
          </cell>
          <cell r="C59">
            <v>4180451.0000000005</v>
          </cell>
          <cell r="D59" t="str">
            <v>mtpy</v>
          </cell>
          <cell r="E59">
            <v>7.0000000000000007E-2</v>
          </cell>
          <cell r="F59">
            <v>0.64513555922200028</v>
          </cell>
          <cell r="G59">
            <v>15</v>
          </cell>
          <cell r="H59" t="str">
            <v>Oxide pellet tonnage provided by "MSI Criteria EI.xls", "Inputs" worksheet. [Hg] based on measured values from 2005 Pelletizer Study.</v>
          </cell>
          <cell r="I59" t="str">
            <v xml:space="preserve"> </v>
          </cell>
          <cell r="L59" t="str">
            <v xml:space="preserve">     Blowdown Stream               water</v>
          </cell>
          <cell r="M59">
            <v>331.82921592000002</v>
          </cell>
          <cell r="N59" t="str">
            <v>cmh</v>
          </cell>
          <cell r="O59">
            <v>4.0000000000000001E-3</v>
          </cell>
          <cell r="P59">
            <v>2.5633368002285713E-2</v>
          </cell>
          <cell r="Q59" t="str">
            <v xml:space="preserve"> </v>
          </cell>
          <cell r="R59">
            <v>4.0000000000000001E-3</v>
          </cell>
          <cell r="S59" t="str">
            <v xml:space="preserve"> </v>
          </cell>
          <cell r="T59" t="str">
            <v xml:space="preserve"> </v>
          </cell>
          <cell r="U59" t="str">
            <v xml:space="preserve"> </v>
          </cell>
          <cell r="V59" t="str">
            <v xml:space="preserve"> </v>
          </cell>
        </row>
        <row r="60">
          <cell r="A60" t="str">
            <v xml:space="preserve"> </v>
          </cell>
          <cell r="B60" t="str">
            <v>Fresh Water</v>
          </cell>
          <cell r="C60">
            <v>359.76555647999999</v>
          </cell>
          <cell r="D60" t="str">
            <v>cmh</v>
          </cell>
          <cell r="E60">
            <v>2E-3</v>
          </cell>
          <cell r="F60">
            <v>1.3895706678857141E-2</v>
          </cell>
          <cell r="G60">
            <v>16</v>
          </cell>
          <cell r="H60" t="str">
            <v xml:space="preserve">Flow rates provided by "Water Treatment Plan: Revised Dissolved Solids Modeling for the Plant and Tailings Basin, and Expected Water Quality of Tailings Basin and Seepage Water"; Minnesota Steel Industries; Figure 1; June 2006; mercury concentration provided by "Surface Water Quality Monitoring for Pits, Lakes, and Streams within and Dowstream of the Minnesota Steel Industries Project Area", June 2005 sampling data for Pits 1/2 and 5/6; January, 2006
</v>
          </cell>
          <cell r="I60" t="str">
            <v xml:space="preserve"> </v>
          </cell>
          <cell r="J60" t="str">
            <v>DRI PLANT</v>
          </cell>
          <cell r="L60" t="str">
            <v>scrubbed Hg</v>
          </cell>
          <cell r="M60" t="str">
            <v>-</v>
          </cell>
          <cell r="N60" t="str">
            <v>-</v>
          </cell>
          <cell r="O60" t="str">
            <v>-</v>
          </cell>
          <cell r="P60">
            <v>0.49354982752510257</v>
          </cell>
          <cell r="Q60" t="str">
            <v xml:space="preserve"> </v>
          </cell>
          <cell r="R60" t="str">
            <v xml:space="preserve"> </v>
          </cell>
          <cell r="S60" t="str">
            <v xml:space="preserve"> </v>
          </cell>
          <cell r="U60">
            <v>46</v>
          </cell>
          <cell r="V60" t="str">
            <v xml:space="preserve"> </v>
          </cell>
        </row>
        <row r="61">
          <cell r="A61" t="str">
            <v xml:space="preserve"> </v>
          </cell>
          <cell r="B61" t="str">
            <v>Natural Gas</v>
          </cell>
          <cell r="C61">
            <v>40939.389260000011</v>
          </cell>
          <cell r="D61" t="str">
            <v>MMCF/yr</v>
          </cell>
          <cell r="E61">
            <v>2.5999999999999998E-4</v>
          </cell>
          <cell r="F61">
            <v>10.644241207600002</v>
          </cell>
          <cell r="G61">
            <v>17</v>
          </cell>
          <cell r="H61" t="str">
            <v xml:space="preserve"> AP-42, 5th Ed. (3/98) factor for natural gas combustion of 0.00026 lb Hg/MMCF X annual gas use (MMCF) = lbs Hg per year. </v>
          </cell>
          <cell r="I61" t="str">
            <v xml:space="preserve"> </v>
          </cell>
          <cell r="S61" t="str">
            <v xml:space="preserve"> </v>
          </cell>
          <cell r="U61">
            <v>45</v>
          </cell>
          <cell r="V61" t="str">
            <v xml:space="preserve"> </v>
          </cell>
        </row>
        <row r="62">
          <cell r="A62" t="str">
            <v xml:space="preserve"> </v>
          </cell>
          <cell r="B62" t="str">
            <v>DRI Cooling Tower</v>
          </cell>
          <cell r="C62" t="str">
            <v>--</v>
          </cell>
          <cell r="D62" t="str">
            <v>cmh</v>
          </cell>
          <cell r="E62" t="str">
            <v xml:space="preserve">(see note) </v>
          </cell>
          <cell r="G62">
            <v>18</v>
          </cell>
          <cell r="H62" t="str">
            <v>DRI cooling tower make-up water is accounted for in the overall fresh water supply to the DRI plant.</v>
          </cell>
          <cell r="I62" t="str">
            <v xml:space="preserve"> </v>
          </cell>
          <cell r="L62" t="str">
            <v>clarifer overflow</v>
          </cell>
          <cell r="M62">
            <v>6389</v>
          </cell>
          <cell r="N62" t="str">
            <v>cmh</v>
          </cell>
          <cell r="O62">
            <v>4.0000000000000001E-3</v>
          </cell>
          <cell r="P62">
            <v>0.49354179894179895</v>
          </cell>
          <cell r="Q62">
            <v>46</v>
          </cell>
          <cell r="R62" t="str">
            <v xml:space="preserve">Process water mercury concentration is assumed to range from 2 to 4 ng/l (0.002 - 0.004 ppb) based on industry experience.  </v>
          </cell>
          <cell r="S62" t="str">
            <v xml:space="preserve"> </v>
          </cell>
          <cell r="V62" t="str">
            <v xml:space="preserve"> </v>
          </cell>
        </row>
        <row r="63">
          <cell r="A63" t="str">
            <v xml:space="preserve"> </v>
          </cell>
          <cell r="I63" t="str">
            <v xml:space="preserve"> </v>
          </cell>
          <cell r="L63" t="str">
            <v>underflow return</v>
          </cell>
          <cell r="M63">
            <v>110.60973864</v>
          </cell>
          <cell r="N63" t="str">
            <v>cmh</v>
          </cell>
          <cell r="O63">
            <v>4.0000000000000001E-3</v>
          </cell>
          <cell r="P63">
            <v>8.544456000761905E-3</v>
          </cell>
          <cell r="Q63">
            <v>47</v>
          </cell>
          <cell r="R63" t="str">
            <v xml:space="preserve">Process water mercury concentration is assumed to range from 2 to 4 ng/l (0.002 - 0.004 ppb) based on industry experience.  </v>
          </cell>
          <cell r="S63" t="str">
            <v xml:space="preserve"> </v>
          </cell>
          <cell r="T63">
            <v>47</v>
          </cell>
          <cell r="V63" t="str">
            <v xml:space="preserve"> </v>
          </cell>
          <cell r="W63" t="str">
            <v>air emissions</v>
          </cell>
          <cell r="X63">
            <v>100.35729129555314</v>
          </cell>
          <cell r="Y63" t="str">
            <v>tpy</v>
          </cell>
          <cell r="Z63">
            <v>0.02</v>
          </cell>
          <cell r="AA63">
            <v>4.0142031533289193E-6</v>
          </cell>
        </row>
        <row r="64">
          <cell r="I64" t="str">
            <v xml:space="preserve"> </v>
          </cell>
          <cell r="S64" t="str">
            <v xml:space="preserve"> </v>
          </cell>
          <cell r="V64" t="str">
            <v xml:space="preserve"> </v>
          </cell>
          <cell r="W64" t="str">
            <v>(particulate)</v>
          </cell>
        </row>
        <row r="65">
          <cell r="I65" t="str">
            <v xml:space="preserve"> </v>
          </cell>
          <cell r="L65" t="str">
            <v>DRI pellet handling</v>
          </cell>
          <cell r="M65">
            <v>2007.1458259110627</v>
          </cell>
          <cell r="N65" t="str">
            <v>tpy</v>
          </cell>
          <cell r="O65">
            <v>0.02</v>
          </cell>
          <cell r="P65">
            <v>8.0285833036442515E-5</v>
          </cell>
          <cell r="Q65">
            <v>48</v>
          </cell>
          <cell r="R65" t="str">
            <v>Product Coolers SV304, 307 and CDRI handling SV308.  Combined DRI handling emission points provided by "MSI Criteria EI.xls" "Point Source EI" worksheet.</v>
          </cell>
          <cell r="S65" t="str">
            <v xml:space="preserve"> </v>
          </cell>
          <cell r="V65" t="str">
            <v xml:space="preserve"> </v>
          </cell>
        </row>
        <row r="66">
          <cell r="I66" t="str">
            <v xml:space="preserve"> </v>
          </cell>
          <cell r="L66" t="str">
            <v>DRI fugitive emissions</v>
          </cell>
          <cell r="M66">
            <v>9.1452493848367382</v>
          </cell>
          <cell r="N66" t="str">
            <v>tpy</v>
          </cell>
          <cell r="O66">
            <v>0.02</v>
          </cell>
          <cell r="P66">
            <v>3.6580997539346955E-7</v>
          </cell>
          <cell r="Q66">
            <v>49</v>
          </cell>
          <cell r="R66" t="str">
            <v>FS308-318Combined DRI pellet handling emission points provided by "MSI Criteria EI.xls" "Fugitive Source EI" worksheet.</v>
          </cell>
          <cell r="S66" t="str">
            <v xml:space="preserve"> </v>
          </cell>
          <cell r="V66" t="str">
            <v xml:space="preserve"> </v>
          </cell>
          <cell r="W66" t="str">
            <v>particulate</v>
          </cell>
          <cell r="X66">
            <v>9.1452493848367382</v>
          </cell>
          <cell r="Y66" t="str">
            <v>tpy</v>
          </cell>
          <cell r="Z66">
            <v>0.02</v>
          </cell>
          <cell r="AA66">
            <v>3.6580191079965569E-7</v>
          </cell>
        </row>
        <row r="67">
          <cell r="I67">
            <v>0</v>
          </cell>
          <cell r="L67" t="str">
            <v>DRI natural gas combustion emissions</v>
          </cell>
          <cell r="M67" t="str">
            <v>-</v>
          </cell>
          <cell r="N67" t="str">
            <v>-</v>
          </cell>
          <cell r="O67" t="str">
            <v>-</v>
          </cell>
          <cell r="P67">
            <v>10.644241207600002</v>
          </cell>
          <cell r="Q67">
            <v>50</v>
          </cell>
          <cell r="R67" t="str">
            <v xml:space="preserve"> AP-42, 5th Ed. (3/98) factor for natural gas combustion of 0.00026 lb Hg/MMCF X annual gas use (MMCF) = lbs Hg per year. </v>
          </cell>
          <cell r="S67" t="str">
            <v xml:space="preserve"> </v>
          </cell>
          <cell r="V67" t="str">
            <v xml:space="preserve"> </v>
          </cell>
          <cell r="W67" t="str">
            <v>vapor phase</v>
          </cell>
          <cell r="X67" t="str">
            <v>---</v>
          </cell>
          <cell r="Y67" t="str">
            <v>---</v>
          </cell>
          <cell r="Z67" t="str">
            <v>---</v>
          </cell>
          <cell r="AA67">
            <v>10.644241207600002</v>
          </cell>
        </row>
        <row r="68">
          <cell r="L68" t="str">
            <v>DRI process particulate emissions</v>
          </cell>
          <cell r="M68">
            <v>713.84831668325785</v>
          </cell>
          <cell r="N68" t="str">
            <v>tpy</v>
          </cell>
          <cell r="O68">
            <v>6.5997409639439869E-3</v>
          </cell>
          <cell r="P68">
            <v>9.4224279553139143E-6</v>
          </cell>
          <cell r="W68" t="str">
            <v>particulate based</v>
          </cell>
          <cell r="X68">
            <v>35.692415834162894</v>
          </cell>
          <cell r="Y68" t="str">
            <v>tpy</v>
          </cell>
          <cell r="Z68">
            <v>6.5997409639439869E-3</v>
          </cell>
          <cell r="AA68">
            <v>4.7111101149149447E-7</v>
          </cell>
        </row>
        <row r="69">
          <cell r="S69" t="str">
            <v xml:space="preserve"> </v>
          </cell>
          <cell r="V69" t="str">
            <v xml:space="preserve"> </v>
          </cell>
        </row>
        <row r="70">
          <cell r="G70" t="str">
            <v xml:space="preserve"> </v>
          </cell>
          <cell r="I70" t="str">
            <v xml:space="preserve"> </v>
          </cell>
          <cell r="L70" t="str">
            <v xml:space="preserve">Cooling towers - drift loss </v>
          </cell>
          <cell r="M70">
            <v>433537.17163510789</v>
          </cell>
          <cell r="N70" t="str">
            <v>tpy</v>
          </cell>
          <cell r="O70">
            <v>2E-3</v>
          </cell>
          <cell r="P70">
            <v>1.734148686540432E-3</v>
          </cell>
          <cell r="Q70">
            <v>51</v>
          </cell>
          <cell r="R70" t="str">
            <v>Assume fresh water mercury concentration.  Combined drift loss for DRI lines 1 and 2 cooling towers.  Drift loss calculated using vendor information for water makeup (292 tph) and blowdown (34 tph) and a drift loss factor of 0.4 lb/Mgal (AP-42, 5th Ed.(1/95), Table 13.4-1 'Induced Draft').</v>
          </cell>
          <cell r="S70" t="str">
            <v xml:space="preserve"> </v>
          </cell>
          <cell r="V70" t="str">
            <v xml:space="preserve"> </v>
          </cell>
          <cell r="W70" t="str">
            <v>drift(water)loss</v>
          </cell>
          <cell r="X70">
            <v>5.49</v>
          </cell>
          <cell r="Y70" t="str">
            <v>tpy</v>
          </cell>
          <cell r="Z70">
            <v>2E-3</v>
          </cell>
          <cell r="AA70">
            <v>2.1959515873015875E-8</v>
          </cell>
        </row>
        <row r="71">
          <cell r="L71" t="str">
            <v>oxide pellet fugitives</v>
          </cell>
          <cell r="M71">
            <v>0.26064319761884103</v>
          </cell>
          <cell r="N71" t="str">
            <v>tpy</v>
          </cell>
          <cell r="O71">
            <v>7.0000000000000007E-2</v>
          </cell>
          <cell r="P71">
            <v>3.6490047666637749E-8</v>
          </cell>
          <cell r="Q71">
            <v>52</v>
          </cell>
          <cell r="R71" t="str">
            <v>Combined oxide pellet handling emission points provided by "MSI Criteria EI.xls" "Fugitive Source EI" worksheet.</v>
          </cell>
          <cell r="S71" t="str">
            <v xml:space="preserve"> </v>
          </cell>
          <cell r="V71" t="str">
            <v xml:space="preserve"> </v>
          </cell>
          <cell r="W71" t="str">
            <v>Particulate</v>
          </cell>
          <cell r="X71">
            <v>0.26064319761884103</v>
          </cell>
          <cell r="Y71" t="str">
            <v>tpy</v>
          </cell>
          <cell r="Z71">
            <v>7.0000000000000007E-2</v>
          </cell>
          <cell r="AA71">
            <v>3.6489243212324112E-8</v>
          </cell>
        </row>
        <row r="72">
          <cell r="J72" t="str">
            <v>Reduced pellet Hg (lb/yr)</v>
          </cell>
          <cell r="S72" t="str">
            <v xml:space="preserve"> </v>
          </cell>
          <cell r="V72" t="str">
            <v xml:space="preserve"> </v>
          </cell>
        </row>
        <row r="73">
          <cell r="B73" t="str">
            <v xml:space="preserve"> </v>
          </cell>
          <cell r="G73" t="str">
            <v xml:space="preserve"> </v>
          </cell>
          <cell r="J73">
            <v>0.65719200532795874</v>
          </cell>
          <cell r="K73" t="str">
            <v xml:space="preserve"> </v>
          </cell>
          <cell r="S73" t="str">
            <v xml:space="preserve"> </v>
          </cell>
          <cell r="V73" t="str">
            <v xml:space="preserve"> </v>
          </cell>
        </row>
        <row r="74">
          <cell r="E74" t="str">
            <v>DRI Plant Input Subtotal:</v>
          </cell>
          <cell r="F74">
            <v>11.30327247350086</v>
          </cell>
          <cell r="O74" t="str">
            <v>DRI Plant Output Subtotal---&gt;</v>
          </cell>
          <cell r="P74">
            <v>10.646080468172901</v>
          </cell>
          <cell r="Z74" t="str">
            <v>DRI Plant subtotals:</v>
          </cell>
          <cell r="AA74">
            <v>10.644246867214568</v>
          </cell>
        </row>
        <row r="75">
          <cell r="B75" t="str">
            <v>MELT SHOP</v>
          </cell>
          <cell r="G75" t="str">
            <v xml:space="preserve"> </v>
          </cell>
          <cell r="L75" t="str">
            <v>EAF natural gas combustion emissions</v>
          </cell>
          <cell r="P75">
            <v>0.17402691225919997</v>
          </cell>
          <cell r="Q75">
            <v>53</v>
          </cell>
          <cell r="R75" t="str">
            <v>based on difference between inputs and outputs</v>
          </cell>
          <cell r="S75" t="str">
            <v xml:space="preserve"> </v>
          </cell>
          <cell r="V75" t="str">
            <v xml:space="preserve"> </v>
          </cell>
        </row>
        <row r="76">
          <cell r="B76" t="str">
            <v>DRI Pellets</v>
          </cell>
          <cell r="C76">
            <v>3850000.0000000005</v>
          </cell>
          <cell r="D76" t="str">
            <v>mtpy</v>
          </cell>
          <cell r="E76">
            <v>0.02</v>
          </cell>
          <cell r="F76">
            <v>0.16975420000000002</v>
          </cell>
          <cell r="G76">
            <v>19</v>
          </cell>
          <cell r="H76" t="str">
            <v>DRI tonnage provided by "Criteria EI.xls", "Inputs" worksheet. Hg concentration provided by Minnesota Steel pilot study analytical results, Coleraine Minerals Research Laboratory, December 8, 2005.</v>
          </cell>
          <cell r="I76" t="str">
            <v xml:space="preserve"> </v>
          </cell>
          <cell r="L76" t="str">
            <v>EAF particulate</v>
          </cell>
          <cell r="M76">
            <v>7007.1346470676472</v>
          </cell>
          <cell r="N76" t="str">
            <v>tpy</v>
          </cell>
          <cell r="O76">
            <v>0.02</v>
          </cell>
          <cell r="P76">
            <v>2.8028538588270591E-4</v>
          </cell>
          <cell r="Q76">
            <v>54</v>
          </cell>
          <cell r="R76" t="str">
            <v>EAF particulate mass provided by "MSI Criteria EI.xls" "Point Source EI" worksheet.</v>
          </cell>
          <cell r="S76" t="str">
            <v xml:space="preserve"> </v>
          </cell>
          <cell r="V76" t="str">
            <v xml:space="preserve"> </v>
          </cell>
          <cell r="W76" t="str">
            <v>vapor phase</v>
          </cell>
          <cell r="X76" t="str">
            <v>---</v>
          </cell>
          <cell r="Y76" t="str">
            <v>---</v>
          </cell>
          <cell r="Z76" t="str">
            <v>---</v>
          </cell>
          <cell r="AA76">
            <v>0.17402691225919997</v>
          </cell>
        </row>
        <row r="77">
          <cell r="B77" t="str">
            <v>Fresh Water (Steel Mill)</v>
          </cell>
          <cell r="C77">
            <v>529.20059760000004</v>
          </cell>
          <cell r="D77" t="str">
            <v>cmh</v>
          </cell>
          <cell r="E77">
            <v>2E-3</v>
          </cell>
          <cell r="F77">
            <v>2.0440023081904762E-2</v>
          </cell>
          <cell r="G77">
            <v>20</v>
          </cell>
          <cell r="H77" t="str">
            <v xml:space="preserve">Flow rates provided by "Water Treatment Plan: Revised Dissolved Solids Modeling for the Plant and Tailings Basin, and Expected Water Quality of Tailings Basin and Seepage Water"; Minnesota Steel Industries; Figure 1; June 2006; mercury concentration provided by "Surface Water Quality Monitoring for Pits, Lakes, and Streams within and Dowstream of the Minnesota Steel Industries Project Area", June 2005 sampling data for Pits 1/2 and 5/6; January, 2006
</v>
          </cell>
          <cell r="I77" t="str">
            <v xml:space="preserve"> </v>
          </cell>
          <cell r="Q77" t="str">
            <v xml:space="preserve"> </v>
          </cell>
          <cell r="V77" t="str">
            <v xml:space="preserve"> </v>
          </cell>
          <cell r="W77" t="str">
            <v>particulate</v>
          </cell>
          <cell r="X77">
            <v>70.071346470676474</v>
          </cell>
          <cell r="Y77" t="str">
            <v>tpy</v>
          </cell>
          <cell r="Z77">
            <v>0.02</v>
          </cell>
          <cell r="AA77">
            <v>2.802792067516238E-6</v>
          </cell>
        </row>
        <row r="78">
          <cell r="B78" t="str">
            <v>Natural Gas</v>
          </cell>
          <cell r="C78">
            <v>669.33427791999998</v>
          </cell>
          <cell r="D78" t="str">
            <v>MMCF/yr</v>
          </cell>
          <cell r="E78">
            <v>2.5999999999999998E-4</v>
          </cell>
          <cell r="F78">
            <v>0.17402691225919997</v>
          </cell>
          <cell r="G78">
            <v>21</v>
          </cell>
          <cell r="H78" t="str">
            <v xml:space="preserve"> AP-42, 5th Ed. (3/98) factor for natural gas combustion of 0.00026 lb Hg/MMCF X annual gas use (MMCF) = lbs Hg per year. </v>
          </cell>
          <cell r="I78" t="str">
            <v xml:space="preserve"> </v>
          </cell>
          <cell r="J78" t="str">
            <v>MELT SHOP</v>
          </cell>
          <cell r="Q78" t="str">
            <v xml:space="preserve"> </v>
          </cell>
          <cell r="R78" t="str">
            <v xml:space="preserve"> </v>
          </cell>
          <cell r="S78" t="str">
            <v xml:space="preserve"> </v>
          </cell>
          <cell r="V78" t="str">
            <v xml:space="preserve"> </v>
          </cell>
          <cell r="W78" t="str">
            <v>baghouse dust</v>
          </cell>
          <cell r="X78">
            <v>6937.0633005969703</v>
          </cell>
          <cell r="Y78" t="str">
            <v>tpy</v>
          </cell>
          <cell r="Z78">
            <v>0.02</v>
          </cell>
        </row>
        <row r="79">
          <cell r="B79" t="str">
            <v>Slag Fluxes (see note 22)</v>
          </cell>
          <cell r="C79">
            <v>275000</v>
          </cell>
          <cell r="D79" t="str">
            <v xml:space="preserve">(short) tpy </v>
          </cell>
          <cell r="E79">
            <v>0</v>
          </cell>
          <cell r="F79">
            <v>0</v>
          </cell>
          <cell r="G79">
            <v>22</v>
          </cell>
          <cell r="H79" t="str">
            <v>Slag fluxes may include the following (percentages are approximate):  lime 55%, SiO2 20%, Alumina 12%, MgO 8%, CaF 5%;  ultimately slag is assumed to be produced at a rate of 220 lb/ton of steel.  Assume 20% by weight iron oxide in slag.  Available information for these materials indicates it does not contain mercury.  This material input is listed to document that it has been considered.</v>
          </cell>
          <cell r="I79" t="str">
            <v xml:space="preserve"> </v>
          </cell>
          <cell r="L79" t="str">
            <v>Steel mill cooling towers - drift loss</v>
          </cell>
          <cell r="M79">
            <v>6881.8297867500005</v>
          </cell>
          <cell r="N79" t="str">
            <v>tpy</v>
          </cell>
          <cell r="O79">
            <v>4.0000000000000001E-3</v>
          </cell>
          <cell r="P79">
            <v>5.5054638294000017E-5</v>
          </cell>
          <cell r="Q79">
            <v>55</v>
          </cell>
          <cell r="R79" t="str">
            <v>Assume fresh water mercury concentration; combined drift loss from Line 1 and 2 direct cooling towers, indirect cooling tower and laminar cooling tower. Drift loss calculated using vendor information for water makeup (292 tph) and blowdown (34 tph) and a drift loss factor of 0.4 lb/Mgal (AP-42, 5th Ed.(1/95), Table 13.4-1 'Induced Draft')</v>
          </cell>
          <cell r="S79" t="str">
            <v xml:space="preserve"> </v>
          </cell>
          <cell r="W79" t="str">
            <v>drift(water)loss</v>
          </cell>
          <cell r="X79">
            <v>7.984799999999999</v>
          </cell>
          <cell r="Y79" t="str">
            <v>tpy</v>
          </cell>
          <cell r="Z79">
            <v>2E-3</v>
          </cell>
          <cell r="AA79">
            <v>3.1938495873015868E-8</v>
          </cell>
        </row>
        <row r="80">
          <cell r="B80" t="str">
            <v>Alloy Metals</v>
          </cell>
          <cell r="C80">
            <v>38500.000000000007</v>
          </cell>
          <cell r="D80" t="str">
            <v xml:space="preserve">(short) tpy </v>
          </cell>
          <cell r="E80">
            <v>0</v>
          </cell>
          <cell r="F80">
            <v>0</v>
          </cell>
          <cell r="G80">
            <v>23</v>
          </cell>
          <cell r="H80" t="str">
            <v>Assumed alloy addition rate of 1% of DRI pellet feed.  Alloy metals could include: Titanium, Vanadium, Alumina, Aluminum, Calcium aluminate, Calcium fluoride, Calcium silicon (wire), Chromium, and Carbon. Available information for this material indicates it does not contain mercury.  This material input is listed to document that it has been considered.</v>
          </cell>
          <cell r="I80" t="str">
            <v xml:space="preserve"> </v>
          </cell>
          <cell r="S80" t="str">
            <v xml:space="preserve"> </v>
          </cell>
          <cell r="V80" t="str">
            <v xml:space="preserve"> </v>
          </cell>
        </row>
        <row r="81">
          <cell r="B81" t="str">
            <v>Mold Powder (graphite)</v>
          </cell>
          <cell r="C81">
            <v>440</v>
          </cell>
          <cell r="D81" t="str">
            <v xml:space="preserve">(short) tpy </v>
          </cell>
          <cell r="E81">
            <v>0</v>
          </cell>
          <cell r="F81">
            <v>0</v>
          </cell>
          <cell r="G81">
            <v>24</v>
          </cell>
          <cell r="H81" t="str">
            <v>Assume 100 lbs per heat; 2,400,000 tpy steel / 273 tph = 8,791 heats per year.  X 100 lbs mold powder per heat = 440 tons powder per year.  Available information for these materials indicates it does not contain mercury.  This material input is listed to document that it has been considered.</v>
          </cell>
          <cell r="I81" t="str">
            <v xml:space="preserve"> </v>
          </cell>
          <cell r="L81" t="str">
            <v xml:space="preserve">Melt shop fugitives </v>
          </cell>
          <cell r="M81">
            <v>0.14875472943859341</v>
          </cell>
          <cell r="N81" t="str">
            <v>tpy</v>
          </cell>
          <cell r="O81">
            <v>0.02</v>
          </cell>
          <cell r="P81">
            <v>5.9501891775437374E-9</v>
          </cell>
          <cell r="Q81">
            <v>56</v>
          </cell>
          <cell r="R81" t="str">
            <v>Includes furnace/ladle/tapping/casting emissions that may escape collection by the melt shop canopy.  Assumes 5% of EAF particulates are fugitive.  Natural gas fired preheater emissions to the shop rooms are included in the natural gas use number.</v>
          </cell>
          <cell r="S81" t="str">
            <v xml:space="preserve"> </v>
          </cell>
          <cell r="V81" t="str">
            <v xml:space="preserve"> </v>
          </cell>
          <cell r="W81" t="str">
            <v>air emissions</v>
          </cell>
          <cell r="X81">
            <v>0.14875472943859341</v>
          </cell>
          <cell r="Y81" t="str">
            <v>tpy</v>
          </cell>
          <cell r="Z81">
            <v>0.02</v>
          </cell>
          <cell r="AA81">
            <v>5.9500580005336496E-9</v>
          </cell>
        </row>
        <row r="82">
          <cell r="B82" t="str">
            <v>Graphite Electrode</v>
          </cell>
          <cell r="C82">
            <v>5304.8187500000004</v>
          </cell>
          <cell r="D82" t="str">
            <v xml:space="preserve">(short) tpy </v>
          </cell>
          <cell r="E82">
            <v>10</v>
          </cell>
          <cell r="F82">
            <v>0.10609637500000002</v>
          </cell>
          <cell r="G82">
            <v>25</v>
          </cell>
          <cell r="H82" t="str">
            <v xml:space="preserve">[Hg] less than 10 ng/g in electrode at Northstar Steel - Minnesota; AISE seminar data for electrode consumption: 3.5 lb/ton steel avg for 6 EAFs; use tpy steel at thin slab caster/rolling mill area.  </v>
          </cell>
          <cell r="I82" t="str">
            <v xml:space="preserve"> </v>
          </cell>
          <cell r="S82" t="str">
            <v xml:space="preserve"> </v>
          </cell>
          <cell r="V82" t="str">
            <v xml:space="preserve"> </v>
          </cell>
        </row>
        <row r="83">
          <cell r="I83" t="str">
            <v xml:space="preserve"> </v>
          </cell>
          <cell r="L83" t="str">
            <v>Slag</v>
          </cell>
          <cell r="M83">
            <v>276833.37</v>
          </cell>
          <cell r="N83" t="str">
            <v>tpy</v>
          </cell>
          <cell r="O83">
            <v>0.05</v>
          </cell>
          <cell r="P83">
            <v>2.7683337000000006E-2</v>
          </cell>
          <cell r="Q83">
            <v>57</v>
          </cell>
          <cell r="R83" t="str">
            <v>Combined slag handling emission points provided by "MSI Criteria EI.xls" "Inputs" worksheet. Assume slag mercury content is equal to steel Hg content.</v>
          </cell>
          <cell r="S83" t="str">
            <v xml:space="preserve"> </v>
          </cell>
          <cell r="V83" t="str">
            <v xml:space="preserve"> </v>
          </cell>
        </row>
        <row r="84">
          <cell r="G84" t="str">
            <v xml:space="preserve"> </v>
          </cell>
          <cell r="M84" t="str">
            <v xml:space="preserve"> </v>
          </cell>
          <cell r="P84" t="str">
            <v xml:space="preserve"> </v>
          </cell>
          <cell r="Q84" t="str">
            <v xml:space="preserve"> </v>
          </cell>
          <cell r="R84" t="str">
            <v xml:space="preserve"> </v>
          </cell>
          <cell r="S84" t="str">
            <v xml:space="preserve"> </v>
          </cell>
          <cell r="V84" t="str">
            <v xml:space="preserve"> </v>
          </cell>
          <cell r="W84" t="str">
            <v>air emissions</v>
          </cell>
          <cell r="X84">
            <v>13.645572035321106</v>
          </cell>
          <cell r="Y84" t="str">
            <v>tpy</v>
          </cell>
          <cell r="Z84">
            <v>0</v>
          </cell>
          <cell r="AA84">
            <v>0</v>
          </cell>
        </row>
        <row r="85">
          <cell r="I85" t="str">
            <v xml:space="preserve"> </v>
          </cell>
          <cell r="M85">
            <v>27</v>
          </cell>
          <cell r="N85" t="str">
            <v>cmh</v>
          </cell>
          <cell r="O85">
            <v>2E-3</v>
          </cell>
          <cell r="P85">
            <v>1.0428571428571429E-3</v>
          </cell>
          <cell r="Q85">
            <v>58</v>
          </cell>
          <cell r="R85" t="str">
            <v>Assume fresh water mercury concentration</v>
          </cell>
          <cell r="S85" t="str">
            <v xml:space="preserve"> </v>
          </cell>
          <cell r="V85" t="str">
            <v xml:space="preserve"> </v>
          </cell>
          <cell r="W85" t="str">
            <v>crushed slag</v>
          </cell>
          <cell r="X85">
            <v>276819.72442796465</v>
          </cell>
          <cell r="Y85" t="str">
            <v>tpy</v>
          </cell>
          <cell r="Z85">
            <v>0</v>
          </cell>
        </row>
        <row r="86">
          <cell r="G86" t="str">
            <v xml:space="preserve"> </v>
          </cell>
          <cell r="L86" t="str">
            <v>Oil Separation System</v>
          </cell>
          <cell r="S86" t="str">
            <v xml:space="preserve"> </v>
          </cell>
          <cell r="V86" t="str">
            <v xml:space="preserve"> </v>
          </cell>
        </row>
        <row r="87">
          <cell r="G87" t="str">
            <v xml:space="preserve"> </v>
          </cell>
          <cell r="M87">
            <v>18.624227040000001</v>
          </cell>
          <cell r="N87" t="str">
            <v>cmh</v>
          </cell>
          <cell r="O87">
            <v>2E-3</v>
          </cell>
          <cell r="P87">
            <v>7.1934845180952379E-4</v>
          </cell>
          <cell r="Q87">
            <v>59</v>
          </cell>
          <cell r="R87" t="str">
            <v>Assume fresh water mercury concentration</v>
          </cell>
          <cell r="S87" t="str">
            <v xml:space="preserve"> </v>
          </cell>
          <cell r="V87" t="str">
            <v xml:space="preserve"> </v>
          </cell>
        </row>
        <row r="88">
          <cell r="G88" t="str">
            <v xml:space="preserve"> </v>
          </cell>
          <cell r="L88" t="str">
            <v>Cooling water blowdown</v>
          </cell>
          <cell r="S88" t="str">
            <v xml:space="preserve"> </v>
          </cell>
          <cell r="T88" t="str">
            <v>Evaporate</v>
          </cell>
          <cell r="V88" t="str">
            <v xml:space="preserve"> </v>
          </cell>
        </row>
        <row r="89">
          <cell r="I89" t="str">
            <v xml:space="preserve"> </v>
          </cell>
          <cell r="J89" t="str">
            <v>molten steel Hg (lb/yr)</v>
          </cell>
          <cell r="S89" t="str">
            <v xml:space="preserve"> </v>
          </cell>
          <cell r="V89" t="str">
            <v xml:space="preserve"> </v>
          </cell>
        </row>
        <row r="90">
          <cell r="B90" t="str">
            <v xml:space="preserve"> </v>
          </cell>
          <cell r="G90" t="str">
            <v xml:space="preserve"> </v>
          </cell>
          <cell r="J90">
            <v>0.26827191510753895</v>
          </cell>
          <cell r="P90" t="str">
            <v xml:space="preserve"> </v>
          </cell>
          <cell r="S90" t="str">
            <v xml:space="preserve"> </v>
          </cell>
          <cell r="V90" t="str">
            <v xml:space="preserve"> </v>
          </cell>
        </row>
        <row r="91">
          <cell r="E91" t="str">
            <v xml:space="preserve">Melt Shop Input Subtotal: </v>
          </cell>
          <cell r="F91">
            <v>0.47031751034110481</v>
          </cell>
          <cell r="G91" t="str">
            <v xml:space="preserve"> </v>
          </cell>
          <cell r="I91" t="str">
            <v xml:space="preserve"> </v>
          </cell>
          <cell r="K91" t="str">
            <v xml:space="preserve"> </v>
          </cell>
          <cell r="O91" t="str">
            <v>Melt Shop Output Subtotal---&gt;</v>
          </cell>
          <cell r="P91">
            <v>0.20204559523356586</v>
          </cell>
          <cell r="S91" t="str">
            <v xml:space="preserve"> </v>
          </cell>
          <cell r="U91" t="str">
            <v xml:space="preserve"> </v>
          </cell>
          <cell r="V91" t="str">
            <v xml:space="preserve"> </v>
          </cell>
          <cell r="Z91" t="str">
            <v>Melt Shop subtotals:</v>
          </cell>
          <cell r="AA91">
            <v>0.17402975293982137</v>
          </cell>
        </row>
        <row r="92">
          <cell r="B92" t="str">
            <v>THIN SLAB CASTER/TUNNEL FURNACE (ROLLING MILL)</v>
          </cell>
          <cell r="V92" t="str">
            <v xml:space="preserve"> </v>
          </cell>
        </row>
        <row r="93">
          <cell r="B93" t="str">
            <v>Steel</v>
          </cell>
          <cell r="C93">
            <v>2750000</v>
          </cell>
          <cell r="D93" t="str">
            <v>mtpy</v>
          </cell>
          <cell r="E93">
            <v>0.05</v>
          </cell>
          <cell r="F93">
            <v>0.30313250000000008</v>
          </cell>
          <cell r="G93">
            <v>26</v>
          </cell>
          <cell r="H93" t="str">
            <v>Steel tonnage provided by MIS EI.xls, "Inputs" worksheet. The [Hg] for steel is adjusted to match calculated Hg mass in molten steel from the melt shop.</v>
          </cell>
          <cell r="I93" t="str">
            <v xml:space="preserve"> </v>
          </cell>
          <cell r="J93" t="str">
            <v>THIN SLAB CASTER/</v>
          </cell>
          <cell r="L93" t="str">
            <v>Scrap (recycled on site)</v>
          </cell>
          <cell r="P93" t="str">
            <v xml:space="preserve"> </v>
          </cell>
          <cell r="S93" t="str">
            <v xml:space="preserve"> </v>
          </cell>
          <cell r="V93" t="str">
            <v xml:space="preserve"> </v>
          </cell>
        </row>
        <row r="94">
          <cell r="B94" t="str">
            <v>Fresh Water</v>
          </cell>
          <cell r="C94">
            <v>95.392382400000002</v>
          </cell>
          <cell r="D94" t="str">
            <v>cmh</v>
          </cell>
          <cell r="E94">
            <v>2E-3</v>
          </cell>
          <cell r="F94">
            <v>3.6844676800000002E-3</v>
          </cell>
          <cell r="G94">
            <v>27</v>
          </cell>
          <cell r="H94" t="str">
            <v>Water input at the caster is accounted for in the overall fresh water intake by the steel mill.</v>
          </cell>
          <cell r="I94" t="str">
            <v xml:space="preserve"> </v>
          </cell>
          <cell r="J94" t="str">
            <v>TUNNEL FURNACE &amp;</v>
          </cell>
          <cell r="L94" t="str">
            <v>Casters/Tunnel Furnace/Rolling Mill</v>
          </cell>
          <cell r="M94">
            <v>891.44160120400011</v>
          </cell>
          <cell r="N94" t="str">
            <v>MMCF/yr</v>
          </cell>
          <cell r="O94">
            <v>2.5999999999999998E-4</v>
          </cell>
          <cell r="P94">
            <v>0.23177481631304001</v>
          </cell>
          <cell r="S94" t="str">
            <v xml:space="preserve"> </v>
          </cell>
          <cell r="T94" t="str">
            <v xml:space="preserve"> </v>
          </cell>
          <cell r="U94" t="str">
            <v xml:space="preserve"> </v>
          </cell>
          <cell r="V94" t="str">
            <v xml:space="preserve"> </v>
          </cell>
          <cell r="W94" t="str">
            <v>air emissions</v>
          </cell>
          <cell r="AA94">
            <v>0.23177481631304001</v>
          </cell>
        </row>
        <row r="95">
          <cell r="B95" t="str">
            <v>Natural Gas</v>
          </cell>
          <cell r="C95">
            <v>891.44160120400011</v>
          </cell>
          <cell r="D95" t="str">
            <v>MMCF/yr</v>
          </cell>
          <cell r="E95">
            <v>2.5999999999999998E-4</v>
          </cell>
          <cell r="F95">
            <v>0.23177481631304001</v>
          </cell>
          <cell r="G95">
            <v>28</v>
          </cell>
          <cell r="H95" t="str">
            <v>AP-42, 5th Ed. (3/98) factor for natural gas combustion of 0.00026 lb Hg/MMCF X annual gas use(MMCF) = lbs Hg per year.</v>
          </cell>
          <cell r="I95" t="str">
            <v xml:space="preserve"> </v>
          </cell>
          <cell r="J95" t="str">
            <v>ROLLING MILL</v>
          </cell>
          <cell r="L95" t="str">
            <v>Final Steel Product (and Scrap)</v>
          </cell>
          <cell r="M95">
            <v>2750000</v>
          </cell>
          <cell r="N95" t="str">
            <v>mtpy</v>
          </cell>
          <cell r="O95">
            <v>0.05</v>
          </cell>
          <cell r="P95">
            <v>0.30313250000000008</v>
          </cell>
          <cell r="R95" t="str">
            <v xml:space="preserve"> </v>
          </cell>
          <cell r="S95" t="str">
            <v xml:space="preserve"> </v>
          </cell>
          <cell r="V95" t="str">
            <v xml:space="preserve"> </v>
          </cell>
        </row>
        <row r="96">
          <cell r="B96" t="str">
            <v>Space Heaters (HVAC)</v>
          </cell>
          <cell r="C96">
            <v>350.40000000000003</v>
          </cell>
          <cell r="D96" t="str">
            <v>MMCF/yr</v>
          </cell>
          <cell r="E96">
            <v>2.5999999999999998E-4</v>
          </cell>
          <cell r="F96">
            <v>9.1104000000000004E-2</v>
          </cell>
          <cell r="G96">
            <v>29</v>
          </cell>
          <cell r="H96" t="str">
            <v>Space Heaters will be located throughout the facility. AP-42, 5th Ed. (3/98) factor for natural gas combustion of 0.00026 lb Hg/MMCF X annual gas use(MMCF) = lbs Hg per year.</v>
          </cell>
          <cell r="I96" t="str">
            <v xml:space="preserve"> </v>
          </cell>
          <cell r="J96" t="str">
            <v>Cast and Rolled Steel</v>
          </cell>
          <cell r="M96" t="str">
            <v xml:space="preserve"> </v>
          </cell>
          <cell r="Q96" t="str">
            <v xml:space="preserve"> </v>
          </cell>
          <cell r="R96" t="str">
            <v xml:space="preserve"> </v>
          </cell>
          <cell r="S96" t="str">
            <v xml:space="preserve"> </v>
          </cell>
          <cell r="V96" t="str">
            <v xml:space="preserve"> </v>
          </cell>
          <cell r="W96" t="str">
            <v>Steel product</v>
          </cell>
          <cell r="X96">
            <v>2750000</v>
          </cell>
          <cell r="Y96" t="str">
            <v xml:space="preserve">MSTPY </v>
          </cell>
          <cell r="Z96">
            <v>0.05</v>
          </cell>
        </row>
        <row r="97">
          <cell r="L97" t="str">
            <v>Space Heaters around the facility</v>
          </cell>
          <cell r="W97" t="str">
            <v>vapor phase air emissions</v>
          </cell>
          <cell r="AA97">
            <v>9.1104000000000004E-2</v>
          </cell>
        </row>
        <row r="98">
          <cell r="B98" t="str">
            <v>Diesel Engine Emissions</v>
          </cell>
          <cell r="C98">
            <v>296807.28070495516</v>
          </cell>
          <cell r="D98" t="str">
            <v>gal/yr</v>
          </cell>
          <cell r="E98">
            <v>1</v>
          </cell>
          <cell r="F98">
            <v>2.0865551833558348E-3</v>
          </cell>
          <cell r="G98">
            <v>30</v>
          </cell>
          <cell r="H98" t="str">
            <v>Mine truck and shovel fuel use provide by Criteria EI.xls, "Truck Usage and Emissions"</v>
          </cell>
          <cell r="J98" t="str">
            <v>Steel product Hg (lb/yr)</v>
          </cell>
          <cell r="W98" t="str">
            <v>Hg emissions from diesel</v>
          </cell>
          <cell r="AA98">
            <v>2.0865551833558348E-3</v>
          </cell>
        </row>
        <row r="99">
          <cell r="J99">
            <v>9.6875022863355809E-2</v>
          </cell>
        </row>
        <row r="100">
          <cell r="E100" t="str">
            <v>Rolling Mill Input Subtotal:</v>
          </cell>
          <cell r="F100">
            <v>0.63178233917639592</v>
          </cell>
          <cell r="O100" t="str">
            <v>Casting/Rolling Mill output subtotals:</v>
          </cell>
          <cell r="P100">
            <v>0.53490731631304012</v>
          </cell>
          <cell r="Z100" t="str">
            <v>Casting/Rolling Mill subtotals:</v>
          </cell>
          <cell r="AA100">
            <v>0.32496537149639582</v>
          </cell>
        </row>
        <row r="101">
          <cell r="B101" t="str">
            <v>Tailings Management</v>
          </cell>
          <cell r="P101" t="str">
            <v xml:space="preserve"> </v>
          </cell>
          <cell r="V101" t="str">
            <v xml:space="preserve"> </v>
          </cell>
        </row>
        <row r="102">
          <cell r="B102" t="str">
            <v xml:space="preserve"> </v>
          </cell>
          <cell r="G102" t="str">
            <v xml:space="preserve"> </v>
          </cell>
          <cell r="L102" t="str">
            <v>Tailings Thickener Overflow</v>
          </cell>
          <cell r="M102">
            <v>12187</v>
          </cell>
          <cell r="N102" t="str">
            <v>cmh</v>
          </cell>
          <cell r="O102">
            <v>4.0000000000000001E-3</v>
          </cell>
          <cell r="P102">
            <v>0.94142962962962951</v>
          </cell>
          <cell r="Q102">
            <v>60</v>
          </cell>
          <cell r="R102" t="str">
            <v xml:space="preserve">Process water mercury concentration is assumed to range from 2 to 4 ng/l (0.002 - 0.004 ppb) based on industry experience.  </v>
          </cell>
          <cell r="S102" t="str">
            <v xml:space="preserve"> </v>
          </cell>
          <cell r="V102" t="str">
            <v xml:space="preserve"> </v>
          </cell>
          <cell r="W102" t="str">
            <v>Evasion</v>
          </cell>
          <cell r="X102">
            <v>142.99826086956526</v>
          </cell>
          <cell r="Y102" t="str">
            <v>µg/m2/y</v>
          </cell>
          <cell r="Z102">
            <v>1</v>
          </cell>
        </row>
        <row r="103">
          <cell r="B103" t="str">
            <v xml:space="preserve"> </v>
          </cell>
          <cell r="G103" t="str">
            <v xml:space="preserve"> </v>
          </cell>
          <cell r="J103" t="str">
            <v>Process Water Sump</v>
          </cell>
          <cell r="S103" t="str">
            <v xml:space="preserve"> </v>
          </cell>
          <cell r="V103" t="str">
            <v xml:space="preserve"> </v>
          </cell>
          <cell r="X103">
            <v>300</v>
          </cell>
          <cell r="Y103" t="str">
            <v>acres of pond =</v>
          </cell>
          <cell r="Z103">
            <v>1214100</v>
          </cell>
          <cell r="AA103">
            <v>0.38274732919254667</v>
          </cell>
        </row>
        <row r="104">
          <cell r="B104" t="str">
            <v>LAB / MAINTENANCE</v>
          </cell>
          <cell r="L104" t="str">
            <v>Tailings Thickener Underflow</v>
          </cell>
          <cell r="M104">
            <v>725</v>
          </cell>
          <cell r="N104" t="str">
            <v>cmh</v>
          </cell>
          <cell r="O104">
            <v>3.5</v>
          </cell>
          <cell r="P104">
            <v>49.004629629629626</v>
          </cell>
          <cell r="Q104">
            <v>61</v>
          </cell>
          <cell r="R104" t="str">
            <v>[Hg] adjusted to account for non-tailings Hg to tailings thickener that is expected to be buried in voids.</v>
          </cell>
          <cell r="S104" t="str">
            <v xml:space="preserve"> </v>
          </cell>
          <cell r="T104" t="str">
            <v xml:space="preserve"> </v>
          </cell>
          <cell r="V104" t="str">
            <v xml:space="preserve"> </v>
          </cell>
        </row>
        <row r="105">
          <cell r="B105" t="str">
            <v>Solvent</v>
          </cell>
          <cell r="G105">
            <v>31</v>
          </cell>
          <cell r="H105" t="str">
            <v>No data are available on lab and maintenance materials and they are assumed to be insignificant compared to feedstocks.</v>
          </cell>
          <cell r="I105" t="str">
            <v xml:space="preserve"> </v>
          </cell>
          <cell r="L105" t="str">
            <v>Tailings - solids</v>
          </cell>
          <cell r="M105">
            <v>10206370.9</v>
          </cell>
          <cell r="N105" t="str">
            <v>mtpy</v>
          </cell>
          <cell r="O105">
            <v>14.994999686466663</v>
          </cell>
          <cell r="P105">
            <v>337.40196741086658</v>
          </cell>
          <cell r="R105" t="str">
            <v xml:space="preserve"> Assumes 0.29 ore recovery factor.</v>
          </cell>
          <cell r="S105" t="str">
            <v xml:space="preserve"> </v>
          </cell>
          <cell r="T105">
            <v>61</v>
          </cell>
          <cell r="U105" t="str">
            <v xml:space="preserve"> </v>
          </cell>
          <cell r="V105" t="str">
            <v xml:space="preserve"> </v>
          </cell>
          <cell r="W105" t="str">
            <v>Controlled</v>
          </cell>
          <cell r="X105">
            <v>1000</v>
          </cell>
          <cell r="Y105" t="str">
            <v>gpm</v>
          </cell>
          <cell r="Z105">
            <v>2.2400000000000002E-3</v>
          </cell>
        </row>
        <row r="106">
          <cell r="B106" t="str">
            <v>Grease &amp; Oil</v>
          </cell>
          <cell r="G106">
            <v>31</v>
          </cell>
          <cell r="H106" t="str">
            <v>No data are available on lab and maintenance materials and they are assumed to be insignificant compared to feedstocks.</v>
          </cell>
          <cell r="I106" t="str">
            <v xml:space="preserve"> </v>
          </cell>
          <cell r="S106" t="str">
            <v xml:space="preserve"> </v>
          </cell>
          <cell r="V106" t="str">
            <v xml:space="preserve"> </v>
          </cell>
          <cell r="W106" t="str">
            <v>Discharge</v>
          </cell>
        </row>
        <row r="107">
          <cell r="B107" t="str">
            <v>Lab Chemicals</v>
          </cell>
          <cell r="G107">
            <v>31</v>
          </cell>
          <cell r="H107" t="str">
            <v>No data are available on lab and maintenance materials and they are assumed to be insignificant compared to feedstocks.</v>
          </cell>
          <cell r="I107" t="str">
            <v xml:space="preserve"> </v>
          </cell>
          <cell r="L107" t="str">
            <v>Tailings Basin Return</v>
          </cell>
          <cell r="M107">
            <v>2022.7727563200001</v>
          </cell>
          <cell r="N107" t="str">
            <v>cmh</v>
          </cell>
          <cell r="O107">
            <v>4.4999999999999998E-2</v>
          </cell>
          <cell r="P107">
            <v>1.7578858477542856</v>
          </cell>
          <cell r="Q107">
            <v>62</v>
          </cell>
          <cell r="R107" t="str">
            <v xml:space="preserve">Flow rates provided by "Water Treatment Plan: Revised Dissolved Solids Modeling for the Plant and Tailings Basin, and Expected Water Quality of Tailings Basin and Seepage Water"; Minnesota Steel Industries; Figure 1; Process water mercury concentration is assumed to range from 2 to 4 ng/l (0.002 - 0.004 ppb) based on industry experience.  </v>
          </cell>
          <cell r="S107" t="str">
            <v xml:space="preserve"> </v>
          </cell>
          <cell r="V107" t="str">
            <v xml:space="preserve"> </v>
          </cell>
        </row>
        <row r="108">
          <cell r="S108" t="str">
            <v xml:space="preserve"> </v>
          </cell>
          <cell r="V108" t="str">
            <v xml:space="preserve"> </v>
          </cell>
          <cell r="W108" t="str">
            <v>Seepage</v>
          </cell>
        </row>
        <row r="109">
          <cell r="L109" t="str">
            <v>Precipitation, evaporation, runoff</v>
          </cell>
          <cell r="M109">
            <v>291.17389104</v>
          </cell>
          <cell r="N109" t="str">
            <v>cmh</v>
          </cell>
          <cell r="O109">
            <v>2E-3</v>
          </cell>
          <cell r="P109">
            <v>1.0127992222222222</v>
          </cell>
          <cell r="Q109">
            <v>63</v>
          </cell>
          <cell r="R109" t="str">
            <v>Flow rates provided by "Water Treatment Plan: Revised Dissolved Solids Modeling for the Plant and Tailings Basin, and Expected Water Quality of Tailings Basin and Seepage Water"; Minnesota Steel Industries; Figure 1; Mercury concentration assumed to equal fresh water.</v>
          </cell>
          <cell r="S109" t="str">
            <v xml:space="preserve"> </v>
          </cell>
          <cell r="V109" t="str">
            <v xml:space="preserve"> </v>
          </cell>
          <cell r="X109">
            <v>2196</v>
          </cell>
          <cell r="Y109" t="str">
            <v>gpm</v>
          </cell>
          <cell r="Z109">
            <v>2.2400000000000002E-3</v>
          </cell>
          <cell r="AA109" t="str">
            <v xml:space="preserve"> </v>
          </cell>
        </row>
        <row r="110">
          <cell r="S110" t="str">
            <v xml:space="preserve"> </v>
          </cell>
          <cell r="V110" t="str">
            <v xml:space="preserve"> </v>
          </cell>
          <cell r="W110" t="str">
            <v>Voids Loss</v>
          </cell>
        </row>
      </sheetData>
      <sheetData sheetId="2">
        <row r="1">
          <cell r="A1" t="str">
            <v>Minnesota Steel Industries Mercury Balance                                                                                                                                                                  Barr Engineering Co.</v>
          </cell>
        </row>
      </sheetData>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s"/>
      <sheetName val="PM10 Size Distribution"/>
      <sheetName val="Modeling - PM10"/>
      <sheetName val="Calc Comments"/>
      <sheetName val="EI"/>
      <sheetName val="EI w BACT limits"/>
      <sheetName val="Pivot Table"/>
      <sheetName val="Pivot Table EU"/>
      <sheetName val="Stack Model Inputs"/>
      <sheetName val="Haul Roads"/>
      <sheetName val="Dumps Schedule"/>
      <sheetName val="FS Model Emissions"/>
      <sheetName val="Class I Modeling Table"/>
      <sheetName val="CALPUFF Input 6-26-08"/>
      <sheetName val="Conversions and Constants"/>
      <sheetName val="Mine Plan Quantities"/>
      <sheetName val="period1,3_dumps_mineareas"/>
      <sheetName val="2006 EI"/>
      <sheetName val="Stack Test Summaries"/>
      <sheetName val="COPI Compns"/>
      <sheetName val="Coal EF's"/>
      <sheetName val="COPI Non Comb Emiss"/>
      <sheetName val="COPI Combn Emiss"/>
      <sheetName val="COPI Emission Summary"/>
      <sheetName val="Mine_Risk_emission_input"/>
      <sheetName val="COPI NonComb Emiss PM10 Based"/>
      <sheetName val="COPI Emission Sum PM10 Based"/>
      <sheetName val="Mine_Risk_emission_input pm10"/>
      <sheetName val="HAP Emissions Summary"/>
      <sheetName val="calcs g per s"/>
      <sheetName val="Hongming's formulas"/>
      <sheetName val="BioMass"/>
      <sheetName val="EU_EF"/>
      <sheetName val="Fug-EF1"/>
      <sheetName val="Fug_EF2"/>
      <sheetName val="EQ List"/>
      <sheetName val="Project GHGs Summary 60-40"/>
      <sheetName val="Project GHGs Summary 100 NG"/>
      <sheetName val="Project GHGs Summary 50-50"/>
      <sheetName val="Project GHGs Summary 100 Oil"/>
      <sheetName val="Project GHGs 100 Oil"/>
      <sheetName val="Project GHGs 60-40"/>
      <sheetName val="Project GHGs 100 NG"/>
      <sheetName val="Project GHGs 50-50"/>
      <sheetName val="Project Indirect GHGs "/>
      <sheetName val="MPCA Requested"/>
      <sheetName val="Energy Eff. Summary 100 Oil"/>
      <sheetName val="Energy Eff. Summary 60-40"/>
      <sheetName val="Energy Eff. Summary 100 NG"/>
      <sheetName val="Energy Eff. Summary 50-50"/>
      <sheetName val="Comparisons-Savings 100 Oil"/>
      <sheetName val="Comparisons-Savings 60-40"/>
      <sheetName val="Comparisons-Savings 100 NG"/>
      <sheetName val="Comparisons-Savings 50-50"/>
      <sheetName val="Existing GHGs"/>
      <sheetName val="% Increase Calcs"/>
      <sheetName val="Dioxins"/>
      <sheetName val="SAM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row r="1">
          <cell r="A1" t="str">
            <v>Combustion Emissions</v>
          </cell>
        </row>
        <row r="7">
          <cell r="A7" t="str">
            <v>Carbon Tetrachloride?</v>
          </cell>
          <cell r="C7">
            <v>4.5000000000000003E-5</v>
          </cell>
          <cell r="D7" t="str">
            <v>Wood</v>
          </cell>
        </row>
        <row r="8">
          <cell r="A8" t="str">
            <v>Pentachlorophenol</v>
          </cell>
          <cell r="C8">
            <v>5.1E-8</v>
          </cell>
          <cell r="D8" t="str">
            <v>Wood</v>
          </cell>
        </row>
        <row r="9">
          <cell r="BD9">
            <v>0</v>
          </cell>
        </row>
        <row r="10">
          <cell r="BD10">
            <v>0</v>
          </cell>
        </row>
        <row r="12">
          <cell r="BD12">
            <v>0</v>
          </cell>
        </row>
        <row r="13">
          <cell r="T13" t="str">
            <v>(Tons/Year)</v>
          </cell>
          <cell r="BD13" t="str">
            <v>(Tons/Year)</v>
          </cell>
        </row>
        <row r="15">
          <cell r="I15" t="str">
            <v>[6]</v>
          </cell>
          <cell r="P15" t="str">
            <v>Coal/NG</v>
          </cell>
          <cell r="Y15" t="str">
            <v>Natural Gas</v>
          </cell>
          <cell r="BJ15" t="str">
            <v>Diesel</v>
          </cell>
          <cell r="BK15" t="str">
            <v>Diesel</v>
          </cell>
          <cell r="BL15" t="str">
            <v>Without Diesels</v>
          </cell>
          <cell r="BM15" t="str">
            <v>With Diesels</v>
          </cell>
          <cell r="BN15" t="str">
            <v>Without Diesels</v>
          </cell>
          <cell r="BO15" t="str">
            <v>Without Diesels</v>
          </cell>
          <cell r="BP15" t="str">
            <v>With Diesels</v>
          </cell>
          <cell r="BR15" t="str">
            <v>Control Efficiency</v>
          </cell>
        </row>
        <row r="16">
          <cell r="A16" t="str">
            <v>Chemical Name</v>
          </cell>
          <cell r="C16" t="str">
            <v>Emission Factor
Small Diesel</v>
          </cell>
          <cell r="D16" t="str">
            <v>Emission Factor
Large Diesel</v>
          </cell>
          <cell r="E16" t="str">
            <v>Emission Factor
Wood/Biomass</v>
          </cell>
          <cell r="F16" t="str">
            <v>Emission Factor
Oil</v>
          </cell>
          <cell r="G16" t="str">
            <v>Emission Factor
NG</v>
          </cell>
          <cell r="H16" t="str">
            <v>Emission Factor
Coal</v>
          </cell>
          <cell r="I16" t="str">
            <v>EU</v>
          </cell>
          <cell r="J16">
            <v>62</v>
          </cell>
          <cell r="K16">
            <v>63</v>
          </cell>
          <cell r="L16">
            <v>64</v>
          </cell>
          <cell r="M16">
            <v>65</v>
          </cell>
          <cell r="N16">
            <v>66</v>
          </cell>
          <cell r="O16">
            <v>67</v>
          </cell>
          <cell r="P16">
            <v>68</v>
          </cell>
          <cell r="Q16">
            <v>69</v>
          </cell>
          <cell r="R16">
            <v>70</v>
          </cell>
          <cell r="S16">
            <v>71</v>
          </cell>
          <cell r="T16">
            <v>72</v>
          </cell>
          <cell r="U16">
            <v>73</v>
          </cell>
          <cell r="V16">
            <v>74</v>
          </cell>
          <cell r="W16">
            <v>75</v>
          </cell>
          <cell r="X16">
            <v>76</v>
          </cell>
          <cell r="Y16">
            <v>77</v>
          </cell>
          <cell r="Z16">
            <v>78</v>
          </cell>
          <cell r="AA16">
            <v>79</v>
          </cell>
          <cell r="AB16">
            <v>80</v>
          </cell>
          <cell r="AC16">
            <v>81</v>
          </cell>
          <cell r="AD16">
            <v>82</v>
          </cell>
          <cell r="AE16">
            <v>83</v>
          </cell>
          <cell r="AF16">
            <v>84</v>
          </cell>
          <cell r="AG16">
            <v>85</v>
          </cell>
          <cell r="AH16">
            <v>86</v>
          </cell>
          <cell r="AI16">
            <v>87</v>
          </cell>
          <cell r="AJ16">
            <v>88</v>
          </cell>
          <cell r="AK16">
            <v>89</v>
          </cell>
          <cell r="AL16">
            <v>90</v>
          </cell>
          <cell r="AM16">
            <v>91</v>
          </cell>
          <cell r="AN16" t="str">
            <v>FUG</v>
          </cell>
          <cell r="AO16">
            <v>43</v>
          </cell>
          <cell r="AP16">
            <v>44</v>
          </cell>
          <cell r="AQ16">
            <v>45</v>
          </cell>
          <cell r="AR16">
            <v>46</v>
          </cell>
          <cell r="AS16">
            <v>47</v>
          </cell>
          <cell r="AT16">
            <v>48</v>
          </cell>
          <cell r="AU16">
            <v>49</v>
          </cell>
          <cell r="AV16">
            <v>50</v>
          </cell>
          <cell r="AW16">
            <v>51</v>
          </cell>
          <cell r="AX16">
            <v>52</v>
          </cell>
          <cell r="AY16">
            <v>53</v>
          </cell>
          <cell r="AZ16">
            <v>54</v>
          </cell>
          <cell r="BA16">
            <v>55</v>
          </cell>
          <cell r="BB16">
            <v>56</v>
          </cell>
          <cell r="BC16">
            <v>57</v>
          </cell>
          <cell r="BD16">
            <v>58</v>
          </cell>
          <cell r="BE16">
            <v>59</v>
          </cell>
          <cell r="BF16">
            <v>60</v>
          </cell>
          <cell r="BG16">
            <v>61</v>
          </cell>
          <cell r="BH16">
            <v>63</v>
          </cell>
          <cell r="BI16" t="str">
            <v>xx1</v>
          </cell>
          <cell r="BJ16" t="str">
            <v>62a</v>
          </cell>
          <cell r="BK16" t="str">
            <v>62b</v>
          </cell>
          <cell r="BR16" t="str">
            <v>For Kiln Organics [7]</v>
          </cell>
        </row>
        <row r="17">
          <cell r="I17" t="str">
            <v>MMBtu/yr (gas/oil/wood)
Hp-hr/yr(diesel)</v>
          </cell>
          <cell r="J17" t="str">
            <v>Non Comb</v>
          </cell>
          <cell r="K17" t="str">
            <v>Non Comb</v>
          </cell>
          <cell r="L17" t="str">
            <v>Non Comb</v>
          </cell>
          <cell r="M17" t="str">
            <v>Non Comb</v>
          </cell>
          <cell r="N17" t="str">
            <v>Non Comb</v>
          </cell>
          <cell r="O17" t="str">
            <v>Non Comb</v>
          </cell>
          <cell r="P17" t="str">
            <v>[8]</v>
          </cell>
          <cell r="Q17" t="str">
            <v>Non Comb</v>
          </cell>
          <cell r="R17" t="str">
            <v>Non Comb</v>
          </cell>
          <cell r="S17" t="str">
            <v>Non Comb</v>
          </cell>
          <cell r="T17" t="str">
            <v>Non Comb</v>
          </cell>
          <cell r="U17" t="str">
            <v>Non Comb</v>
          </cell>
          <cell r="V17" t="str">
            <v>Non Comb</v>
          </cell>
          <cell r="W17" t="str">
            <v>Non Comb</v>
          </cell>
          <cell r="X17" t="str">
            <v>Non Comb</v>
          </cell>
          <cell r="Z17" t="str">
            <v>Non Comb</v>
          </cell>
          <cell r="AA17" t="str">
            <v>Non Comb</v>
          </cell>
          <cell r="AB17" t="str">
            <v>Non Comb</v>
          </cell>
          <cell r="AC17" t="str">
            <v>Non Comb</v>
          </cell>
          <cell r="AD17" t="str">
            <v>Non Comb</v>
          </cell>
          <cell r="AE17" t="str">
            <v>Non Comb</v>
          </cell>
          <cell r="AF17" t="str">
            <v>Non Comb</v>
          </cell>
          <cell r="AG17" t="str">
            <v>Non Comb</v>
          </cell>
          <cell r="AH17" t="str">
            <v>Non Comb</v>
          </cell>
          <cell r="AI17" t="str">
            <v>Non Comb</v>
          </cell>
          <cell r="AJ17" t="str">
            <v>Non Comb</v>
          </cell>
          <cell r="AL17" t="str">
            <v>Non Comb</v>
          </cell>
          <cell r="AM17" t="str">
            <v>Non Comb</v>
          </cell>
          <cell r="AN17" t="str">
            <v>Non Comb</v>
          </cell>
          <cell r="AO17" t="str">
            <v>Non Comb</v>
          </cell>
          <cell r="AP17" t="str">
            <v>Non Comb</v>
          </cell>
          <cell r="AQ17" t="str">
            <v>Non Comb</v>
          </cell>
          <cell r="AR17" t="str">
            <v>Non Comb</v>
          </cell>
          <cell r="AS17" t="str">
            <v>Non Comb</v>
          </cell>
          <cell r="AT17" t="str">
            <v>Non Comb</v>
          </cell>
          <cell r="AU17" t="str">
            <v>Non Comb</v>
          </cell>
          <cell r="AV17" t="str">
            <v>Non Comb</v>
          </cell>
          <cell r="AW17" t="str">
            <v>Non Comb</v>
          </cell>
          <cell r="AX17" t="str">
            <v>Non Comb</v>
          </cell>
          <cell r="AY17" t="str">
            <v>Non Comb</v>
          </cell>
          <cell r="AZ17" t="str">
            <v>Non Comb</v>
          </cell>
          <cell r="BA17" t="str">
            <v>Non Comb</v>
          </cell>
          <cell r="BB17" t="str">
            <v>Non Comb</v>
          </cell>
          <cell r="BC17" t="str">
            <v>Non Comb</v>
          </cell>
          <cell r="BD17" t="str">
            <v>Non Comb</v>
          </cell>
          <cell r="BE17" t="str">
            <v>Non Comb</v>
          </cell>
          <cell r="BF17" t="str">
            <v>Non Comb</v>
          </cell>
          <cell r="BG17" t="str">
            <v>Non Comb</v>
          </cell>
          <cell r="BH17" t="str">
            <v>Non Comb</v>
          </cell>
          <cell r="BI17" t="str">
            <v>Non Comb</v>
          </cell>
        </row>
        <row r="18">
          <cell r="I18" t="str">
            <v>MMBtu/yr(gas)
MMBtu/yr(diesel)</v>
          </cell>
          <cell r="P18">
            <v>1066889.1599999999</v>
          </cell>
          <cell r="Y18">
            <v>17.28</v>
          </cell>
          <cell r="AK18">
            <v>13140</v>
          </cell>
          <cell r="BJ18">
            <v>247489.48223999995</v>
          </cell>
          <cell r="BK18">
            <v>424070.47872000001</v>
          </cell>
        </row>
        <row r="19">
          <cell r="C19" t="str">
            <v xml:space="preserve"> [1a]</v>
          </cell>
          <cell r="D19" t="str">
            <v xml:space="preserve"> [1b]</v>
          </cell>
          <cell r="E19" t="str">
            <v xml:space="preserve"> [5]</v>
          </cell>
          <cell r="F19" t="str">
            <v xml:space="preserve"> [4]</v>
          </cell>
          <cell r="G19" t="str">
            <v xml:space="preserve"> [1]</v>
          </cell>
          <cell r="H19" t="str">
            <v xml:space="preserve"> [3]</v>
          </cell>
          <cell r="I19" t="str">
            <v>ton/yr (coal)</v>
          </cell>
          <cell r="P19">
            <v>48609.24</v>
          </cell>
          <cell r="BL19" t="str">
            <v>SV Total</v>
          </cell>
          <cell r="BM19" t="str">
            <v>FS Total</v>
          </cell>
          <cell r="BN19" t="str">
            <v>FS Total</v>
          </cell>
          <cell r="BO19" t="str">
            <v>Total</v>
          </cell>
          <cell r="BP19" t="str">
            <v>Total</v>
          </cell>
        </row>
        <row r="20">
          <cell r="B20" t="str">
            <v>HAP</v>
          </cell>
          <cell r="C20" t="str">
            <v>(lb/MMBtu)</v>
          </cell>
          <cell r="D20" t="str">
            <v>(lb/MMBtu)</v>
          </cell>
          <cell r="E20" t="str">
            <v>(lb/MMBtu)</v>
          </cell>
          <cell r="F20" t="str">
            <v>(lb/MMBtu)</v>
          </cell>
          <cell r="G20" t="str">
            <v>(lb/MM cf)</v>
          </cell>
          <cell r="H20" t="str">
            <v>(lb/ton)</v>
          </cell>
          <cell r="AK20" t="str">
            <v>Non Comb</v>
          </cell>
          <cell r="BL20" t="str">
            <v>(tons/yr)</v>
          </cell>
          <cell r="BM20" t="str">
            <v>(tons/yr)</v>
          </cell>
          <cell r="BN20" t="str">
            <v>(tons/yr)</v>
          </cell>
          <cell r="BO20" t="str">
            <v>(tons/yr)</v>
          </cell>
          <cell r="BP20" t="str">
            <v>(tons/yr)</v>
          </cell>
          <cell r="BR20" t="str">
            <v>%</v>
          </cell>
        </row>
        <row r="22">
          <cell r="A22" t="str">
            <v>Acenaphthene</v>
          </cell>
          <cell r="C22">
            <v>1.42E-6</v>
          </cell>
          <cell r="D22">
            <v>4.6800000000000001E-6</v>
          </cell>
          <cell r="E22">
            <v>9.0999999999999997E-7</v>
          </cell>
          <cell r="F22">
            <v>1.5071428571428572E-7</v>
          </cell>
          <cell r="G22">
            <v>1.7999999999999999E-6</v>
          </cell>
        </row>
        <row r="23">
          <cell r="A23" t="str">
            <v>Acenaphthylene</v>
          </cell>
          <cell r="C23">
            <v>5.0599999999999998E-6</v>
          </cell>
          <cell r="D23">
            <v>9.2299999999999997E-6</v>
          </cell>
          <cell r="E23">
            <v>5.0000000000000004E-6</v>
          </cell>
          <cell r="F23">
            <v>1.8071428571428571E-9</v>
          </cell>
          <cell r="G23">
            <v>1.7999999999999999E-6</v>
          </cell>
        </row>
        <row r="24">
          <cell r="A24" t="str">
            <v>Acetaldehyde</v>
          </cell>
          <cell r="B24" t="str">
            <v>HAP</v>
          </cell>
          <cell r="C24">
            <v>7.67E-4</v>
          </cell>
          <cell r="D24">
            <v>2.5199999999999999E-5</v>
          </cell>
          <cell r="E24">
            <v>8.3000000000000001E-4</v>
          </cell>
        </row>
        <row r="25">
          <cell r="A25" t="str">
            <v>Acetophenone</v>
          </cell>
          <cell r="B25" t="str">
            <v>HAP</v>
          </cell>
          <cell r="E25">
            <v>3.2000000000000001E-9</v>
          </cell>
        </row>
        <row r="26">
          <cell r="A26" t="str">
            <v>Acrolein</v>
          </cell>
          <cell r="B26" t="str">
            <v>HAP</v>
          </cell>
          <cell r="C26">
            <v>9.2499999999999999E-5</v>
          </cell>
          <cell r="D26">
            <v>7.8800000000000008E-6</v>
          </cell>
          <cell r="E26">
            <v>4.0000000000000001E-3</v>
          </cell>
        </row>
        <row r="27">
          <cell r="A27" t="str">
            <v>Aluminum Compounds</v>
          </cell>
        </row>
        <row r="28">
          <cell r="A28" t="str">
            <v>Anthracene</v>
          </cell>
          <cell r="C28">
            <v>1.8700000000000001E-6</v>
          </cell>
          <cell r="D28">
            <v>1.2300000000000001E-6</v>
          </cell>
          <cell r="E28">
            <v>3.0000000000000001E-6</v>
          </cell>
          <cell r="F28">
            <v>8.7142857142857131E-9</v>
          </cell>
          <cell r="G28">
            <v>2.3999999999999999E-6</v>
          </cell>
        </row>
        <row r="29">
          <cell r="A29" t="str">
            <v>Aluminum Oxide</v>
          </cell>
        </row>
        <row r="30">
          <cell r="A30" t="str">
            <v>Antimony Compounds</v>
          </cell>
          <cell r="B30" t="str">
            <v>HAP</v>
          </cell>
          <cell r="E30">
            <v>7.9000000000000006E-6</v>
          </cell>
        </row>
        <row r="31">
          <cell r="A31" t="str">
            <v>Arsenic Compounds</v>
          </cell>
          <cell r="B31" t="str">
            <v>HAP</v>
          </cell>
          <cell r="C31">
            <v>1.1E-5</v>
          </cell>
          <cell r="D31">
            <v>1.1E-5</v>
          </cell>
          <cell r="E31">
            <v>2.1999999999999999E-5</v>
          </cell>
          <cell r="F31">
            <v>3.9999999999999998E-6</v>
          </cell>
          <cell r="G31">
            <v>2.0000000000000001E-4</v>
          </cell>
        </row>
        <row r="32">
          <cell r="A32" t="str">
            <v>Arsenic (III)</v>
          </cell>
        </row>
        <row r="33">
          <cell r="A33" t="str">
            <v>Arsenic (V)</v>
          </cell>
        </row>
        <row r="34">
          <cell r="A34" t="str">
            <v>Barium Compounds</v>
          </cell>
          <cell r="E34">
            <v>1.7000000000000001E-4</v>
          </cell>
          <cell r="G34">
            <v>4.4000000000000003E-3</v>
          </cell>
        </row>
        <row r="35">
          <cell r="A35" t="str">
            <v>Benzene</v>
          </cell>
          <cell r="B35" t="str">
            <v>HAP</v>
          </cell>
          <cell r="C35">
            <v>9.3300000000000002E-4</v>
          </cell>
          <cell r="D35">
            <v>7.76E-4</v>
          </cell>
          <cell r="E35">
            <v>4.1999999999999997E-3</v>
          </cell>
          <cell r="F35">
            <v>1.5285714285714283E-6</v>
          </cell>
          <cell r="G35">
            <v>2.0999999999999999E-3</v>
          </cell>
        </row>
        <row r="36">
          <cell r="A36" t="str">
            <v>Benz(a)anthracene</v>
          </cell>
          <cell r="C36">
            <v>1.68E-6</v>
          </cell>
          <cell r="D36">
            <v>6.2200000000000004E-7</v>
          </cell>
          <cell r="E36">
            <v>6.5E-8</v>
          </cell>
          <cell r="F36">
            <v>2.864285714285714E-8</v>
          </cell>
          <cell r="G36">
            <v>1.7999999999999999E-6</v>
          </cell>
        </row>
        <row r="37">
          <cell r="A37" t="str">
            <v>Benzo(a)pyrene</v>
          </cell>
          <cell r="C37">
            <v>1.8799999999999999E-7</v>
          </cell>
          <cell r="D37">
            <v>2.5699999999999999E-7</v>
          </cell>
          <cell r="E37">
            <v>2.6000000000000001E-6</v>
          </cell>
          <cell r="G37">
            <v>1.1999999999999999E-6</v>
          </cell>
        </row>
        <row r="38">
          <cell r="A38" t="str">
            <v>Benzo(b)fluoranthene</v>
          </cell>
          <cell r="C38">
            <v>9.9099999999999994E-8</v>
          </cell>
          <cell r="D38">
            <v>1.11E-6</v>
          </cell>
          <cell r="E38">
            <v>9.9999999999999995E-8</v>
          </cell>
          <cell r="F38">
            <v>1.0571428571428571E-8</v>
          </cell>
          <cell r="G38">
            <v>1.7999999999999999E-6</v>
          </cell>
        </row>
        <row r="39">
          <cell r="A39" t="str">
            <v>Benzo(g,h,i)perylene</v>
          </cell>
          <cell r="C39">
            <v>4.89E-7</v>
          </cell>
          <cell r="D39">
            <v>5.5599999999999995E-7</v>
          </cell>
          <cell r="E39">
            <v>9.2999999999999999E-8</v>
          </cell>
          <cell r="F39">
            <v>1.6142857142857141E-8</v>
          </cell>
          <cell r="G39">
            <v>1.1999999999999999E-6</v>
          </cell>
        </row>
        <row r="40">
          <cell r="A40" t="str">
            <v>Benzo(k)fluoranthene</v>
          </cell>
          <cell r="C40">
            <v>1.55E-7</v>
          </cell>
          <cell r="D40">
            <v>2.1799999999999999E-7</v>
          </cell>
          <cell r="E40">
            <v>3.5999999999999998E-8</v>
          </cell>
          <cell r="F40">
            <v>1.0571428571428571E-8</v>
          </cell>
          <cell r="G40">
            <v>1.7999999999999999E-6</v>
          </cell>
        </row>
        <row r="41">
          <cell r="A41" t="str">
            <v>Benzyl chloride</v>
          </cell>
          <cell r="B41" t="str">
            <v>HAP</v>
          </cell>
        </row>
        <row r="42">
          <cell r="A42" t="str">
            <v>Beryllium Compounds</v>
          </cell>
          <cell r="B42" t="str">
            <v>HAP</v>
          </cell>
          <cell r="C42">
            <v>3.1E-7</v>
          </cell>
          <cell r="D42">
            <v>3.1E-7</v>
          </cell>
          <cell r="E42">
            <v>1.1000000000000001E-6</v>
          </cell>
          <cell r="F42">
            <v>3.0000000000000001E-6</v>
          </cell>
          <cell r="G42">
            <v>1.2E-5</v>
          </cell>
        </row>
        <row r="43">
          <cell r="A43" t="str">
            <v>Biphenyl</v>
          </cell>
          <cell r="B43" t="str">
            <v>HAP</v>
          </cell>
        </row>
        <row r="44">
          <cell r="A44" t="str">
            <v>Bis(2-ethlyhexyl)pthalate (DEHP)</v>
          </cell>
          <cell r="B44" t="str">
            <v>HAP</v>
          </cell>
          <cell r="E44">
            <v>4.6999999999999997E-8</v>
          </cell>
        </row>
        <row r="45">
          <cell r="A45" t="str">
            <v>Boron Compounds</v>
          </cell>
        </row>
        <row r="46">
          <cell r="A46" t="str">
            <v>Bromoform</v>
          </cell>
          <cell r="B46" t="str">
            <v>HAP</v>
          </cell>
        </row>
        <row r="47">
          <cell r="A47" t="str">
            <v>1,3 Butadiene</v>
          </cell>
          <cell r="B47" t="str">
            <v>HAP</v>
          </cell>
          <cell r="C47">
            <v>3.9100000000000002E-5</v>
          </cell>
        </row>
        <row r="48">
          <cell r="A48" t="str">
            <v>Butane</v>
          </cell>
          <cell r="G48">
            <v>2.1</v>
          </cell>
        </row>
        <row r="49">
          <cell r="A49" t="str">
            <v>Cadmium Compounds</v>
          </cell>
          <cell r="B49" t="str">
            <v>HAP</v>
          </cell>
          <cell r="C49">
            <v>4.7999999999999998E-6</v>
          </cell>
          <cell r="D49">
            <v>4.7999999999999998E-6</v>
          </cell>
          <cell r="E49">
            <v>4.0999999999999997E-6</v>
          </cell>
          <cell r="F49">
            <v>3.0000000000000001E-6</v>
          </cell>
          <cell r="G49">
            <v>1.1000000000000001E-3</v>
          </cell>
        </row>
        <row r="50">
          <cell r="A50" t="str">
            <v>Calcium Carbonate</v>
          </cell>
        </row>
        <row r="51">
          <cell r="A51" t="str">
            <v>Calcium Compounds</v>
          </cell>
        </row>
        <row r="52">
          <cell r="A52" t="str">
            <v>Calcium oxide</v>
          </cell>
        </row>
        <row r="53">
          <cell r="A53" t="str">
            <v>Carbon disulfide</v>
          </cell>
          <cell r="B53" t="str">
            <v>HAP</v>
          </cell>
        </row>
        <row r="54">
          <cell r="A54" t="str">
            <v>Carbon Monoxide</v>
          </cell>
        </row>
        <row r="55">
          <cell r="A55" t="str">
            <v>Chloride salts</v>
          </cell>
        </row>
        <row r="56">
          <cell r="A56" t="str">
            <v>Chlorine, Chlorides</v>
          </cell>
          <cell r="B56" t="str">
            <v>HAP</v>
          </cell>
          <cell r="E56">
            <v>7.9000000000000001E-4</v>
          </cell>
        </row>
        <row r="57">
          <cell r="A57" t="str">
            <v>2-Chloroacetophenone</v>
          </cell>
          <cell r="B57" t="str">
            <v>HAP</v>
          </cell>
        </row>
        <row r="58">
          <cell r="A58" t="str">
            <v>Chlorobenzene</v>
          </cell>
          <cell r="B58" t="str">
            <v>HAP</v>
          </cell>
          <cell r="E58">
            <v>3.3000000000000003E-5</v>
          </cell>
        </row>
        <row r="59">
          <cell r="A59" t="str">
            <v>Chloroform</v>
          </cell>
          <cell r="B59" t="str">
            <v>HAP</v>
          </cell>
          <cell r="E59">
            <v>2.8E-5</v>
          </cell>
        </row>
        <row r="60">
          <cell r="A60" t="str">
            <v>5-Chloro-2-methyl-4-isothiazolin-3-one</v>
          </cell>
        </row>
        <row r="61">
          <cell r="A61" t="str">
            <v>Chromium Compounds</v>
          </cell>
          <cell r="B61" t="str">
            <v>HAP</v>
          </cell>
          <cell r="C61">
            <v>1.1E-5</v>
          </cell>
          <cell r="D61">
            <v>1.1E-5</v>
          </cell>
          <cell r="E61">
            <v>2.0999999999999999E-5</v>
          </cell>
          <cell r="F61">
            <v>3.0000000000000001E-6</v>
          </cell>
          <cell r="G61">
            <v>1.4E-3</v>
          </cell>
        </row>
        <row r="62">
          <cell r="A62" t="str">
            <v>Chromium total</v>
          </cell>
          <cell r="C62">
            <v>1.1E-5</v>
          </cell>
          <cell r="D62">
            <v>1.1E-5</v>
          </cell>
          <cell r="E62">
            <v>2.0999999999999999E-5</v>
          </cell>
        </row>
        <row r="63">
          <cell r="A63" t="str">
            <v>Chromium (III)</v>
          </cell>
          <cell r="E63">
            <v>1.7499999999999998E-5</v>
          </cell>
        </row>
        <row r="64">
          <cell r="A64" t="str">
            <v>Chromium (VI)</v>
          </cell>
          <cell r="E64">
            <v>3.4999999999999999E-6</v>
          </cell>
        </row>
        <row r="65">
          <cell r="A65" t="str">
            <v>Chrysene</v>
          </cell>
          <cell r="C65">
            <v>3.53E-7</v>
          </cell>
          <cell r="D65">
            <v>1.53E-6</v>
          </cell>
          <cell r="E65">
            <v>3.8000000000000003E-8</v>
          </cell>
          <cell r="F65">
            <v>1.7E-8</v>
          </cell>
          <cell r="G65">
            <v>1.7999999999999999E-6</v>
          </cell>
        </row>
        <row r="66">
          <cell r="A66" t="str">
            <v>Cobalt Compounds</v>
          </cell>
          <cell r="B66" t="str">
            <v>HAP</v>
          </cell>
          <cell r="E66">
            <v>6.4999999999999996E-6</v>
          </cell>
          <cell r="G66">
            <v>8.3999999999999995E-5</v>
          </cell>
        </row>
        <row r="67">
          <cell r="A67" t="str">
            <v>Copper Compounds</v>
          </cell>
          <cell r="E67">
            <v>4.8999999999999998E-5</v>
          </cell>
          <cell r="F67">
            <v>6.0000000000000002E-6</v>
          </cell>
          <cell r="G67">
            <v>8.4999999999999995E-4</v>
          </cell>
        </row>
        <row r="68">
          <cell r="A68" t="str">
            <v>Cumene</v>
          </cell>
          <cell r="B68" t="str">
            <v>HAP</v>
          </cell>
        </row>
        <row r="69">
          <cell r="A69" t="str">
            <v>Cyanide</v>
          </cell>
          <cell r="B69" t="str">
            <v>HAP</v>
          </cell>
        </row>
        <row r="70">
          <cell r="A70" t="str">
            <v>Dibenzo(a,h)anthracene</v>
          </cell>
          <cell r="C70">
            <v>5.8299999999999997E-7</v>
          </cell>
          <cell r="D70">
            <v>3.46E-7</v>
          </cell>
          <cell r="E70">
            <v>9.1000000000000004E-9</v>
          </cell>
          <cell r="F70">
            <v>1.192857142857143E-8</v>
          </cell>
          <cell r="G70">
            <v>1.1999999999999999E-6</v>
          </cell>
        </row>
        <row r="71">
          <cell r="A71" t="str">
            <v>Dichlorobenzenes</v>
          </cell>
          <cell r="B71" t="str">
            <v>HAP</v>
          </cell>
          <cell r="G71">
            <v>1.1999999999999999E-3</v>
          </cell>
        </row>
        <row r="72">
          <cell r="A72" t="str">
            <v>Dimethylbenz(a)anthracene, 7,12-</v>
          </cell>
          <cell r="G72">
            <v>1.5999999999999999E-5</v>
          </cell>
        </row>
        <row r="73">
          <cell r="A73" t="str">
            <v>Dimethly Sulfate</v>
          </cell>
          <cell r="B73" t="str">
            <v>HAP</v>
          </cell>
        </row>
        <row r="74">
          <cell r="A74" t="str">
            <v>2,4-Dinitrotoluene</v>
          </cell>
          <cell r="B74" t="str">
            <v>HAP</v>
          </cell>
        </row>
        <row r="75">
          <cell r="A75" t="str">
            <v>Ethane</v>
          </cell>
          <cell r="G75">
            <v>3.1</v>
          </cell>
        </row>
        <row r="76">
          <cell r="A76" t="str">
            <v>Ethyl benzene</v>
          </cell>
          <cell r="B76" t="str">
            <v>HAP</v>
          </cell>
          <cell r="E76">
            <v>3.1000000000000001E-5</v>
          </cell>
          <cell r="F76">
            <v>4.5428571428571426E-7</v>
          </cell>
        </row>
        <row r="77">
          <cell r="A77" t="str">
            <v>Ethyl chloride</v>
          </cell>
          <cell r="B77" t="str">
            <v>HAP</v>
          </cell>
        </row>
        <row r="78">
          <cell r="A78" t="str">
            <v>Ethylene dibromide</v>
          </cell>
          <cell r="B78" t="str">
            <v>HAP</v>
          </cell>
        </row>
        <row r="79">
          <cell r="A79" t="str">
            <v>Ethylene dichloride</v>
          </cell>
          <cell r="B79" t="str">
            <v>HAP</v>
          </cell>
        </row>
        <row r="80">
          <cell r="A80" t="str">
            <v>Fluoranthene</v>
          </cell>
          <cell r="C80">
            <v>7.61E-6</v>
          </cell>
          <cell r="D80">
            <v>4.0300000000000004E-6</v>
          </cell>
          <cell r="E80">
            <v>1.5999999999999999E-6</v>
          </cell>
          <cell r="F80">
            <v>3.4571428571428573E-8</v>
          </cell>
          <cell r="G80">
            <v>3.0000000000000001E-6</v>
          </cell>
        </row>
        <row r="81">
          <cell r="A81" t="str">
            <v>Fluorene</v>
          </cell>
          <cell r="C81">
            <v>2.9200000000000002E-5</v>
          </cell>
          <cell r="D81">
            <v>1.2799999999999999E-5</v>
          </cell>
          <cell r="E81">
            <v>3.4000000000000001E-6</v>
          </cell>
          <cell r="F81">
            <v>3.1928571428571434E-8</v>
          </cell>
          <cell r="G81">
            <v>2.7999999999999999E-6</v>
          </cell>
        </row>
        <row r="82">
          <cell r="A82" t="str">
            <v>Dichlorotolyltriazole</v>
          </cell>
        </row>
        <row r="83">
          <cell r="A83" t="str">
            <v>Ferro niobium</v>
          </cell>
        </row>
        <row r="84">
          <cell r="A84" t="str">
            <v>Flourine, Flourides</v>
          </cell>
        </row>
        <row r="85">
          <cell r="A85" t="str">
            <v>Fluoride Salts</v>
          </cell>
        </row>
        <row r="86">
          <cell r="A86" t="str">
            <v>Formaldehyde</v>
          </cell>
          <cell r="B86" t="str">
            <v>HAP</v>
          </cell>
          <cell r="C86">
            <v>1.1800000000000001E-3</v>
          </cell>
          <cell r="D86">
            <v>7.8899999999999993E-5</v>
          </cell>
          <cell r="E86">
            <v>4.4000000000000003E-3</v>
          </cell>
          <cell r="F86">
            <v>2.3571428571428571E-4</v>
          </cell>
          <cell r="G86">
            <v>7.4999999999999997E-2</v>
          </cell>
        </row>
        <row r="87">
          <cell r="A87" t="str">
            <v>Hexane</v>
          </cell>
          <cell r="B87" t="str">
            <v>HAP</v>
          </cell>
          <cell r="G87">
            <v>1.8</v>
          </cell>
        </row>
        <row r="88">
          <cell r="A88" t="str">
            <v>Hydrogen Chloride (as Cl)</v>
          </cell>
          <cell r="B88" t="str">
            <v>HAP</v>
          </cell>
          <cell r="E88">
            <v>1.9E-2</v>
          </cell>
        </row>
        <row r="89">
          <cell r="A89" t="str">
            <v>hydrogen cyanide</v>
          </cell>
          <cell r="B89" t="str">
            <v>HAP</v>
          </cell>
        </row>
        <row r="90">
          <cell r="A90" t="str">
            <v>Hydrogen Fluoride (as F)</v>
          </cell>
          <cell r="B90" t="str">
            <v>HAP</v>
          </cell>
        </row>
        <row r="91">
          <cell r="A91" t="str">
            <v>Indeno(1,2,3-cd)pyrene</v>
          </cell>
          <cell r="C91">
            <v>3.7500000000000001E-7</v>
          </cell>
          <cell r="D91">
            <v>4.1399999999999997E-7</v>
          </cell>
          <cell r="E91">
            <v>8.6999999999999998E-8</v>
          </cell>
          <cell r="F91">
            <v>1.5285714285714285E-8</v>
          </cell>
          <cell r="G91">
            <v>1.7999999999999999E-6</v>
          </cell>
        </row>
        <row r="92">
          <cell r="A92" t="str">
            <v>Iron Compounds</v>
          </cell>
          <cell r="E92">
            <v>9.8999999999999999E-4</v>
          </cell>
        </row>
        <row r="93">
          <cell r="A93" t="str">
            <v xml:space="preserve">Iron II </v>
          </cell>
        </row>
        <row r="94">
          <cell r="A94" t="str">
            <v>Iron III Oxide</v>
          </cell>
        </row>
        <row r="95">
          <cell r="A95" t="str">
            <v>Isophorone</v>
          </cell>
          <cell r="B95" t="str">
            <v>HAP</v>
          </cell>
        </row>
        <row r="96">
          <cell r="A96" t="str">
            <v>Isoparafinic petroleum distillate</v>
          </cell>
        </row>
        <row r="97">
          <cell r="A97" t="str">
            <v>Lead Compounds</v>
          </cell>
          <cell r="B97" t="str">
            <v>HAP</v>
          </cell>
          <cell r="C97">
            <v>1.4E-5</v>
          </cell>
          <cell r="D97">
            <v>1.4E-5</v>
          </cell>
          <cell r="E97">
            <v>4.8000000000000001E-5</v>
          </cell>
          <cell r="F97">
            <v>9.0000000000000002E-6</v>
          </cell>
          <cell r="G97">
            <v>5.0000000000000001E-4</v>
          </cell>
        </row>
        <row r="98">
          <cell r="A98" t="str">
            <v>Lithium Compounds</v>
          </cell>
        </row>
        <row r="99">
          <cell r="A99" t="str">
            <v>Magnesium Compounds</v>
          </cell>
        </row>
        <row r="100">
          <cell r="A100" t="str">
            <v>Magnesium nitrate</v>
          </cell>
        </row>
        <row r="101">
          <cell r="A101" t="str">
            <v>Magnesium oxide</v>
          </cell>
        </row>
        <row r="102">
          <cell r="A102" t="str">
            <v>Manganese Compounds</v>
          </cell>
          <cell r="B102" t="str">
            <v>HAP</v>
          </cell>
          <cell r="C102">
            <v>7.9000000000000001E-4</v>
          </cell>
          <cell r="D102">
            <v>7.9000000000000001E-4</v>
          </cell>
          <cell r="E102">
            <v>1.6000000000000001E-3</v>
          </cell>
          <cell r="F102">
            <v>6.0000000000000002E-6</v>
          </cell>
          <cell r="G102">
            <v>3.8000000000000002E-4</v>
          </cell>
        </row>
        <row r="103">
          <cell r="A103" t="str">
            <v>Manganese Dioxide</v>
          </cell>
        </row>
        <row r="104">
          <cell r="A104" t="str">
            <v>Mercury Compounds</v>
          </cell>
          <cell r="B104" t="str">
            <v>HAP</v>
          </cell>
          <cell r="C104">
            <v>1.1999999999999999E-6</v>
          </cell>
          <cell r="D104">
            <v>1.1999999999999999E-6</v>
          </cell>
          <cell r="E104">
            <v>3.4999999999999999E-6</v>
          </cell>
          <cell r="F104">
            <v>3.0000000000000001E-6</v>
          </cell>
          <cell r="G104">
            <v>2.5999999999999998E-4</v>
          </cell>
        </row>
        <row r="105">
          <cell r="A105" t="str">
            <v>Methyl bromide</v>
          </cell>
          <cell r="B105" t="str">
            <v>HAP</v>
          </cell>
        </row>
        <row r="106">
          <cell r="A106" t="str">
            <v>Methyl chloride</v>
          </cell>
          <cell r="B106" t="str">
            <v>HAP</v>
          </cell>
          <cell r="E106">
            <v>2.3E-5</v>
          </cell>
        </row>
        <row r="107">
          <cell r="A107" t="str">
            <v>Methylcholanthrene, 3-</v>
          </cell>
          <cell r="G107">
            <v>1.7999999999999999E-6</v>
          </cell>
        </row>
        <row r="108">
          <cell r="A108" t="str">
            <v>Methylene chloride</v>
          </cell>
          <cell r="B108" t="str">
            <v>HAP</v>
          </cell>
          <cell r="E108">
            <v>2.9E-4</v>
          </cell>
        </row>
        <row r="109">
          <cell r="A109" t="str">
            <v>5-Methyl chrysene</v>
          </cell>
        </row>
        <row r="110">
          <cell r="A110" t="str">
            <v>Methyl ethyl ketone</v>
          </cell>
          <cell r="B110" t="str">
            <v>HAP</v>
          </cell>
          <cell r="E110">
            <v>5.4E-6</v>
          </cell>
        </row>
        <row r="111">
          <cell r="A111" t="str">
            <v>Methyl hydrazine</v>
          </cell>
          <cell r="B111" t="str">
            <v>HAP</v>
          </cell>
        </row>
        <row r="112">
          <cell r="A112" t="str">
            <v>Methyl methacrylate</v>
          </cell>
          <cell r="B112" t="str">
            <v>HAP</v>
          </cell>
        </row>
        <row r="113">
          <cell r="A113" t="str">
            <v>Methylnapthalene, 2-</v>
          </cell>
          <cell r="G113">
            <v>2.4000000000000001E-5</v>
          </cell>
        </row>
        <row r="114">
          <cell r="A114" t="str">
            <v>Methyl tert butyl ether</v>
          </cell>
          <cell r="B114" t="str">
            <v>HAP</v>
          </cell>
        </row>
        <row r="115">
          <cell r="A115" t="str">
            <v>Molybdenum Compounds</v>
          </cell>
          <cell r="E115">
            <v>2.0999999999999998E-6</v>
          </cell>
          <cell r="G115">
            <v>1.1000000000000001E-3</v>
          </cell>
        </row>
        <row r="116">
          <cell r="A116" t="str">
            <v>Naphthalene</v>
          </cell>
          <cell r="B116" t="str">
            <v>HAP</v>
          </cell>
          <cell r="C116">
            <v>8.4800000000000001E-5</v>
          </cell>
          <cell r="D116">
            <v>1.2999999999999999E-4</v>
          </cell>
          <cell r="E116">
            <v>9.7E-5</v>
          </cell>
          <cell r="F116">
            <v>8.0714285714285689E-6</v>
          </cell>
          <cell r="G116">
            <v>6.0999999999999997E-4</v>
          </cell>
        </row>
        <row r="117">
          <cell r="A117" t="str">
            <v>Nickel Compounds</v>
          </cell>
          <cell r="B117" t="str">
            <v>HAP</v>
          </cell>
          <cell r="C117">
            <v>4.6E-6</v>
          </cell>
          <cell r="D117">
            <v>4.6E-6</v>
          </cell>
          <cell r="E117">
            <v>3.3000000000000003E-5</v>
          </cell>
          <cell r="F117">
            <v>3.0000000000000001E-6</v>
          </cell>
          <cell r="G117">
            <v>2.0999999999999999E-3</v>
          </cell>
        </row>
        <row r="118">
          <cell r="A118" t="str">
            <v>Nitrogen dioxide (1-hour)</v>
          </cell>
        </row>
        <row r="119">
          <cell r="A119" t="str">
            <v>Pentane</v>
          </cell>
          <cell r="G119">
            <v>2.6</v>
          </cell>
        </row>
        <row r="120">
          <cell r="A120" t="str">
            <v>Phenanthrene</v>
          </cell>
          <cell r="C120">
            <v>2.94E-5</v>
          </cell>
          <cell r="D120">
            <v>4.0800000000000002E-5</v>
          </cell>
          <cell r="E120">
            <v>6.9999999999999999E-6</v>
          </cell>
          <cell r="F120">
            <v>7.4999999999999997E-8</v>
          </cell>
          <cell r="G120">
            <v>1.7E-5</v>
          </cell>
        </row>
        <row r="121">
          <cell r="A121" t="str">
            <v>Phenol</v>
          </cell>
          <cell r="B121" t="str">
            <v>HAP</v>
          </cell>
          <cell r="E121">
            <v>5.1E-5</v>
          </cell>
        </row>
        <row r="122">
          <cell r="A122" t="str">
            <v>Phosphorous Compounds</v>
          </cell>
          <cell r="B122" t="str">
            <v>HAP</v>
          </cell>
          <cell r="E122">
            <v>2.6999999999999999E-5</v>
          </cell>
        </row>
        <row r="123">
          <cell r="A123" t="str">
            <v>Phosphorous Total</v>
          </cell>
        </row>
        <row r="124">
          <cell r="A124" t="str">
            <v>Potassium Compounds</v>
          </cell>
          <cell r="E124">
            <v>3.9E-2</v>
          </cell>
        </row>
        <row r="125">
          <cell r="A125" t="str">
            <v>Propane</v>
          </cell>
          <cell r="G125">
            <v>1.6</v>
          </cell>
        </row>
        <row r="126">
          <cell r="A126" t="str">
            <v>Propionaldehyde</v>
          </cell>
          <cell r="B126" t="str">
            <v>HAP</v>
          </cell>
          <cell r="E126">
            <v>6.0999999999999999E-5</v>
          </cell>
        </row>
        <row r="127">
          <cell r="A127" t="str">
            <v>Potassium Oxide</v>
          </cell>
        </row>
        <row r="128">
          <cell r="A128" t="str">
            <v>Propylene</v>
          </cell>
          <cell r="C128">
            <v>2.5799999999999998E-3</v>
          </cell>
          <cell r="D128">
            <v>2.7899999999999999E-3</v>
          </cell>
        </row>
        <row r="129">
          <cell r="A129" t="str">
            <v>Pyrene</v>
          </cell>
          <cell r="C129">
            <v>4.78E-6</v>
          </cell>
          <cell r="D129">
            <v>3.7100000000000001E-6</v>
          </cell>
          <cell r="E129">
            <v>3.7000000000000002E-6</v>
          </cell>
          <cell r="F129">
            <v>3.0357142857142859E-8</v>
          </cell>
          <cell r="G129">
            <v>5.0000000000000004E-6</v>
          </cell>
        </row>
        <row r="130">
          <cell r="A130" t="str">
            <v>Selenium Compounds</v>
          </cell>
          <cell r="B130" t="str">
            <v>HAP</v>
          </cell>
          <cell r="C130">
            <v>2.5000000000000001E-5</v>
          </cell>
          <cell r="D130">
            <v>2.5000000000000001E-5</v>
          </cell>
          <cell r="E130">
            <v>2.7999999999999999E-6</v>
          </cell>
          <cell r="F130">
            <v>1.5E-5</v>
          </cell>
          <cell r="G130">
            <v>2.4000000000000001E-5</v>
          </cell>
        </row>
        <row r="131">
          <cell r="A131" t="str">
            <v>Silicon Compounds</v>
          </cell>
        </row>
        <row r="132">
          <cell r="A132" t="str">
            <v>Silicon Dioxide</v>
          </cell>
        </row>
        <row r="133">
          <cell r="A133" t="str">
            <v>Silver Compounds</v>
          </cell>
          <cell r="E133">
            <v>1.7E-5</v>
          </cell>
        </row>
        <row r="134">
          <cell r="A134" t="str">
            <v>Sodium Carbonate</v>
          </cell>
        </row>
        <row r="135">
          <cell r="A135" t="str">
            <v>Sodium Compounds</v>
          </cell>
          <cell r="E135">
            <v>3.6000000000000002E-4</v>
          </cell>
        </row>
        <row r="136">
          <cell r="A136" t="str">
            <v>Sodium Molybdate</v>
          </cell>
        </row>
        <row r="137">
          <cell r="A137" t="str">
            <v>Sodium Nitrate</v>
          </cell>
        </row>
        <row r="138">
          <cell r="A138" t="str">
            <v>Sodium Oxide</v>
          </cell>
        </row>
        <row r="139">
          <cell r="A139" t="str">
            <v>Sodium Tolytriazole</v>
          </cell>
        </row>
        <row r="140">
          <cell r="A140" t="str">
            <v>Strontium Compounds</v>
          </cell>
          <cell r="E140">
            <v>1.0000000000000001E-5</v>
          </cell>
        </row>
        <row r="141">
          <cell r="A141" t="str">
            <v>Styrene</v>
          </cell>
          <cell r="B141" t="str">
            <v>HAP</v>
          </cell>
          <cell r="E141">
            <v>1.9E-3</v>
          </cell>
        </row>
        <row r="142">
          <cell r="A142" t="str">
            <v>Sulfur Compounds</v>
          </cell>
          <cell r="C142">
            <v>8.6999999999999994E-3</v>
          </cell>
          <cell r="D142">
            <v>1.5150000000000001E-3</v>
          </cell>
          <cell r="G142">
            <v>5.9999999999999995E-4</v>
          </cell>
        </row>
        <row r="143">
          <cell r="A143" t="str">
            <v>Sulfur Dioxide</v>
          </cell>
        </row>
        <row r="144">
          <cell r="A144" t="str">
            <v>Sulfuric Acid</v>
          </cell>
          <cell r="C144">
            <v>1.2999999999999999E-4</v>
          </cell>
          <cell r="D144">
            <v>1.2999999999999999E-4</v>
          </cell>
        </row>
        <row r="145">
          <cell r="A145" t="str">
            <v>Tetrachloroethylene</v>
          </cell>
          <cell r="B145" t="str">
            <v>HAP</v>
          </cell>
        </row>
        <row r="146">
          <cell r="A146" t="str">
            <v>Thallium</v>
          </cell>
        </row>
        <row r="147">
          <cell r="A147" t="str">
            <v>Tin Compounds</v>
          </cell>
          <cell r="E147">
            <v>2.3E-5</v>
          </cell>
        </row>
        <row r="148">
          <cell r="A148" t="str">
            <v>Titanium Compounds</v>
          </cell>
          <cell r="E148">
            <v>2.0000000000000002E-5</v>
          </cell>
        </row>
        <row r="149">
          <cell r="A149" t="str">
            <v>Toluene</v>
          </cell>
          <cell r="B149" t="str">
            <v>HAP</v>
          </cell>
          <cell r="C149">
            <v>4.0900000000000002E-4</v>
          </cell>
          <cell r="D149">
            <v>2.81E-4</v>
          </cell>
          <cell r="E149">
            <v>9.2000000000000003E-4</v>
          </cell>
          <cell r="F149">
            <v>4.4285714285714283E-5</v>
          </cell>
          <cell r="G149">
            <v>3.3999999999999998E-3</v>
          </cell>
        </row>
        <row r="150">
          <cell r="A150" t="str">
            <v>Titanium Dioxide</v>
          </cell>
        </row>
        <row r="151">
          <cell r="A151" t="str">
            <v>Trichloroethane</v>
          </cell>
          <cell r="B151" t="str">
            <v>HAP</v>
          </cell>
          <cell r="E151">
            <v>3.1000000000000001E-5</v>
          </cell>
          <cell r="F151">
            <v>1.6857142857142856E-6</v>
          </cell>
        </row>
        <row r="152">
          <cell r="A152" t="str">
            <v>Vanadium Compounds</v>
          </cell>
          <cell r="E152">
            <v>9.7999999999999993E-7</v>
          </cell>
          <cell r="G152">
            <v>2.3E-3</v>
          </cell>
        </row>
        <row r="153">
          <cell r="A153" t="str">
            <v>Vinyl acetate</v>
          </cell>
          <cell r="B153" t="str">
            <v>HAP</v>
          </cell>
        </row>
        <row r="154">
          <cell r="A154" t="str">
            <v>Xylene</v>
          </cell>
          <cell r="B154" t="str">
            <v>HAP</v>
          </cell>
          <cell r="C154">
            <v>2.8499999999999999E-4</v>
          </cell>
          <cell r="D154">
            <v>1.93E-4</v>
          </cell>
          <cell r="F154">
            <v>7.785714285714286E-7</v>
          </cell>
        </row>
        <row r="155">
          <cell r="A155" t="str">
            <v>Zinc Compounds</v>
          </cell>
          <cell r="E155">
            <v>4.2000000000000002E-4</v>
          </cell>
          <cell r="F155">
            <v>3.9999999999999998E-6</v>
          </cell>
          <cell r="G155">
            <v>2.9000000000000001E-2</v>
          </cell>
        </row>
        <row r="156">
          <cell r="A156" t="str">
            <v>Polycyclic Organic Material</v>
          </cell>
        </row>
        <row r="157">
          <cell r="A157" t="str">
            <v>Total COPI</v>
          </cell>
          <cell r="G157" t="str">
            <v>Total COPI</v>
          </cell>
        </row>
        <row r="158">
          <cell r="A158" t="str">
            <v>Dioxin/Furan</v>
          </cell>
          <cell r="C158">
            <v>9.4285714285714283E-11</v>
          </cell>
          <cell r="D158">
            <v>9.4285714285714283E-11</v>
          </cell>
          <cell r="E158">
            <v>8.5999999999999997E-12</v>
          </cell>
          <cell r="G158">
            <v>3.4999999999999999E-9</v>
          </cell>
        </row>
        <row r="159">
          <cell r="A159" t="str">
            <v>PAH</v>
          </cell>
        </row>
        <row r="161">
          <cell r="A161" t="str">
            <v>Total HAP</v>
          </cell>
          <cell r="G161" t="str">
            <v>Total HAP</v>
          </cell>
        </row>
        <row r="163">
          <cell r="A163" t="str">
            <v>Notes:</v>
          </cell>
        </row>
        <row r="164">
          <cell r="A164" t="str">
            <v xml:space="preserve">[1]  AP-42, 7/98, Tables 1.4-3 and 1.4-4. </v>
          </cell>
        </row>
        <row r="165">
          <cell r="A165" t="str">
            <v>[1a]  AP-42, 10/96, Table 3.3-2. Speciated Organic Compound Emission Factors for Uncontrolled Diesel Engines.  Metallic emission factors from AP-42 Chapter 3.1 Table 3.1-5 "Emission Factors for Metallic Hazardous Air Pollutants From Distillate Oil-Fired S</v>
          </cell>
        </row>
        <row r="166">
          <cell r="A166" t="str">
            <v>[1b]  AP-42, 10/96, Tables 3.4-3 and 3.4-4.  Emission Factors for Large Uncontrolled Stationary Diesel Engines</v>
          </cell>
        </row>
        <row r="167">
          <cell r="A167" t="str">
            <v>[2]  AP-42, 10/96, Tables 3.4-3 and 3.4-4.  Emission Factors for Large Uncontrolled Stationary Diesel Engines</v>
          </cell>
        </row>
        <row r="168">
          <cell r="A168" t="str">
            <v>[3]  Coal combustion, AP-42, September 1998, Section 1.1, Table 1.1-14, Table 1.1-17 (POM), Table 1.1-15 (HCl), Table 1.1-13 (PAHs), Table 1.1-18 (Trace Metals)</v>
          </cell>
        </row>
        <row r="169">
          <cell r="A169" t="str">
            <v>[4]  Fuel Oil Combustion, AP-42, September 1998, Section 1.3, Table 1.3-9 and Table 1.3-10</v>
          </cell>
        </row>
        <row r="170">
          <cell r="A170" t="str">
            <v>[5]  Wood Combustion, AP-42, September 2003, Section 1.6, Tables 1.6-3 and 1.6-4</v>
          </cell>
        </row>
        <row r="171">
          <cell r="A171" t="str">
            <v>[6]  2 rows below the emission unit numbers are the mmcf of natural gas for the natural gas sources and MMBtu for the diesel/oil/biomass sources.  Maximum rates based on May 2008 Metso simulations (NG/Biomass capacity for NG/Biomass/Oil, Coal only for Coa</v>
          </cell>
        </row>
        <row r="172">
          <cell r="A172" t="str">
            <v>[7]  The kiln has extremely high temperatures (&gt;2000 F) and will act as a thermal oxidizer for organic control.  MN Rule 7011.0700 specifies 97% control for VOC control.</v>
          </cell>
        </row>
        <row r="173">
          <cell r="A173" t="str">
            <v>[8]  The kiln assumes 97% control for specified organics.  See Reference 7.</v>
          </cell>
        </row>
        <row r="174">
          <cell r="A174" t="str">
            <v>NOTE: Highlighted background, look to the comments following the table for explanation of different calculations.</v>
          </cell>
        </row>
        <row r="188">
          <cell r="A188" t="str">
            <v>Hourly (lb/hr)</v>
          </cell>
        </row>
        <row r="189">
          <cell r="A189" t="str">
            <v>Chemical Name</v>
          </cell>
          <cell r="C189" t="str">
            <v>Emission Factor
Small Diesel</v>
          </cell>
          <cell r="D189" t="str">
            <v>Emission Factor
Large Diesel</v>
          </cell>
          <cell r="E189" t="str">
            <v>Emission Factor
Wood/Biomass</v>
          </cell>
          <cell r="F189" t="str">
            <v>Emission Factor
Oil</v>
          </cell>
          <cell r="G189" t="str">
            <v>Emission Factor
NG</v>
          </cell>
        </row>
        <row r="192">
          <cell r="C192" t="str">
            <v xml:space="preserve"> [1a]</v>
          </cell>
          <cell r="D192" t="str">
            <v xml:space="preserve"> [1b]</v>
          </cell>
          <cell r="E192" t="str">
            <v xml:space="preserve"> [3]</v>
          </cell>
          <cell r="F192" t="str">
            <v xml:space="preserve"> [4]</v>
          </cell>
          <cell r="G192" t="str">
            <v xml:space="preserve"> [1]</v>
          </cell>
        </row>
        <row r="193">
          <cell r="C193" t="str">
            <v>(lb/MMBtu)</v>
          </cell>
          <cell r="D193" t="str">
            <v>(lb/MMBtu)</v>
          </cell>
          <cell r="E193" t="str">
            <v>(lb/MMBtu)</v>
          </cell>
          <cell r="F193" t="str">
            <v>(lb/MMBtu)</v>
          </cell>
          <cell r="G193" t="str">
            <v>(lb/MM cf)</v>
          </cell>
        </row>
        <row r="194">
          <cell r="B194" t="str">
            <v>HAP</v>
          </cell>
        </row>
        <row r="195">
          <cell r="A195" t="str">
            <v>Acenaphthene</v>
          </cell>
          <cell r="C195">
            <v>1.42E-6</v>
          </cell>
          <cell r="D195">
            <v>4.6800000000000001E-6</v>
          </cell>
          <cell r="E195">
            <v>9.0999999999999997E-7</v>
          </cell>
          <cell r="F195">
            <v>1.5071428571428572E-7</v>
          </cell>
          <cell r="G195">
            <v>1.7999999999999999E-6</v>
          </cell>
        </row>
        <row r="196">
          <cell r="A196" t="str">
            <v>Acenaphthylene</v>
          </cell>
          <cell r="C196">
            <v>5.0599999999999998E-6</v>
          </cell>
          <cell r="D196">
            <v>9.2299999999999997E-6</v>
          </cell>
          <cell r="E196">
            <v>5.0000000000000004E-6</v>
          </cell>
          <cell r="F196">
            <v>1.8071428571428571E-9</v>
          </cell>
          <cell r="G196">
            <v>1.7999999999999999E-6</v>
          </cell>
        </row>
        <row r="197">
          <cell r="A197" t="str">
            <v>Acetaldehyde</v>
          </cell>
          <cell r="B197" t="str">
            <v>HAP</v>
          </cell>
          <cell r="C197">
            <v>7.67E-4</v>
          </cell>
          <cell r="D197">
            <v>2.5199999999999999E-5</v>
          </cell>
          <cell r="E197">
            <v>8.3000000000000001E-4</v>
          </cell>
        </row>
        <row r="198">
          <cell r="A198" t="str">
            <v>Acetophenone</v>
          </cell>
          <cell r="E198">
            <v>3.2000000000000001E-9</v>
          </cell>
        </row>
        <row r="199">
          <cell r="A199" t="str">
            <v>Acrolein</v>
          </cell>
          <cell r="B199" t="str">
            <v>HAP</v>
          </cell>
          <cell r="C199">
            <v>9.2499999999999999E-5</v>
          </cell>
          <cell r="D199">
            <v>7.8800000000000008E-6</v>
          </cell>
          <cell r="E199">
            <v>4.0000000000000001E-3</v>
          </cell>
        </row>
        <row r="200">
          <cell r="A200" t="str">
            <v>Aluminum Compounds</v>
          </cell>
        </row>
        <row r="201">
          <cell r="A201" t="str">
            <v>Anthracene</v>
          </cell>
          <cell r="C201">
            <v>1.8700000000000001E-6</v>
          </cell>
          <cell r="D201">
            <v>1.2300000000000001E-6</v>
          </cell>
          <cell r="E201">
            <v>3.0000000000000001E-6</v>
          </cell>
          <cell r="F201">
            <v>8.7142857142857131E-9</v>
          </cell>
          <cell r="G201">
            <v>2.3999999999999999E-6</v>
          </cell>
        </row>
        <row r="202">
          <cell r="A202" t="str">
            <v>Aluminum Oxide</v>
          </cell>
        </row>
        <row r="203">
          <cell r="A203" t="str">
            <v>Antimony Compounds</v>
          </cell>
          <cell r="B203" t="str">
            <v>HAP</v>
          </cell>
          <cell r="E203">
            <v>7.9000000000000006E-6</v>
          </cell>
        </row>
        <row r="204">
          <cell r="A204" t="str">
            <v>Arsenic Compounds</v>
          </cell>
          <cell r="B204" t="str">
            <v>HAP</v>
          </cell>
          <cell r="C204">
            <v>1.1E-5</v>
          </cell>
          <cell r="D204">
            <v>1.1E-5</v>
          </cell>
          <cell r="E204">
            <v>2.1999999999999999E-5</v>
          </cell>
          <cell r="F204">
            <v>3.9999999999999998E-6</v>
          </cell>
          <cell r="G204">
            <v>2.0000000000000001E-4</v>
          </cell>
        </row>
        <row r="205">
          <cell r="A205" t="str">
            <v>Arsenic (III)</v>
          </cell>
        </row>
        <row r="206">
          <cell r="A206" t="str">
            <v>Arsenic (V)</v>
          </cell>
        </row>
        <row r="207">
          <cell r="A207" t="str">
            <v>Barium Compounds</v>
          </cell>
          <cell r="E207">
            <v>1.7000000000000001E-4</v>
          </cell>
          <cell r="G207">
            <v>4.4000000000000003E-3</v>
          </cell>
        </row>
        <row r="208">
          <cell r="A208" t="str">
            <v>Benzene</v>
          </cell>
          <cell r="B208" t="str">
            <v>HAP</v>
          </cell>
          <cell r="C208">
            <v>9.3300000000000002E-4</v>
          </cell>
          <cell r="D208">
            <v>7.76E-4</v>
          </cell>
          <cell r="E208">
            <v>4.1999999999999997E-3</v>
          </cell>
          <cell r="F208">
            <v>1.5285714285714283E-6</v>
          </cell>
          <cell r="G208">
            <v>2.0999999999999999E-3</v>
          </cell>
        </row>
        <row r="209">
          <cell r="A209" t="str">
            <v>Benz(a)anthracene</v>
          </cell>
          <cell r="C209">
            <v>1.68E-6</v>
          </cell>
          <cell r="D209">
            <v>6.2200000000000004E-7</v>
          </cell>
          <cell r="E209">
            <v>6.5E-8</v>
          </cell>
          <cell r="F209">
            <v>2.864285714285714E-8</v>
          </cell>
          <cell r="G209">
            <v>1.7999999999999999E-6</v>
          </cell>
        </row>
        <row r="210">
          <cell r="A210" t="str">
            <v>Benzo(a)pyrene</v>
          </cell>
          <cell r="C210">
            <v>1.8799999999999999E-7</v>
          </cell>
          <cell r="D210">
            <v>2.5699999999999999E-7</v>
          </cell>
          <cell r="E210">
            <v>2.6000000000000001E-6</v>
          </cell>
          <cell r="G210">
            <v>1.1999999999999999E-6</v>
          </cell>
        </row>
        <row r="211">
          <cell r="A211" t="str">
            <v>Benzo(b)fluoranthene</v>
          </cell>
          <cell r="C211">
            <v>9.9099999999999994E-8</v>
          </cell>
          <cell r="D211">
            <v>1.11E-6</v>
          </cell>
          <cell r="E211">
            <v>9.9999999999999995E-8</v>
          </cell>
          <cell r="F211">
            <v>1.0571428571428571E-8</v>
          </cell>
          <cell r="G211">
            <v>1.7999999999999999E-6</v>
          </cell>
        </row>
        <row r="212">
          <cell r="A212" t="str">
            <v>Benzo(g,h,i)perylene</v>
          </cell>
          <cell r="C212">
            <v>4.89E-7</v>
          </cell>
          <cell r="D212">
            <v>5.5599999999999995E-7</v>
          </cell>
          <cell r="E212">
            <v>9.2999999999999999E-8</v>
          </cell>
          <cell r="F212">
            <v>1.6142857142857141E-8</v>
          </cell>
          <cell r="G212">
            <v>1.1999999999999999E-6</v>
          </cell>
        </row>
        <row r="213">
          <cell r="A213" t="str">
            <v>Benzo(k)fluoranthene</v>
          </cell>
          <cell r="C213">
            <v>1.55E-7</v>
          </cell>
          <cell r="D213">
            <v>2.1799999999999999E-7</v>
          </cell>
          <cell r="E213">
            <v>3.5999999999999998E-8</v>
          </cell>
          <cell r="F213">
            <v>1.0571428571428571E-8</v>
          </cell>
          <cell r="G213">
            <v>1.7999999999999999E-6</v>
          </cell>
        </row>
        <row r="214">
          <cell r="A214" t="str">
            <v>Benzyl chloride</v>
          </cell>
        </row>
        <row r="215">
          <cell r="A215" t="str">
            <v>Beryllium Compounds</v>
          </cell>
          <cell r="B215" t="str">
            <v>HAP</v>
          </cell>
          <cell r="C215">
            <v>3.1E-7</v>
          </cell>
          <cell r="D215">
            <v>3.1E-7</v>
          </cell>
          <cell r="E215">
            <v>1.1000000000000001E-6</v>
          </cell>
          <cell r="F215">
            <v>3.0000000000000001E-6</v>
          </cell>
          <cell r="G215">
            <v>1.2E-5</v>
          </cell>
        </row>
        <row r="216">
          <cell r="A216" t="str">
            <v>Biphenyl</v>
          </cell>
          <cell r="B216" t="str">
            <v>HAP</v>
          </cell>
        </row>
        <row r="217">
          <cell r="A217" t="str">
            <v>Bis(2-ethlyhexyl)pthalate (DEHP)</v>
          </cell>
          <cell r="E217">
            <v>4.6999999999999997E-8</v>
          </cell>
        </row>
        <row r="218">
          <cell r="A218" t="str">
            <v>Boron Compounds</v>
          </cell>
        </row>
        <row r="219">
          <cell r="A219" t="str">
            <v>Bromoform</v>
          </cell>
        </row>
        <row r="220">
          <cell r="A220" t="str">
            <v>1,3 Butadiene</v>
          </cell>
          <cell r="B220" t="str">
            <v>HAP</v>
          </cell>
          <cell r="C220">
            <v>3.9100000000000002E-5</v>
          </cell>
        </row>
        <row r="221">
          <cell r="A221" t="str">
            <v>Butane</v>
          </cell>
          <cell r="G221">
            <v>2.1</v>
          </cell>
        </row>
        <row r="222">
          <cell r="A222" t="str">
            <v>Cadmium Compounds</v>
          </cell>
          <cell r="B222" t="str">
            <v>HAP</v>
          </cell>
          <cell r="C222">
            <v>4.7999999999999998E-6</v>
          </cell>
          <cell r="D222">
            <v>4.7999999999999998E-6</v>
          </cell>
          <cell r="E222">
            <v>4.0999999999999997E-6</v>
          </cell>
          <cell r="F222">
            <v>3.0000000000000001E-6</v>
          </cell>
          <cell r="G222">
            <v>1.1000000000000001E-3</v>
          </cell>
        </row>
        <row r="223">
          <cell r="A223" t="str">
            <v>Calcium Carbonate</v>
          </cell>
        </row>
        <row r="224">
          <cell r="A224" t="str">
            <v>Calcium Compounds</v>
          </cell>
        </row>
        <row r="225">
          <cell r="A225" t="str">
            <v>Calcium oxide</v>
          </cell>
        </row>
        <row r="226">
          <cell r="A226" t="str">
            <v>Carbon disulfide</v>
          </cell>
        </row>
        <row r="227">
          <cell r="A227" t="str">
            <v>Carbon Monoxide</v>
          </cell>
        </row>
        <row r="228">
          <cell r="A228" t="str">
            <v>Chloride salts</v>
          </cell>
        </row>
        <row r="229">
          <cell r="A229" t="str">
            <v>Chlorine, Chlorides</v>
          </cell>
          <cell r="B229" t="str">
            <v>HAP</v>
          </cell>
          <cell r="E229">
            <v>7.9000000000000001E-4</v>
          </cell>
        </row>
        <row r="230">
          <cell r="A230" t="str">
            <v>2-Chloroacetophenone</v>
          </cell>
        </row>
        <row r="231">
          <cell r="A231" t="str">
            <v>Chlorobenzene</v>
          </cell>
          <cell r="E231">
            <v>3.3000000000000003E-5</v>
          </cell>
        </row>
        <row r="232">
          <cell r="A232" t="str">
            <v>Chloroform</v>
          </cell>
          <cell r="E232">
            <v>2.8E-5</v>
          </cell>
        </row>
        <row r="233">
          <cell r="A233" t="str">
            <v>5-Chloro-2-methyl-4-isothiazolin-3-one</v>
          </cell>
        </row>
        <row r="234">
          <cell r="A234" t="str">
            <v>Chromium Compounds</v>
          </cell>
          <cell r="B234" t="str">
            <v>HAP</v>
          </cell>
          <cell r="C234">
            <v>1.1E-5</v>
          </cell>
          <cell r="D234">
            <v>1.1E-5</v>
          </cell>
          <cell r="E234">
            <v>2.0999999999999999E-5</v>
          </cell>
          <cell r="F234">
            <v>3.0000000000000001E-6</v>
          </cell>
          <cell r="G234">
            <v>1.4E-3</v>
          </cell>
        </row>
        <row r="235">
          <cell r="A235" t="str">
            <v>Chromium total</v>
          </cell>
          <cell r="C235">
            <v>1.1E-5</v>
          </cell>
          <cell r="D235">
            <v>1.1E-5</v>
          </cell>
          <cell r="E235">
            <v>2.0999999999999999E-5</v>
          </cell>
        </row>
        <row r="236">
          <cell r="A236" t="str">
            <v>Chromium (III)</v>
          </cell>
          <cell r="E236">
            <v>1.7499999999999998E-5</v>
          </cell>
        </row>
        <row r="237">
          <cell r="A237" t="str">
            <v>Chromium (VI)</v>
          </cell>
          <cell r="E237">
            <v>3.4999999999999999E-6</v>
          </cell>
        </row>
        <row r="238">
          <cell r="A238" t="str">
            <v>Chrysene</v>
          </cell>
          <cell r="C238">
            <v>3.53E-7</v>
          </cell>
          <cell r="D238">
            <v>1.53E-6</v>
          </cell>
          <cell r="E238">
            <v>3.8000000000000003E-8</v>
          </cell>
          <cell r="F238">
            <v>1.7E-8</v>
          </cell>
          <cell r="G238">
            <v>1.7999999999999999E-6</v>
          </cell>
        </row>
        <row r="239">
          <cell r="A239" t="str">
            <v>Cobalt Compounds</v>
          </cell>
          <cell r="B239" t="str">
            <v>HAP</v>
          </cell>
          <cell r="E239">
            <v>6.4999999999999996E-6</v>
          </cell>
          <cell r="G239">
            <v>8.3999999999999995E-5</v>
          </cell>
        </row>
        <row r="240">
          <cell r="A240" t="str">
            <v>Copper Compounds</v>
          </cell>
          <cell r="E240">
            <v>4.8999999999999998E-5</v>
          </cell>
          <cell r="F240">
            <v>6.0000000000000002E-6</v>
          </cell>
          <cell r="G240">
            <v>8.4999999999999995E-4</v>
          </cell>
        </row>
        <row r="241">
          <cell r="A241" t="str">
            <v>Cumene</v>
          </cell>
        </row>
        <row r="242">
          <cell r="A242" t="str">
            <v>Cyanide</v>
          </cell>
        </row>
        <row r="243">
          <cell r="A243" t="str">
            <v>Dibenzo(a,h)anthracene</v>
          </cell>
          <cell r="C243">
            <v>5.8299999999999997E-7</v>
          </cell>
          <cell r="D243">
            <v>3.46E-7</v>
          </cell>
          <cell r="E243">
            <v>9.1000000000000004E-9</v>
          </cell>
          <cell r="F243">
            <v>1.192857142857143E-8</v>
          </cell>
          <cell r="G243">
            <v>1.1999999999999999E-6</v>
          </cell>
        </row>
        <row r="244">
          <cell r="A244" t="str">
            <v>Dichlorobenzenes</v>
          </cell>
          <cell r="B244" t="str">
            <v>HAP</v>
          </cell>
          <cell r="G244">
            <v>1.1999999999999999E-3</v>
          </cell>
        </row>
        <row r="245">
          <cell r="A245" t="str">
            <v>Dimethylbenz(a)anthracene, 7,12-</v>
          </cell>
          <cell r="G245">
            <v>1.5999999999999999E-5</v>
          </cell>
        </row>
        <row r="246">
          <cell r="A246" t="str">
            <v>Dimethly Sulfate</v>
          </cell>
        </row>
        <row r="247">
          <cell r="A247" t="str">
            <v>2,4-Dinitrotoluene</v>
          </cell>
        </row>
        <row r="248">
          <cell r="A248" t="str">
            <v>Ethane</v>
          </cell>
          <cell r="G248">
            <v>3.1</v>
          </cell>
        </row>
        <row r="249">
          <cell r="A249" t="str">
            <v>Ethyl benzene</v>
          </cell>
          <cell r="E249">
            <v>3.1000000000000001E-5</v>
          </cell>
          <cell r="F249">
            <v>4.5428571428571426E-7</v>
          </cell>
        </row>
        <row r="250">
          <cell r="A250" t="str">
            <v>Ethyl chloride</v>
          </cell>
        </row>
        <row r="251">
          <cell r="A251" t="str">
            <v>Ethylene dibromide</v>
          </cell>
        </row>
        <row r="252">
          <cell r="A252" t="str">
            <v>Ethylene dichloride</v>
          </cell>
        </row>
        <row r="253">
          <cell r="A253" t="str">
            <v>Fluoranthene</v>
          </cell>
          <cell r="C253">
            <v>7.61E-6</v>
          </cell>
          <cell r="D253">
            <v>4.0300000000000004E-6</v>
          </cell>
          <cell r="E253">
            <v>1.5999999999999999E-6</v>
          </cell>
          <cell r="F253">
            <v>3.4571428571428573E-8</v>
          </cell>
          <cell r="G253">
            <v>3.0000000000000001E-6</v>
          </cell>
        </row>
        <row r="254">
          <cell r="A254" t="str">
            <v>Fluorene</v>
          </cell>
          <cell r="C254">
            <v>2.9200000000000002E-5</v>
          </cell>
          <cell r="D254">
            <v>1.2799999999999999E-5</v>
          </cell>
          <cell r="E254">
            <v>3.4000000000000001E-6</v>
          </cell>
          <cell r="F254">
            <v>3.1928571428571434E-8</v>
          </cell>
          <cell r="G254">
            <v>2.7999999999999999E-6</v>
          </cell>
        </row>
        <row r="255">
          <cell r="A255" t="str">
            <v>Dichlorotolyltriazole</v>
          </cell>
        </row>
        <row r="256">
          <cell r="A256" t="str">
            <v>Ferro niobium</v>
          </cell>
        </row>
        <row r="257">
          <cell r="A257" t="str">
            <v>Flourine, Flourides</v>
          </cell>
        </row>
        <row r="258">
          <cell r="A258" t="str">
            <v>Fluoride Salts</v>
          </cell>
        </row>
        <row r="259">
          <cell r="A259" t="str">
            <v>Formaldehyde</v>
          </cell>
          <cell r="B259" t="str">
            <v>HAP</v>
          </cell>
          <cell r="C259">
            <v>1.1800000000000001E-3</v>
          </cell>
          <cell r="D259">
            <v>7.8899999999999993E-5</v>
          </cell>
          <cell r="E259">
            <v>4.4000000000000003E-3</v>
          </cell>
          <cell r="F259">
            <v>2.3571428571428571E-4</v>
          </cell>
          <cell r="G259">
            <v>7.4999999999999997E-2</v>
          </cell>
        </row>
        <row r="260">
          <cell r="A260" t="str">
            <v>Hexane</v>
          </cell>
          <cell r="B260" t="str">
            <v>HAP</v>
          </cell>
          <cell r="G260">
            <v>1.8</v>
          </cell>
        </row>
        <row r="261">
          <cell r="A261" t="str">
            <v>Hydrogen Chloride (as Cl)</v>
          </cell>
          <cell r="B261" t="str">
            <v>HAP</v>
          </cell>
          <cell r="E261">
            <v>1.9E-2</v>
          </cell>
        </row>
        <row r="262">
          <cell r="A262" t="str">
            <v>hydrogen cyanide</v>
          </cell>
        </row>
        <row r="263">
          <cell r="A263" t="str">
            <v>Hydrogen Fluoride (as F)</v>
          </cell>
          <cell r="B263" t="str">
            <v>HAP</v>
          </cell>
        </row>
        <row r="264">
          <cell r="A264" t="str">
            <v>Indeno(1,2,3-cd)pyrene</v>
          </cell>
          <cell r="C264">
            <v>3.7500000000000001E-7</v>
          </cell>
          <cell r="D264">
            <v>4.1399999999999997E-7</v>
          </cell>
          <cell r="E264">
            <v>8.6999999999999998E-8</v>
          </cell>
          <cell r="F264">
            <v>1.5285714285714285E-8</v>
          </cell>
          <cell r="G264">
            <v>1.7999999999999999E-6</v>
          </cell>
        </row>
        <row r="265">
          <cell r="A265" t="str">
            <v>Iron Compounds</v>
          </cell>
          <cell r="E265">
            <v>9.8999999999999999E-4</v>
          </cell>
        </row>
        <row r="266">
          <cell r="A266" t="str">
            <v>Iron II Oxide</v>
          </cell>
        </row>
        <row r="267">
          <cell r="A267" t="str">
            <v>Iron III Oxide</v>
          </cell>
        </row>
        <row r="268">
          <cell r="A268" t="str">
            <v>Isophorone</v>
          </cell>
        </row>
        <row r="269">
          <cell r="A269" t="str">
            <v>Isoparafinic petroleum distillate</v>
          </cell>
        </row>
        <row r="270">
          <cell r="A270" t="str">
            <v>Lead Compounds</v>
          </cell>
          <cell r="B270" t="str">
            <v>HAP</v>
          </cell>
          <cell r="C270">
            <v>1.4E-5</v>
          </cell>
          <cell r="D270">
            <v>1.4E-5</v>
          </cell>
          <cell r="E270">
            <v>4.8000000000000001E-5</v>
          </cell>
          <cell r="F270">
            <v>9.0000000000000002E-6</v>
          </cell>
          <cell r="G270">
            <v>5.0000000000000001E-4</v>
          </cell>
        </row>
        <row r="271">
          <cell r="A271" t="str">
            <v>Lithium Compounds</v>
          </cell>
        </row>
        <row r="272">
          <cell r="A272" t="str">
            <v>Magnesium Compounds</v>
          </cell>
        </row>
        <row r="273">
          <cell r="A273" t="str">
            <v>Magnesium nitrate</v>
          </cell>
        </row>
        <row r="274">
          <cell r="A274" t="str">
            <v>Magnesium oxide</v>
          </cell>
        </row>
        <row r="275">
          <cell r="A275" t="str">
            <v>Manganese Compounds</v>
          </cell>
          <cell r="B275" t="str">
            <v>HAP</v>
          </cell>
          <cell r="C275">
            <v>7.9000000000000001E-4</v>
          </cell>
          <cell r="D275">
            <v>7.9000000000000001E-4</v>
          </cell>
          <cell r="E275">
            <v>1.6000000000000001E-3</v>
          </cell>
          <cell r="F275">
            <v>6.0000000000000002E-6</v>
          </cell>
          <cell r="G275">
            <v>3.8000000000000002E-4</v>
          </cell>
        </row>
        <row r="276">
          <cell r="A276" t="str">
            <v>Manganese Dioxide</v>
          </cell>
        </row>
        <row r="277">
          <cell r="A277" t="str">
            <v>Mercury Compounds</v>
          </cell>
          <cell r="B277" t="str">
            <v>HAP</v>
          </cell>
          <cell r="C277">
            <v>1.1999999999999999E-6</v>
          </cell>
          <cell r="D277">
            <v>1.1999999999999999E-6</v>
          </cell>
          <cell r="E277">
            <v>3.4999999999999999E-6</v>
          </cell>
          <cell r="F277">
            <v>3.0000000000000001E-6</v>
          </cell>
          <cell r="G277">
            <v>2.5999999999999998E-4</v>
          </cell>
        </row>
        <row r="278">
          <cell r="A278" t="str">
            <v>Methyl bromide</v>
          </cell>
        </row>
        <row r="279">
          <cell r="A279" t="str">
            <v>Methyl chloride</v>
          </cell>
          <cell r="E279">
            <v>2.3E-5</v>
          </cell>
        </row>
        <row r="280">
          <cell r="A280" t="str">
            <v>Methylcholanthrene, 3-</v>
          </cell>
          <cell r="G280">
            <v>1.7999999999999999E-6</v>
          </cell>
        </row>
        <row r="281">
          <cell r="A281" t="str">
            <v>Methylene chloride</v>
          </cell>
          <cell r="E281">
            <v>2.9E-4</v>
          </cell>
        </row>
        <row r="282">
          <cell r="A282" t="str">
            <v>5-Methyl chrysene</v>
          </cell>
        </row>
        <row r="283">
          <cell r="A283" t="str">
            <v>Methyl ethyl ketone</v>
          </cell>
          <cell r="E283">
            <v>5.4E-6</v>
          </cell>
        </row>
        <row r="284">
          <cell r="A284" t="str">
            <v>Methyl hydrazine</v>
          </cell>
        </row>
        <row r="285">
          <cell r="A285" t="str">
            <v>Methyl methacrylate</v>
          </cell>
        </row>
        <row r="286">
          <cell r="A286" t="str">
            <v>Methylnapthalene, 2-</v>
          </cell>
          <cell r="G286">
            <v>2.4000000000000001E-5</v>
          </cell>
        </row>
        <row r="287">
          <cell r="A287" t="str">
            <v>Methyl tert butyl ether</v>
          </cell>
        </row>
        <row r="288">
          <cell r="A288" t="str">
            <v>Molybdenum Compounds</v>
          </cell>
          <cell r="E288">
            <v>2.0999999999999998E-6</v>
          </cell>
          <cell r="G288">
            <v>1.1000000000000001E-3</v>
          </cell>
        </row>
        <row r="289">
          <cell r="A289" t="str">
            <v>Naphthalene</v>
          </cell>
          <cell r="B289" t="str">
            <v>HAP</v>
          </cell>
          <cell r="C289">
            <v>8.4800000000000001E-5</v>
          </cell>
          <cell r="D289">
            <v>1.2999999999999999E-4</v>
          </cell>
          <cell r="E289">
            <v>9.7E-5</v>
          </cell>
          <cell r="F289">
            <v>8.0714285714285689E-6</v>
          </cell>
          <cell r="G289">
            <v>6.0999999999999997E-4</v>
          </cell>
        </row>
        <row r="290">
          <cell r="A290" t="str">
            <v>Nickel Compounds</v>
          </cell>
          <cell r="B290" t="str">
            <v>HAP</v>
          </cell>
          <cell r="C290">
            <v>4.6E-6</v>
          </cell>
          <cell r="D290">
            <v>4.6E-6</v>
          </cell>
          <cell r="E290">
            <v>3.3000000000000003E-5</v>
          </cell>
          <cell r="F290">
            <v>3.0000000000000001E-6</v>
          </cell>
          <cell r="G290">
            <v>2.0999999999999999E-3</v>
          </cell>
        </row>
        <row r="291">
          <cell r="A291" t="str">
            <v>Nitrogen dioxide (1-hour)</v>
          </cell>
        </row>
        <row r="292">
          <cell r="A292" t="str">
            <v>Pentane</v>
          </cell>
          <cell r="G292">
            <v>2.6</v>
          </cell>
        </row>
        <row r="293">
          <cell r="A293" t="str">
            <v>Phenanthrene</v>
          </cell>
          <cell r="C293">
            <v>2.94E-5</v>
          </cell>
          <cell r="D293">
            <v>4.0800000000000002E-5</v>
          </cell>
          <cell r="E293">
            <v>6.9999999999999999E-6</v>
          </cell>
          <cell r="F293">
            <v>7.4999999999999997E-8</v>
          </cell>
          <cell r="G293">
            <v>1.7E-5</v>
          </cell>
        </row>
        <row r="294">
          <cell r="A294" t="str">
            <v>Phenol</v>
          </cell>
          <cell r="E294">
            <v>5.1E-5</v>
          </cell>
        </row>
        <row r="295">
          <cell r="A295" t="str">
            <v>Phosphorous Compounds</v>
          </cell>
          <cell r="B295" t="str">
            <v>HAP</v>
          </cell>
          <cell r="E295">
            <v>2.6999999999999999E-5</v>
          </cell>
        </row>
        <row r="296">
          <cell r="A296" t="str">
            <v>Phosphorous Total</v>
          </cell>
        </row>
        <row r="297">
          <cell r="A297" t="str">
            <v>Potassium Compounds</v>
          </cell>
          <cell r="E297">
            <v>3.9E-2</v>
          </cell>
        </row>
        <row r="298">
          <cell r="A298" t="str">
            <v>Propane</v>
          </cell>
          <cell r="G298">
            <v>1.6</v>
          </cell>
        </row>
        <row r="299">
          <cell r="A299" t="str">
            <v>Propionaldehyde</v>
          </cell>
          <cell r="E299">
            <v>6.0999999999999999E-5</v>
          </cell>
        </row>
        <row r="300">
          <cell r="A300" t="str">
            <v>Potassium Oxide</v>
          </cell>
        </row>
        <row r="301">
          <cell r="A301" t="str">
            <v>Propylene</v>
          </cell>
          <cell r="C301">
            <v>2.5799999999999998E-3</v>
          </cell>
          <cell r="D301">
            <v>2.7899999999999999E-3</v>
          </cell>
        </row>
        <row r="302">
          <cell r="A302" t="str">
            <v>Pyrene</v>
          </cell>
          <cell r="C302">
            <v>4.78E-6</v>
          </cell>
          <cell r="D302">
            <v>3.7100000000000001E-6</v>
          </cell>
          <cell r="E302">
            <v>3.7000000000000002E-6</v>
          </cell>
          <cell r="F302">
            <v>3.0357142857142859E-8</v>
          </cell>
          <cell r="G302">
            <v>5.0000000000000004E-6</v>
          </cell>
        </row>
        <row r="303">
          <cell r="A303" t="str">
            <v>Selenium Compounds</v>
          </cell>
          <cell r="B303" t="str">
            <v>HAP</v>
          </cell>
          <cell r="C303">
            <v>2.5000000000000001E-5</v>
          </cell>
          <cell r="D303">
            <v>2.5000000000000001E-5</v>
          </cell>
          <cell r="E303">
            <v>2.7999999999999999E-6</v>
          </cell>
          <cell r="F303">
            <v>1.5E-5</v>
          </cell>
          <cell r="G303">
            <v>2.4000000000000001E-5</v>
          </cell>
        </row>
        <row r="304">
          <cell r="A304" t="str">
            <v>Silicon Compounds</v>
          </cell>
        </row>
        <row r="305">
          <cell r="A305" t="str">
            <v>Silicon Dioxide</v>
          </cell>
        </row>
        <row r="306">
          <cell r="A306" t="str">
            <v>Silver Compounds</v>
          </cell>
          <cell r="E306">
            <v>1.7E-5</v>
          </cell>
        </row>
        <row r="307">
          <cell r="A307" t="str">
            <v>Sodium Carbonate</v>
          </cell>
        </row>
        <row r="308">
          <cell r="A308" t="str">
            <v>Sodium Compounds</v>
          </cell>
          <cell r="E308">
            <v>3.6000000000000002E-4</v>
          </cell>
        </row>
        <row r="309">
          <cell r="A309" t="str">
            <v>Sodium Molybdate</v>
          </cell>
        </row>
        <row r="310">
          <cell r="A310" t="str">
            <v>Sodium Nitrate</v>
          </cell>
        </row>
        <row r="311">
          <cell r="A311" t="str">
            <v>Sodium Oxide</v>
          </cell>
        </row>
        <row r="312">
          <cell r="A312" t="str">
            <v>Sodium Tolytriazole</v>
          </cell>
        </row>
        <row r="313">
          <cell r="A313" t="str">
            <v>Strontium Compounds</v>
          </cell>
          <cell r="E313">
            <v>1.0000000000000001E-5</v>
          </cell>
        </row>
        <row r="314">
          <cell r="A314" t="str">
            <v>Styrene</v>
          </cell>
          <cell r="E314">
            <v>1.9E-3</v>
          </cell>
        </row>
        <row r="315">
          <cell r="A315" t="str">
            <v>Sulfur Compounds</v>
          </cell>
          <cell r="C315">
            <v>0.28999999999999998</v>
          </cell>
          <cell r="D315">
            <v>5.0500000000000003E-2</v>
          </cell>
          <cell r="G315">
            <v>5.9999999999999995E-4</v>
          </cell>
        </row>
        <row r="316">
          <cell r="A316" t="str">
            <v>Sulfur Dioxide</v>
          </cell>
        </row>
        <row r="317">
          <cell r="A317" t="str">
            <v>Sulfuric Acid</v>
          </cell>
          <cell r="C317">
            <v>1.2999999999999999E-4</v>
          </cell>
          <cell r="D317">
            <v>1.2999999999999999E-4</v>
          </cell>
        </row>
        <row r="318">
          <cell r="A318" t="str">
            <v>Tetrachloroethylene</v>
          </cell>
        </row>
        <row r="319">
          <cell r="A319" t="str">
            <v>Thallium</v>
          </cell>
        </row>
        <row r="320">
          <cell r="A320" t="str">
            <v>Tin Compounds</v>
          </cell>
          <cell r="E320">
            <v>2.3E-5</v>
          </cell>
        </row>
        <row r="321">
          <cell r="A321" t="str">
            <v>Titanium Compounds</v>
          </cell>
          <cell r="E321">
            <v>2.0000000000000002E-5</v>
          </cell>
        </row>
        <row r="322">
          <cell r="A322" t="str">
            <v>Toluene</v>
          </cell>
          <cell r="B322" t="str">
            <v>HAP</v>
          </cell>
          <cell r="C322">
            <v>4.0900000000000002E-4</v>
          </cell>
          <cell r="D322">
            <v>2.81E-4</v>
          </cell>
          <cell r="E322">
            <v>9.2000000000000003E-4</v>
          </cell>
          <cell r="F322">
            <v>4.4285714285714283E-5</v>
          </cell>
          <cell r="G322">
            <v>3.3999999999999998E-3</v>
          </cell>
        </row>
        <row r="323">
          <cell r="A323" t="str">
            <v>Titanium Dioxide</v>
          </cell>
        </row>
        <row r="324">
          <cell r="A324" t="str">
            <v>Trichloroethane</v>
          </cell>
          <cell r="E324">
            <v>3.1000000000000001E-5</v>
          </cell>
          <cell r="F324">
            <v>1.6857142857142856E-6</v>
          </cell>
        </row>
        <row r="325">
          <cell r="A325" t="str">
            <v>Vanadium Compounds</v>
          </cell>
          <cell r="E325">
            <v>9.7999999999999993E-7</v>
          </cell>
          <cell r="G325">
            <v>2.3E-3</v>
          </cell>
        </row>
        <row r="326">
          <cell r="A326" t="str">
            <v>Vinyl acetate</v>
          </cell>
        </row>
        <row r="327">
          <cell r="A327" t="str">
            <v>Xylene</v>
          </cell>
          <cell r="B327" t="str">
            <v>HAP</v>
          </cell>
          <cell r="C327">
            <v>2.8499999999999999E-4</v>
          </cell>
          <cell r="D327">
            <v>1.93E-4</v>
          </cell>
          <cell r="F327">
            <v>7.785714285714286E-7</v>
          </cell>
        </row>
        <row r="328">
          <cell r="A328" t="str">
            <v>Zinc Compounds</v>
          </cell>
          <cell r="E328">
            <v>4.2000000000000002E-4</v>
          </cell>
          <cell r="F328">
            <v>3.9999999999999998E-6</v>
          </cell>
          <cell r="G328">
            <v>2.9000000000000001E-2</v>
          </cell>
        </row>
        <row r="329">
          <cell r="A329" t="str">
            <v>Polycyclic Organic Material</v>
          </cell>
        </row>
        <row r="330">
          <cell r="A330" t="str">
            <v>Total COPI</v>
          </cell>
        </row>
        <row r="331">
          <cell r="A331" t="str">
            <v>Dioxin/Furan (as 2,3,7,8 TCDD Equivalents)</v>
          </cell>
          <cell r="C331">
            <v>9.4285714285714283E-11</v>
          </cell>
          <cell r="D331">
            <v>9.4285714285714283E-11</v>
          </cell>
          <cell r="E331">
            <v>8.5999999999999997E-12</v>
          </cell>
          <cell r="G331">
            <v>3.4999999999999999E-9</v>
          </cell>
        </row>
        <row r="332">
          <cell r="A332" t="str">
            <v>PAH</v>
          </cell>
        </row>
        <row r="333">
          <cell r="A333" t="str">
            <v>(134 chemicals)</v>
          </cell>
        </row>
        <row r="334">
          <cell r="A334" t="str">
            <v>Total HAP</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766DD-416E-4C68-AB37-03AA673F774B}">
  <sheetPr codeName="Sheet1">
    <tabColor rgb="FF00B0F0"/>
    <pageSetUpPr fitToPage="1"/>
  </sheetPr>
  <dimension ref="A1:K24"/>
  <sheetViews>
    <sheetView tabSelected="1" view="pageBreakPreview" zoomScale="85" zoomScaleNormal="100" zoomScaleSheetLayoutView="85" workbookViewId="0">
      <selection activeCell="D19" sqref="D19"/>
    </sheetView>
  </sheetViews>
  <sheetFormatPr defaultRowHeight="15" x14ac:dyDescent="0.25"/>
  <cols>
    <col min="1" max="1" width="16.5703125" customWidth="1"/>
    <col min="2" max="2" width="19.140625" customWidth="1"/>
    <col min="3" max="3" width="16.28515625" customWidth="1"/>
    <col min="4" max="4" width="21.28515625" customWidth="1"/>
    <col min="5" max="5" width="16.28515625" customWidth="1"/>
    <col min="6" max="6" width="19.5703125" customWidth="1"/>
    <col min="7" max="8" width="19.28515625" customWidth="1"/>
    <col min="9" max="11" width="21.140625" customWidth="1"/>
  </cols>
  <sheetData>
    <row r="1" spans="1:11" ht="18" x14ac:dyDescent="0.25">
      <c r="A1" s="4" t="s">
        <v>169</v>
      </c>
    </row>
    <row r="2" spans="1:11" ht="18" x14ac:dyDescent="0.25">
      <c r="A2" s="4" t="s">
        <v>129</v>
      </c>
    </row>
    <row r="3" spans="1:11" ht="15.75" thickBot="1" x14ac:dyDescent="0.3"/>
    <row r="4" spans="1:11" ht="15.75" customHeight="1" thickBot="1" x14ac:dyDescent="0.3">
      <c r="A4" s="203" t="s">
        <v>14</v>
      </c>
      <c r="B4" s="201" t="s">
        <v>143</v>
      </c>
      <c r="C4" s="198" t="s">
        <v>108</v>
      </c>
      <c r="D4" s="199"/>
      <c r="E4" s="200"/>
      <c r="F4" s="205" t="s">
        <v>110</v>
      </c>
      <c r="G4" s="197" t="s">
        <v>118</v>
      </c>
      <c r="H4" s="197"/>
      <c r="I4" s="197" t="s">
        <v>126</v>
      </c>
      <c r="J4" s="197"/>
      <c r="K4" s="197"/>
    </row>
    <row r="5" spans="1:11" ht="76.5" customHeight="1" thickBot="1" x14ac:dyDescent="0.3">
      <c r="A5" s="204"/>
      <c r="B5" s="202"/>
      <c r="C5" s="84" t="s">
        <v>106</v>
      </c>
      <c r="D5" s="70" t="s">
        <v>115</v>
      </c>
      <c r="E5" s="85" t="s">
        <v>109</v>
      </c>
      <c r="F5" s="206"/>
      <c r="G5" s="86" t="s">
        <v>112</v>
      </c>
      <c r="H5" s="87" t="s">
        <v>116</v>
      </c>
      <c r="I5" s="86" t="s">
        <v>127</v>
      </c>
      <c r="J5" s="114" t="s">
        <v>117</v>
      </c>
      <c r="K5" s="87" t="s">
        <v>125</v>
      </c>
    </row>
    <row r="6" spans="1:11" x14ac:dyDescent="0.25">
      <c r="A6" s="64" t="s">
        <v>18</v>
      </c>
      <c r="B6" s="163">
        <f>'SWS Offgas TO PTE (permitted)'!D11</f>
        <v>1.5583352941176468E-2</v>
      </c>
      <c r="C6" s="174">
        <f>('SWS Offgas TO PTE (proposed)'!D11*8760)/2000</f>
        <v>1.7949411764705884E-2</v>
      </c>
      <c r="D6" s="175" t="s">
        <v>47</v>
      </c>
      <c r="E6" s="176">
        <f t="shared" ref="E6:E19" si="0">MAX(C6:D6)</f>
        <v>1.7949411764705884E-2</v>
      </c>
      <c r="F6" s="168">
        <f t="shared" ref="F6:F19" si="1">E6-B6</f>
        <v>2.3660588235294155E-3</v>
      </c>
      <c r="G6" s="88">
        <v>25</v>
      </c>
      <c r="H6" s="89" t="str">
        <f>IF(F6&gt;G6,"Yes","No")</f>
        <v>No</v>
      </c>
      <c r="I6" s="115" t="s">
        <v>111</v>
      </c>
      <c r="J6" s="116">
        <v>25</v>
      </c>
      <c r="K6" s="89" t="str">
        <f>IF(OR(F6&gt;J6,F6&gt;I6),"Yes","No")</f>
        <v>No</v>
      </c>
    </row>
    <row r="7" spans="1:11" ht="15.75" x14ac:dyDescent="0.3">
      <c r="A7" s="65" t="s">
        <v>21</v>
      </c>
      <c r="B7" s="164">
        <f>'SWS Offgas TO PTE (permitted)'!D12</f>
        <v>6.2333411764705873E-2</v>
      </c>
      <c r="C7" s="177">
        <f>('SWS Offgas TO PTE (proposed)'!D12*8760)/2000</f>
        <v>7.1797647058823535E-2</v>
      </c>
      <c r="D7" s="137" t="s">
        <v>47</v>
      </c>
      <c r="E7" s="160">
        <f t="shared" si="0"/>
        <v>7.1797647058823535E-2</v>
      </c>
      <c r="F7" s="169">
        <f t="shared" si="1"/>
        <v>9.4642352941176622E-3</v>
      </c>
      <c r="G7" s="90">
        <v>15</v>
      </c>
      <c r="H7" s="79" t="str">
        <f t="shared" ref="H7:H18" si="2">IF(F7&gt;G7,"Yes","No")</f>
        <v>No</v>
      </c>
      <c r="I7" s="117" t="s">
        <v>111</v>
      </c>
      <c r="J7" s="21">
        <v>15</v>
      </c>
      <c r="K7" s="79" t="str">
        <f t="shared" ref="K7:K19" si="3">IF(OR(F7&gt;J7,F7&gt;I7),"Yes","No")</f>
        <v>No</v>
      </c>
    </row>
    <row r="8" spans="1:11" ht="15.75" x14ac:dyDescent="0.3">
      <c r="A8" s="65" t="s">
        <v>22</v>
      </c>
      <c r="B8" s="164">
        <f>'SWS Offgas TO PTE (permitted)'!D13</f>
        <v>6.2333411764705873E-2</v>
      </c>
      <c r="C8" s="177">
        <f>('SWS Offgas TO PTE (proposed)'!D13*8760)/2000</f>
        <v>7.1797647058823535E-2</v>
      </c>
      <c r="D8" s="137" t="s">
        <v>47</v>
      </c>
      <c r="E8" s="160">
        <f t="shared" si="0"/>
        <v>7.1797647058823535E-2</v>
      </c>
      <c r="F8" s="169">
        <f t="shared" si="1"/>
        <v>9.4642352941176622E-3</v>
      </c>
      <c r="G8" s="91" t="s">
        <v>47</v>
      </c>
      <c r="H8" s="80" t="str">
        <f t="shared" si="2"/>
        <v>No</v>
      </c>
      <c r="I8" s="117">
        <v>10</v>
      </c>
      <c r="J8" s="118" t="s">
        <v>111</v>
      </c>
      <c r="K8" s="79" t="str">
        <f t="shared" si="3"/>
        <v>No</v>
      </c>
    </row>
    <row r="9" spans="1:11" ht="15.75" x14ac:dyDescent="0.3">
      <c r="A9" s="65" t="s">
        <v>23</v>
      </c>
      <c r="B9" s="164">
        <f>'SWS Offgas TO PTE (permitted)'!D14</f>
        <v>1.65126</v>
      </c>
      <c r="C9" s="177">
        <f>('SWS Offgas TO PTE (proposed)'!D14*8760)/2000</f>
        <v>1.65126</v>
      </c>
      <c r="D9" s="137" t="s">
        <v>47</v>
      </c>
      <c r="E9" s="160">
        <f t="shared" si="0"/>
        <v>1.65126</v>
      </c>
      <c r="F9" s="169">
        <f t="shared" si="1"/>
        <v>0</v>
      </c>
      <c r="G9" s="92">
        <v>40</v>
      </c>
      <c r="H9" s="79" t="str">
        <f t="shared" si="2"/>
        <v>No</v>
      </c>
      <c r="I9" s="117">
        <v>40</v>
      </c>
      <c r="J9" s="118" t="s">
        <v>111</v>
      </c>
      <c r="K9" s="79" t="str">
        <f t="shared" si="3"/>
        <v>No</v>
      </c>
    </row>
    <row r="10" spans="1:11" x14ac:dyDescent="0.25">
      <c r="A10" s="65" t="s">
        <v>25</v>
      </c>
      <c r="B10" s="164">
        <f>'SWS Offgas TO PTE (permitted)'!D15</f>
        <v>0.25075500000000001</v>
      </c>
      <c r="C10" s="177">
        <f>('SWS Offgas TO PTE (proposed)'!D15*8760)/2000</f>
        <v>2.3126400000000005</v>
      </c>
      <c r="D10" s="137" t="s">
        <v>47</v>
      </c>
      <c r="E10" s="160">
        <f t="shared" si="0"/>
        <v>2.3126400000000005</v>
      </c>
      <c r="F10" s="169">
        <f t="shared" si="1"/>
        <v>2.0618850000000006</v>
      </c>
      <c r="G10" s="92">
        <v>100</v>
      </c>
      <c r="H10" s="79" t="str">
        <f t="shared" si="2"/>
        <v>No</v>
      </c>
      <c r="I10" s="117" t="s">
        <v>111</v>
      </c>
      <c r="J10" s="21">
        <v>100</v>
      </c>
      <c r="K10" s="79" t="str">
        <f t="shared" si="3"/>
        <v>No</v>
      </c>
    </row>
    <row r="11" spans="1:11" ht="15.75" x14ac:dyDescent="0.3">
      <c r="A11" s="65" t="s">
        <v>26</v>
      </c>
      <c r="B11" s="164">
        <f>'SWS Offgas TO PTE (permitted)'!D16</f>
        <v>1.7081999999999999</v>
      </c>
      <c r="C11" s="177">
        <f>('SWS Offgas TO PTE (proposed)'!D16*8760)/2000</f>
        <v>1.7081999999999999</v>
      </c>
      <c r="D11" s="137" t="s">
        <v>47</v>
      </c>
      <c r="E11" s="160">
        <f t="shared" si="0"/>
        <v>1.7081999999999999</v>
      </c>
      <c r="F11" s="170">
        <f t="shared" si="1"/>
        <v>0</v>
      </c>
      <c r="G11" s="93">
        <v>40</v>
      </c>
      <c r="H11" s="83" t="str">
        <f t="shared" si="2"/>
        <v>No</v>
      </c>
      <c r="I11" s="119">
        <v>40</v>
      </c>
      <c r="J11" s="118" t="s">
        <v>111</v>
      </c>
      <c r="K11" s="79" t="str">
        <f t="shared" si="3"/>
        <v>No</v>
      </c>
    </row>
    <row r="12" spans="1:11" ht="15.75" x14ac:dyDescent="0.3">
      <c r="A12" s="65" t="s">
        <v>27</v>
      </c>
      <c r="B12" s="164">
        <f>'SWS Offgas TO PTE (permitted)'!D17</f>
        <v>3.4431176862207893E-3</v>
      </c>
      <c r="C12" s="177">
        <f>('SWS Offgas TO PTE (proposed)'!D17*8760)/2000</f>
        <v>3.9658947171129517E-3</v>
      </c>
      <c r="D12" s="137" t="s">
        <v>47</v>
      </c>
      <c r="E12" s="160">
        <f t="shared" si="0"/>
        <v>3.9658947171129517E-3</v>
      </c>
      <c r="F12" s="171">
        <f t="shared" si="1"/>
        <v>5.227770308921624E-4</v>
      </c>
      <c r="G12" s="92">
        <v>7</v>
      </c>
      <c r="H12" s="79" t="str">
        <f t="shared" si="2"/>
        <v>No</v>
      </c>
      <c r="I12" s="117" t="s">
        <v>111</v>
      </c>
      <c r="J12" s="21">
        <v>7</v>
      </c>
      <c r="K12" s="79" t="str">
        <f t="shared" si="3"/>
        <v>No</v>
      </c>
    </row>
    <row r="13" spans="1:11" x14ac:dyDescent="0.25">
      <c r="A13" s="65" t="s">
        <v>29</v>
      </c>
      <c r="B13" s="164">
        <f>'SWS Offgas TO PTE (permitted)'!D18</f>
        <v>4.5109705882352934E-2</v>
      </c>
      <c r="C13" s="177">
        <f>('SWS Offgas TO PTE (proposed)'!D18*8760)/2000</f>
        <v>5.1958823529411766E-2</v>
      </c>
      <c r="D13" s="137" t="s">
        <v>47</v>
      </c>
      <c r="E13" s="160">
        <f t="shared" si="0"/>
        <v>5.1958823529411766E-2</v>
      </c>
      <c r="F13" s="169">
        <f t="shared" si="1"/>
        <v>6.8491176470588319E-3</v>
      </c>
      <c r="G13" s="91" t="s">
        <v>47</v>
      </c>
      <c r="H13" s="80" t="str">
        <f t="shared" si="2"/>
        <v>No</v>
      </c>
      <c r="I13" s="117">
        <v>40</v>
      </c>
      <c r="J13" s="118" t="s">
        <v>111</v>
      </c>
      <c r="K13" s="79" t="str">
        <f t="shared" si="3"/>
        <v>No</v>
      </c>
    </row>
    <row r="14" spans="1:11" ht="15.75" x14ac:dyDescent="0.3">
      <c r="A14" s="65" t="s">
        <v>31</v>
      </c>
      <c r="B14" s="164">
        <f>'SWS Offgas TO PTE (permitted)'!D19</f>
        <v>977.84298470495992</v>
      </c>
      <c r="C14" s="178">
        <f>('SWS Offgas TO PTE (proposed)'!D19*8760)/2000</f>
        <v>1126.3112912832</v>
      </c>
      <c r="D14" s="137" t="s">
        <v>47</v>
      </c>
      <c r="E14" s="179">
        <f t="shared" si="0"/>
        <v>1126.3112912832</v>
      </c>
      <c r="F14" s="169">
        <f t="shared" si="1"/>
        <v>148.46830657824012</v>
      </c>
      <c r="G14" s="92" t="s">
        <v>111</v>
      </c>
      <c r="H14" s="79" t="str">
        <f t="shared" si="2"/>
        <v>No</v>
      </c>
      <c r="I14" s="92" t="s">
        <v>111</v>
      </c>
      <c r="J14" s="120" t="s">
        <v>111</v>
      </c>
      <c r="K14" s="79" t="str">
        <f t="shared" si="3"/>
        <v>No</v>
      </c>
    </row>
    <row r="15" spans="1:11" ht="15.75" x14ac:dyDescent="0.3">
      <c r="A15" s="65" t="s">
        <v>40</v>
      </c>
      <c r="B15" s="164">
        <f>'SWS Offgas TO PTE (permitted)'!D20</f>
        <v>1.8443242680000003E-2</v>
      </c>
      <c r="C15" s="177">
        <f>('SWS Offgas TO PTE (proposed)'!D20*8760)/2000</f>
        <v>2.12435256E-2</v>
      </c>
      <c r="D15" s="137" t="s">
        <v>47</v>
      </c>
      <c r="E15" s="160">
        <f t="shared" si="0"/>
        <v>2.12435256E-2</v>
      </c>
      <c r="F15" s="169">
        <f t="shared" si="1"/>
        <v>2.8002829199999975E-3</v>
      </c>
      <c r="G15" s="91" t="s">
        <v>111</v>
      </c>
      <c r="H15" s="80" t="str">
        <f t="shared" si="2"/>
        <v>No</v>
      </c>
      <c r="I15" s="92" t="s">
        <v>111</v>
      </c>
      <c r="J15" s="121" t="s">
        <v>111</v>
      </c>
      <c r="K15" s="79" t="str">
        <f t="shared" si="3"/>
        <v>No</v>
      </c>
    </row>
    <row r="16" spans="1:11" ht="15.75" x14ac:dyDescent="0.3">
      <c r="A16" s="65" t="s">
        <v>34</v>
      </c>
      <c r="B16" s="164">
        <f>'SWS Offgas TO PTE (permitted)'!D21</f>
        <v>1.8443242680000001E-3</v>
      </c>
      <c r="C16" s="177">
        <f>('SWS Offgas TO PTE (proposed)'!D21*8760)/2000</f>
        <v>2.1243525600000003E-3</v>
      </c>
      <c r="D16" s="137" t="s">
        <v>47</v>
      </c>
      <c r="E16" s="160">
        <f t="shared" si="0"/>
        <v>2.1243525600000003E-3</v>
      </c>
      <c r="F16" s="171">
        <f t="shared" si="1"/>
        <v>2.8002829200000023E-4</v>
      </c>
      <c r="G16" s="91" t="s">
        <v>111</v>
      </c>
      <c r="H16" s="80" t="str">
        <f t="shared" si="2"/>
        <v>No</v>
      </c>
      <c r="I16" s="92" t="s">
        <v>111</v>
      </c>
      <c r="J16" s="121" t="s">
        <v>111</v>
      </c>
      <c r="K16" s="79" t="str">
        <f t="shared" si="3"/>
        <v>No</v>
      </c>
    </row>
    <row r="17" spans="1:11" x14ac:dyDescent="0.25">
      <c r="A17" s="65" t="s">
        <v>35</v>
      </c>
      <c r="B17" s="165">
        <f>'SWS Offgas TO PTE (permitted)'!D22</f>
        <v>977.86327227190782</v>
      </c>
      <c r="C17" s="178">
        <f>('SWS Offgas TO PTE (proposed)'!D22*8760)/2000</f>
        <v>1126.3346591613599</v>
      </c>
      <c r="D17" s="137" t="s">
        <v>47</v>
      </c>
      <c r="E17" s="179">
        <f t="shared" si="0"/>
        <v>1126.3346591613599</v>
      </c>
      <c r="F17" s="169">
        <f t="shared" si="1"/>
        <v>148.47138688945211</v>
      </c>
      <c r="G17" s="92" t="s">
        <v>111</v>
      </c>
      <c r="H17" s="79" t="str">
        <f t="shared" si="2"/>
        <v>No</v>
      </c>
      <c r="I17" s="92" t="s">
        <v>111</v>
      </c>
      <c r="J17" s="120" t="s">
        <v>111</v>
      </c>
      <c r="K17" s="79" t="str">
        <f t="shared" si="3"/>
        <v>No</v>
      </c>
    </row>
    <row r="18" spans="1:11" ht="15.75" x14ac:dyDescent="0.3">
      <c r="A18" s="109" t="s">
        <v>37</v>
      </c>
      <c r="B18" s="166">
        <f>'SWS Offgas TO PTE (permitted)'!D23</f>
        <v>978.80203332431984</v>
      </c>
      <c r="C18" s="180">
        <f>('SWS Offgas TO PTE (proposed)'!D23*8760)/2000</f>
        <v>1133.8484941660802</v>
      </c>
      <c r="D18" s="161" t="s">
        <v>47</v>
      </c>
      <c r="E18" s="181">
        <f t="shared" si="0"/>
        <v>1133.8484941660802</v>
      </c>
      <c r="F18" s="172">
        <f t="shared" si="1"/>
        <v>155.04646084176034</v>
      </c>
      <c r="G18" s="110" t="s">
        <v>111</v>
      </c>
      <c r="H18" s="96" t="str">
        <f t="shared" si="2"/>
        <v>No</v>
      </c>
      <c r="I18" s="92" t="s">
        <v>111</v>
      </c>
      <c r="J18" s="122">
        <v>75000</v>
      </c>
      <c r="K18" s="79" t="str">
        <f t="shared" si="3"/>
        <v>No</v>
      </c>
    </row>
    <row r="19" spans="1:11" ht="15.75" thickBot="1" x14ac:dyDescent="0.3">
      <c r="A19" s="69" t="s">
        <v>81</v>
      </c>
      <c r="B19" s="167">
        <f>'SWS Offgas TO PTE (permitted)'!D32</f>
        <v>0</v>
      </c>
      <c r="C19" s="139">
        <f>('SWS Offgas TO PTE (proposed)'!C33*8760)/2000</f>
        <v>5.2313611177431531E-2</v>
      </c>
      <c r="D19" s="138" t="s">
        <v>47</v>
      </c>
      <c r="E19" s="162">
        <f t="shared" si="0"/>
        <v>5.2313611177431531E-2</v>
      </c>
      <c r="F19" s="173">
        <f t="shared" si="1"/>
        <v>5.2313611177431531E-2</v>
      </c>
      <c r="G19" s="111" t="s">
        <v>111</v>
      </c>
      <c r="H19" s="112" t="s">
        <v>111</v>
      </c>
      <c r="I19" s="113" t="s">
        <v>111</v>
      </c>
      <c r="J19" s="123">
        <v>10</v>
      </c>
      <c r="K19" s="81" t="str">
        <f t="shared" si="3"/>
        <v>No</v>
      </c>
    </row>
    <row r="20" spans="1:11" x14ac:dyDescent="0.25">
      <c r="A20" s="208" t="s">
        <v>107</v>
      </c>
      <c r="B20" s="208"/>
      <c r="C20" s="208"/>
      <c r="D20" s="208"/>
      <c r="E20" s="208"/>
      <c r="F20" s="208"/>
      <c r="G20" s="208"/>
      <c r="H20" s="208"/>
      <c r="I20" s="208"/>
      <c r="J20" s="208"/>
      <c r="K20" s="208"/>
    </row>
    <row r="21" spans="1:11" x14ac:dyDescent="0.25">
      <c r="A21" s="209" t="s">
        <v>105</v>
      </c>
      <c r="B21" s="209"/>
      <c r="C21" s="209"/>
      <c r="D21" s="209"/>
      <c r="E21" s="209"/>
      <c r="F21" s="209"/>
      <c r="G21" s="209"/>
      <c r="H21" s="209"/>
      <c r="I21" s="209"/>
      <c r="J21" s="209"/>
      <c r="K21" s="209"/>
    </row>
    <row r="22" spans="1:11" x14ac:dyDescent="0.25">
      <c r="A22" s="207" t="s">
        <v>113</v>
      </c>
      <c r="B22" s="207"/>
      <c r="C22" s="207"/>
      <c r="D22" s="207"/>
      <c r="E22" s="207"/>
      <c r="F22" s="207"/>
      <c r="G22" s="207"/>
      <c r="H22" s="207"/>
      <c r="I22" s="207"/>
      <c r="J22" s="207"/>
      <c r="K22" s="207"/>
    </row>
    <row r="23" spans="1:11" x14ac:dyDescent="0.25">
      <c r="A23" s="207" t="s">
        <v>114</v>
      </c>
      <c r="B23" s="207"/>
      <c r="C23" s="207"/>
      <c r="D23" s="207"/>
      <c r="E23" s="207"/>
      <c r="F23" s="207"/>
      <c r="G23" s="207"/>
      <c r="H23" s="207"/>
      <c r="I23" s="207"/>
      <c r="J23" s="207"/>
      <c r="K23" s="207"/>
    </row>
    <row r="24" spans="1:11" ht="29.25" customHeight="1" x14ac:dyDescent="0.25">
      <c r="A24" s="207" t="s">
        <v>128</v>
      </c>
      <c r="B24" s="207"/>
      <c r="C24" s="207"/>
      <c r="D24" s="207"/>
      <c r="E24" s="207"/>
      <c r="F24" s="207"/>
      <c r="G24" s="207"/>
      <c r="H24" s="207"/>
      <c r="I24" s="207"/>
      <c r="J24" s="207"/>
      <c r="K24" s="207"/>
    </row>
  </sheetData>
  <mergeCells count="11">
    <mergeCell ref="A24:K24"/>
    <mergeCell ref="A20:K20"/>
    <mergeCell ref="A21:K21"/>
    <mergeCell ref="A22:K22"/>
    <mergeCell ref="A23:K23"/>
    <mergeCell ref="G4:H4"/>
    <mergeCell ref="I4:K4"/>
    <mergeCell ref="C4:E4"/>
    <mergeCell ref="B4:B5"/>
    <mergeCell ref="A4:A5"/>
    <mergeCell ref="F4:F5"/>
  </mergeCells>
  <pageMargins left="0.7" right="0.7" top="0.75" bottom="0.75" header="0.3" footer="0.3"/>
  <pageSetup scale="57" fitToHeight="0" orientation="landscape"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8647F-2957-4462-B804-F6A1506831C6}">
  <sheetPr codeName="Sheet2">
    <tabColor rgb="FF00B0F0"/>
    <pageSetUpPr fitToPage="1"/>
  </sheetPr>
  <dimension ref="A1:H15"/>
  <sheetViews>
    <sheetView view="pageBreakPreview" zoomScale="60" zoomScaleNormal="160" workbookViewId="0">
      <selection activeCell="E6" sqref="E6"/>
    </sheetView>
  </sheetViews>
  <sheetFormatPr defaultRowHeight="15" x14ac:dyDescent="0.25"/>
  <cols>
    <col min="1" max="1" width="14.42578125" bestFit="1" customWidth="1"/>
    <col min="2" max="2" width="19.140625" customWidth="1"/>
    <col min="3" max="3" width="16.28515625" customWidth="1"/>
    <col min="4" max="4" width="21.28515625" customWidth="1"/>
    <col min="5" max="5" width="16.28515625" customWidth="1"/>
    <col min="6" max="6" width="19.5703125" customWidth="1"/>
    <col min="7" max="8" width="17" customWidth="1"/>
  </cols>
  <sheetData>
    <row r="1" spans="1:8" ht="18" x14ac:dyDescent="0.25">
      <c r="A1" s="4" t="s">
        <v>169</v>
      </c>
    </row>
    <row r="2" spans="1:8" ht="18" x14ac:dyDescent="0.25">
      <c r="A2" s="4" t="s">
        <v>119</v>
      </c>
    </row>
    <row r="3" spans="1:8" ht="15.75" thickBot="1" x14ac:dyDescent="0.3"/>
    <row r="4" spans="1:8" ht="15.75" customHeight="1" thickBot="1" x14ac:dyDescent="0.3">
      <c r="A4" s="203" t="s">
        <v>14</v>
      </c>
      <c r="B4" s="201" t="s">
        <v>148</v>
      </c>
      <c r="C4" s="198" t="s">
        <v>120</v>
      </c>
      <c r="D4" s="199"/>
      <c r="E4" s="199"/>
      <c r="F4" s="210" t="s">
        <v>145</v>
      </c>
      <c r="G4" s="197" t="s">
        <v>123</v>
      </c>
      <c r="H4" s="197"/>
    </row>
    <row r="5" spans="1:8" ht="76.5" customHeight="1" thickBot="1" x14ac:dyDescent="0.3">
      <c r="A5" s="204"/>
      <c r="B5" s="202"/>
      <c r="C5" s="84" t="s">
        <v>106</v>
      </c>
      <c r="D5" s="70" t="s">
        <v>144</v>
      </c>
      <c r="E5" s="132" t="s">
        <v>121</v>
      </c>
      <c r="F5" s="211"/>
      <c r="G5" s="86" t="s">
        <v>122</v>
      </c>
      <c r="H5" s="87" t="s">
        <v>124</v>
      </c>
    </row>
    <row r="6" spans="1:8" x14ac:dyDescent="0.25">
      <c r="A6" s="64" t="s">
        <v>18</v>
      </c>
      <c r="B6" s="140">
        <f>'SWS Offgas TO PTE (permitted)'!D11</f>
        <v>1.5583352941176468E-2</v>
      </c>
      <c r="C6" s="145">
        <f>('SWS Offgas TO PTE (proposed)'!D11*8760)/2000</f>
        <v>1.7949411764705884E-2</v>
      </c>
      <c r="D6" s="76" t="s">
        <v>47</v>
      </c>
      <c r="E6" s="158">
        <f t="shared" ref="E6:E13" si="0">MAX(C6:D6)</f>
        <v>1.7949411764705884E-2</v>
      </c>
      <c r="F6" s="159">
        <f t="shared" ref="F6:F13" si="1">E6-B6</f>
        <v>2.3660588235294155E-3</v>
      </c>
      <c r="G6" s="94" t="s">
        <v>47</v>
      </c>
      <c r="H6" s="97" t="s">
        <v>47</v>
      </c>
    </row>
    <row r="7" spans="1:8" ht="15.75" x14ac:dyDescent="0.3">
      <c r="A7" s="65" t="s">
        <v>21</v>
      </c>
      <c r="B7" s="155">
        <f>'SWS Offgas TO PTE (permitted)'!D12</f>
        <v>6.2333411764705873E-2</v>
      </c>
      <c r="C7" s="156">
        <f>('SWS Offgas TO PTE (proposed)'!D12*8760)/2000</f>
        <v>7.1797647058823535E-2</v>
      </c>
      <c r="D7" s="77" t="s">
        <v>47</v>
      </c>
      <c r="E7" s="157">
        <f t="shared" si="0"/>
        <v>7.1797647058823535E-2</v>
      </c>
      <c r="F7" s="150">
        <f t="shared" si="1"/>
        <v>9.4642352941176622E-3</v>
      </c>
      <c r="G7" s="91">
        <v>1</v>
      </c>
      <c r="H7" s="151">
        <f>F7*G7</f>
        <v>9.4642352941176622E-3</v>
      </c>
    </row>
    <row r="8" spans="1:8" ht="15.75" x14ac:dyDescent="0.3">
      <c r="A8" s="65" t="s">
        <v>22</v>
      </c>
      <c r="B8" s="155">
        <f>'SWS Offgas TO PTE (permitted)'!D13</f>
        <v>6.2333411764705873E-2</v>
      </c>
      <c r="C8" s="156">
        <f>('SWS Offgas TO PTE (proposed)'!D13*8760)/2000</f>
        <v>7.1797647058823535E-2</v>
      </c>
      <c r="D8" s="77" t="s">
        <v>47</v>
      </c>
      <c r="E8" s="157">
        <f t="shared" si="0"/>
        <v>7.1797647058823535E-2</v>
      </c>
      <c r="F8" s="150">
        <f t="shared" si="1"/>
        <v>9.4642352941176622E-3</v>
      </c>
      <c r="G8" s="91">
        <v>1</v>
      </c>
      <c r="H8" s="151">
        <f>F8*G8</f>
        <v>9.4642352941176622E-3</v>
      </c>
    </row>
    <row r="9" spans="1:8" ht="15.75" x14ac:dyDescent="0.3">
      <c r="A9" s="65" t="s">
        <v>23</v>
      </c>
      <c r="B9" s="155">
        <f>'SWS Offgas TO PTE (permitted)'!D14</f>
        <v>1.65126</v>
      </c>
      <c r="C9" s="156">
        <f>('SWS Offgas TO PTE (proposed)'!D14*8760)/2000</f>
        <v>1.65126</v>
      </c>
      <c r="D9" s="77" t="s">
        <v>47</v>
      </c>
      <c r="E9" s="157">
        <f t="shared" si="0"/>
        <v>1.65126</v>
      </c>
      <c r="F9" s="150">
        <f t="shared" si="1"/>
        <v>0</v>
      </c>
      <c r="G9" s="91">
        <v>1.1499999999999999</v>
      </c>
      <c r="H9" s="151">
        <f>F9*G9</f>
        <v>0</v>
      </c>
    </row>
    <row r="10" spans="1:8" x14ac:dyDescent="0.25">
      <c r="A10" s="65" t="s">
        <v>25</v>
      </c>
      <c r="B10" s="155">
        <f>'SWS Offgas TO PTE (permitted)'!D15</f>
        <v>0.25075500000000001</v>
      </c>
      <c r="C10" s="156">
        <f>('SWS Offgas TO PTE (proposed)'!D15*8760)/2000</f>
        <v>2.3126400000000005</v>
      </c>
      <c r="D10" s="77" t="s">
        <v>47</v>
      </c>
      <c r="E10" s="157">
        <f t="shared" si="0"/>
        <v>2.3126400000000005</v>
      </c>
      <c r="F10" s="133">
        <f t="shared" si="1"/>
        <v>2.0618850000000006</v>
      </c>
      <c r="G10" s="95" t="s">
        <v>47</v>
      </c>
      <c r="H10" s="79" t="s">
        <v>47</v>
      </c>
    </row>
    <row r="11" spans="1:8" ht="15.75" x14ac:dyDescent="0.3">
      <c r="A11" s="65" t="s">
        <v>26</v>
      </c>
      <c r="B11" s="155">
        <f>'SWS Offgas TO PTE (permitted)'!D16</f>
        <v>1.7081999999999999</v>
      </c>
      <c r="C11" s="156">
        <f>('SWS Offgas TO PTE (proposed)'!D16*8760)/2000</f>
        <v>1.7081999999999999</v>
      </c>
      <c r="D11" s="77" t="s">
        <v>47</v>
      </c>
      <c r="E11" s="157">
        <f t="shared" si="0"/>
        <v>1.7081999999999999</v>
      </c>
      <c r="F11" s="134">
        <f t="shared" si="1"/>
        <v>0</v>
      </c>
      <c r="G11" s="98">
        <v>1</v>
      </c>
      <c r="H11" s="83">
        <f>F11*G11</f>
        <v>0</v>
      </c>
    </row>
    <row r="12" spans="1:8" ht="15.75" x14ac:dyDescent="0.3">
      <c r="A12" s="65" t="s">
        <v>27</v>
      </c>
      <c r="B12" s="155">
        <f>'SWS Offgas TO PTE (permitted)'!D17</f>
        <v>3.4431176862207893E-3</v>
      </c>
      <c r="C12" s="156">
        <f>('SWS Offgas TO PTE (proposed)'!D17*8760)/2000</f>
        <v>3.9658947171129517E-3</v>
      </c>
      <c r="D12" s="77" t="s">
        <v>47</v>
      </c>
      <c r="E12" s="157">
        <f t="shared" si="0"/>
        <v>3.9658947171129517E-3</v>
      </c>
      <c r="F12" s="133">
        <f t="shared" si="1"/>
        <v>5.227770308921624E-4</v>
      </c>
      <c r="G12" s="95" t="s">
        <v>47</v>
      </c>
      <c r="H12" s="79" t="s">
        <v>47</v>
      </c>
    </row>
    <row r="13" spans="1:8" ht="15.75" thickBot="1" x14ac:dyDescent="0.3">
      <c r="A13" s="66" t="s">
        <v>29</v>
      </c>
      <c r="B13" s="142">
        <f>'SWS Offgas TO PTE (permitted)'!D18</f>
        <v>4.5109705882352934E-2</v>
      </c>
      <c r="C13" s="146">
        <f>('SWS Offgas TO PTE (proposed)'!D18*8760)/2000</f>
        <v>5.1958823529411766E-2</v>
      </c>
      <c r="D13" s="78" t="s">
        <v>47</v>
      </c>
      <c r="E13" s="154">
        <f t="shared" si="0"/>
        <v>5.1958823529411766E-2</v>
      </c>
      <c r="F13" s="153">
        <f t="shared" si="1"/>
        <v>6.8491176470588319E-3</v>
      </c>
      <c r="G13" s="124">
        <v>1.1499999999999999</v>
      </c>
      <c r="H13" s="152">
        <f>F13*G13</f>
        <v>7.8764852941176564E-3</v>
      </c>
    </row>
    <row r="14" spans="1:8" x14ac:dyDescent="0.25">
      <c r="A14" s="209" t="s">
        <v>146</v>
      </c>
      <c r="B14" s="209"/>
      <c r="C14" s="209"/>
      <c r="D14" s="209"/>
      <c r="E14" s="209"/>
      <c r="F14" s="209"/>
      <c r="G14" s="209"/>
      <c r="H14" s="209"/>
    </row>
    <row r="15" spans="1:8" x14ac:dyDescent="0.25">
      <c r="A15" s="207" t="s">
        <v>147</v>
      </c>
      <c r="B15" s="207"/>
      <c r="C15" s="207"/>
      <c r="D15" s="207"/>
      <c r="E15" s="207"/>
      <c r="F15" s="207"/>
      <c r="G15" s="207"/>
      <c r="H15" s="207"/>
    </row>
  </sheetData>
  <mergeCells count="7">
    <mergeCell ref="A14:H14"/>
    <mergeCell ref="A15:H15"/>
    <mergeCell ref="A4:A5"/>
    <mergeCell ref="B4:B5"/>
    <mergeCell ref="C4:E4"/>
    <mergeCell ref="F4:F5"/>
    <mergeCell ref="G4:H4"/>
  </mergeCells>
  <pageMargins left="0.7" right="0.7" top="0.75" bottom="0.75" header="0.3" footer="0.3"/>
  <pageSetup scale="86" fitToHeight="0" orientation="landscape"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9CA12-616E-49AC-87B6-4A8298D17E37}">
  <sheetPr codeName="Sheet3">
    <tabColor rgb="FF00B0F0"/>
  </sheetPr>
  <dimension ref="A1:P25"/>
  <sheetViews>
    <sheetView view="pageBreakPreview" zoomScale="70" zoomScaleNormal="100" zoomScaleSheetLayoutView="70" workbookViewId="0">
      <pane xSplit="1" ySplit="3" topLeftCell="B4" activePane="bottomRight" state="frozen"/>
      <selection activeCell="L10" sqref="L10"/>
      <selection pane="topRight" activeCell="L10" sqref="L10"/>
      <selection pane="bottomLeft" activeCell="L10" sqref="L10"/>
      <selection pane="bottomRight" activeCell="D6" sqref="D6"/>
    </sheetView>
  </sheetViews>
  <sheetFormatPr defaultRowHeight="15" x14ac:dyDescent="0.25"/>
  <cols>
    <col min="1" max="1" width="14.42578125" bestFit="1" customWidth="1"/>
    <col min="2" max="4" width="19.140625" customWidth="1"/>
    <col min="5" max="14" width="19.28515625" customWidth="1"/>
  </cols>
  <sheetData>
    <row r="1" spans="1:16" ht="18" x14ac:dyDescent="0.25">
      <c r="A1" s="4" t="s">
        <v>169</v>
      </c>
    </row>
    <row r="2" spans="1:16" ht="18" x14ac:dyDescent="0.25">
      <c r="A2" s="4" t="s">
        <v>130</v>
      </c>
    </row>
    <row r="3" spans="1:16" ht="15.75" thickBot="1" x14ac:dyDescent="0.3"/>
    <row r="4" spans="1:16" ht="32.25" customHeight="1" thickBot="1" x14ac:dyDescent="0.3">
      <c r="A4" s="203" t="s">
        <v>14</v>
      </c>
      <c r="B4" s="198" t="s">
        <v>162</v>
      </c>
      <c r="C4" s="199"/>
      <c r="D4" s="200"/>
      <c r="E4" s="214" t="s">
        <v>135</v>
      </c>
      <c r="F4" s="215"/>
      <c r="G4" s="216"/>
    </row>
    <row r="5" spans="1:16" ht="76.5" customHeight="1" thickBot="1" x14ac:dyDescent="0.3">
      <c r="A5" s="204"/>
      <c r="B5" s="84" t="s">
        <v>134</v>
      </c>
      <c r="C5" s="70" t="s">
        <v>155</v>
      </c>
      <c r="D5" s="85" t="s">
        <v>157</v>
      </c>
      <c r="E5" s="129" t="s">
        <v>156</v>
      </c>
      <c r="F5" s="114" t="s">
        <v>158</v>
      </c>
      <c r="G5" s="87" t="s">
        <v>131</v>
      </c>
    </row>
    <row r="6" spans="1:16" x14ac:dyDescent="0.25">
      <c r="A6" s="67" t="s">
        <v>133</v>
      </c>
      <c r="B6" s="128">
        <f>'SWS Offgas TO PTE (proposed)'!D17</f>
        <v>9.0545541486597068E-4</v>
      </c>
      <c r="C6" s="77" t="s">
        <v>47</v>
      </c>
      <c r="D6" s="71">
        <f t="shared" ref="D6:D11" si="0">MAX(B6:C6)</f>
        <v>9.0545541486597068E-4</v>
      </c>
      <c r="E6" s="128">
        <f>D6</f>
        <v>9.0545541486597068E-4</v>
      </c>
      <c r="F6" s="141">
        <v>5.2999999999999999E-2</v>
      </c>
      <c r="G6" s="82" t="str">
        <f>IF(E6&gt;F6,"Yes","No")</f>
        <v>No</v>
      </c>
    </row>
    <row r="7" spans="1:16" x14ac:dyDescent="0.25">
      <c r="A7" s="67" t="s">
        <v>46</v>
      </c>
      <c r="B7" s="135">
        <f>'SWS Offgas TO PTE (proposed)'!C29</f>
        <v>0.10999999999999999</v>
      </c>
      <c r="C7" s="141">
        <f>'Alt Ctrl Scenario 2b - Heaters'!D16</f>
        <v>0.88000000000000078</v>
      </c>
      <c r="D7" s="143">
        <f t="shared" si="0"/>
        <v>0.88000000000000078</v>
      </c>
      <c r="E7" s="136">
        <f t="shared" ref="E7:E11" si="1">D7</f>
        <v>0.88000000000000078</v>
      </c>
      <c r="F7" s="137">
        <v>1.4</v>
      </c>
      <c r="G7" s="126" t="str">
        <f t="shared" ref="G7:G11" si="2">IF(E7&gt;F7,"Yes","No")</f>
        <v>No</v>
      </c>
      <c r="P7" s="125"/>
    </row>
    <row r="8" spans="1:16" x14ac:dyDescent="0.25">
      <c r="A8" s="67" t="s">
        <v>48</v>
      </c>
      <c r="B8" s="128">
        <f>'SWS Offgas TO PTE (proposed)'!C30</f>
        <v>4.5294117647058826E-6</v>
      </c>
      <c r="C8" s="77" t="s">
        <v>47</v>
      </c>
      <c r="D8" s="71">
        <f t="shared" si="0"/>
        <v>4.5294117647058826E-6</v>
      </c>
      <c r="E8" s="127">
        <f t="shared" si="1"/>
        <v>4.5294117647058826E-6</v>
      </c>
      <c r="F8" s="137">
        <v>1.2E-2</v>
      </c>
      <c r="G8" s="126" t="str">
        <f t="shared" si="2"/>
        <v>No</v>
      </c>
      <c r="P8" s="125"/>
    </row>
    <row r="9" spans="1:16" x14ac:dyDescent="0.25">
      <c r="A9" s="68" t="s">
        <v>49</v>
      </c>
      <c r="B9" s="128">
        <f>'SWS Offgas TO PTE (proposed)'!C31</f>
        <v>1.6176470588235293E-4</v>
      </c>
      <c r="C9" s="77" t="s">
        <v>47</v>
      </c>
      <c r="D9" s="71">
        <f t="shared" si="0"/>
        <v>1.6176470588235293E-4</v>
      </c>
      <c r="E9" s="127">
        <f t="shared" si="1"/>
        <v>1.6176470588235293E-4</v>
      </c>
      <c r="F9" s="137">
        <v>2.4E-2</v>
      </c>
      <c r="G9" s="126" t="str">
        <f t="shared" si="2"/>
        <v>No</v>
      </c>
      <c r="P9" s="125"/>
    </row>
    <row r="10" spans="1:16" x14ac:dyDescent="0.25">
      <c r="A10" s="68" t="s">
        <v>50</v>
      </c>
      <c r="B10" s="128">
        <f>'SWS Offgas TO PTE (proposed)'!C32</f>
        <v>7.333333333333334E-6</v>
      </c>
      <c r="C10" s="77" t="s">
        <v>47</v>
      </c>
      <c r="D10" s="71">
        <f t="shared" si="0"/>
        <v>7.333333333333334E-6</v>
      </c>
      <c r="E10" s="127">
        <f t="shared" si="1"/>
        <v>7.333333333333334E-6</v>
      </c>
      <c r="F10" s="137">
        <v>2.2000000000000002</v>
      </c>
      <c r="G10" s="126" t="str">
        <f t="shared" si="2"/>
        <v>No</v>
      </c>
      <c r="P10" s="125"/>
    </row>
    <row r="11" spans="1:16" ht="15.75" thickBot="1" x14ac:dyDescent="0.3">
      <c r="A11" s="69" t="s">
        <v>81</v>
      </c>
      <c r="B11" s="139">
        <f>'SWS Offgas TO PTE (proposed)'!C33</f>
        <v>1.194374684416245E-2</v>
      </c>
      <c r="C11" s="78" t="s">
        <v>47</v>
      </c>
      <c r="D11" s="144">
        <f t="shared" si="0"/>
        <v>1.194374684416245E-2</v>
      </c>
      <c r="E11" s="139">
        <f t="shared" si="1"/>
        <v>1.194374684416245E-2</v>
      </c>
      <c r="F11" s="138">
        <v>1.9E-2</v>
      </c>
      <c r="G11" s="112" t="str">
        <f t="shared" si="2"/>
        <v>No</v>
      </c>
      <c r="P11" s="125"/>
    </row>
    <row r="12" spans="1:16" x14ac:dyDescent="0.25">
      <c r="A12" s="212" t="s">
        <v>146</v>
      </c>
      <c r="B12" s="212"/>
      <c r="C12" s="212"/>
      <c r="D12" s="212"/>
      <c r="E12" s="212"/>
      <c r="F12" s="212"/>
      <c r="G12" s="212"/>
      <c r="H12" s="192"/>
      <c r="I12" s="192"/>
      <c r="J12" s="192"/>
      <c r="K12" s="192"/>
      <c r="L12" s="192"/>
      <c r="M12" s="192"/>
      <c r="N12" s="192"/>
    </row>
    <row r="13" spans="1:16" ht="15" customHeight="1" x14ac:dyDescent="0.25">
      <c r="A13" s="213" t="s">
        <v>164</v>
      </c>
      <c r="B13" s="213"/>
      <c r="C13" s="213"/>
      <c r="D13" s="213"/>
      <c r="E13" s="213"/>
      <c r="F13" s="213"/>
      <c r="G13" s="213"/>
      <c r="H13" s="193"/>
      <c r="I13" s="193"/>
      <c r="J13" s="193"/>
      <c r="K13" s="193"/>
      <c r="L13" s="193"/>
      <c r="M13" s="193"/>
      <c r="N13" s="193"/>
    </row>
    <row r="14" spans="1:16" x14ac:dyDescent="0.25">
      <c r="A14" s="207"/>
      <c r="B14" s="207"/>
      <c r="C14" s="207"/>
      <c r="D14" s="207"/>
      <c r="E14" s="207"/>
      <c r="F14" s="207"/>
      <c r="G14" s="207"/>
      <c r="H14" s="207"/>
      <c r="I14" s="207"/>
      <c r="J14" s="207"/>
      <c r="K14" s="207"/>
      <c r="L14" s="207"/>
      <c r="M14" s="207"/>
      <c r="N14" s="207"/>
    </row>
    <row r="15" spans="1:16" ht="15.75" thickBot="1" x14ac:dyDescent="0.3"/>
    <row r="16" spans="1:16" ht="35.25" customHeight="1" thickBot="1" x14ac:dyDescent="0.3">
      <c r="A16" s="203" t="s">
        <v>14</v>
      </c>
      <c r="B16" s="198" t="s">
        <v>163</v>
      </c>
      <c r="C16" s="199"/>
      <c r="D16" s="200"/>
      <c r="E16" s="214" t="s">
        <v>130</v>
      </c>
      <c r="F16" s="215"/>
      <c r="G16" s="216"/>
    </row>
    <row r="17" spans="1:10" ht="77.25" thickBot="1" x14ac:dyDescent="0.3">
      <c r="A17" s="204"/>
      <c r="B17" s="129" t="s">
        <v>134</v>
      </c>
      <c r="C17" s="130" t="s">
        <v>159</v>
      </c>
      <c r="D17" s="131" t="s">
        <v>157</v>
      </c>
      <c r="E17" s="129" t="s">
        <v>160</v>
      </c>
      <c r="F17" s="70" t="s">
        <v>161</v>
      </c>
      <c r="G17" s="87" t="s">
        <v>132</v>
      </c>
    </row>
    <row r="18" spans="1:10" x14ac:dyDescent="0.25">
      <c r="A18" s="67" t="s">
        <v>133</v>
      </c>
      <c r="B18" s="135">
        <f>'SWS Offgas TO PTE (proposed)'!F17</f>
        <v>3.9658947171129517E-3</v>
      </c>
      <c r="C18" s="77" t="s">
        <v>47</v>
      </c>
      <c r="D18" s="143">
        <f>MAX(B18:C18)</f>
        <v>3.9658947171129517E-3</v>
      </c>
      <c r="E18" s="135">
        <f>(D18)*2000</f>
        <v>7.9317894342259034</v>
      </c>
      <c r="F18" s="148">
        <v>39</v>
      </c>
      <c r="G18" s="82" t="str">
        <f>IF(E18&gt;F18,"Yes","No")</f>
        <v>No</v>
      </c>
      <c r="J18" s="50"/>
    </row>
    <row r="19" spans="1:10" x14ac:dyDescent="0.25">
      <c r="A19" s="67" t="s">
        <v>46</v>
      </c>
      <c r="B19" s="135">
        <f>'SWS Offgas TO PTE (proposed)'!D29</f>
        <v>0.48179999999999995</v>
      </c>
      <c r="C19" s="141">
        <f>('SWS Offgas TO PTE (proposed)'!C29*8260+'Alt Ctrl Scenario 2b - Heaters'!D16*500)/2000</f>
        <v>0.67430000000000023</v>
      </c>
      <c r="D19" s="143">
        <f>MAX(B19:C19)</f>
        <v>0.67430000000000023</v>
      </c>
      <c r="E19" s="147">
        <f t="shared" ref="E19:E23" si="3">(D19)*2000</f>
        <v>1348.6000000000004</v>
      </c>
      <c r="F19" s="148">
        <v>7700</v>
      </c>
      <c r="G19" s="82" t="str">
        <f t="shared" ref="G19:G23" si="4">IF(E19&gt;F19,"Yes","No")</f>
        <v>No</v>
      </c>
      <c r="J19" s="125"/>
    </row>
    <row r="20" spans="1:10" x14ac:dyDescent="0.25">
      <c r="A20" s="67" t="s">
        <v>48</v>
      </c>
      <c r="B20" s="128">
        <f>'SWS Offgas TO PTE (proposed)'!D30</f>
        <v>1.9838823529411767E-5</v>
      </c>
      <c r="C20" s="77" t="s">
        <v>47</v>
      </c>
      <c r="D20" s="71">
        <f t="shared" ref="D20:D23" si="5">MAX(B20:C20)</f>
        <v>1.9838823529411767E-5</v>
      </c>
      <c r="E20" s="135">
        <f t="shared" si="3"/>
        <v>3.9677647058823533E-2</v>
      </c>
      <c r="F20" s="148">
        <v>2.9</v>
      </c>
      <c r="G20" s="82" t="str">
        <f t="shared" si="4"/>
        <v>No</v>
      </c>
      <c r="J20" s="125"/>
    </row>
    <row r="21" spans="1:10" x14ac:dyDescent="0.25">
      <c r="A21" s="68" t="s">
        <v>49</v>
      </c>
      <c r="B21" s="128">
        <f>'SWS Offgas TO PTE (proposed)'!D31</f>
        <v>7.0852941176470583E-4</v>
      </c>
      <c r="C21" s="77" t="s">
        <v>47</v>
      </c>
      <c r="D21" s="71">
        <f t="shared" si="5"/>
        <v>7.0852941176470583E-4</v>
      </c>
      <c r="E21" s="135">
        <f t="shared" si="3"/>
        <v>1.4170588235294117</v>
      </c>
      <c r="F21" s="148">
        <v>14</v>
      </c>
      <c r="G21" s="82" t="str">
        <f t="shared" si="4"/>
        <v>No</v>
      </c>
      <c r="J21" s="125"/>
    </row>
    <row r="22" spans="1:10" x14ac:dyDescent="0.25">
      <c r="A22" s="68" t="s">
        <v>50</v>
      </c>
      <c r="B22" s="128">
        <f>'SWS Offgas TO PTE (proposed)'!D32</f>
        <v>3.2120000000000004E-5</v>
      </c>
      <c r="C22" s="77" t="s">
        <v>47</v>
      </c>
      <c r="D22" s="71">
        <f t="shared" si="5"/>
        <v>3.2120000000000004E-5</v>
      </c>
      <c r="E22" s="135">
        <f t="shared" si="3"/>
        <v>6.4240000000000005E-2</v>
      </c>
      <c r="F22" s="148">
        <v>16000</v>
      </c>
      <c r="G22" s="82" t="str">
        <f t="shared" si="4"/>
        <v>No</v>
      </c>
      <c r="J22" s="125"/>
    </row>
    <row r="23" spans="1:10" ht="15.75" thickBot="1" x14ac:dyDescent="0.3">
      <c r="A23" s="69" t="s">
        <v>81</v>
      </c>
      <c r="B23" s="139">
        <f>'SWS Offgas TO PTE (proposed)'!D33</f>
        <v>5.2313611177431531E-2</v>
      </c>
      <c r="C23" s="78" t="s">
        <v>47</v>
      </c>
      <c r="D23" s="144">
        <f t="shared" si="5"/>
        <v>5.2313611177431531E-2</v>
      </c>
      <c r="E23" s="139">
        <f t="shared" si="3"/>
        <v>104.62722235486306</v>
      </c>
      <c r="F23" s="149">
        <v>390</v>
      </c>
      <c r="G23" s="112" t="str">
        <f t="shared" si="4"/>
        <v>No</v>
      </c>
    </row>
    <row r="24" spans="1:10" x14ac:dyDescent="0.25">
      <c r="A24" s="212" t="s">
        <v>146</v>
      </c>
      <c r="B24" s="212"/>
      <c r="C24" s="212"/>
      <c r="D24" s="212"/>
      <c r="E24" s="212"/>
      <c r="F24" s="212"/>
      <c r="G24" s="212"/>
    </row>
    <row r="25" spans="1:10" x14ac:dyDescent="0.25">
      <c r="A25" s="213" t="s">
        <v>164</v>
      </c>
      <c r="B25" s="213"/>
      <c r="C25" s="213"/>
      <c r="D25" s="213"/>
      <c r="E25" s="213"/>
      <c r="F25" s="213"/>
      <c r="G25" s="213"/>
    </row>
  </sheetData>
  <mergeCells count="11">
    <mergeCell ref="A24:G24"/>
    <mergeCell ref="A25:G25"/>
    <mergeCell ref="A14:N14"/>
    <mergeCell ref="A4:A5"/>
    <mergeCell ref="B16:D16"/>
    <mergeCell ref="B4:D4"/>
    <mergeCell ref="E4:G4"/>
    <mergeCell ref="E16:G16"/>
    <mergeCell ref="A16:A17"/>
    <mergeCell ref="A12:G12"/>
    <mergeCell ref="A13:G13"/>
  </mergeCells>
  <pageMargins left="0.7" right="0.7" top="0.75" bottom="0.75" header="0.3" footer="0.3"/>
  <pageSetup scale="80" orientation="landscape"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19DEB-977D-4CBF-83A7-340E3F219D76}">
  <sheetPr codeName="Sheet4">
    <tabColor theme="4" tint="0.59999389629810485"/>
    <pageSetUpPr fitToPage="1"/>
  </sheetPr>
  <dimension ref="A1:G111"/>
  <sheetViews>
    <sheetView view="pageBreakPreview" topLeftCell="A15" zoomScale="115" zoomScaleNormal="100" zoomScaleSheetLayoutView="115" workbookViewId="0">
      <selection activeCell="L10" sqref="L10"/>
    </sheetView>
  </sheetViews>
  <sheetFormatPr defaultColWidth="9.140625" defaultRowHeight="12.75" x14ac:dyDescent="0.2"/>
  <cols>
    <col min="1" max="1" width="23.5703125" style="5" customWidth="1"/>
    <col min="2" max="2" width="19.140625" style="3" bestFit="1" customWidth="1"/>
    <col min="3" max="4" width="19.140625" style="3" customWidth="1"/>
    <col min="5" max="5" width="33.42578125" style="3" customWidth="1"/>
    <col min="6" max="16384" width="9.140625" style="3"/>
  </cols>
  <sheetData>
    <row r="1" spans="1:7" ht="18" x14ac:dyDescent="0.25">
      <c r="A1" s="4" t="str">
        <f>'PSD Summary'!A1</f>
        <v>Foul Water Stripper Permit Modifications</v>
      </c>
    </row>
    <row r="2" spans="1:7" ht="18" x14ac:dyDescent="0.25">
      <c r="A2" s="4" t="s">
        <v>165</v>
      </c>
    </row>
    <row r="3" spans="1:7" ht="18" x14ac:dyDescent="0.25">
      <c r="A3" s="4" t="s">
        <v>101</v>
      </c>
    </row>
    <row r="5" spans="1:7" x14ac:dyDescent="0.2">
      <c r="A5" s="6" t="s">
        <v>4</v>
      </c>
      <c r="B5" s="6" t="s">
        <v>5</v>
      </c>
      <c r="C5" s="6" t="s">
        <v>6</v>
      </c>
      <c r="D5" s="6" t="s">
        <v>1</v>
      </c>
    </row>
    <row r="6" spans="1:7" x14ac:dyDescent="0.2">
      <c r="A6" s="8" t="s">
        <v>7</v>
      </c>
      <c r="B6" s="7">
        <v>1.91</v>
      </c>
      <c r="C6" s="8" t="s">
        <v>8</v>
      </c>
      <c r="D6" s="8" t="s">
        <v>9</v>
      </c>
    </row>
    <row r="7" spans="1:7" ht="15.75" x14ac:dyDescent="0.3">
      <c r="A7" s="8" t="s">
        <v>10</v>
      </c>
      <c r="B7" s="9">
        <v>53.02</v>
      </c>
      <c r="C7" s="8" t="s">
        <v>11</v>
      </c>
      <c r="D7" s="8" t="s">
        <v>12</v>
      </c>
    </row>
    <row r="8" spans="1:7" x14ac:dyDescent="0.2">
      <c r="A8" s="8" t="s">
        <v>151</v>
      </c>
      <c r="B8" s="8">
        <v>8760</v>
      </c>
      <c r="C8" s="8" t="s">
        <v>13</v>
      </c>
      <c r="D8" s="8"/>
    </row>
    <row r="9" spans="1:7" ht="13.5" thickBot="1" x14ac:dyDescent="0.25">
      <c r="A9" s="3"/>
      <c r="B9" s="10"/>
    </row>
    <row r="10" spans="1:7" ht="26.25" thickBot="1" x14ac:dyDescent="0.25">
      <c r="A10" s="57" t="s">
        <v>14</v>
      </c>
      <c r="B10" s="58" t="s">
        <v>15</v>
      </c>
      <c r="C10" s="58" t="s">
        <v>6</v>
      </c>
      <c r="D10" s="58" t="s">
        <v>16</v>
      </c>
      <c r="E10" s="59" t="s">
        <v>17</v>
      </c>
    </row>
    <row r="11" spans="1:7" x14ac:dyDescent="0.2">
      <c r="A11" s="11" t="s">
        <v>18</v>
      </c>
      <c r="B11" s="12">
        <f>1.9/1020</f>
        <v>1.8627450980392157E-3</v>
      </c>
      <c r="C11" s="13" t="s">
        <v>19</v>
      </c>
      <c r="D11" s="12">
        <f>B11*$B$6/2000*$B$8</f>
        <v>1.5583352941176468E-2</v>
      </c>
      <c r="E11" s="14" t="s">
        <v>20</v>
      </c>
    </row>
    <row r="12" spans="1:7" ht="15.75" x14ac:dyDescent="0.3">
      <c r="A12" s="15" t="s">
        <v>21</v>
      </c>
      <c r="B12" s="16">
        <f>7.6/1020</f>
        <v>7.4509803921568628E-3</v>
      </c>
      <c r="C12" s="17" t="s">
        <v>19</v>
      </c>
      <c r="D12" s="16">
        <f>B12*$B$6/2000*$B$8</f>
        <v>6.2333411764705873E-2</v>
      </c>
      <c r="E12" s="18" t="s">
        <v>20</v>
      </c>
    </row>
    <row r="13" spans="1:7" ht="15.75" x14ac:dyDescent="0.3">
      <c r="A13" s="15" t="s">
        <v>22</v>
      </c>
      <c r="B13" s="16">
        <f>7.6/1020</f>
        <v>7.4509803921568628E-3</v>
      </c>
      <c r="C13" s="17" t="s">
        <v>19</v>
      </c>
      <c r="D13" s="16">
        <f>B13*$B$6/2000*$B$8</f>
        <v>6.2333411764705873E-2</v>
      </c>
      <c r="E13" s="18" t="s">
        <v>20</v>
      </c>
    </row>
    <row r="14" spans="1:7" ht="15.75" x14ac:dyDescent="0.3">
      <c r="A14" s="15" t="s">
        <v>23</v>
      </c>
      <c r="B14" s="56">
        <v>0.377</v>
      </c>
      <c r="C14" s="17" t="s">
        <v>0</v>
      </c>
      <c r="D14" s="16">
        <f>B14*B8/2000</f>
        <v>1.65126</v>
      </c>
      <c r="E14" s="18" t="s">
        <v>24</v>
      </c>
      <c r="G14" s="19"/>
    </row>
    <row r="15" spans="1:7" x14ac:dyDescent="0.2">
      <c r="A15" s="15" t="s">
        <v>25</v>
      </c>
      <c r="B15" s="16">
        <f>0.0458*1.25</f>
        <v>5.7250000000000002E-2</v>
      </c>
      <c r="C15" s="17" t="s">
        <v>0</v>
      </c>
      <c r="D15" s="16">
        <f>B15*B8/2000</f>
        <v>0.25075500000000001</v>
      </c>
      <c r="E15" s="18" t="s">
        <v>24</v>
      </c>
    </row>
    <row r="16" spans="1:7" ht="15.75" x14ac:dyDescent="0.3">
      <c r="A16" s="15" t="s">
        <v>26</v>
      </c>
      <c r="B16" s="16">
        <v>0.39</v>
      </c>
      <c r="C16" s="17" t="s">
        <v>0</v>
      </c>
      <c r="D16" s="16">
        <f>B16*B8/2000</f>
        <v>1.7081999999999999</v>
      </c>
      <c r="E16" s="18" t="s">
        <v>24</v>
      </c>
      <c r="F16" s="20"/>
      <c r="G16" s="19"/>
    </row>
    <row r="17" spans="1:6" ht="15.75" x14ac:dyDescent="0.3">
      <c r="A17" s="15" t="s">
        <v>27</v>
      </c>
      <c r="B17" s="16">
        <f>B16*0.00105530934133563</f>
        <v>4.1157064312089572E-4</v>
      </c>
      <c r="C17" s="17" t="s">
        <v>19</v>
      </c>
      <c r="D17" s="16">
        <f t="shared" ref="D17:D23" si="0">B17*$B$6/2000*$B$8</f>
        <v>3.4431176862207893E-3</v>
      </c>
      <c r="E17" s="18" t="s">
        <v>28</v>
      </c>
    </row>
    <row r="18" spans="1:6" x14ac:dyDescent="0.2">
      <c r="A18" s="15" t="s">
        <v>29</v>
      </c>
      <c r="B18" s="16">
        <f>5.5/1020</f>
        <v>5.392156862745098E-3</v>
      </c>
      <c r="C18" s="17" t="s">
        <v>19</v>
      </c>
      <c r="D18" s="16">
        <f t="shared" si="0"/>
        <v>4.5109705882352934E-2</v>
      </c>
      <c r="E18" s="18" t="s">
        <v>30</v>
      </c>
    </row>
    <row r="19" spans="1:6" ht="15.75" x14ac:dyDescent="0.3">
      <c r="A19" s="15" t="s">
        <v>31</v>
      </c>
      <c r="B19" s="16">
        <f>B7*2.20456</f>
        <v>116.88577119999999</v>
      </c>
      <c r="C19" s="17" t="s">
        <v>19</v>
      </c>
      <c r="D19" s="21">
        <f t="shared" si="0"/>
        <v>977.84298470495992</v>
      </c>
      <c r="E19" s="18" t="s">
        <v>32</v>
      </c>
    </row>
    <row r="20" spans="1:6" ht="15.75" x14ac:dyDescent="0.3">
      <c r="A20" s="15" t="s">
        <v>33</v>
      </c>
      <c r="B20" s="16">
        <f>(0.001)*2.2046</f>
        <v>2.2046000000000001E-3</v>
      </c>
      <c r="C20" s="17" t="s">
        <v>19</v>
      </c>
      <c r="D20" s="16">
        <f t="shared" si="0"/>
        <v>1.8443242680000003E-2</v>
      </c>
      <c r="E20" s="18" t="s">
        <v>32</v>
      </c>
    </row>
    <row r="21" spans="1:6" ht="15.75" x14ac:dyDescent="0.3">
      <c r="A21" s="15" t="s">
        <v>34</v>
      </c>
      <c r="B21" s="16">
        <f>(0.0001)*2.2046</f>
        <v>2.2046000000000001E-4</v>
      </c>
      <c r="C21" s="17" t="s">
        <v>19</v>
      </c>
      <c r="D21" s="16">
        <f t="shared" si="0"/>
        <v>1.8443242680000001E-3</v>
      </c>
      <c r="E21" s="18" t="s">
        <v>32</v>
      </c>
    </row>
    <row r="22" spans="1:6" x14ac:dyDescent="0.2">
      <c r="A22" s="15" t="s">
        <v>35</v>
      </c>
      <c r="B22" s="16">
        <f>B19+B20+B21</f>
        <v>116.88819625999999</v>
      </c>
      <c r="C22" s="17" t="s">
        <v>19</v>
      </c>
      <c r="D22" s="21">
        <f t="shared" si="0"/>
        <v>977.86327227190782</v>
      </c>
      <c r="E22" s="18" t="s">
        <v>36</v>
      </c>
    </row>
    <row r="23" spans="1:6" ht="16.5" thickBot="1" x14ac:dyDescent="0.35">
      <c r="A23" s="22" t="s">
        <v>37</v>
      </c>
      <c r="B23" s="23">
        <f>B19+B20*21+B21*310</f>
        <v>117.00041039999999</v>
      </c>
      <c r="C23" s="24" t="s">
        <v>19</v>
      </c>
      <c r="D23" s="25">
        <f t="shared" si="0"/>
        <v>978.80203332431984</v>
      </c>
      <c r="E23" s="26" t="s">
        <v>152</v>
      </c>
    </row>
    <row r="24" spans="1:6" x14ac:dyDescent="0.2">
      <c r="A24" s="217" t="s">
        <v>38</v>
      </c>
      <c r="B24" s="217"/>
      <c r="C24" s="217"/>
      <c r="D24" s="217"/>
      <c r="E24" s="217"/>
    </row>
    <row r="25" spans="1:6" ht="13.5" thickBot="1" x14ac:dyDescent="0.25">
      <c r="A25" s="3"/>
      <c r="B25" s="7"/>
      <c r="C25" s="27"/>
      <c r="D25" s="28"/>
      <c r="E25" s="8"/>
    </row>
    <row r="26" spans="1:6" ht="28.5" x14ac:dyDescent="0.2">
      <c r="A26" s="218" t="s">
        <v>82</v>
      </c>
      <c r="B26" s="60" t="s">
        <v>41</v>
      </c>
      <c r="C26" s="220" t="s">
        <v>42</v>
      </c>
      <c r="D26" s="221"/>
      <c r="E26" s="8"/>
    </row>
    <row r="27" spans="1:6" ht="13.5" thickBot="1" x14ac:dyDescent="0.25">
      <c r="A27" s="219"/>
      <c r="B27" s="61" t="s">
        <v>43</v>
      </c>
      <c r="C27" s="62" t="s">
        <v>44</v>
      </c>
      <c r="D27" s="63" t="s">
        <v>45</v>
      </c>
      <c r="E27" s="8"/>
    </row>
    <row r="28" spans="1:6" x14ac:dyDescent="0.2">
      <c r="A28" s="182" t="s">
        <v>46</v>
      </c>
      <c r="B28" s="183" t="s">
        <v>47</v>
      </c>
      <c r="C28" s="191">
        <f>0.088*1.25</f>
        <v>0.10999999999999999</v>
      </c>
      <c r="D28" s="190">
        <f>C28*8760/2000</f>
        <v>0.48179999999999995</v>
      </c>
      <c r="E28" s="33"/>
      <c r="F28" s="34"/>
    </row>
    <row r="29" spans="1:6" x14ac:dyDescent="0.2">
      <c r="A29" s="29" t="s">
        <v>48</v>
      </c>
      <c r="B29" s="35">
        <f>0.0021/1020</f>
        <v>2.0588235294117645E-6</v>
      </c>
      <c r="C29" s="31">
        <f>$B$6*B29</f>
        <v>3.9323529411764701E-6</v>
      </c>
      <c r="D29" s="32">
        <f t="shared" ref="D29:D31" si="1">C29*8760/2000</f>
        <v>1.722370588235294E-5</v>
      </c>
      <c r="E29" s="33"/>
    </row>
    <row r="30" spans="1:6" x14ac:dyDescent="0.2">
      <c r="A30" s="36" t="s">
        <v>49</v>
      </c>
      <c r="B30" s="37">
        <f>0.075/1020</f>
        <v>7.3529411764705876E-5</v>
      </c>
      <c r="C30" s="31">
        <f t="shared" ref="C30:C31" si="2">$B$6*B30</f>
        <v>1.4044117647058822E-4</v>
      </c>
      <c r="D30" s="187">
        <f t="shared" si="1"/>
        <v>6.151323529411764E-4</v>
      </c>
      <c r="E30" s="33"/>
    </row>
    <row r="31" spans="1:6" ht="13.5" thickBot="1" x14ac:dyDescent="0.25">
      <c r="A31" s="40" t="s">
        <v>50</v>
      </c>
      <c r="B31" s="41">
        <f>0.0034/1020</f>
        <v>3.3333333333333333E-6</v>
      </c>
      <c r="C31" s="42">
        <f t="shared" si="2"/>
        <v>6.3666666666666661E-6</v>
      </c>
      <c r="D31" s="43">
        <f t="shared" si="1"/>
        <v>2.7885999999999997E-5</v>
      </c>
      <c r="E31" s="33"/>
    </row>
    <row r="32" spans="1:6" x14ac:dyDescent="0.2">
      <c r="A32" s="222" t="s">
        <v>153</v>
      </c>
      <c r="B32" s="222"/>
      <c r="C32" s="222"/>
      <c r="D32" s="222"/>
      <c r="E32" s="222"/>
    </row>
    <row r="33" spans="1:5" ht="30" customHeight="1" x14ac:dyDescent="0.2">
      <c r="A33" s="222"/>
      <c r="B33" s="222"/>
      <c r="C33" s="222"/>
      <c r="D33" s="222"/>
      <c r="E33" s="222"/>
    </row>
    <row r="34" spans="1:5" x14ac:dyDescent="0.2">
      <c r="A34" s="5" t="s">
        <v>51</v>
      </c>
      <c r="B34" s="7"/>
      <c r="C34" s="27"/>
      <c r="D34" s="28"/>
      <c r="E34" s="8"/>
    </row>
    <row r="35" spans="1:5" x14ac:dyDescent="0.2">
      <c r="B35" s="7"/>
      <c r="C35" s="27"/>
      <c r="D35" s="28"/>
      <c r="E35" s="8"/>
    </row>
    <row r="36" spans="1:5" x14ac:dyDescent="0.2">
      <c r="B36" s="7"/>
      <c r="C36" s="27"/>
      <c r="D36" s="28"/>
      <c r="E36" s="8"/>
    </row>
    <row r="37" spans="1:5" x14ac:dyDescent="0.2">
      <c r="B37" s="7"/>
      <c r="C37" s="27"/>
      <c r="D37" s="28"/>
      <c r="E37" s="8"/>
    </row>
    <row r="38" spans="1:5" x14ac:dyDescent="0.2">
      <c r="B38" s="7"/>
      <c r="C38" s="27"/>
      <c r="D38" s="28"/>
      <c r="E38" s="8"/>
    </row>
    <row r="39" spans="1:5" x14ac:dyDescent="0.2">
      <c r="B39" s="7"/>
      <c r="C39" s="27"/>
      <c r="D39" s="28"/>
      <c r="E39" s="8"/>
    </row>
    <row r="40" spans="1:5" x14ac:dyDescent="0.2">
      <c r="B40" s="7"/>
      <c r="C40" s="27"/>
      <c r="D40" s="28"/>
      <c r="E40" s="8"/>
    </row>
    <row r="41" spans="1:5" x14ac:dyDescent="0.2">
      <c r="B41" s="7"/>
      <c r="C41" s="27"/>
      <c r="D41" s="28"/>
      <c r="E41" s="8"/>
    </row>
    <row r="42" spans="1:5" x14ac:dyDescent="0.2">
      <c r="B42" s="7"/>
      <c r="C42" s="27"/>
      <c r="D42" s="28"/>
      <c r="E42" s="8"/>
    </row>
    <row r="43" spans="1:5" x14ac:dyDescent="0.2">
      <c r="B43" s="7"/>
      <c r="C43" s="27"/>
      <c r="D43" s="28"/>
      <c r="E43" s="8"/>
    </row>
    <row r="44" spans="1:5" x14ac:dyDescent="0.2">
      <c r="B44" s="7"/>
      <c r="C44" s="27"/>
      <c r="D44" s="28"/>
      <c r="E44" s="8"/>
    </row>
    <row r="45" spans="1:5" x14ac:dyDescent="0.2">
      <c r="B45" s="7"/>
      <c r="C45" s="27"/>
      <c r="D45" s="28"/>
      <c r="E45" s="8"/>
    </row>
    <row r="46" spans="1:5" x14ac:dyDescent="0.2">
      <c r="B46" s="7"/>
      <c r="C46" s="27"/>
      <c r="D46" s="28"/>
      <c r="E46" s="8"/>
    </row>
    <row r="47" spans="1:5" x14ac:dyDescent="0.2">
      <c r="B47" s="7"/>
      <c r="C47" s="27"/>
      <c r="D47" s="28"/>
      <c r="E47" s="8"/>
    </row>
    <row r="48" spans="1:5" x14ac:dyDescent="0.2">
      <c r="B48" s="7"/>
      <c r="C48" s="27"/>
      <c r="D48" s="28"/>
      <c r="E48" s="8"/>
    </row>
    <row r="49" spans="1:5" x14ac:dyDescent="0.2">
      <c r="B49" s="7"/>
      <c r="C49" s="27"/>
      <c r="D49" s="28"/>
      <c r="E49" s="8"/>
    </row>
    <row r="50" spans="1:5" x14ac:dyDescent="0.2">
      <c r="B50" s="7"/>
      <c r="C50" s="27"/>
      <c r="D50" s="28"/>
      <c r="E50" s="8"/>
    </row>
    <row r="51" spans="1:5" x14ac:dyDescent="0.2">
      <c r="B51" s="7"/>
      <c r="C51" s="27"/>
      <c r="D51" s="28"/>
      <c r="E51" s="8"/>
    </row>
    <row r="52" spans="1:5" x14ac:dyDescent="0.2">
      <c r="B52" s="7"/>
      <c r="C52" s="27"/>
      <c r="D52" s="28"/>
      <c r="E52" s="8"/>
    </row>
    <row r="53" spans="1:5" x14ac:dyDescent="0.2">
      <c r="B53" s="7"/>
      <c r="C53" s="27"/>
      <c r="D53" s="28"/>
      <c r="E53" s="8"/>
    </row>
    <row r="54" spans="1:5" x14ac:dyDescent="0.2">
      <c r="B54" s="7"/>
      <c r="C54" s="27"/>
      <c r="D54" s="28"/>
      <c r="E54" s="8"/>
    </row>
    <row r="55" spans="1:5" x14ac:dyDescent="0.2">
      <c r="B55" s="7"/>
      <c r="C55" s="27"/>
      <c r="D55" s="28"/>
      <c r="E55" s="8"/>
    </row>
    <row r="56" spans="1:5" x14ac:dyDescent="0.2">
      <c r="B56" s="7"/>
      <c r="C56" s="27"/>
      <c r="D56" s="28"/>
      <c r="E56" s="8"/>
    </row>
    <row r="58" spans="1:5" x14ac:dyDescent="0.2">
      <c r="B58" s="44"/>
      <c r="C58" s="44"/>
      <c r="D58" s="44"/>
    </row>
    <row r="59" spans="1:5" x14ac:dyDescent="0.2">
      <c r="B59" s="44"/>
      <c r="C59" s="44"/>
      <c r="D59" s="44"/>
    </row>
    <row r="61" spans="1:5" x14ac:dyDescent="0.2">
      <c r="A61" s="45"/>
    </row>
    <row r="67" spans="1:4" x14ac:dyDescent="0.2">
      <c r="B67" s="44"/>
      <c r="C67" s="44"/>
    </row>
    <row r="70" spans="1:4" x14ac:dyDescent="0.2">
      <c r="B70" s="44"/>
      <c r="C70" s="44"/>
      <c r="D70" s="44"/>
    </row>
    <row r="71" spans="1:4" x14ac:dyDescent="0.2">
      <c r="B71" s="44"/>
      <c r="C71" s="44"/>
      <c r="D71" s="44"/>
    </row>
    <row r="74" spans="1:4" x14ac:dyDescent="0.2">
      <c r="A74" s="45"/>
    </row>
    <row r="75" spans="1:4" x14ac:dyDescent="0.2">
      <c r="A75" s="3"/>
    </row>
    <row r="76" spans="1:4" x14ac:dyDescent="0.2">
      <c r="A76" s="3"/>
    </row>
    <row r="79" spans="1:4" x14ac:dyDescent="0.2">
      <c r="B79" s="44"/>
      <c r="C79" s="44"/>
    </row>
    <row r="80" spans="1:4" x14ac:dyDescent="0.2">
      <c r="B80" s="44"/>
      <c r="C80" s="44"/>
    </row>
    <row r="83" spans="1:4" x14ac:dyDescent="0.2">
      <c r="B83" s="44"/>
      <c r="C83" s="44"/>
      <c r="D83" s="44"/>
    </row>
    <row r="84" spans="1:4" x14ac:dyDescent="0.2">
      <c r="B84" s="44"/>
      <c r="C84" s="44"/>
      <c r="D84" s="44"/>
    </row>
    <row r="87" spans="1:4" ht="18" x14ac:dyDescent="0.25">
      <c r="A87" s="4"/>
    </row>
    <row r="88" spans="1:4" ht="18" x14ac:dyDescent="0.25">
      <c r="A88" s="4"/>
    </row>
    <row r="89" spans="1:4" x14ac:dyDescent="0.2">
      <c r="A89" s="45"/>
    </row>
    <row r="90" spans="1:4" x14ac:dyDescent="0.2">
      <c r="A90" s="3"/>
    </row>
    <row r="91" spans="1:4" x14ac:dyDescent="0.2">
      <c r="A91" s="3"/>
    </row>
    <row r="94" spans="1:4" x14ac:dyDescent="0.2">
      <c r="B94" s="44"/>
      <c r="C94" s="44"/>
    </row>
    <row r="95" spans="1:4" x14ac:dyDescent="0.2">
      <c r="B95" s="44"/>
      <c r="C95" s="44"/>
    </row>
    <row r="98" spans="1:4" x14ac:dyDescent="0.2">
      <c r="B98" s="44"/>
      <c r="C98" s="44"/>
      <c r="D98" s="44"/>
    </row>
    <row r="99" spans="1:4" x14ac:dyDescent="0.2">
      <c r="B99" s="44"/>
      <c r="C99" s="44"/>
      <c r="D99" s="44"/>
    </row>
    <row r="101" spans="1:4" x14ac:dyDescent="0.2">
      <c r="A101" s="45"/>
    </row>
    <row r="102" spans="1:4" x14ac:dyDescent="0.2">
      <c r="A102" s="3"/>
    </row>
    <row r="103" spans="1:4" x14ac:dyDescent="0.2">
      <c r="A103" s="3"/>
    </row>
    <row r="106" spans="1:4" x14ac:dyDescent="0.2">
      <c r="B106" s="44"/>
      <c r="C106" s="44"/>
    </row>
    <row r="107" spans="1:4" x14ac:dyDescent="0.2">
      <c r="B107" s="44"/>
      <c r="C107" s="44"/>
    </row>
    <row r="110" spans="1:4" x14ac:dyDescent="0.2">
      <c r="B110" s="44"/>
      <c r="C110" s="44"/>
      <c r="D110" s="44"/>
    </row>
    <row r="111" spans="1:4" x14ac:dyDescent="0.2">
      <c r="B111" s="44"/>
      <c r="C111" s="44"/>
      <c r="D111" s="44"/>
    </row>
  </sheetData>
  <mergeCells count="4">
    <mergeCell ref="A24:E24"/>
    <mergeCell ref="A26:A27"/>
    <mergeCell ref="C26:D26"/>
    <mergeCell ref="A32:E33"/>
  </mergeCells>
  <pageMargins left="0.7" right="0.7" top="0.5" bottom="0.5" header="0.3" footer="0.3"/>
  <pageSetup scale="96" orientation="landscape" horizontalDpi="1200" verticalDpi="1200" r:id="rId1"/>
  <headerFooter>
    <oddHeader>&amp;L&amp;"Arial,Bold"&amp;14Martinez Renewable Fuels Project</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8827F-80AF-43A2-BF02-089D2871E43B}">
  <sheetPr codeName="Sheet5">
    <tabColor theme="4" tint="0.59999389629810485"/>
    <pageSetUpPr fitToPage="1"/>
  </sheetPr>
  <dimension ref="A1:K106"/>
  <sheetViews>
    <sheetView view="pageBreakPreview" zoomScale="115" zoomScaleNormal="145" zoomScaleSheetLayoutView="115" workbookViewId="0">
      <selection activeCell="D29" sqref="D29"/>
    </sheetView>
  </sheetViews>
  <sheetFormatPr defaultColWidth="9.140625" defaultRowHeight="12.75" x14ac:dyDescent="0.2"/>
  <cols>
    <col min="1" max="1" width="23.5703125" style="5" customWidth="1"/>
    <col min="2" max="2" width="19.140625" style="3" bestFit="1" customWidth="1"/>
    <col min="3" max="4" width="19.140625" style="3" customWidth="1"/>
    <col min="5" max="6" width="18" style="3" bestFit="1" customWidth="1"/>
    <col min="7" max="7" width="29" style="3" customWidth="1"/>
    <col min="8" max="8" width="9.140625" style="3"/>
    <col min="9" max="9" width="10.7109375" style="3" bestFit="1" customWidth="1"/>
    <col min="10" max="16384" width="9.140625" style="3"/>
  </cols>
  <sheetData>
    <row r="1" spans="1:8" ht="18" x14ac:dyDescent="0.25">
      <c r="A1" s="4" t="str">
        <f>'PSD Summary'!A1</f>
        <v>Foul Water Stripper Permit Modifications</v>
      </c>
    </row>
    <row r="2" spans="1:8" ht="18" x14ac:dyDescent="0.25">
      <c r="A2" s="4" t="s">
        <v>165</v>
      </c>
    </row>
    <row r="3" spans="1:8" ht="18" x14ac:dyDescent="0.25">
      <c r="A3" s="4" t="s">
        <v>102</v>
      </c>
    </row>
    <row r="5" spans="1:8" x14ac:dyDescent="0.2">
      <c r="A5" s="6" t="s">
        <v>4</v>
      </c>
      <c r="B5" s="6" t="s">
        <v>5</v>
      </c>
      <c r="C5" s="6" t="s">
        <v>6</v>
      </c>
      <c r="D5" s="6" t="s">
        <v>1</v>
      </c>
    </row>
    <row r="6" spans="1:8" x14ac:dyDescent="0.2">
      <c r="A6" s="8" t="s">
        <v>150</v>
      </c>
      <c r="B6" s="194">
        <v>2.2000000000000002</v>
      </c>
      <c r="C6" s="8" t="s">
        <v>8</v>
      </c>
      <c r="D6" s="8" t="s">
        <v>9</v>
      </c>
    </row>
    <row r="7" spans="1:8" ht="15.75" x14ac:dyDescent="0.3">
      <c r="A7" s="8" t="s">
        <v>10</v>
      </c>
      <c r="B7" s="9">
        <v>53.02</v>
      </c>
      <c r="C7" s="8" t="s">
        <v>11</v>
      </c>
      <c r="D7" s="8" t="s">
        <v>12</v>
      </c>
    </row>
    <row r="8" spans="1:8" x14ac:dyDescent="0.2">
      <c r="A8" s="8" t="s">
        <v>151</v>
      </c>
      <c r="B8" s="8">
        <v>8760</v>
      </c>
      <c r="C8" s="8" t="s">
        <v>13</v>
      </c>
      <c r="D8" s="8"/>
    </row>
    <row r="9" spans="1:8" ht="13.5" thickBot="1" x14ac:dyDescent="0.25">
      <c r="A9" s="3"/>
      <c r="B9" s="10"/>
    </row>
    <row r="10" spans="1:8" ht="26.25" thickBot="1" x14ac:dyDescent="0.25">
      <c r="A10" s="57" t="s">
        <v>14</v>
      </c>
      <c r="B10" s="58" t="s">
        <v>15</v>
      </c>
      <c r="C10" s="58" t="s">
        <v>6</v>
      </c>
      <c r="D10" s="58" t="s">
        <v>95</v>
      </c>
      <c r="E10" s="58" t="s">
        <v>94</v>
      </c>
      <c r="F10" s="58" t="s">
        <v>16</v>
      </c>
      <c r="G10" s="59" t="s">
        <v>17</v>
      </c>
    </row>
    <row r="11" spans="1:8" x14ac:dyDescent="0.2">
      <c r="A11" s="11" t="s">
        <v>18</v>
      </c>
      <c r="B11" s="12">
        <f>1.9/1020</f>
        <v>1.8627450980392157E-3</v>
      </c>
      <c r="C11" s="13" t="s">
        <v>19</v>
      </c>
      <c r="D11" s="145">
        <f>B11*$B$6</f>
        <v>4.0980392156862748E-3</v>
      </c>
      <c r="E11" s="145">
        <f>B11*$B$6*24</f>
        <v>9.8352941176470587E-2</v>
      </c>
      <c r="F11" s="145">
        <f>B11*$B$6/2000*$B$8</f>
        <v>1.7949411764705884E-2</v>
      </c>
      <c r="G11" s="14" t="s">
        <v>20</v>
      </c>
      <c r="H11" s="19"/>
    </row>
    <row r="12" spans="1:8" ht="15.75" x14ac:dyDescent="0.3">
      <c r="A12" s="15" t="s">
        <v>21</v>
      </c>
      <c r="B12" s="16">
        <f>7.6/1020</f>
        <v>7.4509803921568628E-3</v>
      </c>
      <c r="C12" s="17" t="s">
        <v>19</v>
      </c>
      <c r="D12" s="156">
        <f t="shared" ref="D12:D23" si="0">B12*$B$6</f>
        <v>1.6392156862745099E-2</v>
      </c>
      <c r="E12" s="156">
        <f>B12*$B$6*24</f>
        <v>0.39341176470588235</v>
      </c>
      <c r="F12" s="156">
        <f>B12*$B$6/2000*$B$8</f>
        <v>7.1797647058823535E-2</v>
      </c>
      <c r="G12" s="18" t="s">
        <v>20</v>
      </c>
    </row>
    <row r="13" spans="1:8" ht="15.75" x14ac:dyDescent="0.3">
      <c r="A13" s="15" t="s">
        <v>22</v>
      </c>
      <c r="B13" s="16">
        <f>7.6/1020</f>
        <v>7.4509803921568628E-3</v>
      </c>
      <c r="C13" s="17" t="s">
        <v>19</v>
      </c>
      <c r="D13" s="156">
        <f t="shared" si="0"/>
        <v>1.6392156862745099E-2</v>
      </c>
      <c r="E13" s="156">
        <f>B13*$B$6*24</f>
        <v>0.39341176470588235</v>
      </c>
      <c r="F13" s="156">
        <f>B13*$B$6/2000*$B$8</f>
        <v>7.1797647058823535E-2</v>
      </c>
      <c r="G13" s="18" t="s">
        <v>20</v>
      </c>
    </row>
    <row r="14" spans="1:8" ht="15.75" x14ac:dyDescent="0.3">
      <c r="A14" s="15" t="s">
        <v>23</v>
      </c>
      <c r="B14" s="56">
        <v>0.377</v>
      </c>
      <c r="C14" s="17" t="s">
        <v>0</v>
      </c>
      <c r="D14" s="156">
        <f>B14</f>
        <v>0.377</v>
      </c>
      <c r="E14" s="156">
        <f>B14*24</f>
        <v>9.048</v>
      </c>
      <c r="F14" s="156">
        <f>B14*B8/2000</f>
        <v>1.65126</v>
      </c>
      <c r="G14" s="18" t="s">
        <v>24</v>
      </c>
    </row>
    <row r="15" spans="1:8" ht="38.25" x14ac:dyDescent="0.2">
      <c r="A15" s="15" t="s">
        <v>25</v>
      </c>
      <c r="B15" s="16">
        <v>0.24</v>
      </c>
      <c r="C15" s="17" t="s">
        <v>19</v>
      </c>
      <c r="D15" s="156">
        <f t="shared" ref="D15" si="1">B15*$B$6</f>
        <v>0.52800000000000002</v>
      </c>
      <c r="E15" s="156">
        <f>B15*$B$6*24</f>
        <v>12.672000000000001</v>
      </c>
      <c r="F15" s="156">
        <f>B15*$B$6/2000*$B$8</f>
        <v>2.31264</v>
      </c>
      <c r="G15" s="196" t="s">
        <v>171</v>
      </c>
      <c r="H15" s="53"/>
    </row>
    <row r="16" spans="1:8" ht="15.75" x14ac:dyDescent="0.3">
      <c r="A16" s="15" t="s">
        <v>26</v>
      </c>
      <c r="B16" s="16">
        <v>0.39</v>
      </c>
      <c r="C16" s="17" t="s">
        <v>0</v>
      </c>
      <c r="D16" s="156">
        <f t="shared" ref="D16" si="2">B16</f>
        <v>0.39</v>
      </c>
      <c r="E16" s="156">
        <f>B16*24</f>
        <v>9.36</v>
      </c>
      <c r="F16" s="156">
        <f>B16*B8/2000</f>
        <v>1.7081999999999999</v>
      </c>
      <c r="G16" s="18" t="s">
        <v>24</v>
      </c>
    </row>
    <row r="17" spans="1:7" ht="15.75" x14ac:dyDescent="0.3">
      <c r="A17" s="15" t="s">
        <v>27</v>
      </c>
      <c r="B17" s="16">
        <f>B16*0.00105530934133563</f>
        <v>4.1157064312089572E-4</v>
      </c>
      <c r="C17" s="17" t="s">
        <v>19</v>
      </c>
      <c r="D17" s="156">
        <f t="shared" si="0"/>
        <v>9.0545541486597068E-4</v>
      </c>
      <c r="E17" s="156">
        <f t="shared" ref="E17:E23" si="3">B17*$B$6*24</f>
        <v>2.1730929956783294E-2</v>
      </c>
      <c r="F17" s="156">
        <f t="shared" ref="F17:F23" si="4">B17*$B$6/2000*$B$8</f>
        <v>3.9658947171129517E-3</v>
      </c>
      <c r="G17" s="18" t="s">
        <v>28</v>
      </c>
    </row>
    <row r="18" spans="1:7" x14ac:dyDescent="0.2">
      <c r="A18" s="15" t="s">
        <v>29</v>
      </c>
      <c r="B18" s="16">
        <f>5.5/1020</f>
        <v>5.392156862745098E-3</v>
      </c>
      <c r="C18" s="17" t="s">
        <v>19</v>
      </c>
      <c r="D18" s="156">
        <f t="shared" si="0"/>
        <v>1.1862745098039217E-2</v>
      </c>
      <c r="E18" s="156">
        <f t="shared" si="3"/>
        <v>0.2847058823529412</v>
      </c>
      <c r="F18" s="156">
        <f t="shared" si="4"/>
        <v>5.1958823529411766E-2</v>
      </c>
      <c r="G18" s="18" t="s">
        <v>30</v>
      </c>
    </row>
    <row r="19" spans="1:7" ht="15.75" x14ac:dyDescent="0.3">
      <c r="A19" s="15" t="s">
        <v>31</v>
      </c>
      <c r="B19" s="16">
        <f>B7*2.20456</f>
        <v>116.88577119999999</v>
      </c>
      <c r="C19" s="17" t="s">
        <v>19</v>
      </c>
      <c r="D19" s="56">
        <f t="shared" si="0"/>
        <v>257.14869664000003</v>
      </c>
      <c r="E19" s="56">
        <f t="shared" si="3"/>
        <v>6171.5687193600006</v>
      </c>
      <c r="F19" s="56">
        <f t="shared" si="4"/>
        <v>1126.3112912832</v>
      </c>
      <c r="G19" s="18" t="s">
        <v>32</v>
      </c>
    </row>
    <row r="20" spans="1:7" ht="15.75" x14ac:dyDescent="0.3">
      <c r="A20" s="15" t="s">
        <v>33</v>
      </c>
      <c r="B20" s="16">
        <f>(0.001)*2.2046</f>
        <v>2.2046000000000001E-3</v>
      </c>
      <c r="C20" s="17" t="s">
        <v>19</v>
      </c>
      <c r="D20" s="156">
        <f t="shared" si="0"/>
        <v>4.8501200000000003E-3</v>
      </c>
      <c r="E20" s="156">
        <f t="shared" si="3"/>
        <v>0.11640288000000001</v>
      </c>
      <c r="F20" s="156">
        <f t="shared" si="4"/>
        <v>2.12435256E-2</v>
      </c>
      <c r="G20" s="18" t="s">
        <v>32</v>
      </c>
    </row>
    <row r="21" spans="1:7" ht="15.75" x14ac:dyDescent="0.3">
      <c r="A21" s="15" t="s">
        <v>34</v>
      </c>
      <c r="B21" s="16">
        <f>(0.0001)*2.2046</f>
        <v>2.2046000000000001E-4</v>
      </c>
      <c r="C21" s="17" t="s">
        <v>19</v>
      </c>
      <c r="D21" s="156">
        <f t="shared" si="0"/>
        <v>4.8501200000000005E-4</v>
      </c>
      <c r="E21" s="156">
        <f t="shared" si="3"/>
        <v>1.1640288000000002E-2</v>
      </c>
      <c r="F21" s="156">
        <f t="shared" si="4"/>
        <v>2.1243525600000003E-3</v>
      </c>
      <c r="G21" s="18" t="s">
        <v>32</v>
      </c>
    </row>
    <row r="22" spans="1:7" x14ac:dyDescent="0.2">
      <c r="A22" s="15" t="s">
        <v>35</v>
      </c>
      <c r="B22" s="16">
        <f>B19+B20+B21</f>
        <v>116.88819625999999</v>
      </c>
      <c r="C22" s="17" t="s">
        <v>19</v>
      </c>
      <c r="D22" s="56">
        <f t="shared" si="0"/>
        <v>257.154031772</v>
      </c>
      <c r="E22" s="56">
        <f t="shared" si="3"/>
        <v>6171.6967625279995</v>
      </c>
      <c r="F22" s="56">
        <f t="shared" si="4"/>
        <v>1126.3346591613599</v>
      </c>
      <c r="G22" s="18" t="s">
        <v>36</v>
      </c>
    </row>
    <row r="23" spans="1:7" ht="16.5" thickBot="1" x14ac:dyDescent="0.35">
      <c r="A23" s="22" t="s">
        <v>37</v>
      </c>
      <c r="B23" s="23">
        <f>B19+B20*25+B21*3298</f>
        <v>117.66796328</v>
      </c>
      <c r="C23" s="24" t="s">
        <v>19</v>
      </c>
      <c r="D23" s="184">
        <f t="shared" si="0"/>
        <v>258.86951921600001</v>
      </c>
      <c r="E23" s="184">
        <f t="shared" si="3"/>
        <v>6212.8684611839999</v>
      </c>
      <c r="F23" s="184">
        <f t="shared" si="4"/>
        <v>1133.8484941660799</v>
      </c>
      <c r="G23" s="26" t="s">
        <v>136</v>
      </c>
    </row>
    <row r="24" spans="1:7" x14ac:dyDescent="0.2">
      <c r="A24" s="223" t="s">
        <v>38</v>
      </c>
      <c r="B24" s="223"/>
      <c r="C24" s="223"/>
      <c r="D24" s="223"/>
      <c r="E24" s="223"/>
      <c r="F24" s="223"/>
    </row>
    <row r="25" spans="1:7" x14ac:dyDescent="0.2">
      <c r="A25" s="5" t="s">
        <v>170</v>
      </c>
      <c r="B25" s="7"/>
      <c r="C25" s="27"/>
      <c r="D25" s="28"/>
      <c r="E25" s="8"/>
    </row>
    <row r="26" spans="1:7" ht="13.5" thickBot="1" x14ac:dyDescent="0.25">
      <c r="B26" s="7"/>
      <c r="C26" s="27"/>
      <c r="D26" s="28"/>
      <c r="E26" s="8"/>
    </row>
    <row r="27" spans="1:7" ht="28.5" x14ac:dyDescent="0.2">
      <c r="A27" s="218" t="s">
        <v>82</v>
      </c>
      <c r="B27" s="60" t="s">
        <v>154</v>
      </c>
      <c r="C27" s="220" t="s">
        <v>42</v>
      </c>
      <c r="D27" s="221"/>
      <c r="E27" s="8"/>
    </row>
    <row r="28" spans="1:7" ht="13.5" thickBot="1" x14ac:dyDescent="0.25">
      <c r="A28" s="219"/>
      <c r="B28" s="61" t="s">
        <v>43</v>
      </c>
      <c r="C28" s="62" t="s">
        <v>44</v>
      </c>
      <c r="D28" s="63" t="s">
        <v>45</v>
      </c>
      <c r="E28" s="8"/>
    </row>
    <row r="29" spans="1:7" x14ac:dyDescent="0.2">
      <c r="A29" s="29" t="s">
        <v>46</v>
      </c>
      <c r="B29" s="30" t="s">
        <v>47</v>
      </c>
      <c r="C29" s="185">
        <f>0.088*1.25</f>
        <v>0.10999999999999999</v>
      </c>
      <c r="D29" s="186">
        <f>C29*8760/2000</f>
        <v>0.48179999999999995</v>
      </c>
      <c r="E29" s="33"/>
      <c r="F29" s="34"/>
    </row>
    <row r="30" spans="1:7" x14ac:dyDescent="0.2">
      <c r="A30" s="29" t="s">
        <v>48</v>
      </c>
      <c r="B30" s="35">
        <f>0.0021/1020</f>
        <v>2.0588235294117645E-6</v>
      </c>
      <c r="C30" s="31">
        <f>$B$6*B30</f>
        <v>4.5294117647058826E-6</v>
      </c>
      <c r="D30" s="32">
        <f t="shared" ref="D30:D32" si="5">C30*8760/2000</f>
        <v>1.9838823529411767E-5</v>
      </c>
      <c r="E30" s="33"/>
      <c r="F30" s="34"/>
    </row>
    <row r="31" spans="1:7" x14ac:dyDescent="0.2">
      <c r="A31" s="36" t="s">
        <v>49</v>
      </c>
      <c r="B31" s="37">
        <f>0.075/1020</f>
        <v>7.3529411764705876E-5</v>
      </c>
      <c r="C31" s="38">
        <f t="shared" ref="C31:C32" si="6">$B$6*B31</f>
        <v>1.6176470588235293E-4</v>
      </c>
      <c r="D31" s="187">
        <f t="shared" si="5"/>
        <v>7.0852941176470583E-4</v>
      </c>
      <c r="E31" s="33"/>
      <c r="F31" s="34"/>
    </row>
    <row r="32" spans="1:7" x14ac:dyDescent="0.2">
      <c r="A32" s="36" t="s">
        <v>50</v>
      </c>
      <c r="B32" s="37">
        <f>0.0034/1020</f>
        <v>3.3333333333333333E-6</v>
      </c>
      <c r="C32" s="38">
        <f t="shared" si="6"/>
        <v>7.333333333333334E-6</v>
      </c>
      <c r="D32" s="39">
        <f t="shared" si="5"/>
        <v>3.2120000000000004E-5</v>
      </c>
      <c r="E32" s="33"/>
      <c r="F32" s="34"/>
    </row>
    <row r="33" spans="1:11" ht="13.5" thickBot="1" x14ac:dyDescent="0.25">
      <c r="A33" s="40" t="s">
        <v>81</v>
      </c>
      <c r="B33" s="41">
        <f>2*20.9/(20.9-15)*34.03*8710/386.8/10^6</f>
        <v>5.4289758382556584E-3</v>
      </c>
      <c r="C33" s="188">
        <f t="shared" ref="C33" si="7">$B$6*B33</f>
        <v>1.194374684416245E-2</v>
      </c>
      <c r="D33" s="189">
        <f t="shared" ref="D33" si="8">C33*8760/2000</f>
        <v>5.2313611177431531E-2</v>
      </c>
      <c r="E33" s="33"/>
      <c r="F33" s="34"/>
      <c r="G33" s="34"/>
      <c r="H33" s="34"/>
      <c r="I33" s="34"/>
      <c r="K33" s="34"/>
    </row>
    <row r="34" spans="1:11" ht="12.75" customHeight="1" x14ac:dyDescent="0.2">
      <c r="A34" s="222" t="s">
        <v>153</v>
      </c>
      <c r="B34" s="222"/>
      <c r="C34" s="222"/>
      <c r="D34" s="222"/>
      <c r="E34" s="222"/>
    </row>
    <row r="35" spans="1:11" ht="30" customHeight="1" x14ac:dyDescent="0.2">
      <c r="A35" s="222"/>
      <c r="B35" s="222"/>
      <c r="C35" s="222"/>
      <c r="D35" s="222"/>
      <c r="E35" s="222"/>
    </row>
    <row r="36" spans="1:11" x14ac:dyDescent="0.2">
      <c r="A36" s="5" t="s">
        <v>51</v>
      </c>
      <c r="B36" s="7"/>
      <c r="C36" s="27"/>
      <c r="D36" s="28"/>
      <c r="E36" s="8"/>
    </row>
    <row r="37" spans="1:11" x14ac:dyDescent="0.2">
      <c r="A37" s="5" t="s">
        <v>172</v>
      </c>
      <c r="B37" s="7"/>
      <c r="C37" s="27"/>
      <c r="D37" s="28"/>
      <c r="E37" s="8"/>
    </row>
    <row r="38" spans="1:11" x14ac:dyDescent="0.2">
      <c r="B38" s="7"/>
      <c r="C38" s="27"/>
      <c r="D38" s="28"/>
      <c r="E38" s="8"/>
    </row>
    <row r="39" spans="1:11" x14ac:dyDescent="0.2">
      <c r="B39" s="7"/>
      <c r="C39" s="27"/>
      <c r="D39" s="28"/>
      <c r="E39" s="8"/>
    </row>
    <row r="40" spans="1:11" x14ac:dyDescent="0.2">
      <c r="B40" s="7"/>
      <c r="C40" s="27"/>
      <c r="D40" s="28"/>
      <c r="E40" s="8"/>
    </row>
    <row r="41" spans="1:11" x14ac:dyDescent="0.2">
      <c r="B41" s="7"/>
      <c r="C41" s="27"/>
      <c r="D41" s="28"/>
      <c r="E41" s="8"/>
    </row>
    <row r="42" spans="1:11" x14ac:dyDescent="0.2">
      <c r="B42" s="7"/>
      <c r="C42" s="27"/>
      <c r="D42" s="28"/>
      <c r="E42" s="8"/>
    </row>
    <row r="43" spans="1:11" x14ac:dyDescent="0.2">
      <c r="B43" s="7"/>
      <c r="C43" s="27"/>
      <c r="D43" s="28"/>
      <c r="E43" s="8"/>
    </row>
    <row r="44" spans="1:11" x14ac:dyDescent="0.2">
      <c r="B44" s="7"/>
      <c r="C44" s="27"/>
      <c r="D44" s="28"/>
      <c r="E44" s="8"/>
    </row>
    <row r="45" spans="1:11" x14ac:dyDescent="0.2">
      <c r="B45" s="7"/>
      <c r="C45" s="27"/>
      <c r="D45" s="28"/>
      <c r="E45" s="8"/>
    </row>
    <row r="46" spans="1:11" x14ac:dyDescent="0.2">
      <c r="B46" s="7"/>
      <c r="C46" s="27"/>
      <c r="D46" s="28"/>
      <c r="E46" s="8"/>
    </row>
    <row r="47" spans="1:11" x14ac:dyDescent="0.2">
      <c r="B47" s="7"/>
      <c r="C47" s="27"/>
      <c r="D47" s="28"/>
      <c r="E47" s="8"/>
    </row>
    <row r="48" spans="1:11" x14ac:dyDescent="0.2">
      <c r="B48" s="7"/>
      <c r="C48" s="27"/>
      <c r="D48" s="28"/>
      <c r="E48" s="8"/>
    </row>
    <row r="49" spans="1:5" x14ac:dyDescent="0.2">
      <c r="B49" s="7"/>
      <c r="C49" s="27"/>
      <c r="D49" s="28"/>
      <c r="E49" s="8"/>
    </row>
    <row r="50" spans="1:5" x14ac:dyDescent="0.2">
      <c r="B50" s="7"/>
      <c r="C50" s="27"/>
      <c r="D50" s="28"/>
      <c r="E50" s="8"/>
    </row>
    <row r="51" spans="1:5" x14ac:dyDescent="0.2">
      <c r="A51" s="3"/>
    </row>
    <row r="52" spans="1:5" ht="12.75" customHeight="1" x14ac:dyDescent="0.2"/>
    <row r="53" spans="1:5" x14ac:dyDescent="0.2">
      <c r="B53" s="44"/>
      <c r="C53" s="44"/>
      <c r="D53" s="44"/>
    </row>
    <row r="54" spans="1:5" x14ac:dyDescent="0.2">
      <c r="B54" s="44"/>
      <c r="C54" s="44"/>
      <c r="D54" s="44"/>
    </row>
    <row r="55" spans="1:5" ht="12.75" customHeight="1" x14ac:dyDescent="0.2"/>
    <row r="56" spans="1:5" x14ac:dyDescent="0.2">
      <c r="A56" s="45"/>
    </row>
    <row r="62" spans="1:5" x14ac:dyDescent="0.2">
      <c r="B62" s="44"/>
      <c r="C62" s="44"/>
    </row>
    <row r="65" spans="1:4" x14ac:dyDescent="0.2">
      <c r="B65" s="44"/>
      <c r="C65" s="44"/>
      <c r="D65" s="44"/>
    </row>
    <row r="66" spans="1:4" x14ac:dyDescent="0.2">
      <c r="B66" s="44"/>
      <c r="C66" s="44"/>
      <c r="D66" s="44"/>
    </row>
    <row r="69" spans="1:4" x14ac:dyDescent="0.2">
      <c r="A69" s="45"/>
    </row>
    <row r="70" spans="1:4" x14ac:dyDescent="0.2">
      <c r="A70" s="3"/>
    </row>
    <row r="71" spans="1:4" x14ac:dyDescent="0.2">
      <c r="A71" s="3"/>
    </row>
    <row r="74" spans="1:4" x14ac:dyDescent="0.2">
      <c r="B74" s="44"/>
      <c r="C74" s="44"/>
    </row>
    <row r="75" spans="1:4" x14ac:dyDescent="0.2">
      <c r="B75" s="44"/>
      <c r="C75" s="44"/>
    </row>
    <row r="78" spans="1:4" x14ac:dyDescent="0.2">
      <c r="B78" s="44"/>
      <c r="C78" s="44"/>
      <c r="D78" s="44"/>
    </row>
    <row r="79" spans="1:4" x14ac:dyDescent="0.2">
      <c r="B79" s="44"/>
      <c r="C79" s="44"/>
      <c r="D79" s="44"/>
    </row>
    <row r="82" spans="1:4" ht="18" x14ac:dyDescent="0.25">
      <c r="A82" s="4"/>
    </row>
    <row r="83" spans="1:4" ht="18" x14ac:dyDescent="0.25">
      <c r="A83" s="4"/>
    </row>
    <row r="84" spans="1:4" x14ac:dyDescent="0.2">
      <c r="A84" s="45"/>
    </row>
    <row r="85" spans="1:4" x14ac:dyDescent="0.2">
      <c r="A85" s="3"/>
    </row>
    <row r="86" spans="1:4" x14ac:dyDescent="0.2">
      <c r="A86" s="3"/>
    </row>
    <row r="89" spans="1:4" x14ac:dyDescent="0.2">
      <c r="B89" s="44"/>
      <c r="C89" s="44"/>
    </row>
    <row r="90" spans="1:4" x14ac:dyDescent="0.2">
      <c r="B90" s="44"/>
      <c r="C90" s="44"/>
    </row>
    <row r="93" spans="1:4" x14ac:dyDescent="0.2">
      <c r="B93" s="44"/>
      <c r="C93" s="44"/>
      <c r="D93" s="44"/>
    </row>
    <row r="94" spans="1:4" x14ac:dyDescent="0.2">
      <c r="B94" s="44"/>
      <c r="C94" s="44"/>
      <c r="D94" s="44"/>
    </row>
    <row r="96" spans="1:4" x14ac:dyDescent="0.2">
      <c r="A96" s="45"/>
    </row>
    <row r="97" spans="1:4" x14ac:dyDescent="0.2">
      <c r="A97" s="3"/>
    </row>
    <row r="98" spans="1:4" x14ac:dyDescent="0.2">
      <c r="A98" s="3"/>
    </row>
    <row r="101" spans="1:4" x14ac:dyDescent="0.2">
      <c r="B101" s="44"/>
      <c r="C101" s="44"/>
    </row>
    <row r="102" spans="1:4" x14ac:dyDescent="0.2">
      <c r="B102" s="44"/>
      <c r="C102" s="44"/>
    </row>
    <row r="105" spans="1:4" x14ac:dyDescent="0.2">
      <c r="B105" s="44"/>
      <c r="C105" s="44"/>
      <c r="D105" s="44"/>
    </row>
    <row r="106" spans="1:4" x14ac:dyDescent="0.2">
      <c r="B106" s="44"/>
      <c r="C106" s="44"/>
      <c r="D106" s="44"/>
    </row>
  </sheetData>
  <mergeCells count="4">
    <mergeCell ref="A27:A28"/>
    <mergeCell ref="C27:D27"/>
    <mergeCell ref="A34:E35"/>
    <mergeCell ref="A24:F24"/>
  </mergeCells>
  <pageMargins left="0.7" right="0.7" top="0.5" bottom="0.5" header="0.3" footer="0.3"/>
  <pageSetup scale="83" orientation="landscape" horizontalDpi="1200" verticalDpi="1200" r:id="rId1"/>
  <headerFooter>
    <oddHeader>&amp;L&amp;"Arial,Bold"&amp;14Martinez Renewable Fuels Project</oddHeader>
  </headerFooter>
  <rowBreaks count="1" manualBreakCount="1">
    <brk id="24" max="6"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68F0B-3B0A-41BF-99ED-DCCB6BBF73BF}">
  <sheetPr codeName="Sheet7">
    <tabColor theme="4" tint="0.59999389629810485"/>
    <pageSetUpPr fitToPage="1"/>
  </sheetPr>
  <dimension ref="A1:G24"/>
  <sheetViews>
    <sheetView view="pageBreakPreview" zoomScale="70" zoomScaleNormal="100" zoomScaleSheetLayoutView="70" workbookViewId="0">
      <selection activeCell="B24" sqref="B24"/>
    </sheetView>
  </sheetViews>
  <sheetFormatPr defaultRowHeight="15" x14ac:dyDescent="0.25"/>
  <cols>
    <col min="1" max="1" width="32.140625" customWidth="1"/>
    <col min="2" max="2" width="14.85546875" bestFit="1" customWidth="1"/>
    <col min="3" max="3" width="14.28515625" bestFit="1" customWidth="1"/>
    <col min="4" max="4" width="18.85546875" customWidth="1"/>
    <col min="5" max="5" width="18.140625" customWidth="1"/>
    <col min="6" max="6" width="18.140625" style="72" customWidth="1"/>
    <col min="7" max="7" width="46.28515625" customWidth="1"/>
  </cols>
  <sheetData>
    <row r="1" spans="1:7" ht="18" x14ac:dyDescent="0.25">
      <c r="A1" s="4" t="str">
        <f>'PSD Summary'!A1</f>
        <v>Foul Water Stripper Permit Modifications</v>
      </c>
    </row>
    <row r="2" spans="1:7" ht="18" x14ac:dyDescent="0.25">
      <c r="A2" s="4" t="s">
        <v>166</v>
      </c>
    </row>
    <row r="3" spans="1:7" ht="18" x14ac:dyDescent="0.25">
      <c r="A3" s="4" t="s">
        <v>103</v>
      </c>
    </row>
    <row r="4" spans="1:7" ht="18" x14ac:dyDescent="0.25">
      <c r="A4" s="4"/>
    </row>
    <row r="5" spans="1:7" x14ac:dyDescent="0.25">
      <c r="A5" t="s">
        <v>167</v>
      </c>
    </row>
    <row r="6" spans="1:7" x14ac:dyDescent="0.25">
      <c r="A6" t="s">
        <v>168</v>
      </c>
      <c r="B6" s="75"/>
      <c r="C6" s="75"/>
      <c r="D6" s="75"/>
      <c r="E6" s="75"/>
      <c r="F6" s="75"/>
      <c r="G6" s="75"/>
    </row>
    <row r="7" spans="1:7" x14ac:dyDescent="0.25">
      <c r="A7" t="s">
        <v>59</v>
      </c>
      <c r="B7" s="75"/>
      <c r="C7" s="75"/>
      <c r="D7" s="75"/>
      <c r="E7" s="75"/>
      <c r="F7" s="75"/>
      <c r="G7" s="75"/>
    </row>
    <row r="8" spans="1:7" x14ac:dyDescent="0.25">
      <c r="A8" t="s">
        <v>104</v>
      </c>
      <c r="B8" s="75"/>
      <c r="C8" s="75"/>
      <c r="D8" s="75"/>
      <c r="E8" s="75"/>
      <c r="F8" s="75"/>
      <c r="G8" s="75"/>
    </row>
    <row r="10" spans="1:7" x14ac:dyDescent="0.25">
      <c r="A10" s="6" t="s">
        <v>4</v>
      </c>
      <c r="B10" s="6" t="s">
        <v>5</v>
      </c>
      <c r="C10" s="6" t="s">
        <v>6</v>
      </c>
      <c r="D10" s="6" t="s">
        <v>1</v>
      </c>
    </row>
    <row r="11" spans="1:7" x14ac:dyDescent="0.25">
      <c r="A11" s="8" t="s">
        <v>150</v>
      </c>
      <c r="B11" s="195">
        <f>'SWS Offgas TO PTE (proposed)'!B6</f>
        <v>2.2000000000000002</v>
      </c>
      <c r="C11" s="8" t="s">
        <v>8</v>
      </c>
      <c r="D11" s="8" t="s">
        <v>9</v>
      </c>
    </row>
    <row r="12" spans="1:7" x14ac:dyDescent="0.25">
      <c r="A12" s="8" t="s">
        <v>149</v>
      </c>
      <c r="B12" s="73">
        <v>1020</v>
      </c>
      <c r="C12" s="8" t="s">
        <v>96</v>
      </c>
      <c r="D12" s="8"/>
    </row>
    <row r="13" spans="1:7" x14ac:dyDescent="0.25">
      <c r="A13" s="8" t="s">
        <v>62</v>
      </c>
      <c r="B13">
        <v>500</v>
      </c>
      <c r="C13" t="s">
        <v>13</v>
      </c>
      <c r="D13" s="8" t="s">
        <v>97</v>
      </c>
    </row>
    <row r="14" spans="1:7" ht="15.75" thickBot="1" x14ac:dyDescent="0.3"/>
    <row r="15" spans="1:7" ht="26.25" thickBot="1" x14ac:dyDescent="0.3">
      <c r="A15" s="57" t="s">
        <v>14</v>
      </c>
      <c r="B15" s="58" t="s">
        <v>15</v>
      </c>
      <c r="C15" s="58" t="s">
        <v>6</v>
      </c>
      <c r="D15" s="58" t="s">
        <v>95</v>
      </c>
      <c r="E15" s="58" t="s">
        <v>94</v>
      </c>
      <c r="F15" s="58" t="s">
        <v>39</v>
      </c>
      <c r="G15" s="59" t="s">
        <v>17</v>
      </c>
    </row>
    <row r="16" spans="1:7" ht="15.75" thickBot="1" x14ac:dyDescent="0.3">
      <c r="A16" s="103" t="s">
        <v>46</v>
      </c>
      <c r="B16" s="104" t="s">
        <v>47</v>
      </c>
      <c r="C16" s="105" t="s">
        <v>47</v>
      </c>
      <c r="D16" s="106">
        <f>B24</f>
        <v>0.88000000000000078</v>
      </c>
      <c r="E16" s="106">
        <f>D16*24</f>
        <v>21.120000000000019</v>
      </c>
      <c r="F16" s="107">
        <f>D16*$B$13/2000</f>
        <v>0.2200000000000002</v>
      </c>
      <c r="G16" s="108" t="s">
        <v>99</v>
      </c>
    </row>
    <row r="19" spans="1:7" x14ac:dyDescent="0.25">
      <c r="A19" s="99" t="s">
        <v>100</v>
      </c>
    </row>
    <row r="20" spans="1:7" x14ac:dyDescent="0.25">
      <c r="A20" s="74" t="s">
        <v>3</v>
      </c>
      <c r="B20" s="74">
        <v>88</v>
      </c>
      <c r="C20" s="74" t="s">
        <v>0</v>
      </c>
      <c r="D20" s="74" t="s">
        <v>98</v>
      </c>
    </row>
    <row r="21" spans="1:7" x14ac:dyDescent="0.25">
      <c r="A21" s="74" t="s">
        <v>138</v>
      </c>
      <c r="B21" s="74">
        <v>0.11</v>
      </c>
      <c r="C21" s="74" t="s">
        <v>0</v>
      </c>
      <c r="D21" s="74" t="s">
        <v>137</v>
      </c>
    </row>
    <row r="22" spans="1:7" x14ac:dyDescent="0.25">
      <c r="A22" s="74" t="s">
        <v>139</v>
      </c>
      <c r="B22" s="100">
        <f>(B20-'SWS Offgas TO PTE (proposed)'!C29)/B20</f>
        <v>0.99875000000000003</v>
      </c>
      <c r="C22" s="74"/>
      <c r="D22" s="74" t="s">
        <v>36</v>
      </c>
    </row>
    <row r="23" spans="1:7" ht="27" customHeight="1" x14ac:dyDescent="0.25">
      <c r="A23" s="74" t="s">
        <v>140</v>
      </c>
      <c r="B23" s="101">
        <v>0.99</v>
      </c>
      <c r="C23" s="74"/>
      <c r="D23" s="224" t="s">
        <v>142</v>
      </c>
      <c r="E23" s="224"/>
      <c r="F23" s="224"/>
      <c r="G23" s="224"/>
    </row>
    <row r="24" spans="1:7" x14ac:dyDescent="0.25">
      <c r="A24" s="74" t="s">
        <v>141</v>
      </c>
      <c r="B24" s="102">
        <f>B20*(1-B23)</f>
        <v>0.88000000000000078</v>
      </c>
      <c r="C24" s="74" t="s">
        <v>0</v>
      </c>
      <c r="D24" s="74" t="s">
        <v>36</v>
      </c>
    </row>
  </sheetData>
  <mergeCells count="1">
    <mergeCell ref="D23:G23"/>
  </mergeCells>
  <pageMargins left="0.7" right="0.7" top="0.75" bottom="0.75" header="0.3" footer="0.3"/>
  <pageSetup scale="75" fitToHeight="0" orientation="landscape"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8E90E-DC3D-46B5-81D4-E0B192A76A1A}">
  <sheetPr codeName="Sheet8">
    <tabColor theme="0" tint="-0.249977111117893"/>
  </sheetPr>
  <dimension ref="A1:E35"/>
  <sheetViews>
    <sheetView topLeftCell="A7" workbookViewId="0">
      <selection activeCell="A27" sqref="A27:F28"/>
    </sheetView>
  </sheetViews>
  <sheetFormatPr defaultRowHeight="15" x14ac:dyDescent="0.25"/>
  <cols>
    <col min="1" max="1" width="35.5703125" customWidth="1"/>
    <col min="2" max="2" width="11.5703125" bestFit="1" customWidth="1"/>
    <col min="4" max="4" width="56.42578125" customWidth="1"/>
  </cols>
  <sheetData>
    <row r="1" spans="1:4" x14ac:dyDescent="0.25">
      <c r="A1" s="46" t="s">
        <v>52</v>
      </c>
    </row>
    <row r="2" spans="1:4" x14ac:dyDescent="0.25">
      <c r="A2" s="1" t="s">
        <v>56</v>
      </c>
    </row>
    <row r="3" spans="1:4" x14ac:dyDescent="0.25">
      <c r="D3" s="2" t="s">
        <v>1</v>
      </c>
    </row>
    <row r="4" spans="1:4" x14ac:dyDescent="0.25">
      <c r="A4" t="s">
        <v>3</v>
      </c>
      <c r="B4">
        <v>88</v>
      </c>
      <c r="C4" t="s">
        <v>0</v>
      </c>
      <c r="D4" t="s">
        <v>2</v>
      </c>
    </row>
    <row r="5" spans="1:4" x14ac:dyDescent="0.25">
      <c r="A5" t="s">
        <v>54</v>
      </c>
      <c r="B5">
        <v>5.0000000000000001E-3</v>
      </c>
      <c r="D5" t="s">
        <v>53</v>
      </c>
    </row>
    <row r="6" spans="1:4" x14ac:dyDescent="0.25">
      <c r="A6" t="s">
        <v>55</v>
      </c>
      <c r="B6">
        <f>B4*B5</f>
        <v>0.44</v>
      </c>
      <c r="C6" t="s">
        <v>0</v>
      </c>
      <c r="D6" t="s">
        <v>68</v>
      </c>
    </row>
    <row r="7" spans="1:4" x14ac:dyDescent="0.25">
      <c r="A7" t="s">
        <v>60</v>
      </c>
      <c r="B7" s="47">
        <v>30000</v>
      </c>
      <c r="C7" t="s">
        <v>61</v>
      </c>
      <c r="D7" t="s">
        <v>65</v>
      </c>
    </row>
    <row r="9" spans="1:4" x14ac:dyDescent="0.25">
      <c r="A9" s="1" t="s">
        <v>58</v>
      </c>
    </row>
    <row r="10" spans="1:4" x14ac:dyDescent="0.25">
      <c r="A10" t="s">
        <v>57</v>
      </c>
    </row>
    <row r="11" spans="1:4" x14ac:dyDescent="0.25">
      <c r="A11" t="s">
        <v>59</v>
      </c>
    </row>
    <row r="12" spans="1:4" x14ac:dyDescent="0.25">
      <c r="A12" t="s">
        <v>69</v>
      </c>
    </row>
    <row r="14" spans="1:4" x14ac:dyDescent="0.25">
      <c r="A14" s="1" t="s">
        <v>70</v>
      </c>
    </row>
    <row r="15" spans="1:4" x14ac:dyDescent="0.25">
      <c r="A15" t="s">
        <v>57</v>
      </c>
    </row>
    <row r="16" spans="1:4" x14ac:dyDescent="0.25">
      <c r="A16" t="s">
        <v>71</v>
      </c>
      <c r="B16" s="49">
        <f>'SWS Offgas TO PTE (permitted)'!B6</f>
        <v>1.91</v>
      </c>
      <c r="C16" t="s">
        <v>8</v>
      </c>
      <c r="D16" t="s">
        <v>72</v>
      </c>
    </row>
    <row r="17" spans="1:5" x14ac:dyDescent="0.25">
      <c r="A17" t="s">
        <v>74</v>
      </c>
      <c r="B17">
        <v>6.8000000000000005E-2</v>
      </c>
      <c r="C17" t="s">
        <v>19</v>
      </c>
      <c r="D17" t="s">
        <v>73</v>
      </c>
    </row>
    <row r="18" spans="1:5" x14ac:dyDescent="0.25">
      <c r="A18" t="s">
        <v>75</v>
      </c>
      <c r="B18" s="49">
        <f>B16*B17</f>
        <v>0.12988</v>
      </c>
      <c r="C18" t="s">
        <v>0</v>
      </c>
      <c r="D18" t="s">
        <v>36</v>
      </c>
    </row>
    <row r="19" spans="1:5" x14ac:dyDescent="0.25">
      <c r="A19" t="s">
        <v>76</v>
      </c>
      <c r="B19" s="49">
        <f>B18+B6</f>
        <v>0.56987999999999994</v>
      </c>
      <c r="C19" t="s">
        <v>0</v>
      </c>
      <c r="D19" t="s">
        <v>36</v>
      </c>
    </row>
    <row r="20" spans="1:5" x14ac:dyDescent="0.25">
      <c r="A20" t="s">
        <v>78</v>
      </c>
      <c r="B20" s="49">
        <f>'SWS Offgas TO PTE (permitted)'!B14</f>
        <v>0.377</v>
      </c>
      <c r="C20" t="s">
        <v>0</v>
      </c>
      <c r="D20" t="s">
        <v>80</v>
      </c>
    </row>
    <row r="21" spans="1:5" x14ac:dyDescent="0.25">
      <c r="A21" t="s">
        <v>79</v>
      </c>
      <c r="B21" s="49">
        <f>B19-B20</f>
        <v>0.19287999999999994</v>
      </c>
      <c r="C21" t="s">
        <v>0</v>
      </c>
      <c r="D21" t="s">
        <v>36</v>
      </c>
    </row>
    <row r="23" spans="1:5" x14ac:dyDescent="0.25">
      <c r="A23" t="s">
        <v>62</v>
      </c>
      <c r="B23" s="48">
        <v>500</v>
      </c>
      <c r="C23" t="s">
        <v>13</v>
      </c>
      <c r="D23" t="s">
        <v>66</v>
      </c>
    </row>
    <row r="24" spans="1:5" x14ac:dyDescent="0.25">
      <c r="A24" t="s">
        <v>64</v>
      </c>
      <c r="B24">
        <v>1.1499999999999999</v>
      </c>
      <c r="D24" t="s">
        <v>67</v>
      </c>
    </row>
    <row r="25" spans="1:5" x14ac:dyDescent="0.25">
      <c r="A25" t="s">
        <v>87</v>
      </c>
      <c r="B25" s="50">
        <f>B23*B21/2000</f>
        <v>4.8219999999999985E-2</v>
      </c>
      <c r="C25" t="s">
        <v>77</v>
      </c>
    </row>
    <row r="26" spans="1:5" x14ac:dyDescent="0.25">
      <c r="B26" s="50"/>
      <c r="E26" t="s">
        <v>92</v>
      </c>
    </row>
    <row r="27" spans="1:5" x14ac:dyDescent="0.25">
      <c r="A27" s="1" t="s">
        <v>63</v>
      </c>
      <c r="B27" s="51">
        <f>B25*B7</f>
        <v>1446.5999999999995</v>
      </c>
      <c r="C27" s="1"/>
      <c r="D27" s="1" t="s">
        <v>36</v>
      </c>
      <c r="E27" t="s">
        <v>93</v>
      </c>
    </row>
    <row r="28" spans="1:5" x14ac:dyDescent="0.25">
      <c r="B28" s="52">
        <f>B27/B23</f>
        <v>2.8931999999999989</v>
      </c>
    </row>
    <row r="29" spans="1:5" x14ac:dyDescent="0.25">
      <c r="A29" s="1"/>
    </row>
    <row r="30" spans="1:5" x14ac:dyDescent="0.25">
      <c r="A30" s="1" t="s">
        <v>83</v>
      </c>
    </row>
    <row r="31" spans="1:5" x14ac:dyDescent="0.25">
      <c r="A31" t="s">
        <v>89</v>
      </c>
      <c r="B31">
        <f>'SWS Offgas TO PTE (permitted)'!C28</f>
        <v>0.10999999999999999</v>
      </c>
      <c r="C31" t="s">
        <v>0</v>
      </c>
      <c r="D31" t="s">
        <v>86</v>
      </c>
      <c r="E31" t="s">
        <v>90</v>
      </c>
    </row>
    <row r="32" spans="1:5" x14ac:dyDescent="0.25">
      <c r="A32" t="s">
        <v>84</v>
      </c>
      <c r="B32" s="54">
        <f>(B4-B31)/B4</f>
        <v>0.99875000000000003</v>
      </c>
      <c r="D32" t="s">
        <v>36</v>
      </c>
      <c r="E32" t="s">
        <v>91</v>
      </c>
    </row>
    <row r="34" spans="1:4" x14ac:dyDescent="0.25">
      <c r="A34" t="s">
        <v>85</v>
      </c>
      <c r="B34" s="55">
        <v>0.99</v>
      </c>
      <c r="D34" t="s">
        <v>53</v>
      </c>
    </row>
    <row r="35" spans="1:4" x14ac:dyDescent="0.25">
      <c r="A35" t="s">
        <v>88</v>
      </c>
      <c r="B35">
        <f>B4*(1-B34)</f>
        <v>0.88000000000000078</v>
      </c>
      <c r="C35" t="s">
        <v>0</v>
      </c>
      <c r="D35"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PSD Summary</vt:lpstr>
      <vt:lpstr>ERCs Summary</vt:lpstr>
      <vt:lpstr>Rule 2-5 Evaluation</vt:lpstr>
      <vt:lpstr>SWS Offgas TO PTE (permitted)</vt:lpstr>
      <vt:lpstr>SWS Offgas TO PTE (proposed)</vt:lpstr>
      <vt:lpstr>Alt Ctrl Scenario 2b - Heaters</vt:lpstr>
      <vt:lpstr>NOx emissions and offset costs</vt:lpstr>
      <vt:lpstr>'Rule 2-5 Evaluation'!Print_Area</vt:lpstr>
      <vt:lpstr>'SWS Offgas TO PTE (permitted)'!Print_Area</vt:lpstr>
      <vt:lpstr>'SWS Offgas TO PTE (proposed)'!Print_Area</vt:lpstr>
      <vt:lpstr>'SWS Offgas TO PTE (permitted)'!Print_Titles</vt:lpstr>
      <vt:lpstr>'SWS Offgas TO PTE (proposed)'!Print_Titles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Tony Widboom</dc:creator>
  <cp:lastModifiedBy>Tony Widboom</cp:lastModifiedBy>
  <cp:lastPrinted>2025-02-13T20:47:40Z</cp:lastPrinted>
  <dcterms:created xsi:type="dcterms:W3CDTF">2024-11-09T22:28:56Z</dcterms:created>
  <dcterms:modified xsi:type="dcterms:W3CDTF">2025-04-10T22:53:04Z</dcterms:modified>
</cp:coreProperties>
</file>