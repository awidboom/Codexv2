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rtifile02\ehe\Projects\0217382-EPA_MME\0217382.050-Ref-Dist-Tanks\Technical_Record\MVL\Proposal Docket\"/>
    </mc:Choice>
  </mc:AlternateContent>
  <xr:revisionPtr revIDLastSave="0" documentId="8_{6A5A5959-FF89-4191-B314-556212D322BE}" xr6:coauthVersionLast="47" xr6:coauthVersionMax="47" xr10:uidLastSave="{00000000-0000-0000-0000-000000000000}"/>
  <bookViews>
    <workbookView xWindow="-57720" yWindow="-120" windowWidth="29040" windowHeight="15720" xr2:uid="{DA8236C7-14FC-4744-87A3-1808E855F008}"/>
  </bookViews>
  <sheets>
    <sheet name="Assumptions" sheetId="1" r:id="rId1"/>
    <sheet name="MonitoringOptCosts" sheetId="2" r:id="rId2"/>
    <sheet name="ElectronicReporting" sheetId="4" r:id="rId3"/>
    <sheet name="2nd_Impacts" sheetId="3" r:id="rId4"/>
    <sheet name="NationalCosts" sheetId="5" r:id="rId5"/>
  </sheets>
  <definedNames>
    <definedName name="CRF">MonitoringOptCosts!#REF!</definedName>
    <definedName name="_xlnm.Print_Area" localSheetId="3">'2nd_Impacts'!$A$1:$E$15</definedName>
    <definedName name="_xlnm.Print_Area" localSheetId="0">Assumptions!$A$1:$J$9</definedName>
    <definedName name="_xlnm.Print_Area" localSheetId="2">ElectronicReporting!$A$1:$C$14</definedName>
    <definedName name="_xlnm.Print_Area" localSheetId="1">MonitoringOptCosts!$A$1:$E$99</definedName>
    <definedName name="_xlnm.Print_Area" localSheetId="4">NationalCosts!$A$1:$J$46</definedName>
    <definedName name="_xlnm.Print_Titles" localSheetId="3">'2nd_Impacts'!$12:$12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5" i="4"/>
  <c r="B3" i="3"/>
  <c r="B30" i="5"/>
  <c r="B29" i="5"/>
  <c r="B18" i="5" l="1"/>
  <c r="B12" i="5"/>
  <c r="C6" i="5"/>
  <c r="C5" i="5"/>
  <c r="C4" i="5"/>
  <c r="D21" i="5"/>
  <c r="B14" i="4"/>
  <c r="B21" i="5"/>
  <c r="B99" i="2"/>
  <c r="B87" i="2" s="1"/>
  <c r="D61" i="2"/>
  <c r="C61" i="2"/>
  <c r="F18" i="5" s="1"/>
  <c r="B61" i="2"/>
  <c r="D49" i="2"/>
  <c r="D48" i="2"/>
  <c r="D47" i="2"/>
  <c r="D46" i="2"/>
  <c r="B84" i="2"/>
  <c r="B76" i="2"/>
  <c r="B66" i="2"/>
  <c r="B83" i="2"/>
  <c r="B94" i="2"/>
  <c r="B64" i="2"/>
  <c r="C54" i="2"/>
  <c r="C60" i="2" s="1"/>
  <c r="F17" i="5" s="1"/>
  <c r="B54" i="2"/>
  <c r="B60" i="2" s="1"/>
  <c r="E17" i="5" s="1"/>
  <c r="C53" i="2"/>
  <c r="C59" i="2" s="1"/>
  <c r="F16" i="5" s="1"/>
  <c r="B53" i="2"/>
  <c r="B59" i="2" s="1"/>
  <c r="E16" i="5" s="1"/>
  <c r="C52" i="2"/>
  <c r="C58" i="2" s="1"/>
  <c r="F15" i="5" s="1"/>
  <c r="B52" i="2"/>
  <c r="B58" i="2" s="1"/>
  <c r="E15" i="5" s="1"/>
  <c r="C19" i="2"/>
  <c r="C23" i="2" s="1"/>
  <c r="D4" i="2"/>
  <c r="D5" i="2"/>
  <c r="D6" i="2"/>
  <c r="D7" i="2"/>
  <c r="D8" i="2"/>
  <c r="D9" i="2"/>
  <c r="D10" i="2"/>
  <c r="D11" i="2"/>
  <c r="D12" i="2"/>
  <c r="D13" i="2"/>
  <c r="D14" i="2"/>
  <c r="D3" i="2"/>
  <c r="B19" i="2"/>
  <c r="B23" i="2" s="1"/>
  <c r="C18" i="2"/>
  <c r="C22" i="2" s="1"/>
  <c r="B18" i="2"/>
  <c r="B22" i="2" s="1"/>
  <c r="C11" i="5" l="1"/>
  <c r="H22" i="5"/>
  <c r="F22" i="5"/>
  <c r="B14" i="3"/>
  <c r="H23" i="5"/>
  <c r="F23" i="5"/>
  <c r="B13" i="3"/>
  <c r="C12" i="5"/>
  <c r="C18" i="5"/>
  <c r="C10" i="5"/>
  <c r="C15" i="5"/>
  <c r="C16" i="5"/>
  <c r="C17" i="5"/>
  <c r="B6" i="4"/>
  <c r="B9" i="4" s="1"/>
  <c r="E21" i="5" s="1"/>
  <c r="B88" i="2"/>
  <c r="F12" i="5" s="1"/>
  <c r="G12" i="5" s="1"/>
  <c r="B85" i="2"/>
  <c r="B67" i="2"/>
  <c r="B68" i="2" s="1"/>
  <c r="D54" i="2"/>
  <c r="D60" i="2" s="1"/>
  <c r="G17" i="5" s="1"/>
  <c r="D53" i="2"/>
  <c r="D59" i="2" s="1"/>
  <c r="G16" i="5" s="1"/>
  <c r="D52" i="2"/>
  <c r="D58" i="2" s="1"/>
  <c r="G15" i="5" s="1"/>
  <c r="D19" i="2"/>
  <c r="D23" i="2" s="1"/>
  <c r="D18" i="2"/>
  <c r="D22" i="2" s="1"/>
  <c r="F24" i="5" l="1"/>
  <c r="D22" i="5"/>
  <c r="E14" i="3"/>
  <c r="E45" i="5" s="1"/>
  <c r="B45" i="5"/>
  <c r="E13" i="3"/>
  <c r="B44" i="5"/>
  <c r="B46" i="5" s="1"/>
  <c r="D39" i="5"/>
  <c r="D38" i="5"/>
  <c r="D37" i="5"/>
  <c r="D36" i="5"/>
  <c r="D35" i="5"/>
  <c r="D40" i="5"/>
  <c r="C40" i="5"/>
  <c r="C39" i="5"/>
  <c r="C38" i="5"/>
  <c r="C37" i="5"/>
  <c r="C36" i="5"/>
  <c r="C35" i="5"/>
  <c r="D14" i="3"/>
  <c r="D45" i="5" s="1"/>
  <c r="C14" i="3"/>
  <c r="C45" i="5" s="1"/>
  <c r="D13" i="3"/>
  <c r="D44" i="5" s="1"/>
  <c r="C23" i="5"/>
  <c r="D23" i="5"/>
  <c r="H24" i="5"/>
  <c r="C13" i="3"/>
  <c r="C44" i="5" s="1"/>
  <c r="B15" i="3"/>
  <c r="B86" i="2"/>
  <c r="G11" i="5" s="1"/>
  <c r="D11" i="5"/>
  <c r="B22" i="5" s="1"/>
  <c r="B72" i="2"/>
  <c r="B77" i="2"/>
  <c r="B78" i="2" s="1"/>
  <c r="B79" i="2" s="1"/>
  <c r="B80" i="2" s="1"/>
  <c r="E37" i="5" l="1"/>
  <c r="E40" i="5"/>
  <c r="D46" i="5"/>
  <c r="E22" i="5"/>
  <c r="E38" i="5"/>
  <c r="E35" i="5"/>
  <c r="E36" i="5"/>
  <c r="C46" i="5"/>
  <c r="E15" i="3"/>
  <c r="E44" i="5"/>
  <c r="E46" i="5" s="1"/>
  <c r="E39" i="5"/>
  <c r="D15" i="3"/>
  <c r="D41" i="5"/>
  <c r="C41" i="5"/>
  <c r="C15" i="3"/>
  <c r="D24" i="5"/>
  <c r="C24" i="5"/>
  <c r="B73" i="2"/>
  <c r="G18" i="5" s="1"/>
  <c r="E23" i="5" s="1"/>
  <c r="I23" i="5" s="1"/>
  <c r="D18" i="5"/>
  <c r="B23" i="5" s="1"/>
  <c r="B24" i="5" s="1"/>
  <c r="E41" i="5" l="1"/>
  <c r="B32" i="5"/>
  <c r="G23" i="5"/>
  <c r="B31" i="5"/>
  <c r="G22" i="5"/>
  <c r="I24" i="5"/>
  <c r="G24" i="5"/>
  <c r="I22" i="5"/>
  <c r="E24" i="5"/>
</calcChain>
</file>

<file path=xl/sharedStrings.xml><?xml version="1.0" encoding="utf-8"?>
<sst xmlns="http://schemas.openxmlformats.org/spreadsheetml/2006/main" count="294" uniqueCount="192">
  <si>
    <t>Flare costs are in 2019$</t>
  </si>
  <si>
    <t>Considered the following options:</t>
  </si>
  <si>
    <t>Flare with continuous natural gas (NG) pilot [Baseline]</t>
  </si>
  <si>
    <t>Flare with continuous NG pilot + calorimeter + flow meter</t>
  </si>
  <si>
    <t>Flare with continuous NG pilot + simplified VISR</t>
  </si>
  <si>
    <t>Flare with consistent flare gas (14-day sampling option)</t>
  </si>
  <si>
    <t>Flare with once every 5-year performance evaluation</t>
  </si>
  <si>
    <t>Used $90,000 for simplified VISR based on information collected during call with Dr. Zeng on 4/4/2022.</t>
  </si>
  <si>
    <t>Converted to 2019$, that is $68,493 (based on 2019 CEPCI of 607.5 and 2022 CEPCI of 816.0)</t>
  </si>
  <si>
    <t>Control Costs for Flares with monitoring options from OOOOb Storage Tank Analysis</t>
  </si>
  <si>
    <t>Flare Size/Monitoring</t>
  </si>
  <si>
    <t>TCI</t>
  </si>
  <si>
    <t>AOC</t>
  </si>
  <si>
    <t>TAC</t>
  </si>
  <si>
    <t>1 - continuous pilot, NG</t>
  </si>
  <si>
    <t>1 - flow+calorimeter</t>
  </si>
  <si>
    <t>1 - VISR</t>
  </si>
  <si>
    <t>2 - continuous pilot, NG</t>
  </si>
  <si>
    <t>2 - flow+calorimeter</t>
  </si>
  <si>
    <t>2 - VISR</t>
  </si>
  <si>
    <t>3 - continuous pilot, NG</t>
  </si>
  <si>
    <t>3 - flow+calorimeter</t>
  </si>
  <si>
    <t>3 - VISR</t>
  </si>
  <si>
    <t>4 - continuous pilot, NG</t>
  </si>
  <si>
    <t>4 - flow+calorimeter</t>
  </si>
  <si>
    <t>4 - VISR</t>
  </si>
  <si>
    <t>Added Costs</t>
  </si>
  <si>
    <t>Flow and calorimeter</t>
  </si>
  <si>
    <t>VISR</t>
  </si>
  <si>
    <t>Did not escalate since cost quote was from April 2022 and annual 2022 CEPCI was just slightly less than 2023.</t>
  </si>
  <si>
    <t>Control Costs for Flares with monitoring options for MTVLO</t>
  </si>
  <si>
    <t>Continuous pilot, NG</t>
  </si>
  <si>
    <t>Pilot plus flow and calorimeter</t>
  </si>
  <si>
    <t>Pilot plus calorimeter only</t>
  </si>
  <si>
    <t>Pilot plus VISR</t>
  </si>
  <si>
    <t>Calorimeter only</t>
  </si>
  <si>
    <t>Escalated here because used descalated 2019 costs for VISR in spreadsheet input.</t>
  </si>
  <si>
    <t xml:space="preserve">NG addition costs (for one-time assessment) </t>
  </si>
  <si>
    <t>2023 costs</t>
  </si>
  <si>
    <t>Analysis cost</t>
  </si>
  <si>
    <t>$200 for GC analysis in 2020</t>
  </si>
  <si>
    <t>Fee Schedule 2020 4-17-20 new</t>
  </si>
  <si>
    <t>Shipping and Handling</t>
  </si>
  <si>
    <t>includes sample collection, mailing, and data review</t>
  </si>
  <si>
    <t>Tax</t>
  </si>
  <si>
    <t>assumes 8%</t>
  </si>
  <si>
    <t>Subtotal</t>
  </si>
  <si>
    <t>per sample</t>
  </si>
  <si>
    <t>Fully Loaded Hourly Tech rate</t>
  </si>
  <si>
    <t>(from memo)</t>
  </si>
  <si>
    <t>Interest Rate</t>
  </si>
  <si>
    <t>Life</t>
  </si>
  <si>
    <t>years</t>
  </si>
  <si>
    <t>CRF</t>
  </si>
  <si>
    <t>Labor (assuming 1 hr)</t>
  </si>
  <si>
    <t>Added Costs Escalated to 2023$</t>
  </si>
  <si>
    <t>Item</t>
  </si>
  <si>
    <t>Basis</t>
  </si>
  <si>
    <t>Reference</t>
  </si>
  <si>
    <t>Cost of 14-day sampling option</t>
  </si>
  <si>
    <t>No. of samples</t>
  </si>
  <si>
    <t>Total cost of demonstration</t>
  </si>
  <si>
    <t>Costs Annualized over 5 years</t>
  </si>
  <si>
    <t>per year</t>
  </si>
  <si>
    <t>Cost of Flare Performance Test</t>
  </si>
  <si>
    <t>2-hour VE monitoring</t>
  </si>
  <si>
    <t>Includes 0.5 hours for set-up</t>
  </si>
  <si>
    <t xml:space="preserve">Heat content anayses </t>
  </si>
  <si>
    <t>Assumes 8 samples</t>
  </si>
  <si>
    <t>Flow measurement determination</t>
  </si>
  <si>
    <t>Assumed comparable to heat content determinations</t>
  </si>
  <si>
    <t>Non-Flare performance test</t>
  </si>
  <si>
    <t>Test crew</t>
  </si>
  <si>
    <t>$18,500 in 2020 from gasoline distribution analysis</t>
  </si>
  <si>
    <t>On-site staff</t>
  </si>
  <si>
    <t>Assumes 4 hours on-site labor.</t>
  </si>
  <si>
    <t>Annual additional NG usage costs</t>
  </si>
  <si>
    <t>Annual RATA</t>
  </si>
  <si>
    <t>Assumes testing cost is 75% of performance test + 4 hours on-site labor.</t>
  </si>
  <si>
    <t>Notes for sampling costs:</t>
  </si>
  <si>
    <t>Annual additional NG usage (+25 deg F)</t>
  </si>
  <si>
    <t>scfm</t>
  </si>
  <si>
    <t>Difference in Cell D49, Design Parameters, for Oxidizer Costs, no heat recovery</t>
  </si>
  <si>
    <t>Low flow hours when more auxilary gas needed</t>
  </si>
  <si>
    <t>hours</t>
  </si>
  <si>
    <t>Assumed needed only during low waste gas flows (Flare flow mode 3)</t>
  </si>
  <si>
    <t>Quantity of additional NG used</t>
  </si>
  <si>
    <t>Mscf/year</t>
  </si>
  <si>
    <t>Year</t>
  </si>
  <si>
    <t>CEPCI</t>
  </si>
  <si>
    <t>Note: Costs are in 2019$</t>
  </si>
  <si>
    <t>Secondary Impacts</t>
  </si>
  <si>
    <t>Flow/flare (Mscf/yr)</t>
  </si>
  <si>
    <t>NG usage increase for combustors</t>
  </si>
  <si>
    <t>See MonitoringOptCosts tab</t>
  </si>
  <si>
    <t>Natural Gas use increase for flare requirements</t>
  </si>
  <si>
    <t xml:space="preserve">Based on Cell C64 in "Design Parameters" tab for flare 101b cost sheets </t>
  </si>
  <si>
    <t>Impact</t>
  </si>
  <si>
    <t>Secondary Impact Factors</t>
  </si>
  <si>
    <t>Source</t>
  </si>
  <si>
    <t>Natural Gas Usage</t>
  </si>
  <si>
    <t>lb CO2/10^6 Btu</t>
  </si>
  <si>
    <t>Converted from Table C-1, 40 CFR part 98, subpart C</t>
  </si>
  <si>
    <t>lb NOx/10^6 Btu</t>
  </si>
  <si>
    <t>AP-42 Table 13.5-1</t>
  </si>
  <si>
    <t>lb CO/10^6 Btu</t>
  </si>
  <si>
    <t>AP-42 Table 13.5-2</t>
  </si>
  <si>
    <t>Natural Gas Btu</t>
  </si>
  <si>
    <t>Btu/scf</t>
  </si>
  <si>
    <t>https://www.eia.gov/energyexplained/units-and-calculators/british-thermal-units.php</t>
  </si>
  <si>
    <t>Factor</t>
  </si>
  <si>
    <t>Value</t>
  </si>
  <si>
    <t>Unit</t>
  </si>
  <si>
    <t xml:space="preserve">National Impacts </t>
  </si>
  <si>
    <t>Flow/flare (MMscf/yr)</t>
  </si>
  <si>
    <t>CO2 tons/yr</t>
  </si>
  <si>
    <t>NOx tons/yr</t>
  </si>
  <si>
    <t>CO tons/yr</t>
  </si>
  <si>
    <t>Natural Gas use increase for theroal combustors</t>
  </si>
  <si>
    <t>TOTAL</t>
  </si>
  <si>
    <t>Electronic Reporting</t>
  </si>
  <si>
    <t>No.Facilities</t>
  </si>
  <si>
    <t>First year hrs</t>
  </si>
  <si>
    <t>First year cost</t>
  </si>
  <si>
    <t>Annualized</t>
  </si>
  <si>
    <t>Subsequent time saving</t>
  </si>
  <si>
    <t>Cost</t>
  </si>
  <si>
    <t>Factors</t>
  </si>
  <si>
    <t>National Costs</t>
  </si>
  <si>
    <r>
      <t>Assumed Number of Controls</t>
    </r>
    <r>
      <rPr>
        <vertAlign val="superscript"/>
        <sz val="11"/>
        <color theme="1"/>
        <rFont val="Aptos Narrow"/>
        <family val="2"/>
        <scheme val="minor"/>
      </rPr>
      <t>1</t>
    </r>
  </si>
  <si>
    <t>Assumed Breakdown of Control</t>
  </si>
  <si>
    <t>Fraction</t>
  </si>
  <si>
    <t>Number</t>
  </si>
  <si>
    <t xml:space="preserve"> - Vapor recovery systems</t>
  </si>
  <si>
    <t xml:space="preserve"> - Thermal combustor (not flare)</t>
  </si>
  <si>
    <t xml:space="preserve"> - Flare</t>
  </si>
  <si>
    <r>
      <rPr>
        <vertAlign val="super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Some sources only require submerged loading but some may have multiple controls)</t>
    </r>
  </si>
  <si>
    <t>Breakdown of Vapor Recovery Systems</t>
  </si>
  <si>
    <t>Monitor Type</t>
  </si>
  <si>
    <t>First Year Cost</t>
  </si>
  <si>
    <t>Currently testing annually</t>
  </si>
  <si>
    <t>Subject to periodic testing</t>
  </si>
  <si>
    <t>Subject to annual RATA</t>
  </si>
  <si>
    <t>Breakdown of Flares</t>
  </si>
  <si>
    <t>NHV-flow monitor</t>
  </si>
  <si>
    <t>NHV only</t>
  </si>
  <si>
    <t>One-time assessment</t>
  </si>
  <si>
    <t>CEPCI Values</t>
  </si>
  <si>
    <t>Natural Gas (NG) Costs</t>
  </si>
  <si>
    <t>CRF Value</t>
  </si>
  <si>
    <t>Sampling Costs</t>
  </si>
  <si>
    <t>Option</t>
  </si>
  <si>
    <t>Total Capital Investment, TCI ($)</t>
  </si>
  <si>
    <t>Annual Operating Cost, AOC ($/yr)</t>
  </si>
  <si>
    <t>Total Annualized Cost, TAC ($/yr)</t>
  </si>
  <si>
    <t>HAP Emissions Reduction (tpy)</t>
  </si>
  <si>
    <t>Cost-Effectiveness ($/ton HAP)</t>
  </si>
  <si>
    <t>VOC Emissions Reduction (tpy)</t>
  </si>
  <si>
    <t>Cost-Effectiveness ($/ton VOC)</t>
  </si>
  <si>
    <t>Comments</t>
  </si>
  <si>
    <t>Periodic Performance Testing/RATA</t>
  </si>
  <si>
    <t>Assumes option improves average performance from 95% to 98%</t>
  </si>
  <si>
    <t>Enhanced Flare Monitoring</t>
  </si>
  <si>
    <t>Assumes option improves average performance from 94% to 99%</t>
  </si>
  <si>
    <t>Total</t>
  </si>
  <si>
    <t>Options</t>
  </si>
  <si>
    <t>Assumed per control inlet HAP loading</t>
  </si>
  <si>
    <t>tons/year</t>
  </si>
  <si>
    <t>Assumed per control inlet VOC loading</t>
  </si>
  <si>
    <t>HAP reductions at 3% CE improvement</t>
  </si>
  <si>
    <t>HAP reductions at 5% CE improvement</t>
  </si>
  <si>
    <t>First year costs, excluding e-reporting</t>
  </si>
  <si>
    <t>Total annualized costs, excluding e-reporting</t>
  </si>
  <si>
    <t>Additional Factors</t>
  </si>
  <si>
    <t>Speciated HAP Emissions Reductions</t>
  </si>
  <si>
    <t>HAP</t>
  </si>
  <si>
    <t>% of total HAP</t>
  </si>
  <si>
    <t>Hexane</t>
  </si>
  <si>
    <t>Benzene</t>
  </si>
  <si>
    <t>Methanol</t>
  </si>
  <si>
    <t xml:space="preserve">Toluene </t>
  </si>
  <si>
    <t>Xylene</t>
  </si>
  <si>
    <t>Ethylbenzene</t>
  </si>
  <si>
    <t>Total HAP Reductions</t>
  </si>
  <si>
    <t>Emission Reductions (tpy) for Periodic Performance Test</t>
  </si>
  <si>
    <t>Emission Reductions (tpy) for Enhanced Flare Monitoring</t>
  </si>
  <si>
    <t>-</t>
  </si>
  <si>
    <t>Note</t>
  </si>
  <si>
    <t xml:space="preserve">https://www.eia.gov/dnav/ng/hist/n3035us3m.htm </t>
  </si>
  <si>
    <t>NG costs ($/Mscf)</t>
  </si>
  <si>
    <t>tons/year/control</t>
  </si>
  <si>
    <t>Thermal combustors - operating limit ΔNG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</si>
</sst>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&quot;$&quot;#,##0.00"/>
    <numFmt numFmtId="166" formatCode="0.0"/>
    <numFmt numFmtId="167" formatCode="0.000"/>
    <numFmt numFmtId="168" formatCode="#,##0.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u/>
      <sz val="11"/>
      <color theme="10"/>
      <name val="Calibri"/>
      <family val="2"/>
    </font>
    <font>
      <sz val="11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9" fontId="9" fillId="0" borderId="0" applyFont="0" applyFill="0" applyBorder="0" applyAlignment="0" applyProtection="0"/>
    <xf numFmtId="0" fontId="10" fillId="0" borderId="0" applyNumberFormat="0" applyFill="0" applyAlignment="0" applyProtection="0"/>
    <xf numFmtId="0" fontId="11" fillId="0" borderId="0" applyNumberFormat="0" applyFill="0" applyAlignment="0" applyProtection="0"/>
  </cellStyleXfs>
  <cellXfs count="167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164" fontId="3" fillId="0" borderId="1" xfId="0" applyNumberFormat="1" applyFont="1" applyBorder="1"/>
    <xf numFmtId="0" fontId="0" fillId="0" borderId="0" xfId="0" applyAlignment="1">
      <alignment horizontal="left"/>
    </xf>
    <xf numFmtId="10" fontId="0" fillId="0" borderId="1" xfId="0" applyNumberFormat="1" applyBorder="1"/>
    <xf numFmtId="164" fontId="0" fillId="0" borderId="0" xfId="0" applyNumberFormat="1" applyBorder="1"/>
    <xf numFmtId="0" fontId="3" fillId="0" borderId="0" xfId="0" applyFont="1" applyBorder="1"/>
    <xf numFmtId="0" fontId="0" fillId="0" borderId="0" xfId="0" applyAlignment="1">
      <alignment wrapText="1"/>
    </xf>
    <xf numFmtId="3" fontId="0" fillId="0" borderId="0" xfId="0" applyNumberFormat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wrapText="1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 indent="5"/>
    </xf>
    <xf numFmtId="167" fontId="3" fillId="0" borderId="0" xfId="0" applyNumberFormat="1" applyFont="1" applyBorder="1"/>
    <xf numFmtId="164" fontId="3" fillId="0" borderId="0" xfId="0" applyNumberFormat="1" applyFont="1" applyBorder="1"/>
    <xf numFmtId="166" fontId="3" fillId="0" borderId="0" xfId="0" applyNumberFormat="1" applyFont="1"/>
    <xf numFmtId="164" fontId="3" fillId="0" borderId="0" xfId="0" applyNumberFormat="1" applyFont="1"/>
    <xf numFmtId="164" fontId="3" fillId="3" borderId="1" xfId="0" applyNumberFormat="1" applyFont="1" applyFill="1" applyBorder="1"/>
    <xf numFmtId="164" fontId="3" fillId="0" borderId="1" xfId="0" applyNumberFormat="1" applyFont="1" applyBorder="1" applyAlignment="1">
      <alignment wrapText="1"/>
    </xf>
    <xf numFmtId="165" fontId="3" fillId="0" borderId="1" xfId="0" applyNumberFormat="1" applyFont="1" applyBorder="1"/>
    <xf numFmtId="168" fontId="0" fillId="0" borderId="1" xfId="0" applyNumberFormat="1" applyFill="1" applyBorder="1" applyAlignment="1">
      <alignment vertical="top"/>
    </xf>
    <xf numFmtId="3" fontId="0" fillId="0" borderId="1" xfId="0" applyNumberFormat="1" applyFill="1" applyBorder="1" applyAlignment="1">
      <alignment vertical="top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1" xfId="0" applyBorder="1" applyAlignment="1">
      <alignment wrapText="1"/>
    </xf>
    <xf numFmtId="9" fontId="0" fillId="0" borderId="1" xfId="2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wrapText="1"/>
    </xf>
    <xf numFmtId="0" fontId="0" fillId="0" borderId="0" xfId="0" applyAlignment="1">
      <alignment vertical="top" wrapText="1"/>
    </xf>
    <xf numFmtId="0" fontId="6" fillId="0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4" fillId="0" borderId="0" xfId="1"/>
    <xf numFmtId="0" fontId="4" fillId="0" borderId="0" xfId="1" applyBorder="1"/>
    <xf numFmtId="0" fontId="0" fillId="0" borderId="5" xfId="0" applyBorder="1" applyAlignment="1">
      <alignment wrapText="1"/>
    </xf>
    <xf numFmtId="0" fontId="0" fillId="0" borderId="2" xfId="0" applyBorder="1" applyAlignment="1">
      <alignment wrapText="1"/>
    </xf>
    <xf numFmtId="0" fontId="2" fillId="2" borderId="6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/>
    <xf numFmtId="0" fontId="0" fillId="0" borderId="8" xfId="0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2" xfId="0" applyBorder="1"/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0" borderId="9" xfId="0" applyBorder="1"/>
    <xf numFmtId="0" fontId="3" fillId="0" borderId="5" xfId="0" applyFont="1" applyBorder="1"/>
    <xf numFmtId="0" fontId="3" fillId="0" borderId="2" xfId="0" applyFont="1" applyBorder="1" applyAlignment="1">
      <alignment wrapText="1"/>
    </xf>
    <xf numFmtId="165" fontId="0" fillId="0" borderId="9" xfId="0" applyNumberFormat="1" applyBorder="1"/>
    <xf numFmtId="0" fontId="3" fillId="0" borderId="2" xfId="0" applyFont="1" applyBorder="1"/>
    <xf numFmtId="0" fontId="3" fillId="0" borderId="8" xfId="0" applyFont="1" applyBorder="1"/>
    <xf numFmtId="165" fontId="3" fillId="0" borderId="9" xfId="0" applyNumberFormat="1" applyFont="1" applyBorder="1"/>
    <xf numFmtId="0" fontId="3" fillId="0" borderId="10" xfId="0" applyFont="1" applyBorder="1"/>
    <xf numFmtId="0" fontId="8" fillId="0" borderId="2" xfId="1" applyFont="1" applyBorder="1"/>
    <xf numFmtId="164" fontId="3" fillId="0" borderId="2" xfId="0" applyNumberFormat="1" applyFont="1" applyBorder="1"/>
    <xf numFmtId="164" fontId="3" fillId="0" borderId="9" xfId="0" applyNumberFormat="1" applyFont="1" applyBorder="1"/>
    <xf numFmtId="164" fontId="3" fillId="0" borderId="10" xfId="0" applyNumberFormat="1" applyFont="1" applyBorder="1"/>
    <xf numFmtId="164" fontId="3" fillId="3" borderId="9" xfId="0" applyNumberFormat="1" applyFont="1" applyFill="1" applyBorder="1"/>
    <xf numFmtId="167" fontId="3" fillId="0" borderId="2" xfId="0" applyNumberFormat="1" applyFont="1" applyBorder="1"/>
    <xf numFmtId="167" fontId="3" fillId="4" borderId="2" xfId="0" applyNumberFormat="1" applyFont="1" applyFill="1" applyBorder="1"/>
    <xf numFmtId="167" fontId="3" fillId="0" borderId="10" xfId="0" applyNumberFormat="1" applyFont="1" applyBorder="1"/>
    <xf numFmtId="166" fontId="3" fillId="0" borderId="2" xfId="0" applyNumberFormat="1" applyFont="1" applyBorder="1"/>
    <xf numFmtId="166" fontId="3" fillId="0" borderId="10" xfId="0" applyNumberFormat="1" applyFont="1" applyBorder="1"/>
    <xf numFmtId="0" fontId="3" fillId="0" borderId="10" xfId="0" applyFont="1" applyBorder="1" applyAlignment="1">
      <alignment wrapText="1"/>
    </xf>
    <xf numFmtId="0" fontId="0" fillId="0" borderId="5" xfId="0" applyBorder="1" applyAlignment="1">
      <alignment vertical="top" wrapText="1"/>
    </xf>
    <xf numFmtId="168" fontId="0" fillId="0" borderId="2" xfId="0" applyNumberFormat="1" applyFill="1" applyBorder="1" applyAlignment="1">
      <alignment vertical="top"/>
    </xf>
    <xf numFmtId="0" fontId="6" fillId="6" borderId="6" xfId="0" applyFont="1" applyFill="1" applyBorder="1" applyAlignment="1">
      <alignment horizontal="center"/>
    </xf>
    <xf numFmtId="0" fontId="0" fillId="6" borderId="3" xfId="0" applyFill="1" applyBorder="1" applyAlignment="1">
      <alignment horizontal="center" wrapText="1"/>
    </xf>
    <xf numFmtId="0" fontId="0" fillId="6" borderId="7" xfId="0" applyFill="1" applyBorder="1" applyAlignment="1">
      <alignment horizontal="center" wrapText="1"/>
    </xf>
    <xf numFmtId="168" fontId="0" fillId="0" borderId="9" xfId="0" applyNumberFormat="1" applyFill="1" applyBorder="1"/>
    <xf numFmtId="168" fontId="0" fillId="0" borderId="10" xfId="0" applyNumberFormat="1" applyFill="1" applyBorder="1"/>
    <xf numFmtId="0" fontId="1" fillId="9" borderId="6" xfId="0" applyFont="1" applyFill="1" applyBorder="1"/>
    <xf numFmtId="0" fontId="0" fillId="9" borderId="3" xfId="0" applyFill="1" applyBorder="1"/>
    <xf numFmtId="0" fontId="0" fillId="9" borderId="7" xfId="0" applyFill="1" applyBorder="1"/>
    <xf numFmtId="164" fontId="0" fillId="0" borderId="9" xfId="0" applyNumberFormat="1" applyBorder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0" fontId="1" fillId="7" borderId="6" xfId="0" applyFont="1" applyFill="1" applyBorder="1"/>
    <xf numFmtId="0" fontId="1" fillId="7" borderId="3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7" borderId="6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168" fontId="0" fillId="0" borderId="2" xfId="0" applyNumberFormat="1" applyBorder="1" applyAlignment="1">
      <alignment horizontal="center"/>
    </xf>
    <xf numFmtId="168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168" fontId="0" fillId="0" borderId="10" xfId="0" applyNumberFormat="1" applyBorder="1" applyAlignment="1">
      <alignment horizontal="center"/>
    </xf>
    <xf numFmtId="0" fontId="0" fillId="0" borderId="12" xfId="0" applyBorder="1"/>
    <xf numFmtId="168" fontId="0" fillId="0" borderId="1" xfId="0" applyNumberFormat="1" applyBorder="1" applyAlignment="1">
      <alignment vertical="top" wrapText="1"/>
    </xf>
    <xf numFmtId="0" fontId="6" fillId="0" borderId="13" xfId="0" applyFont="1" applyBorder="1" applyAlignment="1">
      <alignment wrapText="1"/>
    </xf>
    <xf numFmtId="164" fontId="0" fillId="0" borderId="13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/>
    <xf numFmtId="0" fontId="0" fillId="2" borderId="1" xfId="0" applyFill="1" applyBorder="1" applyAlignment="1">
      <alignment horizontal="center"/>
    </xf>
    <xf numFmtId="9" fontId="0" fillId="0" borderId="12" xfId="2" applyFon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0" fontId="0" fillId="0" borderId="0" xfId="0" applyBorder="1"/>
    <xf numFmtId="0" fontId="10" fillId="0" borderId="0" xfId="3"/>
    <xf numFmtId="0" fontId="11" fillId="0" borderId="0" xfId="4"/>
    <xf numFmtId="0" fontId="11" fillId="0" borderId="0" xfId="4" applyFill="1"/>
    <xf numFmtId="0" fontId="11" fillId="0" borderId="0" xfId="4" applyAlignment="1">
      <alignment wrapText="1"/>
    </xf>
    <xf numFmtId="0" fontId="0" fillId="0" borderId="8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3" fontId="0" fillId="0" borderId="2" xfId="0" applyNumberFormat="1" applyBorder="1" applyAlignment="1">
      <alignment horizontal="left" vertical="top" wrapText="1"/>
    </xf>
    <xf numFmtId="0" fontId="6" fillId="5" borderId="6" xfId="0" applyFont="1" applyFill="1" applyBorder="1" applyAlignment="1">
      <alignment horizontal="center" wrapText="1"/>
    </xf>
    <xf numFmtId="0" fontId="6" fillId="5" borderId="3" xfId="0" applyFont="1" applyFill="1" applyBorder="1" applyAlignment="1">
      <alignment horizontal="center" wrapText="1"/>
    </xf>
    <xf numFmtId="0" fontId="6" fillId="5" borderId="7" xfId="0" applyFont="1" applyFill="1" applyBorder="1" applyAlignment="1">
      <alignment horizontal="center" wrapText="1"/>
    </xf>
    <xf numFmtId="0" fontId="6" fillId="0" borderId="5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6" borderId="7" xfId="0" applyFont="1" applyFill="1" applyBorder="1" applyAlignment="1">
      <alignment horizontal="center" wrapText="1"/>
    </xf>
    <xf numFmtId="0" fontId="6" fillId="0" borderId="8" xfId="0" applyFont="1" applyBorder="1" applyAlignment="1">
      <alignment wrapText="1"/>
    </xf>
    <xf numFmtId="3" fontId="6" fillId="0" borderId="9" xfId="0" applyNumberFormat="1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4" fillId="0" borderId="10" xfId="1" applyBorder="1" applyAlignment="1">
      <alignment wrapText="1"/>
    </xf>
    <xf numFmtId="0" fontId="11" fillId="0" borderId="0" xfId="4" applyAlignment="1">
      <alignment horizontal="left"/>
    </xf>
    <xf numFmtId="0" fontId="11" fillId="0" borderId="0" xfId="4" applyFill="1" applyAlignment="1">
      <alignment horizontal="left"/>
    </xf>
    <xf numFmtId="164" fontId="0" fillId="0" borderId="10" xfId="0" applyNumberFormat="1" applyBorder="1" applyAlignment="1">
      <alignment horizontal="center"/>
    </xf>
    <xf numFmtId="164" fontId="0" fillId="2" borderId="14" xfId="0" applyNumberFormat="1" applyFill="1" applyBorder="1" applyAlignment="1">
      <alignment horizontal="center"/>
    </xf>
    <xf numFmtId="164" fontId="0" fillId="2" borderId="15" xfId="0" applyNumberFormat="1" applyFill="1" applyBorder="1" applyAlignment="1">
      <alignment horizontal="center"/>
    </xf>
    <xf numFmtId="0" fontId="0" fillId="0" borderId="5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" fillId="9" borderId="6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1" fillId="0" borderId="8" xfId="4" applyFill="1" applyBorder="1" applyAlignment="1">
      <alignment vertical="top" wrapText="1"/>
    </xf>
    <xf numFmtId="0" fontId="5" fillId="0" borderId="11" xfId="0" applyFont="1" applyFill="1" applyBorder="1" applyAlignment="1">
      <alignment wrapText="1"/>
    </xf>
    <xf numFmtId="0" fontId="0" fillId="0" borderId="16" xfId="0" applyBorder="1"/>
    <xf numFmtId="0" fontId="0" fillId="0" borderId="11" xfId="0" applyBorder="1"/>
    <xf numFmtId="1" fontId="0" fillId="0" borderId="17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0" fillId="0" borderId="4" xfId="0" applyBorder="1"/>
    <xf numFmtId="0" fontId="1" fillId="0" borderId="14" xfId="0" applyFont="1" applyBorder="1"/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/>
    </xf>
    <xf numFmtId="0" fontId="0" fillId="0" borderId="11" xfId="0" applyBorder="1" applyAlignment="1"/>
    <xf numFmtId="0" fontId="11" fillId="0" borderId="13" xfId="4" applyFill="1" applyBorder="1"/>
    <xf numFmtId="0" fontId="11" fillId="0" borderId="0" xfId="4" applyBorder="1" applyAlignment="1">
      <alignment wrapText="1"/>
    </xf>
  </cellXfs>
  <cellStyles count="5">
    <cellStyle name="Heading 1" xfId="3" builtinId="16" customBuiltin="1"/>
    <cellStyle name="Heading 2" xfId="4" builtinId="17" customBuiltin="1"/>
    <cellStyle name="Hyperlink" xfId="1" builtinId="8"/>
    <cellStyle name="Normal" xfId="0" builtinId="0"/>
    <cellStyle name="Percent" xfId="2" builtinId="5"/>
  </cellStyles>
  <dxfs count="18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#,##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8" formatCode="#,##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#,##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164" formatCode="&quot;$&quot;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000000"/>
          <bgColor theme="3" tint="0.89999084444715716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000000"/>
          <bgColor theme="3" tint="0.89999084444715716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89999084444715716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0.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5308F5-1357-4F45-A2AE-4BDEB77F9B8B}" name="Thermal_combustors" displayName="Thermal_combustors" ref="A96:D99" totalsRowShown="0" headerRowDxfId="181" headerRowBorderDxfId="180" tableBorderDxfId="179" totalsRowBorderDxfId="178">
  <autoFilter ref="A96:D99" xr:uid="{6B5308F5-1357-4F45-A2AE-4BDEB77F9B8B}">
    <filterColumn colId="0" hiddenButton="1"/>
    <filterColumn colId="1" hiddenButton="1"/>
    <filterColumn colId="2" hiddenButton="1"/>
    <filterColumn colId="3" hiddenButton="1"/>
  </autoFilter>
  <tableColumns count="4">
    <tableColumn id="1" xr3:uid="{0DC4FE46-E743-40FA-8528-05A4082C91E1}" name="Item" dataDxfId="177"/>
    <tableColumn id="2" xr3:uid="{7AD0B4CF-B7DA-439A-9FB4-1F6644AB3BD8}" name="Value"/>
    <tableColumn id="3" xr3:uid="{F88021A6-275F-436E-ABA7-BB16D23C40AA}" name="Unit" dataDxfId="176"/>
    <tableColumn id="4" xr3:uid="{DB03C4CD-25B4-47DB-9B41-94BF1203390C}" name="Note" dataDxfId="17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B1A398-CE3B-400A-9806-7E9D950CE9A8}" name="Notes_for_sampling_costs" displayName="Notes_for_sampling_costs" ref="A90:C94" totalsRowShown="0" headerRowDxfId="174" headerRowBorderDxfId="173" tableBorderDxfId="172" totalsRowBorderDxfId="171">
  <autoFilter ref="A90:C94" xr:uid="{C0B1A398-CE3B-400A-9806-7E9D950CE9A8}">
    <filterColumn colId="0" hiddenButton="1"/>
    <filterColumn colId="1" hiddenButton="1"/>
    <filterColumn colId="2" hiddenButton="1"/>
  </autoFilter>
  <tableColumns count="3">
    <tableColumn id="1" xr3:uid="{5BDC6C81-8B8F-4180-88B1-544208F3CF9B}" name="Item" dataDxfId="170"/>
    <tableColumn id="2" xr3:uid="{FD68C1E8-A2B0-42C2-9570-A639DE669866}" name="Value"/>
    <tableColumn id="3" xr3:uid="{1513E79D-6FD2-4BBA-A77B-0147A0017159}" name="Note" dataDxfId="16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793141-B5F9-4BD8-A92D-02F2AA6DB6C6}" name="Non_Flare_performance_test" displayName="Non_Flare_performance_test" ref="A82:C88" totalsRowShown="0" headerRowDxfId="168" headerRowBorderDxfId="167" tableBorderDxfId="166" totalsRowBorderDxfId="165">
  <autoFilter ref="A82:C88" xr:uid="{C2793141-B5F9-4BD8-A92D-02F2AA6DB6C6}">
    <filterColumn colId="0" hiddenButton="1"/>
    <filterColumn colId="1" hiddenButton="1"/>
    <filterColumn colId="2" hiddenButton="1"/>
  </autoFilter>
  <tableColumns count="3">
    <tableColumn id="1" xr3:uid="{5565D953-A54F-4560-9D31-038BA4C9E951}" name="Item" dataDxfId="164"/>
    <tableColumn id="2" xr3:uid="{178FF58D-194D-4E5D-BAB6-C896893EEFA2}" name="Value"/>
    <tableColumn id="3" xr3:uid="{92ED3F5D-ABE2-45A1-9DD2-57AA5B93CCF0}" name="Note" dataDxfId="16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802A0B-503F-480E-AD7B-820091D14164}" name="Cost_of_Flare_Performance_Test" displayName="Cost_of_Flare_Performance_Test" ref="A75:C80" totalsRowShown="0" headerRowDxfId="162" headerRowBorderDxfId="161" tableBorderDxfId="160" totalsRowBorderDxfId="159">
  <autoFilter ref="A75:C80" xr:uid="{DA802A0B-503F-480E-AD7B-820091D14164}">
    <filterColumn colId="0" hiddenButton="1"/>
    <filterColumn colId="1" hiddenButton="1"/>
    <filterColumn colId="2" hiddenButton="1"/>
  </autoFilter>
  <tableColumns count="3">
    <tableColumn id="1" xr3:uid="{4BE8F963-1EB3-4840-A342-A2CCC3CBB86D}" name="Item" dataDxfId="158"/>
    <tableColumn id="2" xr3:uid="{56B5E98A-7DF6-4EEB-BF26-AB74327EEEB8}" name="Value" dataDxfId="157"/>
    <tableColumn id="3" xr3:uid="{E82B134B-34B7-43CF-981F-0BE2C641BA4C}" name="Note" dataDxfId="15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8561E2-9851-4FE9-9248-3439B353B4B6}" name="Cost_of_14_day_sampling_option" displayName="Cost_of_14_day_sampling_option" ref="A70:C73" totalsRowShown="0" headerRowDxfId="155" headerRowBorderDxfId="154" tableBorderDxfId="153" totalsRowBorderDxfId="152">
  <autoFilter ref="A70:C73" xr:uid="{218561E2-9851-4FE9-9248-3439B353B4B6}">
    <filterColumn colId="0" hiddenButton="1"/>
    <filterColumn colId="1" hiddenButton="1"/>
    <filterColumn colId="2" hiddenButton="1"/>
  </autoFilter>
  <tableColumns count="3">
    <tableColumn id="1" xr3:uid="{DCBC0D1E-92CB-46AF-87E4-C1D3FD070110}" name="Cost" dataDxfId="151"/>
    <tableColumn id="2" xr3:uid="{3F79BF5B-6952-43D1-A2F4-AAD0360CA79F}" name="Value"/>
    <tableColumn id="3" xr3:uid="{B56027DE-2ADE-4BB2-B688-4854757E65CE}" name="Unit" dataDxfId="15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D22ACFF-D17E-4E31-A963-FEDE237600BB}" name="Sampling_Costs" displayName="Sampling_Costs" ref="A63:D68" totalsRowShown="0" headerRowDxfId="149" headerRowBorderDxfId="148" tableBorderDxfId="147" totalsRowBorderDxfId="146">
  <autoFilter ref="A63:D68" xr:uid="{3D22ACFF-D17E-4E31-A963-FEDE237600BB}">
    <filterColumn colId="0" hiddenButton="1"/>
    <filterColumn colId="1" hiddenButton="1"/>
    <filterColumn colId="2" hiddenButton="1"/>
    <filterColumn colId="3" hiddenButton="1"/>
  </autoFilter>
  <tableColumns count="4">
    <tableColumn id="1" xr3:uid="{1F9E086C-E7D5-4CD0-9053-8756BD201218}" name="Item" dataDxfId="145"/>
    <tableColumn id="2" xr3:uid="{989C80FA-DDE5-4D78-A205-A9751CA15F11}" name="2023 costs" dataDxfId="144"/>
    <tableColumn id="3" xr3:uid="{5229BE42-696D-4953-8B3D-A6DCDDC4F50B}" name="Basis" dataDxfId="143"/>
    <tableColumn id="4" xr3:uid="{C6AD1F8D-1ADE-46C0-8D6B-B2DC39D94328}" name="Reference" dataDxfId="14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2766C68-9824-41FA-A0E8-E8C0F0F3C934}" name="Added_Costs_Escalated_to_2023_2" displayName="Added_Costs_Escalated_to_2023_2" ref="A57:E61" totalsRowShown="0" headerRowDxfId="141" dataDxfId="139" headerRowBorderDxfId="140" tableBorderDxfId="138" totalsRowBorderDxfId="137">
  <autoFilter ref="A57:E61" xr:uid="{62766C68-9824-41FA-A0E8-E8C0F0F3C93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E8C9C50-2B6B-4135-9C04-87AB75D36193}" name="Flare Size/Monitoring" dataDxfId="136"/>
    <tableColumn id="2" xr3:uid="{66B601CF-BD95-41DF-BDF5-FF65C77C9D2F}" name="TCI" dataDxfId="135"/>
    <tableColumn id="3" xr3:uid="{72E1429A-FD12-47D5-84E3-EB3D040FFD13}" name="AOC" dataDxfId="134"/>
    <tableColumn id="4" xr3:uid="{514327CD-0B8F-4E3F-A587-599FB356BB54}" name="TAC" dataDxfId="133"/>
    <tableColumn id="5" xr3:uid="{7C00F5F7-21B8-482C-ACCA-03946D23FB9A}" name="Note" dataDxfId="13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3004510-A0C2-4F6E-8A3D-9A5BE91585D2}" name="Added_Costs_2" displayName="Added_Costs_2" ref="A51:D55" totalsRowShown="0" headerRowDxfId="131" headerRowBorderDxfId="130" tableBorderDxfId="129" totalsRowBorderDxfId="128">
  <autoFilter ref="A51:D55" xr:uid="{A3004510-A0C2-4F6E-8A3D-9A5BE91585D2}">
    <filterColumn colId="0" hiddenButton="1"/>
    <filterColumn colId="1" hiddenButton="1"/>
    <filterColumn colId="2" hiddenButton="1"/>
    <filterColumn colId="3" hiddenButton="1"/>
  </autoFilter>
  <tableColumns count="4">
    <tableColumn id="1" xr3:uid="{07D2045F-833D-4281-966C-824715D8EDC0}" name="Flare Size/Monitoring" dataDxfId="127"/>
    <tableColumn id="2" xr3:uid="{5504011B-F780-426A-9C00-6E7FACFB1B6D}" name="TCI" dataDxfId="126"/>
    <tableColumn id="3" xr3:uid="{3E49A2C6-F586-4B16-B765-265F190864D7}" name="AOC" dataDxfId="125"/>
    <tableColumn id="4" xr3:uid="{069AEC46-EF8C-4DBC-BDDD-B1C8C668267B}" name="TAC" dataDxfId="124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A9051E4-6A0E-48B2-9012-09575C156F1C}" name="Control_Costs_MTVLO" displayName="Control_Costs_MTVLO" ref="A45:D49" totalsRowShown="0" headerRowDxfId="123" headerRowBorderDxfId="122" tableBorderDxfId="121" totalsRowBorderDxfId="120">
  <autoFilter ref="A45:D49" xr:uid="{0A9051E4-6A0E-48B2-9012-09575C156F1C}">
    <filterColumn colId="0" hiddenButton="1"/>
    <filterColumn colId="1" hiddenButton="1"/>
    <filterColumn colId="2" hiddenButton="1"/>
    <filterColumn colId="3" hiddenButton="1"/>
  </autoFilter>
  <tableColumns count="4">
    <tableColumn id="1" xr3:uid="{FA6BF1C2-0B93-410C-A441-54D5D66A1086}" name="Flare Size/Monitoring" dataDxfId="119"/>
    <tableColumn id="2" xr3:uid="{CA55FA8A-DFA7-40F4-ACA1-BE930E0DAED2}" name="TCI" dataDxfId="118"/>
    <tableColumn id="3" xr3:uid="{180AC74D-DE92-4DEF-BEF9-3B461CB1C157}" name="AOC" dataDxfId="117"/>
    <tableColumn id="4" xr3:uid="{53BAE7CB-6B06-4102-9543-C0B4EE9124F9}" name="TAC" dataDxfId="116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930A24F-201D-4680-98E6-559778977CA6}" name="Natural_Gas_Costs" displayName="Natural_Gas_Costs" ref="A32:B40" totalsRowShown="0" headerRowDxfId="115" headerRowBorderDxfId="114" tableBorderDxfId="113" totalsRowBorderDxfId="112">
  <autoFilter ref="A32:B40" xr:uid="{F930A24F-201D-4680-98E6-559778977CA6}">
    <filterColumn colId="0" hiddenButton="1"/>
    <filterColumn colId="1" hiddenButton="1"/>
  </autoFilter>
  <tableColumns count="2">
    <tableColumn id="1" xr3:uid="{DB731CB9-AFE2-4942-B0B7-95F136A90F64}" name="Year" dataDxfId="111"/>
    <tableColumn id="2" xr3:uid="{60424980-D47F-41A7-95DE-279057E83070}" name="NG costs ($/Mscf)" dataDxfId="11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CE61F3D-CD64-4933-B289-9039E632F486}" name="CEPCI_Values" displayName="CEPCI_Values" ref="A25:B30" totalsRowShown="0" headerRowDxfId="109" headerRowBorderDxfId="108" tableBorderDxfId="107" totalsRowBorderDxfId="106">
  <autoFilter ref="A25:B30" xr:uid="{ECE61F3D-CD64-4933-B289-9039E632F486}">
    <filterColumn colId="0" hiddenButton="1"/>
    <filterColumn colId="1" hiddenButton="1"/>
  </autoFilter>
  <tableColumns count="2">
    <tableColumn id="1" xr3:uid="{68F73BF7-89C6-4C43-AB1D-002F454DA9D4}" name="Year" dataDxfId="105"/>
    <tableColumn id="2" xr3:uid="{2E3DE362-9DED-4A35-AFDF-15653C8F11E2}" name="CEPCI" dataDxfId="104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C26450C-CAC2-42A1-9ACB-2D01B52ED0B6}" name="Added_Costs_Escalated_to_2023_1" displayName="Added_Costs_Escalated_to_2023_1" ref="A21:E23" totalsRowShown="0" headerRowDxfId="103" dataDxfId="101" headerRowBorderDxfId="102" tableBorderDxfId="100" totalsRowBorderDxfId="99">
  <autoFilter ref="A21:E23" xr:uid="{5C26450C-CAC2-42A1-9ACB-2D01B52ED0B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E937514-6B27-4A76-AC46-D3356E9F741E}" name="Flare Size/Monitoring" dataDxfId="98"/>
    <tableColumn id="2" xr3:uid="{60576E65-F74D-4B25-A404-D247F884F129}" name="TCI" dataDxfId="97">
      <calculatedColumnFormula>B18</calculatedColumnFormula>
    </tableColumn>
    <tableColumn id="3" xr3:uid="{BFD56A55-A9F3-4886-93DD-27CBBD7D4A3D}" name="AOC" dataDxfId="96">
      <calculatedColumnFormula>C18</calculatedColumnFormula>
    </tableColumn>
    <tableColumn id="4" xr3:uid="{C4DAB271-CEE3-43E2-8B5A-DEA990ADCDFB}" name="TAC" dataDxfId="95">
      <calculatedColumnFormula>D18</calculatedColumnFormula>
    </tableColumn>
    <tableColumn id="5" xr3:uid="{3B5F7114-838D-466E-B454-4100CFAFEDBA}" name="Note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F68FEFE-329D-49C8-A62C-935F205DFA99}" name="Added_Costs_1" displayName="Added_Costs_1" ref="A17:D19" totalsRowShown="0" headerRowDxfId="94" headerRowBorderDxfId="93" tableBorderDxfId="92" totalsRowBorderDxfId="91">
  <autoFilter ref="A17:D19" xr:uid="{AF68FEFE-329D-49C8-A62C-935F205DFA99}">
    <filterColumn colId="0" hiddenButton="1"/>
    <filterColumn colId="1" hiddenButton="1"/>
    <filterColumn colId="2" hiddenButton="1"/>
    <filterColumn colId="3" hiddenButton="1"/>
  </autoFilter>
  <tableColumns count="4">
    <tableColumn id="1" xr3:uid="{4F267E03-D0B6-4C4D-BF26-DA9536F503E1}" name="Flare Size/Monitoring" dataDxfId="90"/>
    <tableColumn id="2" xr3:uid="{3AE3BF90-9DBE-4C35-A8CC-772BA14E5E61}" name="TCI" dataDxfId="89">
      <calculatedColumnFormula>B4-B2</calculatedColumnFormula>
    </tableColumn>
    <tableColumn id="3" xr3:uid="{51CBCA36-E0B1-4025-AA82-FEE92AE0963E}" name="AOC" dataDxfId="88">
      <calculatedColumnFormula>C4-C2</calculatedColumnFormula>
    </tableColumn>
    <tableColumn id="4" xr3:uid="{A6676007-552A-4DCE-AE7F-54F8C0F3338C}" name="TAC" dataDxfId="87">
      <calculatedColumnFormula>D4-D2</calculatedColumnFormula>
    </tableColumn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58F84EE-EE22-4AEA-B02C-8C0391AA27E2}" name="Control_Costs_OOOOb" displayName="Control_Costs_OOOOb" ref="A2:D14" totalsRowShown="0" headerRowDxfId="86" headerRowBorderDxfId="85" tableBorderDxfId="84" totalsRowBorderDxfId="83">
  <autoFilter ref="A2:D14" xr:uid="{F58F84EE-EE22-4AEA-B02C-8C0391AA27E2}">
    <filterColumn colId="0" hiddenButton="1"/>
    <filterColumn colId="1" hiddenButton="1"/>
    <filterColumn colId="2" hiddenButton="1"/>
    <filterColumn colId="3" hiddenButton="1"/>
  </autoFilter>
  <tableColumns count="4">
    <tableColumn id="1" xr3:uid="{BDE02BF5-A52B-47DB-8E54-B75DF899C969}" name="Flare Size/Monitoring" dataDxfId="82"/>
    <tableColumn id="2" xr3:uid="{35E89CD0-9902-4AA9-AC82-DCF5E5C85BE1}" name="TCI" dataDxfId="81"/>
    <tableColumn id="3" xr3:uid="{14BDA754-BC79-4F06-BD0E-D4847A6D8842}" name="AOC" dataDxfId="80"/>
    <tableColumn id="4" xr3:uid="{C5EC269D-A1DC-4BA4-8A22-7C621B534519}" name="TAC" dataDxfId="79">
      <calculatedColumnFormula>B3*0.1098+C3</calculatedColumnFormula>
    </tableColumn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7ED953E-A753-46C8-B482-B2B28FA1D17B}" name="Electronic_Reporting" displayName="Electronic_Reporting" ref="A2:C9" totalsRowShown="0" headerRowBorderDxfId="78" tableBorderDxfId="77" totalsRowBorderDxfId="76">
  <autoFilter ref="A2:C9" xr:uid="{17ED953E-A753-46C8-B482-B2B28FA1D17B}">
    <filterColumn colId="0" hiddenButton="1"/>
    <filterColumn colId="1" hiddenButton="1"/>
    <filterColumn colId="2" hiddenButton="1"/>
  </autoFilter>
  <tableColumns count="3">
    <tableColumn id="1" xr3:uid="{4794E8C4-2BF1-43A9-B712-21D2B69D74D9}" name="Item" dataDxfId="75"/>
    <tableColumn id="2" xr3:uid="{32880B12-8125-486E-BA09-9DC4139E6F36}" name="Value" dataDxfId="74"/>
    <tableColumn id="3" xr3:uid="{22B7FE36-8060-483C-9D85-6E7CEAEB77EA}" name="Unit" dataDxfId="73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2368A8E-6C40-4AB3-929A-A2C2F7C1EA3B}" name="Factors" displayName="Factors" ref="A11:B14" totalsRowShown="0" headerRowBorderDxfId="72" tableBorderDxfId="71" totalsRowBorderDxfId="70">
  <autoFilter ref="A11:B14" xr:uid="{22368A8E-6C40-4AB3-929A-A2C2F7C1EA3B}">
    <filterColumn colId="0" hiddenButton="1"/>
    <filterColumn colId="1" hiddenButton="1"/>
  </autoFilter>
  <tableColumns count="2">
    <tableColumn id="1" xr3:uid="{928A0A28-17BA-4336-8C4D-FE99806E8E3A}" name="Item" dataDxfId="69"/>
    <tableColumn id="2" xr3:uid="{D7171F35-2A97-49DC-BD9D-A0830EEE85CB}" name="Value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D66E0B8-6ED5-4354-8F46-884359BD5BA0}" name="National_Impacts" displayName="National_Impacts" ref="A12:E15" totalsRowShown="0" headerRowDxfId="68" headerRowBorderDxfId="67" tableBorderDxfId="66" totalsRowBorderDxfId="65">
  <autoFilter ref="A12:E15" xr:uid="{8D66E0B8-6ED5-4354-8F46-884359BD5BA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BF6D4A7-A71C-401B-B6BD-269D38FE9CDE}" name="Impact"/>
    <tableColumn id="2" xr3:uid="{3EE3D189-C2B9-42BE-8D3B-2E4C5C3AB8A5}" name="Flow/flare (MMscf/yr)"/>
    <tableColumn id="3" xr3:uid="{FB70003F-B5F2-4F03-88F8-024723FBA983}" name="CO2 tons/yr"/>
    <tableColumn id="4" xr3:uid="{24BE5308-DCC1-4D43-BB16-AC3DFC2AE08B}" name="NOx tons/yr"/>
    <tableColumn id="5" xr3:uid="{CF371024-33C7-470F-A8A7-A1D84E427A29}" name="CO tons/yr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EBEA1B5-2394-4409-BD8B-4002E3753053}" name="Secondary_Impacts_a" displayName="Secondary_Impacts_a" ref="A2:C5" totalsRowShown="0" headerRowDxfId="64" headerRowBorderDxfId="63" tableBorderDxfId="62" totalsRowBorderDxfId="61">
  <autoFilter ref="A2:C5" xr:uid="{FEBEA1B5-2394-4409-BD8B-4002E3753053}">
    <filterColumn colId="0" hiddenButton="1"/>
    <filterColumn colId="1" hiddenButton="1"/>
    <filterColumn colId="2" hiddenButton="1"/>
  </autoFilter>
  <tableColumns count="3">
    <tableColumn id="1" xr3:uid="{A6388E42-1447-4C09-8E0F-C2B69467CA29}" name="Impact" dataDxfId="60"/>
    <tableColumn id="2" xr3:uid="{0F38D639-4A5C-480B-94BA-9B4BF37FD4FE}" name="Flow/flare (Mscf/yr)"/>
    <tableColumn id="3" xr3:uid="{5714B370-B088-4F0F-9DE0-8181DEE445EB}" name="Note"/>
  </tableColumns>
  <tableStyleInfo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FC0952A-79C7-42B0-8590-9ACBE227C527}" name="Secondary_Impact_Factors" displayName="Secondary_Impact_Factors" ref="A6:D10" totalsRowShown="0" headerRowDxfId="59" headerRowBorderDxfId="58" tableBorderDxfId="57" totalsRowBorderDxfId="56">
  <autoFilter ref="A6:D10" xr:uid="{BFC0952A-79C7-42B0-8590-9ACBE227C527}">
    <filterColumn colId="0" hiddenButton="1"/>
    <filterColumn colId="1" hiddenButton="1"/>
    <filterColumn colId="2" hiddenButton="1"/>
    <filterColumn colId="3" hiddenButton="1"/>
  </autoFilter>
  <tableColumns count="4">
    <tableColumn id="1" xr3:uid="{36828BE8-AE8B-4C41-AA35-BA909D79D47B}" name="Factor" dataDxfId="55"/>
    <tableColumn id="2" xr3:uid="{847983F8-FF47-4B46-A6EC-F04CA703FFB0}" name="Value" dataDxfId="54"/>
    <tableColumn id="3" xr3:uid="{19E83C08-BFA4-4797-B59C-C56CD928183D}" name="Unit" dataDxfId="53"/>
    <tableColumn id="4" xr3:uid="{93182657-5CEC-4473-8A8B-DF0D6E9ABE1F}" name="Source" dataDxfId="52"/>
  </tableColumns>
  <tableStyleInfo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6A3D6ED-F96F-476E-B409-9AA3F233A0AB}" name="National_Costs" displayName="National_Costs" ref="A3:C6" totalsRowShown="0" headerRowBorderDxfId="51" tableBorderDxfId="50" totalsRowBorderDxfId="49">
  <autoFilter ref="A3:C6" xr:uid="{06A3D6ED-F96F-476E-B409-9AA3F233A0AB}">
    <filterColumn colId="0" hiddenButton="1"/>
    <filterColumn colId="1" hiddenButton="1"/>
    <filterColumn colId="2" hiddenButton="1"/>
  </autoFilter>
  <tableColumns count="3">
    <tableColumn id="1" xr3:uid="{25EE68B3-7097-458C-A7F8-81596CCAA5C7}" name="Assumed Breakdown of Control" dataDxfId="48"/>
    <tableColumn id="2" xr3:uid="{CEAE9C58-FD04-4DF7-9FA6-EA5BD8B06C36}" name="Fraction" dataDxfId="47"/>
    <tableColumn id="3" xr3:uid="{341E3C60-AA54-4146-B8D1-38BAFA9C41D5}" name="Number" dataDxfId="46">
      <calculatedColumnFormula>$B$2*B4</calculatedColumnFormula>
    </tableColumn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B12A949-BD81-40D2-A9F4-94EF16C1B1EA}" name="Breakdown_of_Flares" displayName="Breakdown_of_Flares" ref="A14:G18" totalsRowShown="0" headerRowDxfId="45" headerRowBorderDxfId="44" tableBorderDxfId="43" totalsRowBorderDxfId="42">
  <autoFilter ref="A14:G18" xr:uid="{5B12A949-BD81-40D2-A9F4-94EF16C1B1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A6FA1F8-C5E6-4086-BFDF-74BF74AEAC2B}" name="Monitor Type" dataDxfId="41"/>
    <tableColumn id="2" xr3:uid="{9437C415-EE47-46C0-ACFC-9F307C2B995D}" name="Fraction" dataDxfId="40"/>
    <tableColumn id="3" xr3:uid="{A3AA26B9-E3C1-460F-891A-28D1981F8494}" name="Number" dataDxfId="39">
      <calculatedColumnFormula>B15*$C$6</calculatedColumnFormula>
    </tableColumn>
    <tableColumn id="4" xr3:uid="{AA887CEB-BFE7-4078-A272-9B94C9C44884}" name="First Year Cost" dataDxfId="38"/>
    <tableColumn id="5" xr3:uid="{89261CC3-31B3-43FF-9515-DC0FD968F223}" name="TCI" dataDxfId="37"/>
    <tableColumn id="6" xr3:uid="{53265041-D51F-414B-8DFE-BB84304385ED}" name="AOC" dataDxfId="36">
      <calculatedColumnFormula>MonitoringOptCosts!C58</calculatedColumnFormula>
    </tableColumn>
    <tableColumn id="7" xr3:uid="{A9F65E7D-BFF4-4552-A2E3-753424EB08E2}" name="TAC" dataDxfId="35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713F5F3-293A-4A32-9DB6-728EADEA4EA9}" name="Secondary_Impacts_b" displayName="Secondary_Impacts_b" ref="A43:E46" totalsRowShown="0" headerRowDxfId="34" dataDxfId="32" headerRowBorderDxfId="33" tableBorderDxfId="31" totalsRowBorderDxfId="30">
  <autoFilter ref="A43:E46" xr:uid="{0713F5F3-293A-4A32-9DB6-728EADEA4EA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B2FA56F-78F7-4FA8-BFD3-31B8546A662F}" name="National Impacts "/>
    <tableColumn id="2" xr3:uid="{E40DCBA7-B0D7-4899-9A8F-51C473A316B1}" name="Flow/flare (MMscf/yr)" dataDxfId="29"/>
    <tableColumn id="3" xr3:uid="{DA1AB6A4-6410-416A-88DE-200EB2EF886E}" name="CO2 tons/yr" dataDxfId="28"/>
    <tableColumn id="4" xr3:uid="{0D92D9D2-9991-4DC1-B6BE-C141B9A6D0EE}" name="NOx tons/yr" dataDxfId="27"/>
    <tableColumn id="5" xr3:uid="{0E8F66EE-7CCD-404F-AAF2-31648E1EB7A5}" name="CO tons/yr" dataDxfId="26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3835E56-104C-4615-BD37-29705E740682}" name="Breakdown_of_Vapor_Recovery_Systems" displayName="Breakdown_of_Vapor_Recovery_Systems" ref="A9:G12" totalsRowShown="0" headerRowDxfId="25" dataDxfId="23" headerRowBorderDxfId="24" tableBorderDxfId="22" totalsRowBorderDxfId="21">
  <autoFilter ref="A9:G12" xr:uid="{53835E56-104C-4615-BD37-29705E7406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0437492-0AB5-4FC3-9E6D-A2857D7666CC}" name="Monitor Type" dataDxfId="20"/>
    <tableColumn id="2" xr3:uid="{3B286BD1-0171-41F2-BBAF-39EF267284BF}" name="Fraction"/>
    <tableColumn id="3" xr3:uid="{621F5921-BC3C-4F1B-ABAC-06B0C805A472}" name="Number" dataDxfId="19">
      <calculatedColumnFormula>B10*$C$4</calculatedColumnFormula>
    </tableColumn>
    <tableColumn id="4" xr3:uid="{0D035B5F-3BCB-4B1D-95A8-DA56592DE6AE}" name="First Year Cost" dataDxfId="18"/>
    <tableColumn id="5" xr3:uid="{2A9C53BF-5FD1-4319-B8D6-B12FFB17009E}" name="TCI" dataDxfId="17"/>
    <tableColumn id="6" xr3:uid="{F73AD5B7-3A4D-42DB-A8BF-DA59B484FA4A}" name="AOC" dataDxfId="16"/>
    <tableColumn id="7" xr3:uid="{F9696EB3-B5CF-4893-A58A-E07023CA489C}" name="TAC" dataDxfId="15"/>
  </tableColumns>
  <tableStyleInfo showFirstColumn="0" showLastColumn="0" showRowStripes="0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100737D-1322-4B3C-848A-F753C8791C4B}" name="Speciated_HAP_Emissions_Reductions" displayName="Speciated_HAP_Emissions_Reductions" ref="A34:E41" totalsRowShown="0" headerRowDxfId="14" headerRowBorderDxfId="13" tableBorderDxfId="12" totalsRowBorderDxfId="11">
  <autoFilter ref="A34:E41" xr:uid="{6100737D-1322-4B3C-848A-F753C8791C4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5D73F9A-791E-4198-94B0-A970006FF182}" name="HAP" dataDxfId="10"/>
    <tableColumn id="2" xr3:uid="{B17999C8-30E1-4D2D-AB78-CB4407211952}" name="% of total HAP" dataDxfId="9" dataCellStyle="Percent"/>
    <tableColumn id="3" xr3:uid="{5C88C59D-0BF5-44FF-A16B-672A220C9912}" name="Emission Reductions (tpy) for Periodic Performance Test" dataDxfId="8"/>
    <tableColumn id="4" xr3:uid="{BB2E710D-B77B-45DD-99D8-05AC8916F197}" name="Emission Reductions (tpy) for Enhanced Flare Monitoring" dataDxfId="7"/>
    <tableColumn id="5" xr3:uid="{35A40413-315D-4DA5-929F-DEF320B53C10}" name="Total" dataDxfId="6"/>
  </tableColumns>
  <tableStyleInfo showFirstColumn="0" showLastColumn="0" showRowStripes="0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6F8058E-DB91-4DAC-A34A-BC1E84F64EDE}" name="Additional_Factors" displayName="Additional_Factors" ref="A26:C32" totalsRowShown="0" headerRowDxfId="5" headerRowBorderDxfId="4" tableBorderDxfId="3" totalsRowBorderDxfId="2">
  <autoFilter ref="A26:C32" xr:uid="{B6F8058E-DB91-4DAC-A34A-BC1E84F64EDE}">
    <filterColumn colId="0" hiddenButton="1"/>
    <filterColumn colId="1" hiddenButton="1"/>
    <filterColumn colId="2" hiddenButton="1"/>
  </autoFilter>
  <tableColumns count="3">
    <tableColumn id="1" xr3:uid="{AB8B72A2-ABA5-4A4E-940A-3360D39D3EE2}" name="Factor" dataDxfId="1"/>
    <tableColumn id="2" xr3:uid="{C37E5223-A073-4038-AAF5-BE0C2DB30A74}" name="Value"/>
    <tableColumn id="3" xr3:uid="{036C2145-28C9-4A49-8ABA-BB40F4687783}" name="Unit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printerSettings" Target="../printerSettings/printerSettings2.bin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17" Type="http://schemas.openxmlformats.org/officeDocument/2006/relationships/table" Target="../tables/table14.xml"/><Relationship Id="rId2" Type="http://schemas.openxmlformats.org/officeDocument/2006/relationships/hyperlink" Target="https://www.eia.gov/dnav/ng/hist/n3035us3m.htm" TargetMode="External"/><Relationship Id="rId16" Type="http://schemas.openxmlformats.org/officeDocument/2006/relationships/table" Target="../tables/table13.xml"/><Relationship Id="rId1" Type="http://schemas.openxmlformats.org/officeDocument/2006/relationships/hyperlink" Target="https://www.onsite-env.com/pdf/Schedule-of-Fees.pdf" TargetMode="External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table" Target="../tables/table1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eia.gov/energyexplained/units-and-calculators/british-thermal-units.php" TargetMode="External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DA8A-CAD5-4C68-A3DF-230CDC709B0D}">
  <sheetPr>
    <pageSetUpPr fitToPage="1"/>
  </sheetPr>
  <dimension ref="A1:A9"/>
  <sheetViews>
    <sheetView tabSelected="1" workbookViewId="0"/>
  </sheetViews>
  <sheetFormatPr defaultRowHeight="14.4" x14ac:dyDescent="0.3"/>
  <sheetData>
    <row r="1" spans="1:1" ht="17.25" customHeight="1" x14ac:dyDescent="0.3">
      <c r="A1" s="122" t="s">
        <v>0</v>
      </c>
    </row>
    <row r="2" spans="1:1" ht="30" customHeight="1" x14ac:dyDescent="0.3">
      <c r="A2" s="7" t="s">
        <v>1</v>
      </c>
    </row>
    <row r="3" spans="1:1" x14ac:dyDescent="0.3">
      <c r="A3" s="18" t="s">
        <v>2</v>
      </c>
    </row>
    <row r="4" spans="1:1" x14ac:dyDescent="0.3">
      <c r="A4" s="18" t="s">
        <v>3</v>
      </c>
    </row>
    <row r="5" spans="1:1" x14ac:dyDescent="0.3">
      <c r="A5" s="18" t="s">
        <v>4</v>
      </c>
    </row>
    <row r="6" spans="1:1" x14ac:dyDescent="0.3">
      <c r="A6" s="18" t="s">
        <v>5</v>
      </c>
    </row>
    <row r="7" spans="1:1" x14ac:dyDescent="0.3">
      <c r="A7" s="18" t="s">
        <v>6</v>
      </c>
    </row>
    <row r="8" spans="1:1" ht="30.75" customHeight="1" x14ac:dyDescent="0.3">
      <c r="A8" t="s">
        <v>7</v>
      </c>
    </row>
    <row r="9" spans="1:1" ht="30.75" customHeight="1" x14ac:dyDescent="0.3">
      <c r="A9" t="s">
        <v>8</v>
      </c>
    </row>
  </sheetData>
  <pageMargins left="0.7" right="0.7" top="0.75" bottom="0.75" header="0.3" footer="0.3"/>
  <pageSetup fitToHeight="0" orientation="landscape" horizontalDpi="360" verticalDpi="360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6C10-44B2-4687-A333-CC1D86B3F994}">
  <sheetPr>
    <pageSetUpPr fitToPage="1"/>
  </sheetPr>
  <dimension ref="A1:E99"/>
  <sheetViews>
    <sheetView workbookViewId="0"/>
  </sheetViews>
  <sheetFormatPr defaultColWidth="9.109375" defaultRowHeight="14.4" x14ac:dyDescent="0.3"/>
  <cols>
    <col min="1" max="1" width="40.44140625" style="4" customWidth="1"/>
    <col min="2" max="4" width="28.33203125" style="4" customWidth="1"/>
    <col min="5" max="5" width="42" style="4" customWidth="1"/>
    <col min="6" max="16384" width="9.109375" style="4"/>
  </cols>
  <sheetData>
    <row r="1" spans="1:4" x14ac:dyDescent="0.3">
      <c r="A1" s="123" t="s">
        <v>9</v>
      </c>
    </row>
    <row r="2" spans="1:4" x14ac:dyDescent="0.3">
      <c r="A2" s="58" t="s">
        <v>10</v>
      </c>
      <c r="B2" s="59" t="s">
        <v>11</v>
      </c>
      <c r="C2" s="59" t="s">
        <v>12</v>
      </c>
      <c r="D2" s="60" t="s">
        <v>13</v>
      </c>
    </row>
    <row r="3" spans="1:4" x14ac:dyDescent="0.3">
      <c r="A3" s="62" t="s">
        <v>14</v>
      </c>
      <c r="B3" s="6">
        <v>79352</v>
      </c>
      <c r="C3" s="6">
        <v>22840</v>
      </c>
      <c r="D3" s="70">
        <f>B3*0.1098+C3</f>
        <v>31552.849600000001</v>
      </c>
    </row>
    <row r="4" spans="1:4" x14ac:dyDescent="0.3">
      <c r="A4" s="62" t="s">
        <v>15</v>
      </c>
      <c r="B4" s="6">
        <v>434667</v>
      </c>
      <c r="C4" s="6">
        <v>37052</v>
      </c>
      <c r="D4" s="70">
        <f t="shared" ref="D4:D14" si="0">B4*0.1098+C4</f>
        <v>84778.436600000001</v>
      </c>
    </row>
    <row r="5" spans="1:4" x14ac:dyDescent="0.3">
      <c r="A5" s="62" t="s">
        <v>16</v>
      </c>
      <c r="B5" s="6">
        <v>300141</v>
      </c>
      <c r="C5" s="6">
        <v>31671</v>
      </c>
      <c r="D5" s="70">
        <f t="shared" si="0"/>
        <v>64626.481800000001</v>
      </c>
    </row>
    <row r="6" spans="1:4" x14ac:dyDescent="0.3">
      <c r="A6" s="62" t="s">
        <v>17</v>
      </c>
      <c r="B6" s="6">
        <v>84761</v>
      </c>
      <c r="C6" s="6">
        <v>23282</v>
      </c>
      <c r="D6" s="70">
        <f t="shared" si="0"/>
        <v>32588.757799999999</v>
      </c>
    </row>
    <row r="7" spans="1:4" x14ac:dyDescent="0.3">
      <c r="A7" s="62" t="s">
        <v>18</v>
      </c>
      <c r="B7" s="6">
        <v>440077</v>
      </c>
      <c r="C7" s="6">
        <v>37494</v>
      </c>
      <c r="D7" s="70">
        <f t="shared" si="0"/>
        <v>85814.454599999997</v>
      </c>
    </row>
    <row r="8" spans="1:4" x14ac:dyDescent="0.3">
      <c r="A8" s="62" t="s">
        <v>19</v>
      </c>
      <c r="B8" s="6">
        <v>305551</v>
      </c>
      <c r="C8" s="6">
        <v>32114</v>
      </c>
      <c r="D8" s="70">
        <f t="shared" si="0"/>
        <v>65663.499799999991</v>
      </c>
    </row>
    <row r="9" spans="1:4" x14ac:dyDescent="0.3">
      <c r="A9" s="62" t="s">
        <v>20</v>
      </c>
      <c r="B9" s="6">
        <v>92874</v>
      </c>
      <c r="C9" s="6">
        <v>23812</v>
      </c>
      <c r="D9" s="70">
        <f t="shared" si="0"/>
        <v>34009.565199999997</v>
      </c>
    </row>
    <row r="10" spans="1:4" x14ac:dyDescent="0.3">
      <c r="A10" s="62" t="s">
        <v>21</v>
      </c>
      <c r="B10" s="6">
        <v>448190</v>
      </c>
      <c r="C10" s="6">
        <v>38024</v>
      </c>
      <c r="D10" s="70">
        <f t="shared" si="0"/>
        <v>87235.261999999988</v>
      </c>
    </row>
    <row r="11" spans="1:4" x14ac:dyDescent="0.3">
      <c r="A11" s="62" t="s">
        <v>22</v>
      </c>
      <c r="B11" s="6">
        <v>313664</v>
      </c>
      <c r="C11" s="6">
        <v>32643</v>
      </c>
      <c r="D11" s="70">
        <f t="shared" si="0"/>
        <v>67083.307199999996</v>
      </c>
    </row>
    <row r="12" spans="1:4" x14ac:dyDescent="0.3">
      <c r="A12" s="62" t="s">
        <v>23</v>
      </c>
      <c r="B12" s="6">
        <v>145328</v>
      </c>
      <c r="C12" s="6">
        <v>33526</v>
      </c>
      <c r="D12" s="70">
        <f t="shared" si="0"/>
        <v>49483.0144</v>
      </c>
    </row>
    <row r="13" spans="1:4" x14ac:dyDescent="0.3">
      <c r="A13" s="62" t="s">
        <v>24</v>
      </c>
      <c r="B13" s="6">
        <v>500644</v>
      </c>
      <c r="C13" s="6">
        <v>47738</v>
      </c>
      <c r="D13" s="70">
        <f t="shared" si="0"/>
        <v>102708.71119999999</v>
      </c>
    </row>
    <row r="14" spans="1:4" x14ac:dyDescent="0.3">
      <c r="A14" s="66" t="s">
        <v>25</v>
      </c>
      <c r="B14" s="71">
        <v>366118</v>
      </c>
      <c r="C14" s="71">
        <v>42357</v>
      </c>
      <c r="D14" s="72">
        <f t="shared" si="0"/>
        <v>82556.756399999998</v>
      </c>
    </row>
    <row r="15" spans="1:4" x14ac:dyDescent="0.3">
      <c r="A15" s="4" t="s">
        <v>90</v>
      </c>
    </row>
    <row r="16" spans="1:4" ht="30.75" customHeight="1" x14ac:dyDescent="0.3">
      <c r="A16" s="123" t="s">
        <v>26</v>
      </c>
    </row>
    <row r="17" spans="1:5" x14ac:dyDescent="0.3">
      <c r="A17" s="58" t="s">
        <v>10</v>
      </c>
      <c r="B17" s="59" t="s">
        <v>11</v>
      </c>
      <c r="C17" s="59" t="s">
        <v>12</v>
      </c>
      <c r="D17" s="60" t="s">
        <v>13</v>
      </c>
    </row>
    <row r="18" spans="1:5" x14ac:dyDescent="0.3">
      <c r="A18" s="62" t="s">
        <v>27</v>
      </c>
      <c r="B18" s="6">
        <f>B4-B3</f>
        <v>355315</v>
      </c>
      <c r="C18" s="6">
        <f>C4-C3</f>
        <v>14212</v>
      </c>
      <c r="D18" s="70">
        <f>D4-D3</f>
        <v>53225.587</v>
      </c>
    </row>
    <row r="19" spans="1:5" x14ac:dyDescent="0.3">
      <c r="A19" s="66" t="s">
        <v>28</v>
      </c>
      <c r="B19" s="71">
        <f>B5-B3</f>
        <v>220789</v>
      </c>
      <c r="C19" s="71">
        <f>C5-C3</f>
        <v>8831</v>
      </c>
      <c r="D19" s="72">
        <f>D5-D3</f>
        <v>33073.6322</v>
      </c>
    </row>
    <row r="20" spans="1:5" ht="30" customHeight="1" x14ac:dyDescent="0.3">
      <c r="A20" s="124" t="s">
        <v>55</v>
      </c>
      <c r="B20" s="19"/>
      <c r="C20" s="10"/>
      <c r="D20" s="10"/>
      <c r="E20" s="10"/>
    </row>
    <row r="21" spans="1:5" x14ac:dyDescent="0.3">
      <c r="A21" s="58" t="s">
        <v>10</v>
      </c>
      <c r="B21" s="59" t="s">
        <v>11</v>
      </c>
      <c r="C21" s="59" t="s">
        <v>12</v>
      </c>
      <c r="D21" s="59" t="s">
        <v>13</v>
      </c>
      <c r="E21" s="60" t="s">
        <v>187</v>
      </c>
    </row>
    <row r="22" spans="1:5" x14ac:dyDescent="0.3">
      <c r="A22" s="62" t="s">
        <v>27</v>
      </c>
      <c r="B22" s="6">
        <f>B18*B30/B26</f>
        <v>466676.27736625512</v>
      </c>
      <c r="C22" s="6">
        <f>C18*B30/B26</f>
        <v>18666.263045267489</v>
      </c>
      <c r="D22" s="6">
        <f>D18*B30/B26</f>
        <v>69907.318300082305</v>
      </c>
      <c r="E22" s="65"/>
    </row>
    <row r="23" spans="1:5" ht="43.2" x14ac:dyDescent="0.3">
      <c r="A23" s="66" t="s">
        <v>28</v>
      </c>
      <c r="B23" s="71">
        <f>B19</f>
        <v>220789</v>
      </c>
      <c r="C23" s="71">
        <f>C19</f>
        <v>8831</v>
      </c>
      <c r="D23" s="71">
        <f>D19</f>
        <v>33073.6322</v>
      </c>
      <c r="E23" s="79" t="s">
        <v>29</v>
      </c>
    </row>
    <row r="24" spans="1:5" s="10" customFormat="1" ht="29.25" customHeight="1" x14ac:dyDescent="0.3">
      <c r="A24" s="124" t="s">
        <v>147</v>
      </c>
      <c r="B24" s="20"/>
      <c r="C24" s="20"/>
      <c r="D24" s="20"/>
    </row>
    <row r="25" spans="1:5" x14ac:dyDescent="0.3">
      <c r="A25" s="58" t="s">
        <v>88</v>
      </c>
      <c r="B25" s="60" t="s">
        <v>89</v>
      </c>
      <c r="C25" s="21"/>
    </row>
    <row r="26" spans="1:5" x14ac:dyDescent="0.3">
      <c r="A26" s="62">
        <v>2019</v>
      </c>
      <c r="B26" s="77">
        <v>607.5</v>
      </c>
      <c r="C26" s="21"/>
    </row>
    <row r="27" spans="1:5" x14ac:dyDescent="0.3">
      <c r="A27" s="62">
        <v>2020</v>
      </c>
      <c r="B27" s="77">
        <v>596.20000000000005</v>
      </c>
      <c r="C27" s="21"/>
    </row>
    <row r="28" spans="1:5" x14ac:dyDescent="0.3">
      <c r="A28" s="62">
        <v>2021</v>
      </c>
      <c r="B28" s="77">
        <v>708.8</v>
      </c>
      <c r="C28" s="21"/>
    </row>
    <row r="29" spans="1:5" x14ac:dyDescent="0.3">
      <c r="A29" s="62">
        <v>2022</v>
      </c>
      <c r="B29" s="77">
        <v>816</v>
      </c>
      <c r="C29" s="21"/>
    </row>
    <row r="30" spans="1:5" x14ac:dyDescent="0.3">
      <c r="A30" s="66">
        <v>2023</v>
      </c>
      <c r="B30" s="78">
        <v>797.9</v>
      </c>
      <c r="C30" s="21"/>
    </row>
    <row r="31" spans="1:5" s="3" customFormat="1" ht="30" customHeight="1" x14ac:dyDescent="0.3">
      <c r="A31" s="123" t="s">
        <v>148</v>
      </c>
    </row>
    <row r="32" spans="1:5" x14ac:dyDescent="0.3">
      <c r="A32" s="58" t="s">
        <v>88</v>
      </c>
      <c r="B32" s="60" t="s">
        <v>189</v>
      </c>
      <c r="C32" s="43"/>
    </row>
    <row r="33" spans="1:4" x14ac:dyDescent="0.3">
      <c r="A33" s="62">
        <v>2017</v>
      </c>
      <c r="B33" s="74">
        <v>4.0683333333333342</v>
      </c>
    </row>
    <row r="34" spans="1:4" x14ac:dyDescent="0.3">
      <c r="A34" s="62">
        <v>2018</v>
      </c>
      <c r="B34" s="74">
        <v>3.8433333333333337</v>
      </c>
    </row>
    <row r="35" spans="1:4" x14ac:dyDescent="0.3">
      <c r="A35" s="62">
        <v>2019</v>
      </c>
      <c r="B35" s="74">
        <v>4.0558333333333332</v>
      </c>
    </row>
    <row r="36" spans="1:4" x14ac:dyDescent="0.3">
      <c r="A36" s="62">
        <v>2020</v>
      </c>
      <c r="B36" s="74">
        <v>5.4483333333333333</v>
      </c>
    </row>
    <row r="37" spans="1:4" x14ac:dyDescent="0.3">
      <c r="A37" s="62">
        <v>2021</v>
      </c>
      <c r="B37" s="74">
        <v>3.2625000000000006</v>
      </c>
    </row>
    <row r="38" spans="1:4" x14ac:dyDescent="0.3">
      <c r="A38" s="62">
        <v>2022</v>
      </c>
      <c r="B38" s="74">
        <v>7.7625000000000002</v>
      </c>
    </row>
    <row r="39" spans="1:4" x14ac:dyDescent="0.3">
      <c r="A39" s="62">
        <v>2023</v>
      </c>
      <c r="B39" s="75">
        <v>4.4633333333333338</v>
      </c>
    </row>
    <row r="40" spans="1:4" x14ac:dyDescent="0.3">
      <c r="A40" s="66">
        <v>2024</v>
      </c>
      <c r="B40" s="76">
        <v>3.8841666666666659</v>
      </c>
    </row>
    <row r="41" spans="1:4" x14ac:dyDescent="0.3">
      <c r="A41" s="44" t="s">
        <v>188</v>
      </c>
      <c r="B41" s="19"/>
    </row>
    <row r="42" spans="1:4" s="10" customFormat="1" ht="30.75" customHeight="1" x14ac:dyDescent="0.3">
      <c r="A42" s="123" t="s">
        <v>149</v>
      </c>
      <c r="B42" s="19"/>
    </row>
    <row r="43" spans="1:4" x14ac:dyDescent="0.3">
      <c r="A43" s="5" t="s">
        <v>53</v>
      </c>
      <c r="B43" s="5">
        <v>0.10979999999999999</v>
      </c>
    </row>
    <row r="44" spans="1:4" ht="30" customHeight="1" x14ac:dyDescent="0.3">
      <c r="A44" s="123" t="s">
        <v>30</v>
      </c>
      <c r="B44" s="22"/>
      <c r="C44" s="22"/>
      <c r="D44" s="22"/>
    </row>
    <row r="45" spans="1:4" ht="30" customHeight="1" x14ac:dyDescent="0.3">
      <c r="A45" s="58" t="s">
        <v>10</v>
      </c>
      <c r="B45" s="59" t="s">
        <v>11</v>
      </c>
      <c r="C45" s="59" t="s">
        <v>12</v>
      </c>
      <c r="D45" s="60" t="s">
        <v>13</v>
      </c>
    </row>
    <row r="46" spans="1:4" x14ac:dyDescent="0.3">
      <c r="A46" s="62" t="s">
        <v>31</v>
      </c>
      <c r="B46" s="6">
        <v>211648</v>
      </c>
      <c r="C46" s="6">
        <v>37623</v>
      </c>
      <c r="D46" s="70">
        <f>B46*B43+C46</f>
        <v>60861.950400000002</v>
      </c>
    </row>
    <row r="47" spans="1:4" x14ac:dyDescent="0.3">
      <c r="A47" s="62" t="s">
        <v>32</v>
      </c>
      <c r="B47" s="6">
        <v>566964</v>
      </c>
      <c r="C47" s="6">
        <v>56342</v>
      </c>
      <c r="D47" s="70">
        <f>B47*B43+C47</f>
        <v>118594.64720000001</v>
      </c>
    </row>
    <row r="48" spans="1:4" x14ac:dyDescent="0.3">
      <c r="A48" s="62" t="s">
        <v>33</v>
      </c>
      <c r="B48" s="6">
        <v>414648</v>
      </c>
      <c r="C48" s="6">
        <v>50249</v>
      </c>
      <c r="D48" s="70">
        <f>B48*B43+C48</f>
        <v>95777.350399999996</v>
      </c>
    </row>
    <row r="49" spans="1:5" x14ac:dyDescent="0.3">
      <c r="A49" s="66" t="s">
        <v>34</v>
      </c>
      <c r="B49" s="71">
        <v>379676</v>
      </c>
      <c r="C49" s="71">
        <v>48851</v>
      </c>
      <c r="D49" s="72">
        <f>B49*B43+C49</f>
        <v>90539.424800000008</v>
      </c>
    </row>
    <row r="50" spans="1:5" ht="29.25" customHeight="1" x14ac:dyDescent="0.3">
      <c r="A50" s="123" t="s">
        <v>26</v>
      </c>
    </row>
    <row r="51" spans="1:5" x14ac:dyDescent="0.3">
      <c r="A51" s="58" t="s">
        <v>10</v>
      </c>
      <c r="B51" s="59" t="s">
        <v>11</v>
      </c>
      <c r="C51" s="59" t="s">
        <v>12</v>
      </c>
      <c r="D51" s="60" t="s">
        <v>13</v>
      </c>
    </row>
    <row r="52" spans="1:5" x14ac:dyDescent="0.3">
      <c r="A52" s="62" t="s">
        <v>27</v>
      </c>
      <c r="B52" s="6">
        <f>B47-B$46</f>
        <v>355316</v>
      </c>
      <c r="C52" s="6">
        <f>C47-C$46</f>
        <v>18719</v>
      </c>
      <c r="D52" s="70">
        <f>D47-D$46</f>
        <v>57732.696800000005</v>
      </c>
    </row>
    <row r="53" spans="1:5" x14ac:dyDescent="0.3">
      <c r="A53" s="62" t="s">
        <v>35</v>
      </c>
      <c r="B53" s="6">
        <f>B48-B$46</f>
        <v>203000</v>
      </c>
      <c r="C53" s="6">
        <f>C48-C$46</f>
        <v>12626</v>
      </c>
      <c r="D53" s="70">
        <f t="shared" ref="D53" si="1">D48-D$46</f>
        <v>34915.399999999994</v>
      </c>
    </row>
    <row r="54" spans="1:5" x14ac:dyDescent="0.3">
      <c r="A54" s="62" t="s">
        <v>28</v>
      </c>
      <c r="B54" s="6">
        <f>B49-B$46</f>
        <v>168028</v>
      </c>
      <c r="C54" s="6">
        <f>C49-C$46</f>
        <v>11228</v>
      </c>
      <c r="D54" s="70">
        <f t="shared" ref="D54" si="2">D49-D$46</f>
        <v>29677.474400000006</v>
      </c>
    </row>
    <row r="55" spans="1:5" x14ac:dyDescent="0.3">
      <c r="A55" s="66" t="s">
        <v>37</v>
      </c>
      <c r="B55" s="71"/>
      <c r="C55" s="71">
        <v>4507</v>
      </c>
      <c r="D55" s="72">
        <v>4507</v>
      </c>
    </row>
    <row r="56" spans="1:5" ht="30" customHeight="1" x14ac:dyDescent="0.3">
      <c r="A56" s="123" t="s">
        <v>55</v>
      </c>
    </row>
    <row r="57" spans="1:5" x14ac:dyDescent="0.3">
      <c r="A57" s="58" t="s">
        <v>10</v>
      </c>
      <c r="B57" s="59" t="s">
        <v>11</v>
      </c>
      <c r="C57" s="59" t="s">
        <v>12</v>
      </c>
      <c r="D57" s="59" t="s">
        <v>13</v>
      </c>
      <c r="E57" s="60" t="s">
        <v>187</v>
      </c>
    </row>
    <row r="58" spans="1:5" x14ac:dyDescent="0.3">
      <c r="A58" s="62" t="s">
        <v>27</v>
      </c>
      <c r="B58" s="23">
        <f>B52*(B30/B26)</f>
        <v>466677.590781893</v>
      </c>
      <c r="C58" s="23">
        <f>C52*(B30/B26)</f>
        <v>24585.82732510288</v>
      </c>
      <c r="D58" s="23">
        <f>D52*(B30/B26)</f>
        <v>75827.026792954741</v>
      </c>
      <c r="E58" s="65"/>
    </row>
    <row r="59" spans="1:5" x14ac:dyDescent="0.3">
      <c r="A59" s="62" t="s">
        <v>35</v>
      </c>
      <c r="B59" s="23">
        <f>B53*(B30/B26)</f>
        <v>266623.37448559672</v>
      </c>
      <c r="C59" s="23">
        <f>C53*(B30/B26)</f>
        <v>16583.185843621399</v>
      </c>
      <c r="D59" s="23">
        <f>D53*(B30/B26)</f>
        <v>45858.432362139909</v>
      </c>
      <c r="E59" s="65"/>
    </row>
    <row r="60" spans="1:5" ht="28.8" x14ac:dyDescent="0.3">
      <c r="A60" s="62" t="s">
        <v>28</v>
      </c>
      <c r="B60" s="23">
        <f>B54*(B30/B26)</f>
        <v>220690.60279835391</v>
      </c>
      <c r="C60" s="23">
        <f>C54*(B30/B26)</f>
        <v>14747.030781893005</v>
      </c>
      <c r="D60" s="23">
        <f>D54*(B30/B26)</f>
        <v>38978.858969152272</v>
      </c>
      <c r="E60" s="63" t="s">
        <v>36</v>
      </c>
    </row>
    <row r="61" spans="1:5" x14ac:dyDescent="0.3">
      <c r="A61" s="66" t="s">
        <v>37</v>
      </c>
      <c r="B61" s="73">
        <f>B55*(B30/B26)</f>
        <v>0</v>
      </c>
      <c r="C61" s="73">
        <f>C55*(B30/B26)</f>
        <v>5919.5642798353911</v>
      </c>
      <c r="D61" s="73">
        <f>D55*(B30/B26)</f>
        <v>5919.5642798353911</v>
      </c>
      <c r="E61" s="68"/>
    </row>
    <row r="62" spans="1:5" ht="30" customHeight="1" x14ac:dyDescent="0.3">
      <c r="A62" s="123" t="s">
        <v>150</v>
      </c>
    </row>
    <row r="63" spans="1:5" x14ac:dyDescent="0.3">
      <c r="A63" s="58" t="s">
        <v>56</v>
      </c>
      <c r="B63" s="59" t="s">
        <v>38</v>
      </c>
      <c r="C63" s="59" t="s">
        <v>57</v>
      </c>
      <c r="D63" s="60" t="s">
        <v>58</v>
      </c>
    </row>
    <row r="64" spans="1:5" x14ac:dyDescent="0.3">
      <c r="A64" s="62" t="s">
        <v>39</v>
      </c>
      <c r="B64" s="6">
        <f>ROUNDUP(200*797.9/596.2,0)</f>
        <v>268</v>
      </c>
      <c r="C64" s="6" t="s">
        <v>40</v>
      </c>
      <c r="D64" s="69" t="s">
        <v>41</v>
      </c>
    </row>
    <row r="65" spans="1:4" x14ac:dyDescent="0.3">
      <c r="A65" s="62" t="s">
        <v>42</v>
      </c>
      <c r="B65" s="6">
        <v>25</v>
      </c>
      <c r="C65" s="6"/>
      <c r="D65" s="70"/>
    </row>
    <row r="66" spans="1:4" ht="28.8" x14ac:dyDescent="0.3">
      <c r="A66" s="62" t="s">
        <v>54</v>
      </c>
      <c r="B66" s="6">
        <f>B91</f>
        <v>109.16</v>
      </c>
      <c r="C66" s="24" t="s">
        <v>43</v>
      </c>
      <c r="D66" s="70"/>
    </row>
    <row r="67" spans="1:4" x14ac:dyDescent="0.3">
      <c r="A67" s="62" t="s">
        <v>44</v>
      </c>
      <c r="B67" s="6">
        <f>SUM(B64:B66)*0.08</f>
        <v>32.172799999999995</v>
      </c>
      <c r="C67" s="6" t="s">
        <v>45</v>
      </c>
      <c r="D67" s="70"/>
    </row>
    <row r="68" spans="1:4" x14ac:dyDescent="0.3">
      <c r="A68" s="66" t="s">
        <v>46</v>
      </c>
      <c r="B68" s="71">
        <f>SUM(B64:B67)</f>
        <v>434.33279999999996</v>
      </c>
      <c r="C68" s="71" t="s">
        <v>47</v>
      </c>
      <c r="D68" s="72"/>
    </row>
    <row r="69" spans="1:4" ht="30" customHeight="1" x14ac:dyDescent="0.3">
      <c r="A69" s="123" t="s">
        <v>59</v>
      </c>
      <c r="B69" s="22"/>
      <c r="C69" s="22"/>
    </row>
    <row r="70" spans="1:4" ht="16.5" customHeight="1" x14ac:dyDescent="0.3">
      <c r="A70" s="58" t="s">
        <v>126</v>
      </c>
      <c r="B70" s="59" t="s">
        <v>111</v>
      </c>
      <c r="C70" s="60" t="s">
        <v>112</v>
      </c>
    </row>
    <row r="71" spans="1:4" x14ac:dyDescent="0.3">
      <c r="A71" s="62" t="s">
        <v>60</v>
      </c>
      <c r="B71" s="5">
        <v>14</v>
      </c>
      <c r="C71" s="65"/>
    </row>
    <row r="72" spans="1:4" x14ac:dyDescent="0.3">
      <c r="A72" s="62" t="s">
        <v>61</v>
      </c>
      <c r="B72" s="25">
        <f>B71*B68</f>
        <v>6080.6591999999991</v>
      </c>
      <c r="C72" s="65"/>
    </row>
    <row r="73" spans="1:4" x14ac:dyDescent="0.3">
      <c r="A73" s="66" t="s">
        <v>62</v>
      </c>
      <c r="B73" s="67">
        <f>B72*$B$94</f>
        <v>1502.9244151252246</v>
      </c>
      <c r="C73" s="68" t="s">
        <v>63</v>
      </c>
    </row>
    <row r="74" spans="1:4" ht="30" customHeight="1" x14ac:dyDescent="0.3">
      <c r="A74" s="123" t="s">
        <v>64</v>
      </c>
    </row>
    <row r="75" spans="1:4" ht="16.5" customHeight="1" x14ac:dyDescent="0.3">
      <c r="A75" s="58" t="s">
        <v>56</v>
      </c>
      <c r="B75" s="59" t="s">
        <v>111</v>
      </c>
      <c r="C75" s="60" t="s">
        <v>187</v>
      </c>
    </row>
    <row r="76" spans="1:4" x14ac:dyDescent="0.3">
      <c r="A76" s="62" t="s">
        <v>65</v>
      </c>
      <c r="B76" s="6">
        <f>2.5*$B$91</f>
        <v>272.89999999999998</v>
      </c>
      <c r="C76" s="65" t="s">
        <v>66</v>
      </c>
    </row>
    <row r="77" spans="1:4" x14ac:dyDescent="0.3">
      <c r="A77" s="62" t="s">
        <v>67</v>
      </c>
      <c r="B77" s="25">
        <f>8*B68</f>
        <v>3474.6623999999997</v>
      </c>
      <c r="C77" s="65" t="s">
        <v>68</v>
      </c>
    </row>
    <row r="78" spans="1:4" ht="28.8" x14ac:dyDescent="0.3">
      <c r="A78" s="62" t="s">
        <v>69</v>
      </c>
      <c r="B78" s="25">
        <f>B77</f>
        <v>3474.6623999999997</v>
      </c>
      <c r="C78" s="63" t="s">
        <v>70</v>
      </c>
    </row>
    <row r="79" spans="1:4" x14ac:dyDescent="0.3">
      <c r="A79" s="62" t="s">
        <v>46</v>
      </c>
      <c r="B79" s="25">
        <f>SUM(B76:B78)</f>
        <v>7222.2248</v>
      </c>
      <c r="C79" s="65"/>
    </row>
    <row r="80" spans="1:4" x14ac:dyDescent="0.3">
      <c r="A80" s="66" t="s">
        <v>62</v>
      </c>
      <c r="B80" s="67">
        <f>B79*$B$94</f>
        <v>1785.079154484253</v>
      </c>
      <c r="C80" s="68" t="s">
        <v>63</v>
      </c>
    </row>
    <row r="81" spans="1:4" ht="30.75" customHeight="1" x14ac:dyDescent="0.3">
      <c r="A81" s="123" t="s">
        <v>71</v>
      </c>
    </row>
    <row r="82" spans="1:4" ht="30.75" customHeight="1" x14ac:dyDescent="0.3">
      <c r="A82" s="58" t="s">
        <v>56</v>
      </c>
      <c r="B82" s="59" t="s">
        <v>111</v>
      </c>
      <c r="C82" s="60" t="s">
        <v>187</v>
      </c>
    </row>
    <row r="83" spans="1:4" ht="28.8" x14ac:dyDescent="0.3">
      <c r="A83" s="62" t="s">
        <v>72</v>
      </c>
      <c r="B83" s="6">
        <f>ROUNDUP(18500*797.9/596.2,0)</f>
        <v>24759</v>
      </c>
      <c r="C83" s="63" t="s">
        <v>73</v>
      </c>
    </row>
    <row r="84" spans="1:4" x14ac:dyDescent="0.3">
      <c r="A84" s="62" t="s">
        <v>74</v>
      </c>
      <c r="B84" s="6">
        <f>4*$B$91</f>
        <v>436.64</v>
      </c>
      <c r="C84" s="63" t="s">
        <v>75</v>
      </c>
    </row>
    <row r="85" spans="1:4" x14ac:dyDescent="0.3">
      <c r="A85" s="62" t="s">
        <v>46</v>
      </c>
      <c r="B85" s="6">
        <f>SUM(B83:B84)</f>
        <v>25195.64</v>
      </c>
      <c r="C85" s="63"/>
    </row>
    <row r="86" spans="1:4" x14ac:dyDescent="0.3">
      <c r="A86" s="62" t="s">
        <v>62</v>
      </c>
      <c r="B86" s="25">
        <f>B85*$B$94</f>
        <v>6227.473250055803</v>
      </c>
      <c r="C86" s="63" t="s">
        <v>63</v>
      </c>
    </row>
    <row r="87" spans="1:4" x14ac:dyDescent="0.3">
      <c r="A87" s="62" t="s">
        <v>76</v>
      </c>
      <c r="B87" s="25">
        <f>B99*B39</f>
        <v>1642.9530000000002</v>
      </c>
      <c r="C87" s="63" t="s">
        <v>63</v>
      </c>
    </row>
    <row r="88" spans="1:4" ht="43.2" x14ac:dyDescent="0.3">
      <c r="A88" s="54" t="s">
        <v>77</v>
      </c>
      <c r="B88" s="64">
        <f>0.75*B83+B84</f>
        <v>19005.89</v>
      </c>
      <c r="C88" s="52" t="s">
        <v>78</v>
      </c>
    </row>
    <row r="89" spans="1:4" ht="30" customHeight="1" x14ac:dyDescent="0.3">
      <c r="A89" s="123" t="s">
        <v>79</v>
      </c>
      <c r="B89" s="9"/>
      <c r="C89" s="9"/>
    </row>
    <row r="90" spans="1:4" ht="18" customHeight="1" x14ac:dyDescent="0.3">
      <c r="A90" s="58" t="s">
        <v>56</v>
      </c>
      <c r="B90" s="59" t="s">
        <v>111</v>
      </c>
      <c r="C90" s="60" t="s">
        <v>187</v>
      </c>
    </row>
    <row r="91" spans="1:4" x14ac:dyDescent="0.3">
      <c r="A91" s="55" t="s">
        <v>48</v>
      </c>
      <c r="B91" s="2">
        <v>109.16</v>
      </c>
      <c r="C91" s="57" t="s">
        <v>49</v>
      </c>
    </row>
    <row r="92" spans="1:4" x14ac:dyDescent="0.3">
      <c r="A92" s="56" t="s">
        <v>50</v>
      </c>
      <c r="B92" s="8">
        <v>7.4999999999999997E-2</v>
      </c>
      <c r="C92" s="57"/>
    </row>
    <row r="93" spans="1:4" x14ac:dyDescent="0.3">
      <c r="A93" s="56" t="s">
        <v>51</v>
      </c>
      <c r="B93" s="1">
        <v>5</v>
      </c>
      <c r="C93" s="57" t="s">
        <v>52</v>
      </c>
    </row>
    <row r="94" spans="1:4" x14ac:dyDescent="0.3">
      <c r="A94" s="54" t="s">
        <v>53</v>
      </c>
      <c r="B94" s="61">
        <f>(B92*(1+B92)^B93)/(((1+B92)^B93)-1)</f>
        <v>0.24716471778672036</v>
      </c>
      <c r="C94" s="53"/>
    </row>
    <row r="95" spans="1:4" ht="30" customHeight="1" x14ac:dyDescent="0.3">
      <c r="A95" s="123" t="s">
        <v>191</v>
      </c>
      <c r="B95"/>
      <c r="C95"/>
      <c r="D95"/>
    </row>
    <row r="96" spans="1:4" ht="30" customHeight="1" x14ac:dyDescent="0.3">
      <c r="A96" s="47" t="s">
        <v>56</v>
      </c>
      <c r="B96" s="48" t="s">
        <v>111</v>
      </c>
      <c r="C96" s="48" t="s">
        <v>112</v>
      </c>
      <c r="D96" s="49" t="s">
        <v>187</v>
      </c>
    </row>
    <row r="97" spans="1:4" ht="43.2" x14ac:dyDescent="0.3">
      <c r="A97" s="45" t="s">
        <v>80</v>
      </c>
      <c r="B97" s="38">
        <v>12.27</v>
      </c>
      <c r="C97" s="33" t="s">
        <v>81</v>
      </c>
      <c r="D97" s="46" t="s">
        <v>82</v>
      </c>
    </row>
    <row r="98" spans="1:4" ht="43.2" x14ac:dyDescent="0.3">
      <c r="A98" s="45" t="s">
        <v>83</v>
      </c>
      <c r="B98" s="33">
        <v>500</v>
      </c>
      <c r="C98" s="33" t="s">
        <v>84</v>
      </c>
      <c r="D98" s="46" t="s">
        <v>85</v>
      </c>
    </row>
    <row r="99" spans="1:4" x14ac:dyDescent="0.3">
      <c r="A99" s="50" t="s">
        <v>86</v>
      </c>
      <c r="B99" s="51">
        <f>B98*60*B97/1000</f>
        <v>368.1</v>
      </c>
      <c r="C99" s="51" t="s">
        <v>87</v>
      </c>
      <c r="D99" s="52"/>
    </row>
  </sheetData>
  <hyperlinks>
    <hyperlink ref="D64" r:id="rId1" display="https://www.onsite-env.com/pdf/Schedule-of-Fees.pdf" xr:uid="{656F484D-BA12-4E73-9397-1AFBADCB9890}"/>
    <hyperlink ref="A41" r:id="rId2" xr:uid="{D6D3CEF1-20DD-4BF1-9E32-7186BE8955DE}"/>
  </hyperlinks>
  <pageMargins left="0.7" right="0.7" top="0.75" bottom="0.75" header="0.3" footer="0.3"/>
  <pageSetup scale="73" fitToHeight="0" orientation="landscape" horizontalDpi="4294967293" verticalDpi="360" r:id="rId3"/>
  <headerFooter>
    <oddFooter>&amp;CPage &amp;P of &amp;N</oddFooter>
  </headerFooter>
  <rowBreaks count="3" manualBreakCount="3">
    <brk id="30" max="16383" man="1"/>
    <brk id="61" max="16383" man="1"/>
    <brk id="88" max="16383" man="1"/>
  </rowBreaks>
  <tableParts count="14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E693B-0255-429F-B683-707703EB8B98}">
  <sheetPr>
    <pageSetUpPr fitToPage="1"/>
  </sheetPr>
  <dimension ref="A1:C14"/>
  <sheetViews>
    <sheetView workbookViewId="0">
      <selection activeCell="C14" sqref="C14"/>
    </sheetView>
  </sheetViews>
  <sheetFormatPr defaultRowHeight="14.4" x14ac:dyDescent="0.3"/>
  <cols>
    <col min="1" max="1" width="22.109375" customWidth="1"/>
  </cols>
  <sheetData>
    <row r="1" spans="1:3" x14ac:dyDescent="0.3">
      <c r="A1" s="123" t="s">
        <v>120</v>
      </c>
    </row>
    <row r="2" spans="1:3" x14ac:dyDescent="0.3">
      <c r="A2" s="87" t="s">
        <v>56</v>
      </c>
      <c r="B2" s="88" t="s">
        <v>111</v>
      </c>
      <c r="C2" s="89" t="s">
        <v>112</v>
      </c>
    </row>
    <row r="3" spans="1:3" x14ac:dyDescent="0.3">
      <c r="A3" s="56" t="s">
        <v>121</v>
      </c>
      <c r="B3" s="1">
        <v>190</v>
      </c>
      <c r="C3" s="57"/>
    </row>
    <row r="4" spans="1:3" x14ac:dyDescent="0.3">
      <c r="A4" s="56" t="s">
        <v>122</v>
      </c>
      <c r="B4" s="1">
        <v>2</v>
      </c>
      <c r="C4" s="57" t="s">
        <v>84</v>
      </c>
    </row>
    <row r="5" spans="1:3" x14ac:dyDescent="0.3">
      <c r="A5" s="56" t="s">
        <v>123</v>
      </c>
      <c r="B5" s="2">
        <f>B$3*B4*MonitoringOptCosts!B66</f>
        <v>41480.799999999996</v>
      </c>
      <c r="C5" s="57"/>
    </row>
    <row r="6" spans="1:3" x14ac:dyDescent="0.3">
      <c r="A6" s="56" t="s">
        <v>124</v>
      </c>
      <c r="B6" s="2">
        <f>B5*B14</f>
        <v>7081.8935047895948</v>
      </c>
      <c r="C6" s="57"/>
    </row>
    <row r="7" spans="1:3" x14ac:dyDescent="0.3">
      <c r="A7" s="56" t="s">
        <v>125</v>
      </c>
      <c r="B7" s="1">
        <v>2</v>
      </c>
      <c r="C7" s="57" t="s">
        <v>84</v>
      </c>
    </row>
    <row r="8" spans="1:3" x14ac:dyDescent="0.3">
      <c r="A8" s="56" t="s">
        <v>126</v>
      </c>
      <c r="B8" s="2">
        <f>-B$3*B7*MonitoringOptCosts!B66</f>
        <v>-41480.799999999996</v>
      </c>
      <c r="C8" s="57"/>
    </row>
    <row r="9" spans="1:3" x14ac:dyDescent="0.3">
      <c r="A9" s="54" t="s">
        <v>13</v>
      </c>
      <c r="B9" s="90">
        <f>B6+B8</f>
        <v>-34398.906495210402</v>
      </c>
      <c r="C9" s="53"/>
    </row>
    <row r="10" spans="1:3" ht="30" customHeight="1" x14ac:dyDescent="0.3">
      <c r="A10" s="123" t="s">
        <v>127</v>
      </c>
    </row>
    <row r="11" spans="1:3" ht="18.75" customHeight="1" x14ac:dyDescent="0.3">
      <c r="A11" s="87" t="s">
        <v>56</v>
      </c>
      <c r="B11" s="89" t="s">
        <v>111</v>
      </c>
    </row>
    <row r="12" spans="1:3" x14ac:dyDescent="0.3">
      <c r="A12" s="56" t="s">
        <v>50</v>
      </c>
      <c r="B12" s="91">
        <v>7.4999999999999997E-2</v>
      </c>
    </row>
    <row r="13" spans="1:3" x14ac:dyDescent="0.3">
      <c r="A13" s="56" t="s">
        <v>51</v>
      </c>
      <c r="B13" s="57">
        <v>8</v>
      </c>
    </row>
    <row r="14" spans="1:3" x14ac:dyDescent="0.3">
      <c r="A14" s="54" t="s">
        <v>53</v>
      </c>
      <c r="B14" s="53">
        <f>(B12*(1+B12)^B13)/(((1+B12)^B13)-1)</f>
        <v>0.17072702322013064</v>
      </c>
    </row>
  </sheetData>
  <pageMargins left="0.7" right="0.7" top="0.75" bottom="0.75" header="0.3" footer="0.3"/>
  <pageSetup fitToHeight="0" orientation="landscape" horizontalDpi="360" verticalDpi="360" r:id="rId1"/>
  <headerFooter>
    <oddFooter>&amp;CPage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6AAF-4F2C-4D58-B1BE-7F4D16AA9EFD}">
  <sheetPr>
    <pageSetUpPr fitToPage="1"/>
  </sheetPr>
  <dimension ref="A1:E15"/>
  <sheetViews>
    <sheetView workbookViewId="0"/>
  </sheetViews>
  <sheetFormatPr defaultRowHeight="14.4" x14ac:dyDescent="0.3"/>
  <cols>
    <col min="1" max="1" width="32.88671875" customWidth="1"/>
    <col min="2" max="5" width="16.6640625" customWidth="1"/>
  </cols>
  <sheetData>
    <row r="1" spans="1:5" x14ac:dyDescent="0.3">
      <c r="A1" s="123" t="s">
        <v>91</v>
      </c>
    </row>
    <row r="2" spans="1:5" s="11" customFormat="1" x14ac:dyDescent="0.3">
      <c r="A2" s="129" t="s">
        <v>97</v>
      </c>
      <c r="B2" s="130" t="s">
        <v>92</v>
      </c>
      <c r="C2" s="131" t="s">
        <v>187</v>
      </c>
    </row>
    <row r="3" spans="1:5" s="11" customFormat="1" ht="43.2" x14ac:dyDescent="0.3">
      <c r="A3" s="80" t="s">
        <v>93</v>
      </c>
      <c r="B3" s="13">
        <f>MonitoringOptCosts!B99</f>
        <v>368.1</v>
      </c>
      <c r="C3" s="127" t="s">
        <v>94</v>
      </c>
      <c r="D3" s="39"/>
    </row>
    <row r="4" spans="1:5" s="11" customFormat="1" ht="30" customHeight="1" x14ac:dyDescent="0.3">
      <c r="A4" s="126" t="s">
        <v>95</v>
      </c>
      <c r="B4" s="112">
        <v>1088.5999999999999</v>
      </c>
      <c r="C4" s="128" t="s">
        <v>96</v>
      </c>
      <c r="D4" s="12"/>
      <c r="E4" s="12"/>
    </row>
    <row r="5" spans="1:5" s="41" customFormat="1" ht="30" customHeight="1" x14ac:dyDescent="0.3">
      <c r="A5" s="152" t="s">
        <v>98</v>
      </c>
      <c r="B5" s="153"/>
      <c r="C5" s="153"/>
      <c r="D5" s="40"/>
    </row>
    <row r="6" spans="1:5" s="11" customFormat="1" x14ac:dyDescent="0.3">
      <c r="A6" s="129" t="s">
        <v>110</v>
      </c>
      <c r="B6" s="130" t="s">
        <v>111</v>
      </c>
      <c r="C6" s="130" t="s">
        <v>112</v>
      </c>
      <c r="D6" s="134" t="s">
        <v>99</v>
      </c>
    </row>
    <row r="7" spans="1:5" s="11" customFormat="1" ht="43.2" x14ac:dyDescent="0.3">
      <c r="A7" s="132" t="s">
        <v>100</v>
      </c>
      <c r="B7" s="42">
        <v>117</v>
      </c>
      <c r="C7" s="42" t="s">
        <v>101</v>
      </c>
      <c r="D7" s="133" t="s">
        <v>102</v>
      </c>
    </row>
    <row r="8" spans="1:5" s="11" customFormat="1" x14ac:dyDescent="0.3">
      <c r="A8" s="132" t="s">
        <v>100</v>
      </c>
      <c r="B8" s="42">
        <v>6.8000000000000005E-2</v>
      </c>
      <c r="C8" s="42" t="s">
        <v>103</v>
      </c>
      <c r="D8" s="133" t="s">
        <v>104</v>
      </c>
    </row>
    <row r="9" spans="1:5" s="11" customFormat="1" x14ac:dyDescent="0.3">
      <c r="A9" s="132" t="s">
        <v>100</v>
      </c>
      <c r="B9" s="42">
        <v>0.31</v>
      </c>
      <c r="C9" s="42" t="s">
        <v>105</v>
      </c>
      <c r="D9" s="133" t="s">
        <v>106</v>
      </c>
    </row>
    <row r="10" spans="1:5" s="11" customFormat="1" ht="72" x14ac:dyDescent="0.3">
      <c r="A10" s="135" t="s">
        <v>107</v>
      </c>
      <c r="B10" s="136">
        <v>1036</v>
      </c>
      <c r="C10" s="137" t="s">
        <v>108</v>
      </c>
      <c r="D10" s="138" t="s">
        <v>109</v>
      </c>
    </row>
    <row r="11" spans="1:5" ht="30.75" customHeight="1" x14ac:dyDescent="0.3">
      <c r="A11" s="125" t="s">
        <v>113</v>
      </c>
      <c r="B11" s="113"/>
      <c r="C11" s="113"/>
      <c r="D11" s="113"/>
    </row>
    <row r="12" spans="1:5" ht="28.8" x14ac:dyDescent="0.3">
      <c r="A12" s="82" t="s">
        <v>97</v>
      </c>
      <c r="B12" s="83" t="s">
        <v>114</v>
      </c>
      <c r="C12" s="83" t="s">
        <v>115</v>
      </c>
      <c r="D12" s="83" t="s">
        <v>116</v>
      </c>
      <c r="E12" s="84" t="s">
        <v>117</v>
      </c>
    </row>
    <row r="13" spans="1:5" ht="28.8" x14ac:dyDescent="0.3">
      <c r="A13" s="80" t="s">
        <v>118</v>
      </c>
      <c r="B13" s="26">
        <f>NationalCosts!$C$5*B3/1000</f>
        <v>36.81</v>
      </c>
      <c r="C13" s="27">
        <f>$B13*B10*B7/2000</f>
        <v>2230.9068600000005</v>
      </c>
      <c r="D13" s="26">
        <f>$B13*B10*B8/2000</f>
        <v>1.2965954400000004</v>
      </c>
      <c r="E13" s="81">
        <f>$B13*B10*B9/2000</f>
        <v>5.9109498</v>
      </c>
    </row>
    <row r="14" spans="1:5" ht="28.8" x14ac:dyDescent="0.3">
      <c r="A14" s="80" t="s">
        <v>95</v>
      </c>
      <c r="B14" s="26">
        <f>NationalCosts!$C$6*B4/1000</f>
        <v>54.429999999999993</v>
      </c>
      <c r="C14" s="27">
        <f>$B14*B10*B7/2000</f>
        <v>3298.7845799999996</v>
      </c>
      <c r="D14" s="26">
        <f>$B14*B10*B8/2000</f>
        <v>1.9172423200000002</v>
      </c>
      <c r="E14" s="81">
        <f>$B14*B10*B9/2000</f>
        <v>8.7403693999999987</v>
      </c>
    </row>
    <row r="15" spans="1:5" x14ac:dyDescent="0.3">
      <c r="A15" s="54" t="s">
        <v>119</v>
      </c>
      <c r="B15" s="85">
        <f>SUM(B13:B14)</f>
        <v>91.24</v>
      </c>
      <c r="C15" s="85">
        <f t="shared" ref="C15:E15" si="0">SUM(C13:C14)</f>
        <v>5529.6914400000005</v>
      </c>
      <c r="D15" s="85">
        <f t="shared" si="0"/>
        <v>3.2138377600000005</v>
      </c>
      <c r="E15" s="86">
        <f t="shared" si="0"/>
        <v>14.6513192</v>
      </c>
    </row>
  </sheetData>
  <hyperlinks>
    <hyperlink ref="D10" r:id="rId1" xr:uid="{31D26705-0085-457F-A957-6D5D34FD8C73}"/>
  </hyperlinks>
  <pageMargins left="0.7" right="0.7" top="0.75" bottom="0.75" header="0.3" footer="0.3"/>
  <pageSetup fitToHeight="0" orientation="landscape" horizontalDpi="360" verticalDpi="360" r:id="rId2"/>
  <headerFooter>
    <oddFooter>&amp;CPage &amp;P of &amp;N</oddFooter>
  </headerFooter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F8C6-24FC-4CBC-9116-62A8ED175B86}">
  <sheetPr>
    <pageSetUpPr fitToPage="1"/>
  </sheetPr>
  <dimension ref="A1:J46"/>
  <sheetViews>
    <sheetView workbookViewId="0"/>
  </sheetViews>
  <sheetFormatPr defaultRowHeight="14.4" x14ac:dyDescent="0.3"/>
  <cols>
    <col min="1" max="1" width="31.88671875" customWidth="1"/>
    <col min="2" max="9" width="17.44140625" customWidth="1"/>
    <col min="10" max="10" width="59.109375" customWidth="1"/>
  </cols>
  <sheetData>
    <row r="1" spans="1:7" x14ac:dyDescent="0.3">
      <c r="A1" s="123" t="s">
        <v>128</v>
      </c>
    </row>
    <row r="2" spans="1:7" ht="16.2" x14ac:dyDescent="0.3">
      <c r="A2" s="1" t="s">
        <v>129</v>
      </c>
      <c r="B2" s="14">
        <v>200</v>
      </c>
    </row>
    <row r="3" spans="1:7" x14ac:dyDescent="0.3">
      <c r="A3" s="93" t="s">
        <v>130</v>
      </c>
      <c r="B3" s="94" t="s">
        <v>131</v>
      </c>
      <c r="C3" s="95" t="s">
        <v>132</v>
      </c>
    </row>
    <row r="4" spans="1:7" x14ac:dyDescent="0.3">
      <c r="A4" s="56" t="s">
        <v>133</v>
      </c>
      <c r="B4" s="14">
        <v>0.25</v>
      </c>
      <c r="C4" s="92">
        <f>$B$2*B4</f>
        <v>50</v>
      </c>
    </row>
    <row r="5" spans="1:7" x14ac:dyDescent="0.3">
      <c r="A5" s="56" t="s">
        <v>134</v>
      </c>
      <c r="B5" s="14">
        <v>0.5</v>
      </c>
      <c r="C5" s="92">
        <f>$B$2*B5</f>
        <v>100</v>
      </c>
    </row>
    <row r="6" spans="1:7" x14ac:dyDescent="0.3">
      <c r="A6" s="54" t="s">
        <v>135</v>
      </c>
      <c r="B6" s="96">
        <v>0.25</v>
      </c>
      <c r="C6" s="97">
        <f>$B$2*B6</f>
        <v>50</v>
      </c>
    </row>
    <row r="7" spans="1:7" ht="15" customHeight="1" x14ac:dyDescent="0.3">
      <c r="A7" s="7" t="s">
        <v>136</v>
      </c>
      <c r="B7" s="16"/>
      <c r="C7" s="16"/>
    </row>
    <row r="8" spans="1:7" ht="30" customHeight="1" x14ac:dyDescent="0.3">
      <c r="A8" s="123" t="s">
        <v>137</v>
      </c>
    </row>
    <row r="9" spans="1:7" x14ac:dyDescent="0.3">
      <c r="A9" s="99" t="s">
        <v>138</v>
      </c>
      <c r="B9" s="94" t="s">
        <v>131</v>
      </c>
      <c r="C9" s="94" t="s">
        <v>132</v>
      </c>
      <c r="D9" s="94" t="s">
        <v>139</v>
      </c>
      <c r="E9" s="94" t="s">
        <v>11</v>
      </c>
      <c r="F9" s="94" t="s">
        <v>12</v>
      </c>
      <c r="G9" s="95" t="s">
        <v>13</v>
      </c>
    </row>
    <row r="10" spans="1:7" x14ac:dyDescent="0.3">
      <c r="A10" s="55" t="s">
        <v>140</v>
      </c>
      <c r="B10" s="14">
        <v>0.2</v>
      </c>
      <c r="C10" s="15">
        <f>B10*$C$4</f>
        <v>10</v>
      </c>
      <c r="D10" s="17">
        <v>0</v>
      </c>
      <c r="E10" s="17">
        <v>0</v>
      </c>
      <c r="F10" s="17">
        <v>0</v>
      </c>
      <c r="G10" s="98">
        <v>0</v>
      </c>
    </row>
    <row r="11" spans="1:7" x14ac:dyDescent="0.3">
      <c r="A11" s="55" t="s">
        <v>141</v>
      </c>
      <c r="B11" s="14">
        <v>0.6</v>
      </c>
      <c r="C11" s="15">
        <f>B11*$C$4</f>
        <v>30</v>
      </c>
      <c r="D11" s="17">
        <f>MonitoringOptCosts!B85</f>
        <v>25195.64</v>
      </c>
      <c r="E11" s="17">
        <v>0</v>
      </c>
      <c r="F11" s="17">
        <v>0</v>
      </c>
      <c r="G11" s="98">
        <f>MonitoringOptCosts!B86</f>
        <v>6227.473250055803</v>
      </c>
    </row>
    <row r="12" spans="1:7" x14ac:dyDescent="0.3">
      <c r="A12" s="100" t="s">
        <v>142</v>
      </c>
      <c r="B12" s="118">
        <f>1-SUM(B10:B11)</f>
        <v>0.19999999999999996</v>
      </c>
      <c r="C12" s="102">
        <f>B12*$C$4</f>
        <v>9.9999999999999982</v>
      </c>
      <c r="D12" s="103">
        <v>0</v>
      </c>
      <c r="E12" s="103">
        <v>0</v>
      </c>
      <c r="F12" s="103">
        <f>MonitoringOptCosts!B88</f>
        <v>19005.89</v>
      </c>
      <c r="G12" s="141">
        <f>F12</f>
        <v>19005.89</v>
      </c>
    </row>
    <row r="13" spans="1:7" ht="30.75" customHeight="1" x14ac:dyDescent="0.3">
      <c r="A13" s="139" t="s">
        <v>143</v>
      </c>
      <c r="B13" s="111"/>
      <c r="C13" s="116"/>
      <c r="D13" s="114"/>
      <c r="E13" s="114"/>
      <c r="F13" s="114"/>
      <c r="G13" s="114"/>
    </row>
    <row r="14" spans="1:7" x14ac:dyDescent="0.3">
      <c r="A14" s="99" t="s">
        <v>138</v>
      </c>
      <c r="B14" s="94" t="s">
        <v>131</v>
      </c>
      <c r="C14" s="94" t="s">
        <v>132</v>
      </c>
      <c r="D14" s="94" t="s">
        <v>139</v>
      </c>
      <c r="E14" s="94" t="s">
        <v>11</v>
      </c>
      <c r="F14" s="94" t="s">
        <v>12</v>
      </c>
      <c r="G14" s="95" t="s">
        <v>13</v>
      </c>
    </row>
    <row r="15" spans="1:7" x14ac:dyDescent="0.3">
      <c r="A15" s="55" t="s">
        <v>144</v>
      </c>
      <c r="B15" s="14">
        <v>0.04</v>
      </c>
      <c r="C15" s="15">
        <f>B15*$C$6</f>
        <v>2</v>
      </c>
      <c r="D15" s="92"/>
      <c r="E15" s="114">
        <f>MonitoringOptCosts!B58</f>
        <v>466677.590781893</v>
      </c>
      <c r="F15" s="114">
        <f>MonitoringOptCosts!C58</f>
        <v>24585.82732510288</v>
      </c>
      <c r="G15" s="114">
        <f>MonitoringOptCosts!D58</f>
        <v>75827.026792954741</v>
      </c>
    </row>
    <row r="16" spans="1:7" x14ac:dyDescent="0.3">
      <c r="A16" s="55" t="s">
        <v>145</v>
      </c>
      <c r="B16" s="14">
        <v>0.16</v>
      </c>
      <c r="C16" s="15">
        <f>B16*$C$6</f>
        <v>8</v>
      </c>
      <c r="D16" s="15"/>
      <c r="E16" s="98">
        <f>MonitoringOptCosts!B59</f>
        <v>266623.37448559672</v>
      </c>
      <c r="F16" s="114">
        <f>MonitoringOptCosts!C59</f>
        <v>16583.185843621399</v>
      </c>
      <c r="G16" s="114">
        <f>MonitoringOptCosts!D59</f>
        <v>45858.432362139909</v>
      </c>
    </row>
    <row r="17" spans="1:10" x14ac:dyDescent="0.3">
      <c r="A17" s="55" t="s">
        <v>28</v>
      </c>
      <c r="B17" s="14">
        <v>0</v>
      </c>
      <c r="C17" s="15">
        <f>B17*$C$6</f>
        <v>0</v>
      </c>
      <c r="D17" s="15"/>
      <c r="E17" s="98">
        <f>MonitoringOptCosts!B60</f>
        <v>220690.60279835391</v>
      </c>
      <c r="F17" s="114">
        <f>MonitoringOptCosts!C60</f>
        <v>14747.030781893005</v>
      </c>
      <c r="G17" s="114">
        <f>MonitoringOptCosts!D60</f>
        <v>38978.858969152272</v>
      </c>
    </row>
    <row r="18" spans="1:10" x14ac:dyDescent="0.3">
      <c r="A18" s="100" t="s">
        <v>146</v>
      </c>
      <c r="B18" s="101">
        <f>1-SUM(B15:B17)</f>
        <v>0.8</v>
      </c>
      <c r="C18" s="102">
        <f>B18*$C$6</f>
        <v>40</v>
      </c>
      <c r="D18" s="103">
        <f>MonitoringOptCosts!B72</f>
        <v>6080.6591999999991</v>
      </c>
      <c r="E18" s="102">
        <v>0</v>
      </c>
      <c r="F18" s="103">
        <f>MonitoringOptCosts!C61</f>
        <v>5919.5642798353911</v>
      </c>
      <c r="G18" s="115">
        <f>MonitoringOptCosts!B73+F18</f>
        <v>7422.4886949606152</v>
      </c>
    </row>
    <row r="19" spans="1:10" ht="31.5" customHeight="1" x14ac:dyDescent="0.3">
      <c r="A19" s="140" t="s">
        <v>165</v>
      </c>
    </row>
    <row r="20" spans="1:10" ht="28.8" x14ac:dyDescent="0.3">
      <c r="A20" s="160" t="s">
        <v>151</v>
      </c>
      <c r="B20" s="161" t="s">
        <v>139</v>
      </c>
      <c r="C20" s="161" t="s">
        <v>152</v>
      </c>
      <c r="D20" s="161" t="s">
        <v>153</v>
      </c>
      <c r="E20" s="161" t="s">
        <v>154</v>
      </c>
      <c r="F20" s="161" t="s">
        <v>155</v>
      </c>
      <c r="G20" s="161" t="s">
        <v>156</v>
      </c>
      <c r="H20" s="161" t="s">
        <v>157</v>
      </c>
      <c r="I20" s="161" t="s">
        <v>158</v>
      </c>
      <c r="J20" s="162" t="s">
        <v>159</v>
      </c>
    </row>
    <row r="21" spans="1:10" x14ac:dyDescent="0.3">
      <c r="A21" s="1" t="s">
        <v>120</v>
      </c>
      <c r="B21" s="17">
        <f>ElectronicReporting!B5</f>
        <v>41480.799999999996</v>
      </c>
      <c r="C21" s="28"/>
      <c r="D21" s="17">
        <f>ElectronicReporting!B8</f>
        <v>-41480.799999999996</v>
      </c>
      <c r="E21" s="17">
        <f>ElectronicReporting!B9</f>
        <v>-34398.906495210402</v>
      </c>
      <c r="F21" s="28"/>
      <c r="G21" s="28"/>
      <c r="H21" s="28"/>
      <c r="I21" s="29"/>
      <c r="J21" s="117"/>
    </row>
    <row r="22" spans="1:10" x14ac:dyDescent="0.3">
      <c r="A22" s="1" t="s">
        <v>160</v>
      </c>
      <c r="B22" s="17">
        <f>$C5*MonitoringOptCosts!$B85+SUMPRODUCT($C$10:$C$13,D10:D13)</f>
        <v>3275433.2</v>
      </c>
      <c r="C22" s="29"/>
      <c r="D22" s="17">
        <f>C5*MonitoringOptCosts!B87+SUMPRODUCT(C10:C13,F10:F13)</f>
        <v>354354.19999999995</v>
      </c>
      <c r="E22" s="17">
        <f>$C5*MonitoringOptCosts!$B86+D22+SUMPRODUCT(C10:C13,G10:G13)</f>
        <v>1353984.6225072544</v>
      </c>
      <c r="F22" s="30">
        <f>(C4+C5)*(B$29)</f>
        <v>180</v>
      </c>
      <c r="G22" s="17">
        <f>$E22/F22</f>
        <v>7522.1367917069683</v>
      </c>
      <c r="H22" s="30">
        <f>(C4+C5)*(B$29)*B28/B27</f>
        <v>2250</v>
      </c>
      <c r="I22" s="17">
        <f>$E22/H22</f>
        <v>601.77094333655748</v>
      </c>
      <c r="J22" s="117" t="s">
        <v>161</v>
      </c>
    </row>
    <row r="23" spans="1:10" ht="15" thickBot="1" x14ac:dyDescent="0.35">
      <c r="A23" s="158" t="s">
        <v>162</v>
      </c>
      <c r="B23" s="31">
        <f>SUMPRODUCT($C15:$C18,D15:D18)</f>
        <v>243226.36799999996</v>
      </c>
      <c r="C23" s="31">
        <f>SUMPRODUCT($C15:$C18,E15:E18)</f>
        <v>3066342.1774485596</v>
      </c>
      <c r="D23" s="31">
        <f>SUMPRODUCT($C15:$C18,F15:F18)</f>
        <v>418619.71259259258</v>
      </c>
      <c r="E23" s="31">
        <f>SUMPRODUCT($C15:$C18,G15:G18)</f>
        <v>815421.06028145342</v>
      </c>
      <c r="F23" s="32">
        <f>C6*(B$30)</f>
        <v>100</v>
      </c>
      <c r="G23" s="31">
        <f>$E23/F23</f>
        <v>8154.2106028145345</v>
      </c>
      <c r="H23" s="32">
        <f>C6*(B$30)*B28/B27</f>
        <v>1250</v>
      </c>
      <c r="I23" s="31">
        <f>$E23/H23</f>
        <v>652.33684822516273</v>
      </c>
      <c r="J23" s="117" t="s">
        <v>163</v>
      </c>
    </row>
    <row r="24" spans="1:10" ht="15" thickTop="1" x14ac:dyDescent="0.3">
      <c r="A24" s="159" t="s">
        <v>164</v>
      </c>
      <c r="B24" s="142">
        <f>SUM(B21:B23)</f>
        <v>3560140.3679999998</v>
      </c>
      <c r="C24" s="143">
        <f>SUM(C21:C23)</f>
        <v>3066342.1774485596</v>
      </c>
      <c r="D24" s="142">
        <f>SUM(D21:D23)</f>
        <v>731493.1125925926</v>
      </c>
      <c r="E24" s="142">
        <f>SUM(E21:E23)</f>
        <v>2135006.7762934975</v>
      </c>
      <c r="F24" s="156">
        <f>SUM(F22:F23)</f>
        <v>280</v>
      </c>
      <c r="G24" s="157">
        <f>($E22+$E23)/(F22+F23)</f>
        <v>7747.877438531099</v>
      </c>
      <c r="H24" s="156">
        <f>SUM(H22:H23)</f>
        <v>3500</v>
      </c>
      <c r="I24" s="157">
        <f>($E22+$E23)/(H22+H23)</f>
        <v>619.83019508248799</v>
      </c>
      <c r="J24" s="61"/>
    </row>
    <row r="25" spans="1:10" ht="30.75" customHeight="1" x14ac:dyDescent="0.3">
      <c r="A25" s="165" t="s">
        <v>173</v>
      </c>
      <c r="B25" s="163"/>
      <c r="C25" s="111"/>
      <c r="D25" s="115"/>
      <c r="E25" s="115"/>
      <c r="F25" s="155"/>
      <c r="G25" s="155"/>
      <c r="H25" s="155"/>
      <c r="I25" s="155"/>
      <c r="J25" s="164"/>
    </row>
    <row r="26" spans="1:10" x14ac:dyDescent="0.3">
      <c r="A26" s="146" t="s">
        <v>110</v>
      </c>
      <c r="B26" s="147" t="s">
        <v>111</v>
      </c>
      <c r="C26" s="148" t="s">
        <v>112</v>
      </c>
      <c r="D26" s="121"/>
      <c r="E26" s="121"/>
      <c r="F26" s="121"/>
      <c r="G26" s="121"/>
      <c r="H26" s="121"/>
      <c r="I26" s="121"/>
      <c r="J26" s="121"/>
    </row>
    <row r="27" spans="1:10" x14ac:dyDescent="0.3">
      <c r="A27" s="45" t="s">
        <v>166</v>
      </c>
      <c r="B27" s="14">
        <v>40</v>
      </c>
      <c r="C27" s="57" t="s">
        <v>167</v>
      </c>
    </row>
    <row r="28" spans="1:10" x14ac:dyDescent="0.3">
      <c r="A28" s="45" t="s">
        <v>168</v>
      </c>
      <c r="B28" s="14">
        <v>500</v>
      </c>
      <c r="C28" s="57" t="s">
        <v>167</v>
      </c>
    </row>
    <row r="29" spans="1:10" ht="28.8" x14ac:dyDescent="0.3">
      <c r="A29" s="45" t="s">
        <v>169</v>
      </c>
      <c r="B29" s="15">
        <f>B27*0.03</f>
        <v>1.2</v>
      </c>
      <c r="C29" s="57" t="s">
        <v>190</v>
      </c>
    </row>
    <row r="30" spans="1:10" ht="28.8" x14ac:dyDescent="0.3">
      <c r="A30" s="45" t="s">
        <v>170</v>
      </c>
      <c r="B30" s="15">
        <f>B27*0.05</f>
        <v>2</v>
      </c>
      <c r="C30" s="57" t="s">
        <v>190</v>
      </c>
    </row>
    <row r="31" spans="1:10" x14ac:dyDescent="0.3">
      <c r="A31" s="144" t="s">
        <v>171</v>
      </c>
      <c r="B31" s="17">
        <f>C23+B23+B22</f>
        <v>6585001.7454485595</v>
      </c>
      <c r="C31" s="57"/>
    </row>
    <row r="32" spans="1:10" ht="28.8" x14ac:dyDescent="0.3">
      <c r="A32" s="145" t="s">
        <v>172</v>
      </c>
      <c r="B32" s="17">
        <f>E23+E22</f>
        <v>2169405.6827887078</v>
      </c>
      <c r="C32" s="53"/>
    </row>
    <row r="33" spans="1:5" ht="28.5" customHeight="1" x14ac:dyDescent="0.3">
      <c r="A33" s="166" t="s">
        <v>174</v>
      </c>
      <c r="B33" s="121"/>
      <c r="C33" s="154"/>
      <c r="D33" s="111"/>
    </row>
    <row r="34" spans="1:5" ht="57.6" x14ac:dyDescent="0.3">
      <c r="A34" s="104" t="s">
        <v>175</v>
      </c>
      <c r="B34" s="105" t="s">
        <v>176</v>
      </c>
      <c r="C34" s="105" t="s">
        <v>184</v>
      </c>
      <c r="D34" s="105" t="s">
        <v>185</v>
      </c>
      <c r="E34" s="106" t="s">
        <v>164</v>
      </c>
    </row>
    <row r="35" spans="1:5" x14ac:dyDescent="0.3">
      <c r="A35" s="56" t="s">
        <v>177</v>
      </c>
      <c r="B35" s="34">
        <v>0.42</v>
      </c>
      <c r="C35" s="35">
        <f t="shared" ref="C35:C40" si="0">B35*$F$22</f>
        <v>75.599999999999994</v>
      </c>
      <c r="D35" s="35">
        <f t="shared" ref="D35:D40" si="1">B35*$F$23</f>
        <v>42</v>
      </c>
      <c r="E35" s="149">
        <f>C35+D35</f>
        <v>117.6</v>
      </c>
    </row>
    <row r="36" spans="1:5" x14ac:dyDescent="0.3">
      <c r="A36" s="56" t="s">
        <v>178</v>
      </c>
      <c r="B36" s="34">
        <v>0.22</v>
      </c>
      <c r="C36" s="35">
        <f t="shared" si="0"/>
        <v>39.6</v>
      </c>
      <c r="D36" s="35">
        <f t="shared" si="1"/>
        <v>22</v>
      </c>
      <c r="E36" s="149">
        <f t="shared" ref="E36:E40" si="2">C36+D36</f>
        <v>61.6</v>
      </c>
    </row>
    <row r="37" spans="1:5" x14ac:dyDescent="0.3">
      <c r="A37" s="56" t="s">
        <v>179</v>
      </c>
      <c r="B37" s="34">
        <v>0.2</v>
      </c>
      <c r="C37" s="35">
        <f t="shared" si="0"/>
        <v>36</v>
      </c>
      <c r="D37" s="35">
        <f t="shared" si="1"/>
        <v>20</v>
      </c>
      <c r="E37" s="149">
        <f t="shared" si="2"/>
        <v>56</v>
      </c>
    </row>
    <row r="38" spans="1:5" x14ac:dyDescent="0.3">
      <c r="A38" s="56" t="s">
        <v>180</v>
      </c>
      <c r="B38" s="34">
        <v>0.12</v>
      </c>
      <c r="C38" s="35">
        <f t="shared" si="0"/>
        <v>21.599999999999998</v>
      </c>
      <c r="D38" s="35">
        <f t="shared" si="1"/>
        <v>12</v>
      </c>
      <c r="E38" s="149">
        <f t="shared" si="2"/>
        <v>33.599999999999994</v>
      </c>
    </row>
    <row r="39" spans="1:5" x14ac:dyDescent="0.3">
      <c r="A39" s="56" t="s">
        <v>181</v>
      </c>
      <c r="B39" s="34">
        <v>0.03</v>
      </c>
      <c r="C39" s="35">
        <f t="shared" si="0"/>
        <v>5.3999999999999995</v>
      </c>
      <c r="D39" s="35">
        <f t="shared" si="1"/>
        <v>3</v>
      </c>
      <c r="E39" s="149">
        <f t="shared" si="2"/>
        <v>8.3999999999999986</v>
      </c>
    </row>
    <row r="40" spans="1:5" s="121" customFormat="1" x14ac:dyDescent="0.3">
      <c r="A40" s="56" t="s">
        <v>182</v>
      </c>
      <c r="B40" s="34">
        <v>0.01</v>
      </c>
      <c r="C40" s="35">
        <f t="shared" si="0"/>
        <v>1.8</v>
      </c>
      <c r="D40" s="35">
        <f t="shared" si="1"/>
        <v>1</v>
      </c>
      <c r="E40" s="149">
        <f t="shared" si="2"/>
        <v>2.8</v>
      </c>
    </row>
    <row r="41" spans="1:5" s="121" customFormat="1" x14ac:dyDescent="0.3">
      <c r="A41" s="150" t="s">
        <v>183</v>
      </c>
      <c r="B41" s="151" t="s">
        <v>186</v>
      </c>
      <c r="C41" s="102">
        <f>SUM(C35:C40)</f>
        <v>180</v>
      </c>
      <c r="D41" s="102">
        <f>SUM(D35:D40)</f>
        <v>100</v>
      </c>
      <c r="E41" s="97">
        <f>SUM(E35:E40)</f>
        <v>279.99999999999994</v>
      </c>
    </row>
    <row r="42" spans="1:5" s="121" customFormat="1" ht="31.5" customHeight="1" x14ac:dyDescent="0.3">
      <c r="A42" s="123" t="s">
        <v>91</v>
      </c>
      <c r="B42" s="119"/>
      <c r="C42" s="120"/>
      <c r="D42" s="120"/>
      <c r="E42" s="120"/>
    </row>
    <row r="43" spans="1:5" ht="28.8" x14ac:dyDescent="0.3">
      <c r="A43" s="104" t="s">
        <v>113</v>
      </c>
      <c r="B43" s="105" t="s">
        <v>114</v>
      </c>
      <c r="C43" s="105" t="s">
        <v>115</v>
      </c>
      <c r="D43" s="105" t="s">
        <v>116</v>
      </c>
      <c r="E43" s="106" t="s">
        <v>117</v>
      </c>
    </row>
    <row r="44" spans="1:5" ht="28.8" x14ac:dyDescent="0.3">
      <c r="A44" s="80" t="s">
        <v>118</v>
      </c>
      <c r="B44" s="36">
        <f>'2nd_Impacts'!B13</f>
        <v>36.81</v>
      </c>
      <c r="C44" s="37">
        <f>'2nd_Impacts'!C13</f>
        <v>2230.9068600000005</v>
      </c>
      <c r="D44" s="36">
        <f>'2nd_Impacts'!D13</f>
        <v>1.2965954400000004</v>
      </c>
      <c r="E44" s="107">
        <f>'2nd_Impacts'!E13</f>
        <v>5.9109498</v>
      </c>
    </row>
    <row r="45" spans="1:5" ht="28.8" x14ac:dyDescent="0.3">
      <c r="A45" s="80" t="s">
        <v>95</v>
      </c>
      <c r="B45" s="36">
        <f>'2nd_Impacts'!B14</f>
        <v>54.429999999999993</v>
      </c>
      <c r="C45" s="37">
        <f>'2nd_Impacts'!C14</f>
        <v>3298.7845799999996</v>
      </c>
      <c r="D45" s="36">
        <f>'2nd_Impacts'!D14</f>
        <v>1.9172423200000002</v>
      </c>
      <c r="E45" s="107">
        <f>'2nd_Impacts'!E14</f>
        <v>8.7403693999999987</v>
      </c>
    </row>
    <row r="46" spans="1:5" x14ac:dyDescent="0.3">
      <c r="A46" s="54" t="s">
        <v>164</v>
      </c>
      <c r="B46" s="108">
        <f>SUM(B44:B45)</f>
        <v>91.24</v>
      </c>
      <c r="C46" s="109">
        <f t="shared" ref="C46:E46" si="3">SUM(C44:C45)</f>
        <v>5529.6914400000005</v>
      </c>
      <c r="D46" s="108">
        <f t="shared" si="3"/>
        <v>3.2138377600000005</v>
      </c>
      <c r="E46" s="110">
        <f t="shared" si="3"/>
        <v>14.6513192</v>
      </c>
    </row>
  </sheetData>
  <pageMargins left="0.7" right="0.7" top="0.75" bottom="0.75" header="0.3" footer="0.3"/>
  <pageSetup scale="53" fitToHeight="0" orientation="landscape" horizontalDpi="360" verticalDpi="360" r:id="rId1"/>
  <headerFooter>
    <oddFooter>&amp;CPage &amp;P of &amp;N</oddFooter>
  </headerFooter>
  <rowBreaks count="1" manualBreakCount="1">
    <brk id="41" max="16383" man="1"/>
  </rowBreaks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Assumptions</vt:lpstr>
      <vt:lpstr>MonitoringOptCosts</vt:lpstr>
      <vt:lpstr>ElectronicReporting</vt:lpstr>
      <vt:lpstr>2nd_Impacts</vt:lpstr>
      <vt:lpstr>NationalCosts</vt:lpstr>
      <vt:lpstr>'2nd_Impacts'!Print_Area</vt:lpstr>
      <vt:lpstr>Assumptions!Print_Area</vt:lpstr>
      <vt:lpstr>ElectronicReporting!Print_Area</vt:lpstr>
      <vt:lpstr>MonitoringOptCosts!Print_Area</vt:lpstr>
      <vt:lpstr>NationalCosts!Print_Area</vt:lpstr>
      <vt:lpstr>'2nd_Impacts'!Print_Titles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Flare Monitoring Option Costs 2023</dc:title>
  <dc:creator>Clemens, Fallon</dc:creator>
  <cp:lastModifiedBy>Clemens, Fallon</cp:lastModifiedBy>
  <cp:lastPrinted>2025-10-28T18:38:42Z</cp:lastPrinted>
  <dcterms:created xsi:type="dcterms:W3CDTF">2025-10-22T19:47:57Z</dcterms:created>
  <dcterms:modified xsi:type="dcterms:W3CDTF">2026-01-13T20:38:05Z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nguage">
    <vt:lpwstr>EN</vt:lpwstr>
  </property>
</Properties>
</file>