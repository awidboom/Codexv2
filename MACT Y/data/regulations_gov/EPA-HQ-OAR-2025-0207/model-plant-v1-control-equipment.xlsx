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rtifile02\ehe\Projects\0217382-EPA_MME\0217382.050-Ref-Dist-Tanks\Technical_Record\MVL\Proposal Docket\"/>
    </mc:Choice>
  </mc:AlternateContent>
  <xr:revisionPtr revIDLastSave="0" documentId="8_{CC5482C2-005B-47A5-9EC9-43CB9298504F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100000MP" sheetId="10" r:id="rId1"/>
    <sheet name="500000MP" sheetId="5" r:id="rId2"/>
    <sheet name="5000000MP " sheetId="11" r:id="rId3"/>
    <sheet name="Loading Loss" sheetId="3" r:id="rId4"/>
    <sheet name="Fuel Composition" sheetId="2" r:id="rId5"/>
    <sheet name="50000MP" sheetId="1" state="hidden" r:id="rId6"/>
    <sheet name="25000000MP" sheetId="7" state="hidden" r:id="rId7"/>
    <sheet name="Assumptions" sheetId="9" r:id="rId8"/>
    <sheet name="Sheet1" sheetId="8" state="hidden" r:id="rId9"/>
  </sheets>
  <definedNames>
    <definedName name="Average_CE" localSheetId="0">'100000MP'!$B$26</definedName>
    <definedName name="Average_CE" localSheetId="2">'5000000MP '!$B$15</definedName>
    <definedName name="Average_CE">'500000MP'!$B$16</definedName>
    <definedName name="VOC_Credit" localSheetId="0">'100000MP'!#REF!</definedName>
    <definedName name="VOC_Credit" localSheetId="2">'5000000MP '!$B$16</definedName>
    <definedName name="VOC_Credit">'500000MP'!$B$17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0" l="1"/>
  <c r="H32" i="10"/>
  <c r="F16" i="3"/>
  <c r="I19" i="3" s="1"/>
  <c r="J19" i="3" l="1"/>
  <c r="H19" i="3"/>
  <c r="H20" i="3" s="1"/>
  <c r="C33" i="11" l="1"/>
  <c r="C32" i="11"/>
  <c r="N32" i="11"/>
  <c r="B32" i="11"/>
  <c r="K3" i="5" l="1"/>
  <c r="K3" i="10" l="1"/>
  <c r="B33" i="11" l="1"/>
  <c r="M32" i="11"/>
  <c r="N33" i="11" l="1"/>
  <c r="M33" i="11"/>
  <c r="C19" i="11" l="1"/>
  <c r="C21" i="11" s="1"/>
  <c r="F19" i="11" l="1"/>
  <c r="F21" i="11" s="1"/>
  <c r="D19" i="11" l="1"/>
  <c r="E19" i="11" s="1"/>
  <c r="B20" i="5"/>
  <c r="B19" i="10"/>
  <c r="O44" i="10" l="1"/>
  <c r="O43" i="10"/>
  <c r="O32" i="10" s="1"/>
  <c r="P32" i="10" s="1"/>
  <c r="O44" i="5"/>
  <c r="O43" i="5"/>
  <c r="O33" i="5" s="1"/>
  <c r="P33" i="5" s="1"/>
  <c r="O43" i="11"/>
  <c r="O33" i="11" s="1"/>
  <c r="P33" i="11" s="1"/>
  <c r="E43" i="11"/>
  <c r="O44" i="11"/>
  <c r="O31" i="10" l="1"/>
  <c r="P31" i="10" s="1"/>
  <c r="O32" i="5"/>
  <c r="P32" i="5" s="1"/>
  <c r="O32" i="11"/>
  <c r="P32" i="11" s="1"/>
  <c r="D33" i="11"/>
  <c r="E33" i="11" s="1"/>
  <c r="D32" i="11"/>
  <c r="E32" i="11" s="1"/>
  <c r="E44" i="11"/>
  <c r="E44" i="10"/>
  <c r="E43" i="10"/>
  <c r="D31" i="10" s="1"/>
  <c r="E31" i="10" s="1"/>
  <c r="E44" i="5"/>
  <c r="E43" i="5"/>
  <c r="D33" i="5" s="1"/>
  <c r="E33" i="5" s="1"/>
  <c r="D32" i="10" l="1"/>
  <c r="E32" i="10" s="1"/>
  <c r="D32" i="5"/>
  <c r="E32" i="5" s="1"/>
  <c r="J9" i="3"/>
  <c r="J7" i="3"/>
  <c r="B22" i="5" l="1"/>
  <c r="B21" i="10"/>
  <c r="A19" i="10"/>
  <c r="A21" i="10" s="1"/>
  <c r="A20" i="5" l="1"/>
  <c r="A22" i="5" s="1"/>
  <c r="K3" i="11" l="1"/>
  <c r="A19" i="11" s="1"/>
  <c r="B19" i="11" s="1"/>
  <c r="J5" i="11"/>
  <c r="I12" i="11" s="1"/>
  <c r="I5" i="11"/>
  <c r="H5" i="11"/>
  <c r="G5" i="11"/>
  <c r="F5" i="11"/>
  <c r="N12" i="11" s="1"/>
  <c r="E5" i="11"/>
  <c r="D5" i="11"/>
  <c r="C5" i="11"/>
  <c r="J4" i="11"/>
  <c r="I11" i="11" s="1"/>
  <c r="I4" i="11"/>
  <c r="H4" i="11"/>
  <c r="G4" i="11"/>
  <c r="F4" i="11"/>
  <c r="E4" i="11"/>
  <c r="D4" i="11"/>
  <c r="M11" i="11" s="1"/>
  <c r="C4" i="11"/>
  <c r="M3" i="7"/>
  <c r="N3" i="7"/>
  <c r="M3" i="1"/>
  <c r="K12" i="11" l="1"/>
  <c r="J12" i="11"/>
  <c r="F6" i="11"/>
  <c r="C12" i="11"/>
  <c r="H6" i="11"/>
  <c r="G6" i="11"/>
  <c r="I6" i="11"/>
  <c r="E6" i="11"/>
  <c r="I13" i="11"/>
  <c r="M12" i="11"/>
  <c r="M13" i="11" s="1"/>
  <c r="F12" i="11"/>
  <c r="D11" i="11"/>
  <c r="N11" i="11"/>
  <c r="N13" i="11" s="1"/>
  <c r="K11" i="11"/>
  <c r="O12" i="11"/>
  <c r="C6" i="11"/>
  <c r="G11" i="11"/>
  <c r="D12" i="11"/>
  <c r="D6" i="11"/>
  <c r="A26" i="11" s="1"/>
  <c r="B26" i="11" s="1"/>
  <c r="H11" i="11"/>
  <c r="E12" i="11"/>
  <c r="B11" i="11"/>
  <c r="O11" i="11"/>
  <c r="K5" i="11"/>
  <c r="F11" i="11"/>
  <c r="J11" i="11"/>
  <c r="J13" i="11" s="1"/>
  <c r="G12" i="11"/>
  <c r="J6" i="11"/>
  <c r="C11" i="11"/>
  <c r="B12" i="11"/>
  <c r="K4" i="11"/>
  <c r="H12" i="11"/>
  <c r="L12" i="11"/>
  <c r="E11" i="11"/>
  <c r="L11" i="11"/>
  <c r="J5" i="10"/>
  <c r="I5" i="10"/>
  <c r="H5" i="10"/>
  <c r="G5" i="10"/>
  <c r="D12" i="10" s="1"/>
  <c r="F5" i="10"/>
  <c r="N12" i="10" s="1"/>
  <c r="E5" i="10"/>
  <c r="D5" i="10"/>
  <c r="M12" i="10" s="1"/>
  <c r="C5" i="10"/>
  <c r="J4" i="10"/>
  <c r="I11" i="10" s="1"/>
  <c r="I4" i="10"/>
  <c r="H4" i="10"/>
  <c r="G4" i="10"/>
  <c r="D11" i="10" s="1"/>
  <c r="F4" i="10"/>
  <c r="N11" i="10" s="1"/>
  <c r="E4" i="10"/>
  <c r="D4" i="10"/>
  <c r="E11" i="10" s="1"/>
  <c r="C4" i="10"/>
  <c r="D26" i="11" l="1"/>
  <c r="F32" i="11"/>
  <c r="G32" i="11" s="1"/>
  <c r="C13" i="11"/>
  <c r="K13" i="11"/>
  <c r="C12" i="10"/>
  <c r="H6" i="10"/>
  <c r="K12" i="10"/>
  <c r="I6" i="10"/>
  <c r="E6" i="10"/>
  <c r="F6" i="10"/>
  <c r="D13" i="11"/>
  <c r="G13" i="11"/>
  <c r="F13" i="11"/>
  <c r="O13" i="11"/>
  <c r="H13" i="11"/>
  <c r="P11" i="11"/>
  <c r="B13" i="11"/>
  <c r="K6" i="11"/>
  <c r="D7" i="11" s="1"/>
  <c r="L13" i="11"/>
  <c r="P12" i="11"/>
  <c r="E13" i="11"/>
  <c r="G11" i="10"/>
  <c r="D13" i="10"/>
  <c r="N13" i="10"/>
  <c r="M11" i="10"/>
  <c r="M13" i="10" s="1"/>
  <c r="E12" i="10"/>
  <c r="E13" i="10" s="1"/>
  <c r="B12" i="10"/>
  <c r="F12" i="10"/>
  <c r="O11" i="10"/>
  <c r="D6" i="10"/>
  <c r="A25" i="10" s="1"/>
  <c r="K5" i="10"/>
  <c r="K11" i="10"/>
  <c r="C6" i="10"/>
  <c r="O12" i="10"/>
  <c r="H11" i="10"/>
  <c r="J11" i="10"/>
  <c r="G12" i="10"/>
  <c r="H12" i="10"/>
  <c r="L11" i="10"/>
  <c r="I12" i="10"/>
  <c r="I13" i="10" s="1"/>
  <c r="J12" i="10"/>
  <c r="J6" i="10"/>
  <c r="B11" i="10"/>
  <c r="C11" i="10"/>
  <c r="L12" i="10"/>
  <c r="F11" i="10"/>
  <c r="K4" i="10"/>
  <c r="G6" i="10"/>
  <c r="C25" i="10" l="1"/>
  <c r="F31" i="10"/>
  <c r="G31" i="10" s="1"/>
  <c r="K13" i="10"/>
  <c r="C13" i="10"/>
  <c r="G13" i="10"/>
  <c r="O13" i="10"/>
  <c r="P13" i="11"/>
  <c r="J7" i="11"/>
  <c r="F33" i="11"/>
  <c r="G33" i="11" s="1"/>
  <c r="E7" i="11"/>
  <c r="G7" i="11"/>
  <c r="H7" i="11"/>
  <c r="F7" i="11"/>
  <c r="I7" i="11"/>
  <c r="C7" i="11"/>
  <c r="F13" i="10"/>
  <c r="L13" i="10"/>
  <c r="P12" i="10"/>
  <c r="H13" i="10"/>
  <c r="J13" i="10"/>
  <c r="K6" i="10"/>
  <c r="B13" i="10"/>
  <c r="P11" i="10"/>
  <c r="H32" i="11" l="1"/>
  <c r="Q32" i="11" s="1"/>
  <c r="R32" i="11" s="1"/>
  <c r="J7" i="10"/>
  <c r="F32" i="10"/>
  <c r="G32" i="10" s="1"/>
  <c r="P13" i="10"/>
  <c r="H33" i="11"/>
  <c r="Q33" i="11" s="1"/>
  <c r="K7" i="11"/>
  <c r="G7" i="10"/>
  <c r="D7" i="10"/>
  <c r="F7" i="10"/>
  <c r="E7" i="10"/>
  <c r="C7" i="10"/>
  <c r="H7" i="10"/>
  <c r="I7" i="10"/>
  <c r="R33" i="11" l="1"/>
  <c r="S33" i="11"/>
  <c r="I32" i="11"/>
  <c r="I33" i="11"/>
  <c r="J33" i="11"/>
  <c r="Q32" i="10"/>
  <c r="K7" i="10"/>
  <c r="Q31" i="10" l="1"/>
  <c r="R31" i="10" s="1"/>
  <c r="I31" i="10"/>
  <c r="R32" i="10"/>
  <c r="I32" i="10"/>
  <c r="J32" i="10"/>
  <c r="O16" i="1"/>
  <c r="N16" i="1"/>
  <c r="M16" i="1"/>
  <c r="L16" i="1"/>
  <c r="O15" i="1"/>
  <c r="O17" i="1" s="1"/>
  <c r="N15" i="1"/>
  <c r="N17" i="1" s="1"/>
  <c r="M15" i="1"/>
  <c r="M17" i="1" s="1"/>
  <c r="L15" i="1"/>
  <c r="L17" i="1" s="1"/>
  <c r="I17" i="1"/>
  <c r="G17" i="1"/>
  <c r="C30" i="1"/>
  <c r="C29" i="1"/>
  <c r="C28" i="1"/>
  <c r="J30" i="1"/>
  <c r="J29" i="1"/>
  <c r="J28" i="1"/>
  <c r="S32" i="10" l="1"/>
  <c r="J25" i="7"/>
  <c r="N33" i="8" l="1"/>
  <c r="N34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2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D25" i="8"/>
  <c r="B26" i="8"/>
  <c r="T8" i="3"/>
  <c r="T9" i="3"/>
  <c r="T10" i="3"/>
  <c r="T7" i="3"/>
  <c r="V136" i="2"/>
  <c r="V137" i="2"/>
  <c r="V138" i="2"/>
  <c r="V139" i="2"/>
  <c r="V140" i="2"/>
  <c r="V141" i="2"/>
  <c r="V142" i="2"/>
  <c r="V143" i="2"/>
  <c r="V144" i="2"/>
  <c r="V145" i="2"/>
  <c r="V146" i="2"/>
  <c r="V135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10" i="2"/>
  <c r="V88" i="2"/>
  <c r="V89" i="2"/>
  <c r="V90" i="2"/>
  <c r="V91" i="2"/>
  <c r="V92" i="2"/>
  <c r="V93" i="2"/>
  <c r="V94" i="2"/>
  <c r="V95" i="2"/>
  <c r="V96" i="2"/>
  <c r="V97" i="2"/>
  <c r="V98" i="2"/>
  <c r="V87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61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6" i="2"/>
  <c r="C25" i="7" l="1"/>
  <c r="R30" i="1"/>
  <c r="R31" i="1"/>
  <c r="R32" i="1"/>
  <c r="R37" i="1"/>
  <c r="R38" i="1"/>
  <c r="R29" i="1"/>
  <c r="O24" i="3"/>
  <c r="O4" i="3"/>
  <c r="O5" i="3"/>
  <c r="O6" i="3"/>
  <c r="O7" i="3"/>
  <c r="O8" i="3"/>
  <c r="O9" i="3"/>
  <c r="O10" i="3"/>
  <c r="O3" i="3"/>
  <c r="K3" i="7" l="1"/>
  <c r="J5" i="7"/>
  <c r="I5" i="7"/>
  <c r="H5" i="7"/>
  <c r="G5" i="7"/>
  <c r="D12" i="7" s="1"/>
  <c r="F5" i="7"/>
  <c r="N12" i="7" s="1"/>
  <c r="E5" i="7"/>
  <c r="D5" i="7"/>
  <c r="C5" i="7"/>
  <c r="J4" i="7"/>
  <c r="I4" i="7"/>
  <c r="H4" i="7"/>
  <c r="G4" i="7"/>
  <c r="F4" i="7"/>
  <c r="E4" i="7"/>
  <c r="D4" i="7"/>
  <c r="C4" i="7"/>
  <c r="J5" i="5"/>
  <c r="J4" i="5"/>
  <c r="I5" i="5"/>
  <c r="I4" i="5"/>
  <c r="H5" i="5"/>
  <c r="H4" i="5"/>
  <c r="G5" i="5"/>
  <c r="D12" i="5" s="1"/>
  <c r="G4" i="5"/>
  <c r="F4" i="1"/>
  <c r="F5" i="5"/>
  <c r="N12" i="5" s="1"/>
  <c r="F4" i="5"/>
  <c r="E4" i="5"/>
  <c r="D5" i="5"/>
  <c r="D4" i="5"/>
  <c r="C5" i="5"/>
  <c r="C4" i="5"/>
  <c r="E5" i="5"/>
  <c r="G4" i="1"/>
  <c r="J5" i="1"/>
  <c r="I12" i="1" s="1"/>
  <c r="J4" i="1"/>
  <c r="I5" i="1"/>
  <c r="I4" i="1"/>
  <c r="H5" i="1"/>
  <c r="H4" i="1"/>
  <c r="G5" i="1"/>
  <c r="D12" i="1" s="1"/>
  <c r="F5" i="1"/>
  <c r="N12" i="1" s="1"/>
  <c r="E5" i="1"/>
  <c r="E4" i="1"/>
  <c r="E6" i="1" s="1"/>
  <c r="C5" i="1"/>
  <c r="C4" i="1"/>
  <c r="D5" i="1"/>
  <c r="E16" i="1" s="1"/>
  <c r="D4" i="1"/>
  <c r="E15" i="1" s="1"/>
  <c r="E17" i="1" l="1"/>
  <c r="E6" i="7"/>
  <c r="J16" i="1"/>
  <c r="C16" i="1"/>
  <c r="B16" i="1"/>
  <c r="F16" i="1"/>
  <c r="H16" i="1"/>
  <c r="K16" i="1"/>
  <c r="K17" i="1" s="1"/>
  <c r="B15" i="1"/>
  <c r="F15" i="1"/>
  <c r="J15" i="1"/>
  <c r="J17" i="1" s="1"/>
  <c r="C15" i="1"/>
  <c r="C17" i="1" s="1"/>
  <c r="H15" i="1"/>
  <c r="K15" i="1"/>
  <c r="K4" i="5"/>
  <c r="I6" i="1"/>
  <c r="H6" i="5"/>
  <c r="I6" i="5"/>
  <c r="E6" i="5"/>
  <c r="H12" i="1"/>
  <c r="J6" i="5"/>
  <c r="J11" i="7"/>
  <c r="D6" i="7"/>
  <c r="D11" i="7"/>
  <c r="D13" i="7" s="1"/>
  <c r="G6" i="7"/>
  <c r="N11" i="5"/>
  <c r="N13" i="5" s="1"/>
  <c r="F6" i="5"/>
  <c r="H6" i="7"/>
  <c r="H6" i="1"/>
  <c r="N11" i="7"/>
  <c r="N13" i="7" s="1"/>
  <c r="F6" i="7"/>
  <c r="I6" i="7"/>
  <c r="B11" i="7"/>
  <c r="J6" i="7"/>
  <c r="C11" i="7"/>
  <c r="L11" i="5"/>
  <c r="D6" i="5"/>
  <c r="A26" i="5" s="1"/>
  <c r="B12" i="7"/>
  <c r="K11" i="7"/>
  <c r="J12" i="7"/>
  <c r="L12" i="7"/>
  <c r="O12" i="5"/>
  <c r="D6" i="1"/>
  <c r="D11" i="5"/>
  <c r="D13" i="5" s="1"/>
  <c r="G6" i="5"/>
  <c r="K11" i="5"/>
  <c r="C6" i="5"/>
  <c r="C6" i="7"/>
  <c r="K12" i="7"/>
  <c r="O12" i="7"/>
  <c r="F11" i="7"/>
  <c r="C12" i="7"/>
  <c r="F12" i="7"/>
  <c r="O11" i="7"/>
  <c r="H11" i="7"/>
  <c r="H12" i="7"/>
  <c r="L11" i="7"/>
  <c r="O11" i="5"/>
  <c r="B11" i="5"/>
  <c r="C11" i="5"/>
  <c r="F11" i="5"/>
  <c r="H11" i="5"/>
  <c r="J11" i="5"/>
  <c r="C12" i="5"/>
  <c r="N11" i="1"/>
  <c r="N13" i="1" s="1"/>
  <c r="F6" i="1"/>
  <c r="F12" i="1"/>
  <c r="K11" i="1"/>
  <c r="C6" i="1"/>
  <c r="D11" i="1"/>
  <c r="D13" i="1" s="1"/>
  <c r="G6" i="1"/>
  <c r="I11" i="1"/>
  <c r="I13" i="1" s="1"/>
  <c r="J6" i="1"/>
  <c r="H11" i="1"/>
  <c r="J12" i="1"/>
  <c r="F12" i="5"/>
  <c r="H12" i="5"/>
  <c r="B11" i="1"/>
  <c r="K12" i="1"/>
  <c r="O12" i="1"/>
  <c r="J11" i="1"/>
  <c r="B12" i="1"/>
  <c r="L11" i="1"/>
  <c r="J12" i="5"/>
  <c r="K5" i="5"/>
  <c r="C11" i="1"/>
  <c r="O11" i="1"/>
  <c r="C12" i="1"/>
  <c r="K12" i="5"/>
  <c r="L12" i="1"/>
  <c r="F11" i="1"/>
  <c r="F13" i="1" s="1"/>
  <c r="B12" i="5"/>
  <c r="L12" i="5"/>
  <c r="K4" i="7"/>
  <c r="M11" i="7"/>
  <c r="E11" i="7"/>
  <c r="I11" i="7"/>
  <c r="G11" i="7"/>
  <c r="K5" i="7"/>
  <c r="M12" i="7"/>
  <c r="E12" i="7"/>
  <c r="I12" i="7"/>
  <c r="G12" i="7"/>
  <c r="M11" i="5"/>
  <c r="E11" i="5"/>
  <c r="M12" i="5"/>
  <c r="E12" i="5"/>
  <c r="I11" i="5"/>
  <c r="G11" i="5"/>
  <c r="I12" i="5"/>
  <c r="G12" i="5"/>
  <c r="M11" i="1"/>
  <c r="M12" i="1"/>
  <c r="G11" i="1"/>
  <c r="G12" i="1"/>
  <c r="E11" i="1"/>
  <c r="E12" i="1"/>
  <c r="K4" i="1"/>
  <c r="K5" i="1"/>
  <c r="H17" i="1" l="1"/>
  <c r="H13" i="1"/>
  <c r="F17" i="1"/>
  <c r="L13" i="7"/>
  <c r="B17" i="1"/>
  <c r="P17" i="1" s="1"/>
  <c r="P15" i="1"/>
  <c r="F32" i="5"/>
  <c r="G32" i="5" s="1"/>
  <c r="C26" i="5"/>
  <c r="P16" i="1"/>
  <c r="K6" i="5"/>
  <c r="C7" i="5" s="1"/>
  <c r="F13" i="5"/>
  <c r="K13" i="5"/>
  <c r="K13" i="7"/>
  <c r="L13" i="1"/>
  <c r="J13" i="1"/>
  <c r="O13" i="5"/>
  <c r="L13" i="5"/>
  <c r="E13" i="7"/>
  <c r="C13" i="7"/>
  <c r="I13" i="7"/>
  <c r="O13" i="7"/>
  <c r="B13" i="7"/>
  <c r="M13" i="5"/>
  <c r="K6" i="7"/>
  <c r="B13" i="5"/>
  <c r="K6" i="1"/>
  <c r="J13" i="7"/>
  <c r="H13" i="5"/>
  <c r="C13" i="5"/>
  <c r="G13" i="7"/>
  <c r="H13" i="7"/>
  <c r="M13" i="7"/>
  <c r="F13" i="7"/>
  <c r="J13" i="5"/>
  <c r="G13" i="5"/>
  <c r="I13" i="5"/>
  <c r="E13" i="5"/>
  <c r="K13" i="1"/>
  <c r="O13" i="1"/>
  <c r="C13" i="1"/>
  <c r="M13" i="1"/>
  <c r="P12" i="1"/>
  <c r="E13" i="1"/>
  <c r="P11" i="1"/>
  <c r="B13" i="1"/>
  <c r="G13" i="1"/>
  <c r="P12" i="7"/>
  <c r="P11" i="7"/>
  <c r="P12" i="5"/>
  <c r="P11" i="5"/>
  <c r="J7" i="1" l="1"/>
  <c r="Q35" i="1" s="1"/>
  <c r="R35" i="1" s="1"/>
  <c r="M6" i="1"/>
  <c r="E7" i="7"/>
  <c r="P30" i="7" s="1"/>
  <c r="Q30" i="7" s="1"/>
  <c r="M6" i="7"/>
  <c r="H7" i="1"/>
  <c r="F33" i="5"/>
  <c r="G33" i="5" s="1"/>
  <c r="C7" i="7"/>
  <c r="P37" i="7" s="1"/>
  <c r="Q37" i="7" s="1"/>
  <c r="F7" i="7"/>
  <c r="P31" i="7" s="1"/>
  <c r="Q31" i="7" s="1"/>
  <c r="F7" i="1"/>
  <c r="C7" i="1"/>
  <c r="D7" i="1"/>
  <c r="G7" i="1"/>
  <c r="D7" i="7"/>
  <c r="P38" i="7" s="1"/>
  <c r="Q38" i="7" s="1"/>
  <c r="P13" i="5"/>
  <c r="B14" i="5" s="1"/>
  <c r="Q36" i="1"/>
  <c r="R36" i="1" s="1"/>
  <c r="I7" i="7"/>
  <c r="P33" i="7" s="1"/>
  <c r="G7" i="7"/>
  <c r="P32" i="7" s="1"/>
  <c r="Q32" i="7" s="1"/>
  <c r="I7" i="5"/>
  <c r="E7" i="5"/>
  <c r="H7" i="5"/>
  <c r="F7" i="5"/>
  <c r="J7" i="7"/>
  <c r="P35" i="7" s="1"/>
  <c r="J7" i="5"/>
  <c r="H7" i="7"/>
  <c r="P29" i="7" s="1"/>
  <c r="Q29" i="7" s="1"/>
  <c r="D7" i="5"/>
  <c r="E7" i="1"/>
  <c r="I7" i="1"/>
  <c r="Q33" i="1" s="1"/>
  <c r="G7" i="5"/>
  <c r="P13" i="7"/>
  <c r="P13" i="1"/>
  <c r="G14" i="5" l="1"/>
  <c r="I14" i="5"/>
  <c r="M14" i="5"/>
  <c r="N14" i="5"/>
  <c r="D14" i="5"/>
  <c r="E14" i="5"/>
  <c r="H14" i="5"/>
  <c r="L14" i="5"/>
  <c r="C14" i="5"/>
  <c r="J14" i="5"/>
  <c r="O14" i="5"/>
  <c r="F14" i="5"/>
  <c r="K14" i="5"/>
  <c r="L25" i="7"/>
  <c r="F25" i="7"/>
  <c r="H32" i="5"/>
  <c r="Q32" i="5" s="1"/>
  <c r="R32" i="5" s="1"/>
  <c r="H33" i="5"/>
  <c r="Q33" i="5" s="1"/>
  <c r="L28" i="1"/>
  <c r="K7" i="1"/>
  <c r="F28" i="1"/>
  <c r="P34" i="7"/>
  <c r="Q34" i="7" s="1"/>
  <c r="Q33" i="7"/>
  <c r="Q35" i="7"/>
  <c r="P36" i="7"/>
  <c r="Q36" i="7" s="1"/>
  <c r="K7" i="5"/>
  <c r="K7" i="7"/>
  <c r="Q34" i="1"/>
  <c r="R34" i="1" s="1"/>
  <c r="R33" i="1"/>
  <c r="Q39" i="7" l="1"/>
  <c r="R33" i="5"/>
  <c r="S33" i="5"/>
  <c r="I32" i="5"/>
  <c r="I33" i="5"/>
  <c r="J33" i="5"/>
  <c r="Q39" i="1"/>
  <c r="P39" i="7"/>
  <c r="R39" i="1"/>
</calcChain>
</file>

<file path=xl/sharedStrings.xml><?xml version="1.0" encoding="utf-8"?>
<sst xmlns="http://schemas.openxmlformats.org/spreadsheetml/2006/main" count="920" uniqueCount="290">
  <si>
    <t>Small Model Plant</t>
  </si>
  <si>
    <t>Crude Petroleum</t>
  </si>
  <si>
    <t>Gasoline</t>
  </si>
  <si>
    <t>Kerosene</t>
  </si>
  <si>
    <t>Distillate Fuel Oil</t>
  </si>
  <si>
    <t>Residual Fuel Oil</t>
  </si>
  <si>
    <t>Naphtha &amp; Solvents</t>
  </si>
  <si>
    <t>Benzene &amp; Toluene</t>
  </si>
  <si>
    <t>Alcohols</t>
  </si>
  <si>
    <t>Total</t>
  </si>
  <si>
    <t>Gallons Loaded (1000 gal/yr)</t>
  </si>
  <si>
    <t>VOC Loading Loss (TPY)</t>
  </si>
  <si>
    <t>Ships</t>
  </si>
  <si>
    <t>Barges</t>
  </si>
  <si>
    <t>Model Plant</t>
  </si>
  <si>
    <t>Percent of Total Loading Loss</t>
  </si>
  <si>
    <t>Small Model Plant Emissions</t>
  </si>
  <si>
    <t>Benzene (TPY)</t>
  </si>
  <si>
    <t>Biphenyl (TPY)</t>
  </si>
  <si>
    <t>Chlorine (TPY)</t>
  </si>
  <si>
    <t>Cumene (TPY)</t>
  </si>
  <si>
    <t>Ethylbenzene (TPY)</t>
  </si>
  <si>
    <t>Ethylene Glycol (TPY)</t>
  </si>
  <si>
    <t>Hexane (TPY)</t>
  </si>
  <si>
    <t>Methanol (TPY)</t>
  </si>
  <si>
    <t>Napthalene (TPY)</t>
  </si>
  <si>
    <t>Phenol (TPY)</t>
  </si>
  <si>
    <t>Toluene (TPY)</t>
  </si>
  <si>
    <t>2,2,4-Trimethyl-pentane (isooctane) (TPY)</t>
  </si>
  <si>
    <t>Styrene (TPY)</t>
  </si>
  <si>
    <t>Xylene (TPY)</t>
  </si>
  <si>
    <t>Total HAP (TPY)</t>
  </si>
  <si>
    <t>Average CE</t>
  </si>
  <si>
    <t>VOC Credit ($/ton)</t>
  </si>
  <si>
    <t>Hours Loading</t>
  </si>
  <si>
    <t>Hours Loading &gt;1.5 psia</t>
  </si>
  <si>
    <t>Total Hours Operating (1.1 factor of safety + 100 startup hours)</t>
  </si>
  <si>
    <t xml:space="preserve">lb VOC emitted /hr </t>
  </si>
  <si>
    <t>VOC Reduced (TPY)</t>
  </si>
  <si>
    <t>(based on gasoline)</t>
  </si>
  <si>
    <t>Carbon Adsorber</t>
  </si>
  <si>
    <t>Thermal Oxidizer</t>
  </si>
  <si>
    <t>Costs (2023 dollars)</t>
  </si>
  <si>
    <t>HAP Emission Reductions (tpy)</t>
  </si>
  <si>
    <t>HAP Cost Effectiveness ($/ton)</t>
  </si>
  <si>
    <t>Incremental HAP Cost Effectiveness ($/ton)</t>
  </si>
  <si>
    <t>Capital Costs</t>
  </si>
  <si>
    <t>Annual Operating Costs</t>
  </si>
  <si>
    <t>Annual Capital Recovery</t>
  </si>
  <si>
    <t>Total Annual Costs</t>
  </si>
  <si>
    <t>Solvent Recovery Credit</t>
  </si>
  <si>
    <t>Total Annual Costs with Credits</t>
  </si>
  <si>
    <t>Typical MTVLO Facility</t>
  </si>
  <si>
    <t>275 hrs (1.5 psia)</t>
  </si>
  <si>
    <t>650 hrs (no exemption)</t>
  </si>
  <si>
    <t>Assumptions:</t>
  </si>
  <si>
    <t>1. Loading Rate = 5000 bbl/hr</t>
  </si>
  <si>
    <t>2. Ships and Barges are loaded equally</t>
  </si>
  <si>
    <t>3. Up to 1 vessel can be loaded at once</t>
  </si>
  <si>
    <r>
      <t>= CRF</t>
    </r>
    <r>
      <rPr>
        <vertAlign val="subscript"/>
        <sz val="12"/>
        <rFont val="Aptos Narrow"/>
        <family val="2"/>
        <scheme val="minor"/>
      </rPr>
      <t>Adsorber</t>
    </r>
    <r>
      <rPr>
        <sz val="12"/>
        <rFont val="Aptos Narrow"/>
        <family val="2"/>
        <scheme val="minor"/>
      </rPr>
      <t xml:space="preserve"> × (TCI - [(1.08 x CC x M</t>
    </r>
    <r>
      <rPr>
        <vertAlign val="subscript"/>
        <sz val="12"/>
        <rFont val="Aptos Narrow"/>
        <family val="2"/>
        <scheme val="minor"/>
      </rPr>
      <t>c</t>
    </r>
    <r>
      <rPr>
        <sz val="12"/>
        <rFont val="Aptos Narrow"/>
        <family val="2"/>
        <scheme val="minor"/>
      </rPr>
      <t>) + (LR x M</t>
    </r>
    <r>
      <rPr>
        <vertAlign val="subscript"/>
        <sz val="12"/>
        <rFont val="Aptos Narrow"/>
        <family val="2"/>
        <scheme val="minor"/>
      </rPr>
      <t>c</t>
    </r>
    <r>
      <rPr>
        <sz val="12"/>
        <rFont val="Aptos Narrow"/>
        <family val="2"/>
        <scheme val="minor"/>
      </rPr>
      <t>/CRR)] =</t>
    </r>
  </si>
  <si>
    <t>=CRF x TCI</t>
  </si>
  <si>
    <t>CRF =</t>
  </si>
  <si>
    <t xml:space="preserve">Capital Recovery Factor for adsorber vessels and auxiliary equipment </t>
  </si>
  <si>
    <t xml:space="preserve">CRF = </t>
  </si>
  <si>
    <t xml:space="preserve">TCI = </t>
  </si>
  <si>
    <t>Total Capital Investment</t>
  </si>
  <si>
    <t xml:space="preserve">CC = </t>
  </si>
  <si>
    <t>Carbon Cost</t>
  </si>
  <si>
    <t>Interest Rate</t>
  </si>
  <si>
    <t xml:space="preserve">Mc = </t>
  </si>
  <si>
    <t>Carbon Consumption</t>
  </si>
  <si>
    <t xml:space="preserve">LR = </t>
  </si>
  <si>
    <t>Labor Rate</t>
  </si>
  <si>
    <t xml:space="preserve">CRR = </t>
  </si>
  <si>
    <t>(lb/hr) Carbon Replacement Rate</t>
  </si>
  <si>
    <t>Medium Model Plant</t>
  </si>
  <si>
    <t>Medium Model Plant Emissions</t>
  </si>
  <si>
    <t>Total Hours Loading</t>
  </si>
  <si>
    <t>1300 hrs (1.5 psia)</t>
  </si>
  <si>
    <t>2725 hrs (no exemption)</t>
  </si>
  <si>
    <t>TAC</t>
  </si>
  <si>
    <t>Large Model Plant</t>
  </si>
  <si>
    <t>Large Model Plant Emissions</t>
  </si>
  <si>
    <t>Vessels Loading Simultaneously</t>
  </si>
  <si>
    <t>Hours Loading Per Vessel</t>
  </si>
  <si>
    <t>Hours Loading Per Vessel &gt;1.5 psia</t>
  </si>
  <si>
    <t>lb VOC/hr</t>
  </si>
  <si>
    <t>(assumes 2 loading simultaneously)</t>
  </si>
  <si>
    <t>6525 hrs (1.5 psia)</t>
  </si>
  <si>
    <t>8525 hrs (no exemption)</t>
  </si>
  <si>
    <t>3. Up to 2 vessels can be loaded at once</t>
  </si>
  <si>
    <t>4. Costs assume two control systems are required</t>
  </si>
  <si>
    <t>Commodities</t>
  </si>
  <si>
    <t>Saturation Factor (S)</t>
  </si>
  <si>
    <t>True Vapor Pressure (P)</t>
  </si>
  <si>
    <t>Molecular Weight</t>
  </si>
  <si>
    <t>Temperature</t>
  </si>
  <si>
    <t>Density</t>
  </si>
  <si>
    <t>Loading Loss (ships)</t>
  </si>
  <si>
    <t>Loading Loss (Barges)</t>
  </si>
  <si>
    <t>Reid Vapor Pressure</t>
  </si>
  <si>
    <t>Average Loading Loss</t>
  </si>
  <si>
    <t>ships</t>
  </si>
  <si>
    <t>barges</t>
  </si>
  <si>
    <t>psia</t>
  </si>
  <si>
    <t>lb/lb-mole</t>
  </si>
  <si>
    <t>°R</t>
  </si>
  <si>
    <t>lb/gal</t>
  </si>
  <si>
    <t>lb/1000 gal</t>
  </si>
  <si>
    <t>lb/hr</t>
  </si>
  <si>
    <t>Naptha and Solvents</t>
  </si>
  <si>
    <t>Distillate Oil No. 2</t>
  </si>
  <si>
    <t>Residual Oil No. 6</t>
  </si>
  <si>
    <t>Benzene</t>
  </si>
  <si>
    <t xml:space="preserve">Toluene </t>
  </si>
  <si>
    <t>Methanol</t>
  </si>
  <si>
    <t>Ethylene glycol</t>
  </si>
  <si>
    <t>*assume 5000 bbl/hr</t>
  </si>
  <si>
    <t>Vapor Growth Factor</t>
  </si>
  <si>
    <t>CG</t>
  </si>
  <si>
    <t>Arrival Emission Factor (uncleaned)</t>
  </si>
  <si>
    <t>Arrival Emisson Factor (ballasted)</t>
  </si>
  <si>
    <t>Arrival Emisson Factor (cleaned or gas-freed)</t>
  </si>
  <si>
    <t>Crude Oil (RVP5)</t>
  </si>
  <si>
    <t>Loading Loss (uncleaned)</t>
  </si>
  <si>
    <t>Loading Loss (Ballasted)</t>
  </si>
  <si>
    <t>Loading Loss (cleaned or gas-freed)</t>
  </si>
  <si>
    <t>Total VOC lossed (assuming 15% is methane and ethane):</t>
  </si>
  <si>
    <t>API PERF data - Reformulated Gasoline (added Ethanol)</t>
  </si>
  <si>
    <t>wt%/wt frac liq</t>
  </si>
  <si>
    <t>n liq</t>
  </si>
  <si>
    <t>x</t>
  </si>
  <si>
    <t>y</t>
  </si>
  <si>
    <t>wt frac vapor</t>
  </si>
  <si>
    <t> </t>
  </si>
  <si>
    <t>Antoine Eqn coefficients</t>
  </si>
  <si>
    <t>MW</t>
  </si>
  <si>
    <t>VP, pure component, psia</t>
  </si>
  <si>
    <t>Gasoline, Liquid, wt%</t>
  </si>
  <si>
    <t>Gasoline, Liquid, moles</t>
  </si>
  <si>
    <t>Gasoline, Liquid, mole frac</t>
  </si>
  <si>
    <t>Gasoline, Partial Pressure, Pi, psia</t>
  </si>
  <si>
    <t>Gasoline, Vapor, mole frac</t>
  </si>
  <si>
    <t>Avg MW vapor = y(i)*MW(i)</t>
  </si>
  <si>
    <t>Gasoline, Vapor, wt%</t>
  </si>
  <si>
    <t>T =</t>
  </si>
  <si>
    <t>F</t>
  </si>
  <si>
    <t>A</t>
  </si>
  <si>
    <t>B</t>
  </si>
  <si>
    <t>C</t>
  </si>
  <si>
    <t xml:space="preserve">Ships </t>
  </si>
  <si>
    <t>ppm</t>
  </si>
  <si>
    <t>Hexane</t>
  </si>
  <si>
    <t>Toluene</t>
  </si>
  <si>
    <t>Xylene</t>
  </si>
  <si>
    <t>Ethylbenzene</t>
  </si>
  <si>
    <t>2,2,4-Trimethylpentane (isooctane)</t>
  </si>
  <si>
    <t>Cumene</t>
  </si>
  <si>
    <t>Naphthalene</t>
  </si>
  <si>
    <t>Ethanol</t>
  </si>
  <si>
    <t>n-Butane</t>
  </si>
  <si>
    <t>Isobutane</t>
  </si>
  <si>
    <t>Pentane</t>
  </si>
  <si>
    <t>Isopentane</t>
  </si>
  <si>
    <t>2-Methylpentane (surrogate for C6 cpds)</t>
  </si>
  <si>
    <t>2-Methylhexane (surrogate for C7 cpds)</t>
  </si>
  <si>
    <t>2,3,4-Trimethylpentane (surrogate for C8 cpds)</t>
  </si>
  <si>
    <t>1,2,4-Trimethylbenzene (surrogate for C9 cpds)</t>
  </si>
  <si>
    <t>Other VOC (assume Heptane is the surrogate for Other VOC)</t>
  </si>
  <si>
    <t>Total VP of mixture</t>
  </si>
  <si>
    <t>wt%HAP in liq</t>
  </si>
  <si>
    <t>HAP only %</t>
  </si>
  <si>
    <t>Crude Oil, Liquid, wt%</t>
  </si>
  <si>
    <t>Crude Oil, Liquid, moles</t>
  </si>
  <si>
    <t>Crude Oil, Liquid, mole frac</t>
  </si>
  <si>
    <t>Crude Oil, Partial Pressure, Pi, psia</t>
  </si>
  <si>
    <t>Crude Oil, Vapor, mole frac</t>
  </si>
  <si>
    <t>Crude Oil, Vapor, wt%</t>
  </si>
  <si>
    <t>Uncleaned</t>
  </si>
  <si>
    <t>Ballasted</t>
  </si>
  <si>
    <t>Cleaned or gas-freed</t>
  </si>
  <si>
    <t>Biphenyl</t>
  </si>
  <si>
    <t>Cyclohexane</t>
  </si>
  <si>
    <t>n-Hexane</t>
  </si>
  <si>
    <t>PAC (Thiophene used as surrogate)</t>
  </si>
  <si>
    <t>Phenol</t>
  </si>
  <si>
    <t>1,2,4-Trimethylbenzene</t>
  </si>
  <si>
    <t>2-Methylhexane (surrogate for hexanes)</t>
  </si>
  <si>
    <t>Other VOC/Heptane Plus (assume Heptane is the surrogate for Other VOC)</t>
  </si>
  <si>
    <t>Crude Oil True Vapor Pressure:</t>
  </si>
  <si>
    <t>EPCRA Section 313 Industry Guidance for Petroleum Terminals and Bulk Storage Facilities</t>
  </si>
  <si>
    <t>Antoine coefficient table | PDF</t>
  </si>
  <si>
    <t>Crude oil Composition and Properties | Download Table</t>
  </si>
  <si>
    <t>Naphtha, Liquid, wt%</t>
  </si>
  <si>
    <t>Naphtha, Liquid, moles</t>
  </si>
  <si>
    <t>Naphtha, Liquid, mole frac</t>
  </si>
  <si>
    <t>Naphtha, Partial Pressure, Pi, psia</t>
  </si>
  <si>
    <t>Naphtha, Vapor, mole frac</t>
  </si>
  <si>
    <t>Naphtha, Vapor, wt%</t>
  </si>
  <si>
    <t>Cyclopentane</t>
  </si>
  <si>
    <t>Heptane</t>
  </si>
  <si>
    <t>Decane</t>
  </si>
  <si>
    <t>1. Typical composition of a naphtha feed containing 10 wt% aromatics [DSM] | Download Table</t>
  </si>
  <si>
    <t>Kerosene, Liquid, wt%</t>
  </si>
  <si>
    <t>Kerosene, Liquid, moles</t>
  </si>
  <si>
    <t>Kerosene, Liquid, mole frac</t>
  </si>
  <si>
    <t>Kerosene, Partial Pressure, Pi, psia</t>
  </si>
  <si>
    <t>Kerosene, Vapor, mole frac</t>
  </si>
  <si>
    <t>Kerosene, Vapor, wt%</t>
  </si>
  <si>
    <t>Decane + (decane used as surrogate)</t>
  </si>
  <si>
    <t>WO2004050804A1 - Kerosene composition - Google Patents</t>
  </si>
  <si>
    <t>Diesel, Liquid, wt%</t>
  </si>
  <si>
    <t>Diesel, Liquid, moles</t>
  </si>
  <si>
    <t>Diesel, Liquid, mole frac</t>
  </si>
  <si>
    <t>Diesel, Partial Pressure, Pi, psia</t>
  </si>
  <si>
    <t>Diesel, Vapor, mole frac</t>
  </si>
  <si>
    <t>Diesel, Vapor, wt%</t>
  </si>
  <si>
    <t>Styrene</t>
  </si>
  <si>
    <t>C10 cpds+ (decane used as surrogate)</t>
  </si>
  <si>
    <t>Setup of composition of diesel (mass %). | Download Scientific Diagram</t>
  </si>
  <si>
    <t>Residual, Liquid, wt%</t>
  </si>
  <si>
    <t>Residual, Liquid, moles</t>
  </si>
  <si>
    <t>Residual, Liquid, mole frac</t>
  </si>
  <si>
    <t>Residual, Partial Pressure, Pi, psia</t>
  </si>
  <si>
    <t>Residual, Vapor, mole frac</t>
  </si>
  <si>
    <t>Residual, Vapor, wt%</t>
  </si>
  <si>
    <t>chlorine</t>
  </si>
  <si>
    <t>C8-12</t>
  </si>
  <si>
    <t>C6-C12</t>
  </si>
  <si>
    <t>c6-c11</t>
  </si>
  <si>
    <t>C13-c25</t>
  </si>
  <si>
    <t>c13-c23</t>
  </si>
  <si>
    <t>c12-18</t>
  </si>
  <si>
    <t>Composition of oil fractions for heavy fuel oil ‎ [16] | Download Scientific Diagram</t>
  </si>
  <si>
    <t>Methane*</t>
  </si>
  <si>
    <t>Ethane</t>
  </si>
  <si>
    <t>Propane</t>
  </si>
  <si>
    <t>Butane</t>
  </si>
  <si>
    <t>Octane</t>
  </si>
  <si>
    <t>Nonane</t>
  </si>
  <si>
    <t>Ethylene**</t>
  </si>
  <si>
    <t>Propylene</t>
  </si>
  <si>
    <t>Benzene**</t>
  </si>
  <si>
    <t>Toluene**</t>
  </si>
  <si>
    <t>Methyl Chloride (Chloromethane)**</t>
  </si>
  <si>
    <t>50,000 Model Plant</t>
  </si>
  <si>
    <t>Loading Loss (TPY)</t>
  </si>
  <si>
    <t>lb VOC emitted /hr</t>
  </si>
  <si>
    <t>50,000 Model Plant Emissions</t>
  </si>
  <si>
    <t>Recuperative Oxidizer</t>
  </si>
  <si>
    <t>Costs (2021 dollars)</t>
  </si>
  <si>
    <t>Cost Effectiveness ($/ton)</t>
  </si>
  <si>
    <t>Capital (TCI)</t>
  </si>
  <si>
    <t>Annual Costs</t>
  </si>
  <si>
    <t>Total Annual Cost (TAC)</t>
  </si>
  <si>
    <t>240 hrs (no exemption)</t>
  </si>
  <si>
    <t>72 hrs (1.5 psia)</t>
  </si>
  <si>
    <t>78 hrs (1 or 0.5 psia)</t>
  </si>
  <si>
    <t>Crude Oil</t>
  </si>
  <si>
    <t>VOC Emission Rate lb/hr</t>
  </si>
  <si>
    <t>25,000,000 Model Plant</t>
  </si>
  <si>
    <t>25,000,000 Model Plant Emissions</t>
  </si>
  <si>
    <t>8760 hrs/yr</t>
  </si>
  <si>
    <t>1. Loading Rate = 7500 bbl/hr</t>
  </si>
  <si>
    <t>3. Up to 9 vessels can be loaded at once</t>
  </si>
  <si>
    <t>Assumptions</t>
  </si>
  <si>
    <t>Loading Scenario</t>
  </si>
  <si>
    <t>Total Loading Rate (all compartments, bbl/hr)</t>
  </si>
  <si>
    <t>Vessels loaded simultaneously</t>
  </si>
  <si>
    <t>Dollar Year</t>
  </si>
  <si>
    <t>Interest Rate (%)</t>
  </si>
  <si>
    <t>Pollutant  Controlled</t>
  </si>
  <si>
    <t>Operating Hours (No VP Limit)</t>
  </si>
  <si>
    <t>Operating hours (&gt;1.5 psia only)</t>
  </si>
  <si>
    <t>VOC Emission Rate (lb/hr)</t>
  </si>
  <si>
    <t>Control Efficiency (%)</t>
  </si>
  <si>
    <t>Solvent Recovery Credit ($/ton)</t>
  </si>
  <si>
    <t>VOC Composition based on</t>
  </si>
  <si>
    <t>Heat Recovery (%)</t>
  </si>
  <si>
    <t>Natural Gas Cost ($/scf)</t>
  </si>
  <si>
    <t>Electricity Cost ($/kWh)</t>
  </si>
  <si>
    <t>Naphtha</t>
  </si>
  <si>
    <t>Distallate</t>
  </si>
  <si>
    <t>Residual</t>
  </si>
  <si>
    <t>Ethylene Glycol</t>
  </si>
  <si>
    <t>Chlorine</t>
  </si>
  <si>
    <t>PAC</t>
  </si>
  <si>
    <t>C6</t>
  </si>
  <si>
    <t>C7</t>
  </si>
  <si>
    <t>Percent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</si>
</sst>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000"/>
    <numFmt numFmtId="166" formatCode="0.0%"/>
    <numFmt numFmtId="167" formatCode="0.000"/>
    <numFmt numFmtId="168" formatCode="&quot;$&quot;#,##0"/>
  </numFmts>
  <fonts count="2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name val="Aptos Narrow"/>
      <family val="2"/>
      <scheme val="minor"/>
    </font>
    <font>
      <vertAlign val="subscript"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264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3" fillId="0" borderId="0" xfId="0" applyFont="1" applyFill="1" applyAlignment="1"/>
    <xf numFmtId="0" fontId="3" fillId="2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3" fillId="0" borderId="1" xfId="0" applyFont="1" applyFill="1" applyBorder="1" applyAlignment="1"/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3" fillId="2" borderId="1" xfId="0" applyFont="1" applyFill="1" applyBorder="1" applyAlignment="1"/>
    <xf numFmtId="0" fontId="8" fillId="0" borderId="0" xfId="0" applyFont="1" applyFill="1" applyBorder="1" applyAlignment="1"/>
    <xf numFmtId="0" fontId="8" fillId="4" borderId="0" xfId="0" applyFont="1" applyFill="1" applyBorder="1" applyAlignment="1"/>
    <xf numFmtId="0" fontId="3" fillId="4" borderId="0" xfId="0" applyFont="1" applyFill="1" applyBorder="1" applyAlignment="1"/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11" fontId="10" fillId="0" borderId="0" xfId="0" applyNumberFormat="1" applyFont="1" applyFill="1" applyBorder="1" applyAlignment="1"/>
    <xf numFmtId="0" fontId="9" fillId="0" borderId="1" xfId="0" applyFont="1" applyFill="1" applyBorder="1" applyAlignment="1"/>
    <xf numFmtId="0" fontId="10" fillId="0" borderId="1" xfId="0" applyFont="1" applyFill="1" applyBorder="1" applyAlignment="1"/>
    <xf numFmtId="11" fontId="10" fillId="0" borderId="1" xfId="0" applyNumberFormat="1" applyFont="1" applyFill="1" applyBorder="1" applyAlignment="1"/>
    <xf numFmtId="0" fontId="3" fillId="0" borderId="2" xfId="0" applyFont="1" applyFill="1" applyBorder="1" applyAlignment="1"/>
    <xf numFmtId="0" fontId="6" fillId="0" borderId="3" xfId="0" applyFont="1" applyFill="1" applyBorder="1" applyAlignment="1"/>
    <xf numFmtId="11" fontId="3" fillId="0" borderId="0" xfId="0" applyNumberFormat="1" applyFont="1" applyFill="1" applyBorder="1" applyAlignment="1"/>
    <xf numFmtId="0" fontId="3" fillId="5" borderId="0" xfId="0" applyFont="1" applyFill="1" applyBorder="1" applyAlignment="1"/>
    <xf numFmtId="0" fontId="6" fillId="5" borderId="3" xfId="0" applyFont="1" applyFill="1" applyBorder="1" applyAlignment="1"/>
    <xf numFmtId="0" fontId="1" fillId="0" borderId="0" xfId="1" applyFill="1" applyBorder="1" applyAlignment="1"/>
    <xf numFmtId="0" fontId="11" fillId="0" borderId="0" xfId="0" applyFont="1" applyFill="1" applyAlignment="1"/>
    <xf numFmtId="0" fontId="2" fillId="0" borderId="1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2" xfId="0" applyFont="1" applyFill="1" applyBorder="1" applyAlignment="1"/>
    <xf numFmtId="3" fontId="10" fillId="0" borderId="4" xfId="0" applyNumberFormat="1" applyFont="1" applyFill="1" applyBorder="1" applyAlignment="1"/>
    <xf numFmtId="0" fontId="10" fillId="0" borderId="4" xfId="0" applyFont="1" applyFill="1" applyBorder="1" applyAlignment="1">
      <alignment wrapText="1"/>
    </xf>
    <xf numFmtId="0" fontId="10" fillId="0" borderId="5" xfId="0" applyFont="1" applyFill="1" applyBorder="1" applyAlignment="1"/>
    <xf numFmtId="3" fontId="10" fillId="0" borderId="6" xfId="0" applyNumberFormat="1" applyFont="1" applyFill="1" applyBorder="1" applyAlignment="1"/>
    <xf numFmtId="0" fontId="10" fillId="0" borderId="6" xfId="0" applyFont="1" applyFill="1" applyBorder="1" applyAlignment="1">
      <alignment wrapText="1"/>
    </xf>
    <xf numFmtId="3" fontId="10" fillId="0" borderId="6" xfId="0" applyNumberFormat="1" applyFont="1" applyFill="1" applyBorder="1" applyAlignment="1">
      <alignment wrapText="1"/>
    </xf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3" fontId="3" fillId="0" borderId="6" xfId="0" applyNumberFormat="1" applyFont="1" applyFill="1" applyBorder="1" applyAlignment="1"/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3" fontId="3" fillId="0" borderId="8" xfId="0" applyNumberFormat="1" applyFont="1" applyFill="1" applyBorder="1" applyAlignment="1"/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1" fillId="0" borderId="0" xfId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11" fillId="0" borderId="0" xfId="0" applyFont="1" applyFill="1" applyAlignment="1">
      <alignment wrapText="1"/>
    </xf>
    <xf numFmtId="0" fontId="3" fillId="0" borderId="0" xfId="0" applyFont="1" applyFill="1" applyBorder="1" applyAlignment="1"/>
    <xf numFmtId="4" fontId="3" fillId="0" borderId="0" xfId="0" applyNumberFormat="1" applyFont="1" applyFill="1" applyBorder="1" applyAlignment="1"/>
    <xf numFmtId="0" fontId="12" fillId="0" borderId="9" xfId="0" applyFont="1" applyBorder="1" applyAlignment="1">
      <alignment wrapText="1"/>
    </xf>
    <xf numFmtId="0" fontId="12" fillId="0" borderId="9" xfId="0" applyFont="1" applyBorder="1"/>
    <xf numFmtId="0" fontId="0" fillId="0" borderId="12" xfId="0" applyBorder="1"/>
    <xf numFmtId="0" fontId="0" fillId="0" borderId="9" xfId="0" applyBorder="1"/>
    <xf numFmtId="0" fontId="12" fillId="0" borderId="10" xfId="0" applyFont="1" applyBorder="1" applyAlignment="1">
      <alignment wrapText="1"/>
    </xf>
    <xf numFmtId="0" fontId="12" fillId="0" borderId="2" xfId="0" applyFont="1" applyBorder="1"/>
    <xf numFmtId="0" fontId="0" fillId="0" borderId="2" xfId="0" applyBorder="1"/>
    <xf numFmtId="0" fontId="0" fillId="0" borderId="9" xfId="0" applyFont="1" applyBorder="1" applyAlignment="1">
      <alignment horizontal="center" vertical="center"/>
    </xf>
    <xf numFmtId="0" fontId="0" fillId="6" borderId="0" xfId="0" applyFill="1"/>
    <xf numFmtId="164" fontId="0" fillId="0" borderId="9" xfId="0" applyNumberFormat="1" applyBorder="1"/>
    <xf numFmtId="164" fontId="0" fillId="0" borderId="2" xfId="0" applyNumberFormat="1" applyBorder="1"/>
    <xf numFmtId="0" fontId="0" fillId="0" borderId="0" xfId="0" applyFill="1"/>
    <xf numFmtId="0" fontId="0" fillId="0" borderId="0" xfId="0" applyBorder="1"/>
    <xf numFmtId="3" fontId="13" fillId="0" borderId="0" xfId="0" applyNumberFormat="1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4" fontId="3" fillId="0" borderId="2" xfId="0" applyNumberFormat="1" applyFont="1" applyFill="1" applyBorder="1" applyAlignment="1"/>
    <xf numFmtId="3" fontId="3" fillId="0" borderId="16" xfId="0" applyNumberFormat="1" applyFont="1" applyFill="1" applyBorder="1" applyAlignment="1"/>
    <xf numFmtId="0" fontId="0" fillId="0" borderId="18" xfId="0" applyBorder="1"/>
    <xf numFmtId="4" fontId="3" fillId="0" borderId="18" xfId="0" applyNumberFormat="1" applyFont="1" applyFill="1" applyBorder="1" applyAlignment="1"/>
    <xf numFmtId="4" fontId="3" fillId="0" borderId="19" xfId="0" applyNumberFormat="1" applyFont="1" applyFill="1" applyBorder="1" applyAlignment="1"/>
    <xf numFmtId="4" fontId="3" fillId="0" borderId="21" xfId="0" applyNumberFormat="1" applyFont="1" applyFill="1" applyBorder="1" applyAlignment="1"/>
    <xf numFmtId="0" fontId="0" fillId="0" borderId="23" xfId="0" applyBorder="1"/>
    <xf numFmtId="0" fontId="3" fillId="0" borderId="23" xfId="0" applyFont="1" applyFill="1" applyBorder="1" applyAlignment="1"/>
    <xf numFmtId="0" fontId="3" fillId="0" borderId="24" xfId="0" applyFont="1" applyFill="1" applyBorder="1" applyAlignment="1"/>
    <xf numFmtId="3" fontId="3" fillId="0" borderId="31" xfId="0" applyNumberFormat="1" applyFont="1" applyFill="1" applyBorder="1" applyAlignment="1"/>
    <xf numFmtId="0" fontId="3" fillId="0" borderId="33" xfId="0" applyFont="1" applyFill="1" applyBorder="1" applyAlignment="1"/>
    <xf numFmtId="0" fontId="3" fillId="0" borderId="34" xfId="0" applyFont="1" applyFill="1" applyBorder="1" applyAlignment="1"/>
    <xf numFmtId="0" fontId="2" fillId="8" borderId="5" xfId="0" applyFont="1" applyFill="1" applyBorder="1" applyAlignment="1"/>
    <xf numFmtId="0" fontId="12" fillId="0" borderId="0" xfId="0" applyFont="1"/>
    <xf numFmtId="0" fontId="2" fillId="8" borderId="28" xfId="0" applyFont="1" applyFill="1" applyBorder="1" applyAlignment="1"/>
    <xf numFmtId="0" fontId="2" fillId="8" borderId="5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14" fillId="0" borderId="18" xfId="0" applyFont="1" applyBorder="1"/>
    <xf numFmtId="0" fontId="14" fillId="0" borderId="2" xfId="0" applyFont="1" applyBorder="1"/>
    <xf numFmtId="0" fontId="14" fillId="0" borderId="23" xfId="0" applyFont="1" applyBorder="1"/>
    <xf numFmtId="0" fontId="12" fillId="0" borderId="0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22" xfId="0" applyBorder="1"/>
    <xf numFmtId="0" fontId="0" fillId="0" borderId="24" xfId="0" applyBorder="1"/>
    <xf numFmtId="0" fontId="0" fillId="0" borderId="33" xfId="0" applyBorder="1"/>
    <xf numFmtId="0" fontId="0" fillId="0" borderId="34" xfId="0" applyBorder="1"/>
    <xf numFmtId="0" fontId="0" fillId="0" borderId="28" xfId="0" applyBorder="1"/>
    <xf numFmtId="0" fontId="0" fillId="0" borderId="29" xfId="0" applyBorder="1"/>
    <xf numFmtId="0" fontId="0" fillId="0" borderId="20" xfId="0" applyBorder="1"/>
    <xf numFmtId="0" fontId="0" fillId="0" borderId="21" xfId="0" applyBorder="1"/>
    <xf numFmtId="0" fontId="12" fillId="0" borderId="32" xfId="0" applyFont="1" applyBorder="1"/>
    <xf numFmtId="0" fontId="12" fillId="8" borderId="33" xfId="0" applyFont="1" applyFill="1" applyBorder="1" applyAlignment="1">
      <alignment wrapText="1"/>
    </xf>
    <xf numFmtId="0" fontId="12" fillId="8" borderId="34" xfId="0" applyFont="1" applyFill="1" applyBorder="1" applyAlignment="1">
      <alignment wrapText="1"/>
    </xf>
    <xf numFmtId="0" fontId="0" fillId="0" borderId="19" xfId="0" applyBorder="1"/>
    <xf numFmtId="0" fontId="2" fillId="8" borderId="32" xfId="0" applyFont="1" applyFill="1" applyBorder="1" applyAlignment="1"/>
    <xf numFmtId="0" fontId="2" fillId="8" borderId="33" xfId="0" applyFont="1" applyFill="1" applyBorder="1" applyAlignment="1"/>
    <xf numFmtId="0" fontId="2" fillId="8" borderId="33" xfId="0" applyFont="1" applyFill="1" applyBorder="1" applyAlignment="1">
      <alignment horizontal="center"/>
    </xf>
    <xf numFmtId="0" fontId="2" fillId="8" borderId="34" xfId="0" applyFont="1" applyFill="1" applyBorder="1" applyAlignment="1">
      <alignment horizontal="center"/>
    </xf>
    <xf numFmtId="1" fontId="3" fillId="0" borderId="7" xfId="0" applyNumberFormat="1" applyFont="1" applyFill="1" applyBorder="1" applyAlignment="1"/>
    <xf numFmtId="1" fontId="3" fillId="0" borderId="36" xfId="0" applyNumberFormat="1" applyFont="1" applyFill="1" applyBorder="1" applyAlignment="1"/>
    <xf numFmtId="0" fontId="0" fillId="0" borderId="22" xfId="0" applyBorder="1" applyAlignment="1">
      <alignment wrapText="1"/>
    </xf>
    <xf numFmtId="4" fontId="3" fillId="0" borderId="7" xfId="0" applyNumberFormat="1" applyFont="1" applyFill="1" applyBorder="1" applyAlignment="1"/>
    <xf numFmtId="4" fontId="3" fillId="0" borderId="36" xfId="0" applyNumberFormat="1" applyFont="1" applyFill="1" applyBorder="1" applyAlignment="1"/>
    <xf numFmtId="164" fontId="0" fillId="0" borderId="0" xfId="0" applyNumberFormat="1" applyBorder="1"/>
    <xf numFmtId="0" fontId="0" fillId="0" borderId="0" xfId="0" applyFont="1" applyBorder="1" applyAlignment="1">
      <alignment horizontal="center" vertical="center"/>
    </xf>
    <xf numFmtId="0" fontId="12" fillId="0" borderId="10" xfId="0" applyFont="1" applyBorder="1"/>
    <xf numFmtId="0" fontId="0" fillId="0" borderId="37" xfId="0" applyBorder="1"/>
    <xf numFmtId="0" fontId="0" fillId="0" borderId="10" xfId="0" applyBorder="1"/>
    <xf numFmtId="0" fontId="3" fillId="9" borderId="0" xfId="0" applyFont="1" applyFill="1" applyBorder="1" applyAlignment="1">
      <alignment wrapText="1"/>
    </xf>
    <xf numFmtId="0" fontId="3" fillId="9" borderId="0" xfId="0" applyFont="1" applyFill="1" applyBorder="1" applyAlignment="1"/>
    <xf numFmtId="0" fontId="12" fillId="10" borderId="22" xfId="0" applyFont="1" applyFill="1" applyBorder="1"/>
    <xf numFmtId="3" fontId="12" fillId="10" borderId="23" xfId="0" applyNumberFormat="1" applyFont="1" applyFill="1" applyBorder="1"/>
    <xf numFmtId="3" fontId="12" fillId="10" borderId="24" xfId="0" applyNumberFormat="1" applyFont="1" applyFill="1" applyBorder="1"/>
    <xf numFmtId="0" fontId="0" fillId="0" borderId="28" xfId="0" applyBorder="1" applyAlignment="1">
      <alignment wrapText="1"/>
    </xf>
    <xf numFmtId="0" fontId="0" fillId="0" borderId="0" xfId="0" applyBorder="1" applyAlignment="1">
      <alignment wrapText="1"/>
    </xf>
    <xf numFmtId="0" fontId="2" fillId="8" borderId="0" xfId="0" applyFont="1" applyFill="1" applyBorder="1" applyAlignment="1">
      <alignment horizontal="center"/>
    </xf>
    <xf numFmtId="0" fontId="0" fillId="0" borderId="20" xfId="0" applyBorder="1" applyAlignment="1">
      <alignment wrapText="1"/>
    </xf>
    <xf numFmtId="0" fontId="0" fillId="0" borderId="30" xfId="0" applyBorder="1"/>
    <xf numFmtId="0" fontId="0" fillId="0" borderId="16" xfId="0" applyBorder="1"/>
    <xf numFmtId="0" fontId="0" fillId="0" borderId="31" xfId="0" applyBorder="1"/>
    <xf numFmtId="0" fontId="16" fillId="0" borderId="0" xfId="0" applyFont="1"/>
    <xf numFmtId="0" fontId="18" fillId="0" borderId="18" xfId="0" applyFont="1" applyBorder="1"/>
    <xf numFmtId="2" fontId="16" fillId="0" borderId="18" xfId="0" applyNumberFormat="1" applyFont="1" applyBorder="1"/>
    <xf numFmtId="2" fontId="16" fillId="0" borderId="19" xfId="0" applyNumberFormat="1" applyFont="1" applyBorder="1"/>
    <xf numFmtId="0" fontId="18" fillId="0" borderId="2" xfId="0" applyFont="1" applyBorder="1"/>
    <xf numFmtId="2" fontId="16" fillId="0" borderId="2" xfId="0" applyNumberFormat="1" applyFont="1" applyBorder="1"/>
    <xf numFmtId="165" fontId="16" fillId="0" borderId="2" xfId="0" applyNumberFormat="1" applyFont="1" applyBorder="1"/>
    <xf numFmtId="2" fontId="16" fillId="0" borderId="21" xfId="0" applyNumberFormat="1" applyFont="1" applyBorder="1"/>
    <xf numFmtId="0" fontId="18" fillId="0" borderId="23" xfId="0" applyFont="1" applyBorder="1"/>
    <xf numFmtId="2" fontId="16" fillId="0" borderId="23" xfId="0" applyNumberFormat="1" applyFont="1" applyBorder="1"/>
    <xf numFmtId="2" fontId="16" fillId="0" borderId="24" xfId="0" applyNumberFormat="1" applyFont="1" applyBorder="1"/>
    <xf numFmtId="166" fontId="16" fillId="0" borderId="33" xfId="2" applyNumberFormat="1" applyFont="1" applyBorder="1"/>
    <xf numFmtId="166" fontId="16" fillId="0" borderId="34" xfId="2" applyNumberFormat="1" applyFont="1" applyBorder="1"/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/>
    <xf numFmtId="0" fontId="17" fillId="0" borderId="32" xfId="0" applyFont="1" applyBorder="1"/>
    <xf numFmtId="0" fontId="16" fillId="0" borderId="28" xfId="0" applyFont="1" applyBorder="1"/>
    <xf numFmtId="0" fontId="16" fillId="0" borderId="5" xfId="0" applyFont="1" applyBorder="1"/>
    <xf numFmtId="0" fontId="16" fillId="0" borderId="5" xfId="0" applyFont="1" applyBorder="1" applyAlignment="1">
      <alignment wrapText="1"/>
    </xf>
    <xf numFmtId="0" fontId="16" fillId="0" borderId="29" xfId="0" applyFont="1" applyBorder="1"/>
    <xf numFmtId="0" fontId="16" fillId="0" borderId="20" xfId="0" applyFont="1" applyBorder="1"/>
    <xf numFmtId="0" fontId="16" fillId="0" borderId="2" xfId="0" applyFont="1" applyBorder="1"/>
    <xf numFmtId="0" fontId="16" fillId="0" borderId="2" xfId="0" applyFont="1" applyBorder="1" applyAlignment="1">
      <alignment wrapText="1"/>
    </xf>
    <xf numFmtId="0" fontId="16" fillId="0" borderId="21" xfId="0" applyFont="1" applyBorder="1"/>
    <xf numFmtId="0" fontId="16" fillId="0" borderId="22" xfId="0" applyFont="1" applyBorder="1" applyAlignment="1">
      <alignment wrapText="1"/>
    </xf>
    <xf numFmtId="0" fontId="16" fillId="0" borderId="23" xfId="0" applyFont="1" applyBorder="1"/>
    <xf numFmtId="0" fontId="16" fillId="0" borderId="24" xfId="0" applyFont="1" applyBorder="1"/>
    <xf numFmtId="0" fontId="17" fillId="10" borderId="17" xfId="0" applyFont="1" applyFill="1" applyBorder="1"/>
    <xf numFmtId="0" fontId="16" fillId="0" borderId="19" xfId="0" applyFont="1" applyBorder="1"/>
    <xf numFmtId="0" fontId="17" fillId="10" borderId="22" xfId="0" applyFont="1" applyFill="1" applyBorder="1"/>
    <xf numFmtId="0" fontId="16" fillId="0" borderId="22" xfId="0" applyFont="1" applyBorder="1"/>
    <xf numFmtId="0" fontId="16" fillId="0" borderId="40" xfId="0" applyFont="1" applyBorder="1"/>
    <xf numFmtId="0" fontId="17" fillId="0" borderId="2" xfId="0" applyFont="1" applyBorder="1"/>
    <xf numFmtId="167" fontId="16" fillId="0" borderId="2" xfId="0" applyNumberFormat="1" applyFont="1" applyBorder="1"/>
    <xf numFmtId="164" fontId="16" fillId="0" borderId="2" xfId="0" applyNumberFormat="1" applyFont="1" applyBorder="1"/>
    <xf numFmtId="0" fontId="17" fillId="0" borderId="0" xfId="0" applyFont="1"/>
    <xf numFmtId="0" fontId="2" fillId="10" borderId="38" xfId="0" applyFont="1" applyFill="1" applyBorder="1" applyAlignment="1">
      <alignment horizontal="center" wrapText="1"/>
    </xf>
    <xf numFmtId="0" fontId="2" fillId="10" borderId="39" xfId="0" applyFont="1" applyFill="1" applyBorder="1" applyAlignment="1">
      <alignment horizontal="center" wrapText="1"/>
    </xf>
    <xf numFmtId="0" fontId="2" fillId="10" borderId="32" xfId="0" applyFont="1" applyFill="1" applyBorder="1" applyAlignment="1"/>
    <xf numFmtId="0" fontId="2" fillId="10" borderId="33" xfId="0" applyFont="1" applyFill="1" applyBorder="1" applyAlignment="1"/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17" fillId="0" borderId="41" xfId="0" applyFont="1" applyBorder="1"/>
    <xf numFmtId="0" fontId="16" fillId="0" borderId="42" xfId="0" applyFont="1" applyBorder="1"/>
    <xf numFmtId="0" fontId="17" fillId="10" borderId="2" xfId="0" applyFont="1" applyFill="1" applyBorder="1" applyAlignment="1">
      <alignment wrapText="1"/>
    </xf>
    <xf numFmtId="0" fontId="3" fillId="0" borderId="0" xfId="0" applyFont="1"/>
    <xf numFmtId="0" fontId="19" fillId="9" borderId="0" xfId="0" quotePrefix="1" applyFont="1" applyFill="1" applyAlignment="1">
      <alignment horizontal="left"/>
    </xf>
    <xf numFmtId="0" fontId="21" fillId="0" borderId="0" xfId="0" quotePrefix="1" applyFont="1" applyAlignment="1">
      <alignment horizontal="left" wrapText="1"/>
    </xf>
    <xf numFmtId="168" fontId="16" fillId="0" borderId="2" xfId="0" applyNumberFormat="1" applyFont="1" applyBorder="1"/>
    <xf numFmtId="0" fontId="16" fillId="0" borderId="23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6" fillId="0" borderId="23" xfId="0" applyFont="1" applyBorder="1" applyAlignment="1"/>
    <xf numFmtId="0" fontId="16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68" fontId="22" fillId="0" borderId="2" xfId="0" applyNumberFormat="1" applyFont="1" applyBorder="1"/>
    <xf numFmtId="0" fontId="23" fillId="0" borderId="0" xfId="0" applyFont="1" applyBorder="1" applyAlignment="1">
      <alignment horizontal="right" vertical="center" wrapText="1"/>
    </xf>
    <xf numFmtId="165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right"/>
    </xf>
    <xf numFmtId="165" fontId="3" fillId="11" borderId="2" xfId="0" applyNumberFormat="1" applyFont="1" applyFill="1" applyBorder="1" applyAlignment="1"/>
    <xf numFmtId="168" fontId="16" fillId="0" borderId="0" xfId="0" applyNumberFormat="1" applyFont="1"/>
    <xf numFmtId="167" fontId="22" fillId="0" borderId="43" xfId="0" applyNumberFormat="1" applyFont="1" applyBorder="1"/>
    <xf numFmtId="167" fontId="16" fillId="0" borderId="43" xfId="0" applyNumberFormat="1" applyFont="1" applyBorder="1"/>
    <xf numFmtId="0" fontId="17" fillId="0" borderId="42" xfId="0" applyFont="1" applyBorder="1"/>
    <xf numFmtId="0" fontId="17" fillId="10" borderId="17" xfId="0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17" fillId="10" borderId="21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34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wrapText="1"/>
    </xf>
    <xf numFmtId="0" fontId="17" fillId="10" borderId="2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wrapText="1"/>
    </xf>
    <xf numFmtId="0" fontId="17" fillId="7" borderId="2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17" fillId="10" borderId="44" xfId="0" applyFont="1" applyFill="1" applyBorder="1" applyAlignment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9" borderId="32" xfId="0" applyFont="1" applyFill="1" applyBorder="1" applyAlignment="1">
      <alignment horizontal="left" vertical="center" wrapText="1"/>
    </xf>
    <xf numFmtId="0" fontId="17" fillId="9" borderId="33" xfId="0" applyFont="1" applyFill="1" applyBorder="1" applyAlignment="1">
      <alignment horizontal="left" vertical="center" wrapText="1"/>
    </xf>
    <xf numFmtId="0" fontId="17" fillId="7" borderId="25" xfId="0" applyFont="1" applyFill="1" applyBorder="1" applyAlignment="1">
      <alignment horizontal="center"/>
    </xf>
    <xf numFmtId="0" fontId="17" fillId="7" borderId="26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wrapText="1"/>
    </xf>
    <xf numFmtId="0" fontId="2" fillId="10" borderId="21" xfId="0" applyFont="1" applyFill="1" applyBorder="1" applyAlignment="1">
      <alignment horizont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/>
    </xf>
    <xf numFmtId="0" fontId="12" fillId="7" borderId="26" xfId="0" applyFont="1" applyFill="1" applyBorder="1" applyAlignment="1">
      <alignment horizontal="center"/>
    </xf>
    <xf numFmtId="0" fontId="12" fillId="7" borderId="27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9" borderId="32" xfId="0" applyFont="1" applyFill="1" applyBorder="1" applyAlignment="1">
      <alignment horizontal="left" vertical="center" wrapText="1"/>
    </xf>
    <xf numFmtId="0" fontId="12" fillId="9" borderId="33" xfId="0" applyFont="1" applyFill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7" borderId="17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figure/Setup-of-composition-of-diesel-mass_tbl1_343448116" TargetMode="External"/><Relationship Id="rId3" Type="http://schemas.openxmlformats.org/officeDocument/2006/relationships/hyperlink" Target="https://www.researchgate.net/figure/Crude-oil-Composition-and-Properties_tbl1_316040219" TargetMode="External"/><Relationship Id="rId7" Type="http://schemas.openxmlformats.org/officeDocument/2006/relationships/hyperlink" Target="https://www.epa.gov/sites/default/files/documents/2000petro4.pdf" TargetMode="External"/><Relationship Id="rId2" Type="http://schemas.openxmlformats.org/officeDocument/2006/relationships/hyperlink" Target="https://www.slideshare.net/slideshow/antoine-coefficient-table/52611161" TargetMode="External"/><Relationship Id="rId1" Type="http://schemas.openxmlformats.org/officeDocument/2006/relationships/hyperlink" Target="https://www.epa.gov/sites/default/files/documents/2000petro4.pdf" TargetMode="External"/><Relationship Id="rId6" Type="http://schemas.openxmlformats.org/officeDocument/2006/relationships/hyperlink" Target="https://www.epa.gov/sites/default/files/documents/2000petro4.pdf" TargetMode="External"/><Relationship Id="rId5" Type="http://schemas.openxmlformats.org/officeDocument/2006/relationships/hyperlink" Target="https://patents.google.com/patent/WO2004050804A1/en" TargetMode="External"/><Relationship Id="rId10" Type="http://schemas.openxmlformats.org/officeDocument/2006/relationships/hyperlink" Target="https://www.epa.gov/sites/default/files/documents/2000petro4.pdf" TargetMode="External"/><Relationship Id="rId4" Type="http://schemas.openxmlformats.org/officeDocument/2006/relationships/hyperlink" Target="https://www.researchgate.net/figure/Typical-composition-of-a-naphtha-feed-containing-10-wt-aromatics-DSM_tbl1_241875069" TargetMode="External"/><Relationship Id="rId9" Type="http://schemas.openxmlformats.org/officeDocument/2006/relationships/hyperlink" Target="https://www.researchgate.net/figure/Composition-of-oil-fractions-for-heavy-fuel-oil-16_tbl5_33000486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2E38-1AC2-4F98-8749-09DF6F266EBF}">
  <dimension ref="A1:U49"/>
  <sheetViews>
    <sheetView tabSelected="1" workbookViewId="0">
      <selection activeCell="H12" sqref="H12"/>
    </sheetView>
  </sheetViews>
  <sheetFormatPr defaultRowHeight="14.4" x14ac:dyDescent="0.3"/>
  <cols>
    <col min="1" max="1" width="19.88671875" customWidth="1"/>
    <col min="2" max="3" width="15.88671875" bestFit="1" customWidth="1"/>
    <col min="4" max="4" width="11.109375" customWidth="1"/>
    <col min="5" max="5" width="9.88671875" bestFit="1" customWidth="1"/>
    <col min="6" max="6" width="17" customWidth="1"/>
    <col min="7" max="7" width="14.88671875" customWidth="1"/>
    <col min="8" max="8" width="17.5546875" customWidth="1"/>
    <col min="9" max="9" width="17.88671875" bestFit="1" customWidth="1"/>
    <col min="10" max="10" width="12.44140625" bestFit="1" customWidth="1"/>
    <col min="11" max="11" width="10.5546875" customWidth="1"/>
    <col min="12" max="12" width="12.44140625" bestFit="1" customWidth="1"/>
    <col min="13" max="13" width="13" customWidth="1"/>
    <col min="14" max="14" width="11.44140625" customWidth="1"/>
    <col min="15" max="18" width="12.5546875" customWidth="1"/>
    <col min="19" max="19" width="13.33203125" customWidth="1"/>
  </cols>
  <sheetData>
    <row r="1" spans="1:16" ht="15" thickBot="1" x14ac:dyDescent="0.35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  <c r="L1" s="133"/>
      <c r="M1" s="133"/>
      <c r="N1" s="133"/>
      <c r="O1" s="133"/>
      <c r="P1" s="133"/>
    </row>
    <row r="2" spans="1:16" ht="15" thickBot="1" x14ac:dyDescent="0.35">
      <c r="A2" s="107"/>
      <c r="B2" s="108"/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10" t="s">
        <v>9</v>
      </c>
      <c r="L2" s="133"/>
      <c r="M2" s="133"/>
      <c r="N2" s="133"/>
      <c r="O2" s="133"/>
      <c r="P2" s="133"/>
    </row>
    <row r="3" spans="1:16" ht="15" thickBot="1" x14ac:dyDescent="0.35">
      <c r="A3" s="226" t="s">
        <v>10</v>
      </c>
      <c r="B3" s="227"/>
      <c r="C3" s="111">
        <v>12700</v>
      </c>
      <c r="D3" s="111">
        <v>6200</v>
      </c>
      <c r="E3" s="111">
        <v>6000</v>
      </c>
      <c r="F3" s="111">
        <v>41700</v>
      </c>
      <c r="G3" s="111">
        <v>7800</v>
      </c>
      <c r="H3" s="111">
        <v>200</v>
      </c>
      <c r="I3" s="111">
        <v>13500</v>
      </c>
      <c r="J3" s="111">
        <v>11900</v>
      </c>
      <c r="K3" s="112">
        <f>SUM(C3:J3)</f>
        <v>100000</v>
      </c>
      <c r="L3" s="133"/>
      <c r="M3" s="133"/>
      <c r="N3" s="133"/>
      <c r="O3" s="133"/>
      <c r="P3" s="133"/>
    </row>
    <row r="4" spans="1:16" ht="14.1" customHeight="1" x14ac:dyDescent="0.3">
      <c r="A4" s="228" t="s">
        <v>11</v>
      </c>
      <c r="B4" s="134" t="s">
        <v>12</v>
      </c>
      <c r="C4" s="135">
        <f>C3*'Loading Loss'!H20/2000</f>
        <v>5.8609780499403028</v>
      </c>
      <c r="D4" s="135">
        <f>D3*'Loading Loss'!B24/2000</f>
        <v>5.58</v>
      </c>
      <c r="E4" s="135">
        <f>E3*'Loading Loss'!H4/2000</f>
        <v>1.836165E-2</v>
      </c>
      <c r="F4" s="135">
        <f>F3*'Loading Loss'!H5/2000</f>
        <v>0.1110710775</v>
      </c>
      <c r="G4" s="135">
        <f>G3*'Loading Loss'!H6/2000</f>
        <v>1.4255786999999999E-2</v>
      </c>
      <c r="H4" s="135">
        <f>H3*'Loading Loss'!H3/2000</f>
        <v>0.61741032000000007</v>
      </c>
      <c r="I4" s="135">
        <f>I3*(AVERAGE('Loading Loss'!H7:H8))/2000</f>
        <v>3.1249566787499998</v>
      </c>
      <c r="J4" s="135">
        <f>J3*(AVERAGE('Loading Loss'!H9:H10))/2000</f>
        <v>0.83638346749999992</v>
      </c>
      <c r="K4" s="136">
        <f>SUM(C4:J4)</f>
        <v>16.163417030690301</v>
      </c>
      <c r="L4" s="133"/>
      <c r="M4" s="133"/>
      <c r="N4" s="133"/>
      <c r="O4" s="133"/>
      <c r="P4" s="133"/>
    </row>
    <row r="5" spans="1:16" x14ac:dyDescent="0.3">
      <c r="A5" s="229"/>
      <c r="B5" s="137" t="s">
        <v>13</v>
      </c>
      <c r="C5" s="138">
        <f>C3*'Loading Loss'!H20/2000</f>
        <v>5.8609780499403028</v>
      </c>
      <c r="D5" s="138">
        <f>D3*'Loading Loss'!C24/2000</f>
        <v>10.54</v>
      </c>
      <c r="E5" s="139">
        <f>'Loading Loss'!I4*'50000MP'!E3/2000</f>
        <v>1.533252595899E-3</v>
      </c>
      <c r="F5" s="138">
        <f>F3*'Loading Loss'!I5/2000</f>
        <v>0.27767758949999999</v>
      </c>
      <c r="G5" s="138">
        <f>G3*'Loading Loss'!I6/2000</f>
        <v>3.5639487000000004E-2</v>
      </c>
      <c r="H5" s="138">
        <f>H3*'Loading Loss'!I3/2000</f>
        <v>1.5435257999999998</v>
      </c>
      <c r="I5" s="138">
        <f>I3*(AVERAGE('Loading Loss'!I7:I8))/2000</f>
        <v>7.8123917474999995</v>
      </c>
      <c r="J5" s="138">
        <f>J3*(AVERAGE('Loading Loss'!I9:I10))/2000</f>
        <v>2.0909586687499999</v>
      </c>
      <c r="K5" s="140">
        <f>SUM(C5:J5)</f>
        <v>28.162704595286201</v>
      </c>
      <c r="L5" s="133"/>
      <c r="M5" s="133"/>
      <c r="N5" s="133"/>
      <c r="O5" s="133"/>
      <c r="P5" s="133"/>
    </row>
    <row r="6" spans="1:16" ht="15" thickBot="1" x14ac:dyDescent="0.35">
      <c r="A6" s="230"/>
      <c r="B6" s="141" t="s">
        <v>14</v>
      </c>
      <c r="C6" s="142">
        <f>AVERAGE(C4:C5)</f>
        <v>5.8609780499403028</v>
      </c>
      <c r="D6" s="142">
        <f t="shared" ref="D6:J6" si="0">AVERAGE(D4:D5)</f>
        <v>8.0599999999999987</v>
      </c>
      <c r="E6" s="142">
        <f t="shared" si="0"/>
        <v>9.9474512979494997E-3</v>
      </c>
      <c r="F6" s="142">
        <f t="shared" si="0"/>
        <v>0.1943743335</v>
      </c>
      <c r="G6" s="142">
        <f t="shared" si="0"/>
        <v>2.4947637000000002E-2</v>
      </c>
      <c r="H6" s="142">
        <f t="shared" si="0"/>
        <v>1.0804680599999998</v>
      </c>
      <c r="I6" s="142">
        <f t="shared" si="0"/>
        <v>5.4686742131249995</v>
      </c>
      <c r="J6" s="142">
        <f t="shared" si="0"/>
        <v>1.463671068125</v>
      </c>
      <c r="K6" s="143">
        <f>SUM(C6:J6)</f>
        <v>22.163060812988249</v>
      </c>
      <c r="L6" s="133"/>
      <c r="M6" s="133"/>
      <c r="N6" s="133"/>
      <c r="O6" s="133"/>
      <c r="P6" s="133"/>
    </row>
    <row r="7" spans="1:16" ht="15" thickBot="1" x14ac:dyDescent="0.35">
      <c r="A7" s="231" t="s">
        <v>15</v>
      </c>
      <c r="B7" s="232"/>
      <c r="C7" s="144">
        <f>C6/$K$6</f>
        <v>0.26444804259642629</v>
      </c>
      <c r="D7" s="144">
        <f t="shared" ref="D7:J7" si="1">D6/$K$6</f>
        <v>0.36366818049231658</v>
      </c>
      <c r="E7" s="144">
        <f t="shared" si="1"/>
        <v>4.4883021266268336E-4</v>
      </c>
      <c r="F7" s="144">
        <f t="shared" si="1"/>
        <v>8.7701935729964948E-3</v>
      </c>
      <c r="G7" s="144">
        <f t="shared" si="1"/>
        <v>1.1256404162993544E-3</v>
      </c>
      <c r="H7" s="144">
        <f t="shared" si="1"/>
        <v>4.8750850305243565E-2</v>
      </c>
      <c r="I7" s="144">
        <f t="shared" si="1"/>
        <v>0.24674724575588336</v>
      </c>
      <c r="J7" s="144">
        <f t="shared" si="1"/>
        <v>6.604101664817176E-2</v>
      </c>
      <c r="K7" s="145">
        <f>SUM(C7:J7)</f>
        <v>1.0000000000000002</v>
      </c>
      <c r="L7" s="133"/>
      <c r="M7" s="133"/>
      <c r="N7" s="133"/>
      <c r="O7" s="133"/>
      <c r="P7" s="133"/>
    </row>
    <row r="8" spans="1:16" ht="15" thickBot="1" x14ac:dyDescent="0.35">
      <c r="A8" s="146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33"/>
      <c r="M8" s="133"/>
      <c r="N8" s="133"/>
      <c r="O8" s="133"/>
      <c r="P8" s="133"/>
    </row>
    <row r="9" spans="1:16" ht="15" thickBot="1" x14ac:dyDescent="0.35">
      <c r="A9" s="233" t="s">
        <v>16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5"/>
    </row>
    <row r="10" spans="1:16" ht="72.599999999999994" thickBot="1" x14ac:dyDescent="0.35">
      <c r="A10" s="148"/>
      <c r="B10" s="207" t="s">
        <v>17</v>
      </c>
      <c r="C10" s="207" t="s">
        <v>18</v>
      </c>
      <c r="D10" s="207" t="s">
        <v>19</v>
      </c>
      <c r="E10" s="207" t="s">
        <v>20</v>
      </c>
      <c r="F10" s="207" t="s">
        <v>21</v>
      </c>
      <c r="G10" s="207" t="s">
        <v>22</v>
      </c>
      <c r="H10" s="207" t="s">
        <v>23</v>
      </c>
      <c r="I10" s="207" t="s">
        <v>24</v>
      </c>
      <c r="J10" s="207" t="s">
        <v>25</v>
      </c>
      <c r="K10" s="207" t="s">
        <v>26</v>
      </c>
      <c r="L10" s="207" t="s">
        <v>27</v>
      </c>
      <c r="M10" s="207" t="s">
        <v>28</v>
      </c>
      <c r="N10" s="207" t="s">
        <v>29</v>
      </c>
      <c r="O10" s="207" t="s">
        <v>30</v>
      </c>
      <c r="P10" s="208" t="s">
        <v>31</v>
      </c>
    </row>
    <row r="11" spans="1:16" x14ac:dyDescent="0.3">
      <c r="A11" s="149" t="s">
        <v>12</v>
      </c>
      <c r="B11" s="150">
        <f>(C4*'Fuel Composition'!$J$32/100)+(D4*'Fuel Composition'!$J$6/100)+(E4*'Fuel Composition'!$J$87/100)+(F4*'Fuel Composition'!$J$110/100)+(G4*'Fuel Composition'!$J$135/100)+(H4*'Fuel Composition'!$J$64/100)+(I4*('Loading Loss'!H9/('Loading Loss'!H9+'Loading Loss'!H10)))</f>
        <v>3.1911437863169159</v>
      </c>
      <c r="C11" s="150">
        <f>(C4*'Fuel Composition'!$J$33/100)+(E4*'Fuel Composition'!$J$88/100)+(F4*'Fuel Composition'!$J$111/100)</f>
        <v>6.0445945499403041E-6</v>
      </c>
      <c r="D11" s="150">
        <f>G4*'Fuel Composition'!$J$137/100</f>
        <v>2.4477186279E-3</v>
      </c>
      <c r="E11" s="150">
        <f>D4*'Fuel Composition'!$J$12/100</f>
        <v>2.3435999999999997E-4</v>
      </c>
      <c r="F11" s="150">
        <f>(D4*'Fuel Composition'!$J$10/100)+(C4*'Fuel Composition'!$J$35/100)+(E4*'Fuel Composition'!$J$89/100)+(F4*'Fuel Composition'!$J$112/100)+(G4*'Fuel Composition'!$J$136/100)+(H4*'Fuel Composition'!$J$74/100)</f>
        <v>5.70923778073806E-3</v>
      </c>
      <c r="G11" s="150">
        <f>J4*('Loading Loss'!H10/('Loading Loss'!H10+'Loading Loss'!H9))</f>
        <v>8.8994149999999995E-4</v>
      </c>
      <c r="H11" s="150">
        <f>(D4*'Fuel Composition'!$J$7/100)+(C4*'Fuel Composition'!$J$36/100)+(E4*'Fuel Composition'!$J$90/100)+(F4*'Fuel Composition'!$J$113/100)+(H4*'Fuel Composition'!$J$66/100)</f>
        <v>0.26859248272176883</v>
      </c>
      <c r="I11" s="150">
        <f>J4*('Loading Loss'!H9/('Loading Loss'!H9+'Loading Loss'!H10))</f>
        <v>0.83549352600000004</v>
      </c>
      <c r="J11" s="150">
        <f>(D4*'Fuel Composition'!$J$13/100)+(C4*'Fuel Composition'!$J$37/100)+(E4*'Fuel Composition'!$J$91/100)+(F4*'Fuel Composition'!$J$114/100)+(G4*'Fuel Composition'!$J$138/100)</f>
        <v>7.163184494976122E-5</v>
      </c>
      <c r="K11" s="150">
        <f>(C4*'Fuel Composition'!$J$39/100)+(E4*'Fuel Composition'!$J$92/100)+(F4*'Fuel Composition'!$J$115/100)</f>
        <v>7.1462935499403028E-5</v>
      </c>
      <c r="L11" s="150">
        <f>(D4*'Fuel Composition'!$J$8/100)+(C4*'Fuel Composition'!$J$40/100)+(E4*'Fuel Composition'!$J$93/100)+(F4*'Fuel Composition'!$J$117/100)+(G4*'Fuel Composition'!$J$139/100)+(H4*'Fuel Composition'!$J$68/100)+(I4*('Loading Loss'!H8/('Loading Loss'!H8+'Loading Loss'!H7)))</f>
        <v>0.88131246511848638</v>
      </c>
      <c r="M11" s="150">
        <f>D4*'Fuel Composition'!$J$11/100</f>
        <v>1.5624000000000002E-2</v>
      </c>
      <c r="N11" s="151">
        <f>F4*'Fuel Composition'!$J$116/100</f>
        <v>1.1107107750000002E-5</v>
      </c>
      <c r="O11" s="151">
        <f>(C4*'Fuel Composition'!$J$42/100)+(D4*'Fuel Composition'!$J$9/100)+(E4*'Fuel Composition'!$J$94/100)+(F4*'Fuel Composition'!$J$118/100)+(G4*'Fuel Composition'!$J$140/100)+(H4*'Fuel Composition'!$J$69/100)</f>
        <v>2.3483895036846274E-2</v>
      </c>
      <c r="P11" s="152">
        <f>SUM(B11:O11)</f>
        <v>5.2250916595854031</v>
      </c>
    </row>
    <row r="12" spans="1:16" x14ac:dyDescent="0.3">
      <c r="A12" s="153" t="s">
        <v>13</v>
      </c>
      <c r="B12" s="154">
        <f>(C5*'Fuel Composition'!$J$32/100)+(D5*'Fuel Composition'!$J$6/100)+(E5*'Fuel Composition'!$J$87/100)+(F5*'Fuel Composition'!$J$110/100)+(G5*'Fuel Composition'!$J$135/100)+(H5*'Fuel Composition'!$J$64/100)+(I5*('Loading Loss'!H10/('Loading Loss'!H10+'Loading Loss'!H11)))</f>
        <v>7.9298270902442676</v>
      </c>
      <c r="C12" s="154">
        <f>(C5*'Fuel Composition'!$J$33/100)+(E5*'Fuel Composition'!$J$88/100)+(F5*'Fuel Composition'!$J$111/100)</f>
        <v>5.8763105758992939E-6</v>
      </c>
      <c r="D12" s="154">
        <f>G5*'Fuel Composition'!$J$137/100</f>
        <v>6.1192999179000016E-3</v>
      </c>
      <c r="E12" s="154">
        <f>D5*'Fuel Composition'!$J$12/100</f>
        <v>4.4267999999999993E-4</v>
      </c>
      <c r="F12" s="154">
        <f>(D5*'Fuel Composition'!$J$10/100)+(C5*'Fuel Composition'!$J$35/100)+(E5*'Fuel Composition'!$J$89/100)+(F5*'Fuel Composition'!$J$112/100)+(G5*'Fuel Composition'!$J$136/100)+(H5*'Fuel Composition'!$J$74/100)</f>
        <v>9.9725029730237062E-3</v>
      </c>
      <c r="G12" s="154">
        <f>J5*('Loading Loss'!I10/('Loading Loss'!I10+'Loading Loss'!I9))</f>
        <v>2.2248835000000002E-3</v>
      </c>
      <c r="H12" s="154">
        <f>(D5*'Fuel Composition'!$J$7/100)+(C5*'Fuel Composition'!$J$36/100)+(E5*'Fuel Composition'!$J$90/100)+(F5*'Fuel Composition'!$J$113/100)+(H5*'Fuel Composition'!$J$66/100)</f>
        <v>0.38914216025839893</v>
      </c>
      <c r="I12" s="154">
        <f>J5*('Loading Loss'!I9/('Loading Loss'!I10+'Loading Loss'!I9))</f>
        <v>2.0887337852499996</v>
      </c>
      <c r="J12" s="154">
        <f>(D5*'Fuel Composition'!$J$13/100)+(C5*'Fuel Composition'!$J$37/100)+(E5*'Fuel Composition'!$J$91/100)+(F5*'Fuel Composition'!$J$114/100)+(G5*'Fuel Composition'!$J$138/100)</f>
        <v>1.046782974477107E-4</v>
      </c>
      <c r="K12" s="154">
        <f>(C5*'Fuel Composition'!$J$39/100)+(E5*'Fuel Composition'!$J$92/100)+(F5*'Fuel Composition'!$J$115/100)</f>
        <v>5.968305731653233E-5</v>
      </c>
      <c r="L12" s="155">
        <f>(D5*'Fuel Composition'!$J$8/100)+(C5*'Fuel Composition'!$J$40/100)+(E5*'Fuel Composition'!$J$93/100)+(F5*'Fuel Composition'!$J$117/100)+(G5*'Fuel Composition'!$J$139/100)+(H5*'Fuel Composition'!$J$68/100)+(I5*('Loading Loss'!I8/('Loading Loss'!I8+'Loading Loss'!I7)))</f>
        <v>2.1506208754885012</v>
      </c>
      <c r="M12" s="154">
        <f>D5*'Fuel Composition'!$J$11/100</f>
        <v>2.9512E-2</v>
      </c>
      <c r="N12" s="155">
        <f>F5*'Fuel Composition'!$J$116/100</f>
        <v>2.7767758949999997E-5</v>
      </c>
      <c r="O12" s="154">
        <f>(C5*'Fuel Composition'!$J$42/100)+(D5*'Fuel Composition'!$J$9/100)+(E5*'Fuel Composition'!$J$94/100)+(F5*'Fuel Composition'!$J$118/100)+(G5*'Fuel Composition'!$J$140/100)+('100000MP'!H5*'Fuel Composition'!$J$69/100)</f>
        <v>3.987588731575388E-2</v>
      </c>
      <c r="P12" s="156">
        <f>SUM(B12:O12)</f>
        <v>12.646669170372135</v>
      </c>
    </row>
    <row r="13" spans="1:16" ht="15" thickBot="1" x14ac:dyDescent="0.35">
      <c r="A13" s="157" t="s">
        <v>14</v>
      </c>
      <c r="B13" s="158">
        <f>AVERAGE(B11:B12)</f>
        <v>5.5604854382805922</v>
      </c>
      <c r="C13" s="158">
        <f t="shared" ref="C13:O13" si="2">AVERAGE(C11:C12)</f>
        <v>5.9604525629197994E-6</v>
      </c>
      <c r="D13" s="158">
        <f t="shared" si="2"/>
        <v>4.2835092729000008E-3</v>
      </c>
      <c r="E13" s="158">
        <f t="shared" si="2"/>
        <v>3.3851999999999992E-4</v>
      </c>
      <c r="F13" s="158">
        <f t="shared" si="2"/>
        <v>7.8408703768808839E-3</v>
      </c>
      <c r="G13" s="158">
        <f t="shared" si="2"/>
        <v>1.5574124999999999E-3</v>
      </c>
      <c r="H13" s="158">
        <f t="shared" si="2"/>
        <v>0.32886732149008391</v>
      </c>
      <c r="I13" s="158">
        <f t="shared" si="2"/>
        <v>1.4621136556249998</v>
      </c>
      <c r="J13" s="158">
        <f t="shared" si="2"/>
        <v>8.8155071198735952E-5</v>
      </c>
      <c r="K13" s="158">
        <f t="shared" si="2"/>
        <v>6.5572996407967679E-5</v>
      </c>
      <c r="L13" s="158">
        <f t="shared" si="2"/>
        <v>1.5159666703034937</v>
      </c>
      <c r="M13" s="158">
        <f t="shared" si="2"/>
        <v>2.2568000000000001E-2</v>
      </c>
      <c r="N13" s="158">
        <f t="shared" si="2"/>
        <v>1.9437433349999999E-5</v>
      </c>
      <c r="O13" s="158">
        <f t="shared" si="2"/>
        <v>3.1679891176300073E-2</v>
      </c>
      <c r="P13" s="159">
        <f>SUM(B13:O13)</f>
        <v>8.9358804149787687</v>
      </c>
    </row>
    <row r="14" spans="1:16" ht="15" thickBot="1" x14ac:dyDescent="0.3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x14ac:dyDescent="0.3">
      <c r="A15" s="160" t="s">
        <v>32</v>
      </c>
      <c r="B15" s="161">
        <v>0.97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ht="15" thickBot="1" x14ac:dyDescent="0.35">
      <c r="A16" s="162" t="s">
        <v>33</v>
      </c>
      <c r="B16" s="159">
        <v>672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21" ht="15" thickBot="1" x14ac:dyDescent="0.35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21" ht="28.8" x14ac:dyDescent="0.3">
      <c r="A18" s="200" t="s">
        <v>34</v>
      </c>
      <c r="B18" s="202" t="s">
        <v>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21" x14ac:dyDescent="0.3">
      <c r="A19" s="153">
        <f>K3*1000/42/5000</f>
        <v>476.1904761904762</v>
      </c>
      <c r="B19" s="156">
        <f>SUM(C3,D3,H3,(0.5*I3),(0.5*J3))*1000/42/5000</f>
        <v>151.42857142857144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</row>
    <row r="20" spans="1:21" ht="30.6" customHeight="1" x14ac:dyDescent="0.3">
      <c r="A20" s="215" t="s">
        <v>36</v>
      </c>
      <c r="B20" s="216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1:21" ht="15" thickBot="1" x14ac:dyDescent="0.35">
      <c r="A21" s="163">
        <f>A19*1.1+100</f>
        <v>623.80952380952385</v>
      </c>
      <c r="B21" s="159">
        <f>B19*1.1+100</f>
        <v>266.57142857142861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21" ht="15" thickBot="1" x14ac:dyDescent="0.35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21" x14ac:dyDescent="0.3">
      <c r="A23" s="169" t="s">
        <v>37</v>
      </c>
      <c r="B23" s="133"/>
      <c r="C23" s="217" t="s">
        <v>38</v>
      </c>
      <c r="D23" s="133"/>
      <c r="F23" s="133"/>
      <c r="G23" s="133"/>
      <c r="H23" s="133"/>
      <c r="I23" s="133"/>
      <c r="J23" s="133"/>
      <c r="K23" s="133"/>
      <c r="L23" s="133"/>
      <c r="M23" s="133"/>
    </row>
    <row r="24" spans="1:21" x14ac:dyDescent="0.3">
      <c r="A24" s="170" t="s">
        <v>39</v>
      </c>
      <c r="B24" s="133"/>
      <c r="C24" s="218"/>
      <c r="D24" s="133"/>
      <c r="E24" s="133"/>
      <c r="F24" s="133"/>
      <c r="G24" s="133"/>
      <c r="H24" s="133"/>
      <c r="I24" s="133"/>
      <c r="J24" s="133"/>
      <c r="K24" s="133"/>
      <c r="L24" s="133"/>
      <c r="M24" s="133"/>
    </row>
    <row r="25" spans="1:21" ht="15" thickBot="1" x14ac:dyDescent="0.35">
      <c r="A25" s="164">
        <f>D6*2000/(D3*1000/42/5000)</f>
        <v>545.99999999999989</v>
      </c>
      <c r="B25" s="133"/>
      <c r="C25" s="194">
        <f>B15*SUM(C6,D6,H6,(0.74*I6),J6)</f>
        <v>19.896578012904467</v>
      </c>
      <c r="D25" s="185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</row>
    <row r="26" spans="1:21" x14ac:dyDescent="0.3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21" x14ac:dyDescent="0.3">
      <c r="A27" s="133"/>
      <c r="B27" s="219" t="s">
        <v>40</v>
      </c>
      <c r="C27" s="219"/>
      <c r="D27" s="219"/>
      <c r="E27" s="219"/>
      <c r="F27" s="219"/>
      <c r="G27" s="219"/>
      <c r="H27" s="219"/>
      <c r="I27" s="219"/>
      <c r="J27" s="219"/>
      <c r="K27" s="133"/>
      <c r="M27" s="214" t="s">
        <v>41</v>
      </c>
      <c r="N27" s="214"/>
      <c r="O27" s="214"/>
      <c r="P27" s="214"/>
      <c r="Q27" s="214"/>
      <c r="R27" s="214"/>
      <c r="S27" s="214"/>
    </row>
    <row r="28" spans="1:21" ht="14.4" customHeight="1" x14ac:dyDescent="0.3">
      <c r="A28" s="133"/>
      <c r="B28" s="221" t="s">
        <v>42</v>
      </c>
      <c r="C28" s="221"/>
      <c r="D28" s="221"/>
      <c r="E28" s="221"/>
      <c r="F28" s="221"/>
      <c r="G28" s="221"/>
      <c r="H28" s="220" t="s">
        <v>43</v>
      </c>
      <c r="I28" s="220" t="s">
        <v>44</v>
      </c>
      <c r="J28" s="220" t="s">
        <v>45</v>
      </c>
      <c r="K28" s="133"/>
      <c r="M28" s="222" t="s">
        <v>42</v>
      </c>
      <c r="N28" s="222"/>
      <c r="O28" s="222"/>
      <c r="P28" s="222"/>
      <c r="Q28" s="213" t="s">
        <v>43</v>
      </c>
      <c r="R28" s="213" t="s">
        <v>44</v>
      </c>
      <c r="S28" s="213" t="s">
        <v>45</v>
      </c>
    </row>
    <row r="29" spans="1:21" ht="43.2" x14ac:dyDescent="0.3">
      <c r="A29" s="133"/>
      <c r="B29" s="206" t="s">
        <v>46</v>
      </c>
      <c r="C29" s="206" t="s">
        <v>47</v>
      </c>
      <c r="D29" s="206" t="s">
        <v>48</v>
      </c>
      <c r="E29" s="206" t="s">
        <v>49</v>
      </c>
      <c r="F29" s="206" t="s">
        <v>50</v>
      </c>
      <c r="G29" s="206" t="s">
        <v>51</v>
      </c>
      <c r="H29" s="220"/>
      <c r="I29" s="220"/>
      <c r="J29" s="220"/>
      <c r="K29" s="133"/>
      <c r="L29" s="133"/>
      <c r="M29" s="209" t="s">
        <v>46</v>
      </c>
      <c r="N29" s="209" t="s">
        <v>47</v>
      </c>
      <c r="O29" s="209" t="s">
        <v>48</v>
      </c>
      <c r="P29" s="209" t="s">
        <v>49</v>
      </c>
      <c r="Q29" s="213"/>
      <c r="R29" s="213"/>
      <c r="S29" s="213"/>
      <c r="T29" s="133"/>
    </row>
    <row r="30" spans="1:21" x14ac:dyDescent="0.3">
      <c r="A30" s="165" t="s">
        <v>52</v>
      </c>
      <c r="B30" s="154"/>
      <c r="C30" s="154"/>
      <c r="D30" s="154"/>
      <c r="E30" s="154"/>
      <c r="F30" s="154"/>
      <c r="G30" s="154"/>
      <c r="H30" s="154"/>
      <c r="I30" s="154"/>
      <c r="J30" s="154"/>
      <c r="K30" s="133"/>
      <c r="L30" s="175" t="s">
        <v>52</v>
      </c>
      <c r="M30" s="154"/>
      <c r="N30" s="154"/>
      <c r="O30" s="154"/>
      <c r="P30" s="154"/>
      <c r="Q30" s="154"/>
      <c r="R30" s="154"/>
      <c r="S30" s="154"/>
      <c r="T30" s="133"/>
    </row>
    <row r="31" spans="1:21" x14ac:dyDescent="0.3">
      <c r="A31" s="154" t="s">
        <v>53</v>
      </c>
      <c r="B31" s="181">
        <v>3686375</v>
      </c>
      <c r="C31" s="181">
        <v>267215</v>
      </c>
      <c r="D31" s="181">
        <f>E43*(B31-((1.08*E45*E46)+(E47*E46/E48)))</f>
        <v>373972.32055217243</v>
      </c>
      <c r="E31" s="181">
        <f>C31+D31</f>
        <v>641187.32055217237</v>
      </c>
      <c r="F31" s="181">
        <f>B16*B15*SUM(C6,D6,H6,(0.74*I6),J6)</f>
        <v>13370.500424671804</v>
      </c>
      <c r="G31" s="181">
        <f>C31+D31-F31</f>
        <v>627816.82012750057</v>
      </c>
      <c r="H31" s="166">
        <f>($P$13*B15*SUM(C7,D7,H7,(0.74*I7),J7))</f>
        <v>8.0220617220171011</v>
      </c>
      <c r="I31" s="181">
        <f>G31/H31</f>
        <v>78261.280189906043</v>
      </c>
      <c r="J31" s="181"/>
      <c r="K31" s="133"/>
      <c r="L31" s="176" t="s">
        <v>53</v>
      </c>
      <c r="M31" s="181">
        <v>447809</v>
      </c>
      <c r="N31" s="181">
        <v>75093</v>
      </c>
      <c r="O31" s="181">
        <f>M31*O43</f>
        <v>50731.043979752729</v>
      </c>
      <c r="P31" s="181">
        <f>N31+O31</f>
        <v>125824.04397975272</v>
      </c>
      <c r="Q31" s="166">
        <f>H31</f>
        <v>8.0220617220171011</v>
      </c>
      <c r="R31" s="181">
        <f>(N31+O31)/Q31</f>
        <v>15684.751419254226</v>
      </c>
      <c r="S31" s="181"/>
      <c r="T31" s="133"/>
    </row>
    <row r="32" spans="1:21" x14ac:dyDescent="0.3">
      <c r="A32" s="154" t="s">
        <v>54</v>
      </c>
      <c r="B32" s="181">
        <v>3686375</v>
      </c>
      <c r="C32" s="181">
        <v>295097</v>
      </c>
      <c r="D32" s="181">
        <f>E43*(B32-((1.08*E45*E46)+(E47*E46/E48)))</f>
        <v>373972.32055217243</v>
      </c>
      <c r="E32" s="181">
        <f>C32+D32</f>
        <v>669069.32055217237</v>
      </c>
      <c r="F32" s="181">
        <f>K6*B16*B15</f>
        <v>14446.76956033826</v>
      </c>
      <c r="G32" s="181">
        <f>C32+D32-F32</f>
        <v>654622.55099183414</v>
      </c>
      <c r="H32" s="166">
        <f>$P$13*B15</f>
        <v>8.6678040025294063</v>
      </c>
      <c r="I32" s="181">
        <f>G32/H32</f>
        <v>75523.460244463844</v>
      </c>
      <c r="J32" s="181">
        <f>(G32-G31)/(H32-H31)</f>
        <v>41511.500289352298</v>
      </c>
      <c r="K32" s="133"/>
      <c r="L32" s="176" t="s">
        <v>54</v>
      </c>
      <c r="M32" s="181">
        <v>447809</v>
      </c>
      <c r="N32" s="181">
        <v>153068</v>
      </c>
      <c r="O32" s="181">
        <f>M32*O43</f>
        <v>50731.043979752729</v>
      </c>
      <c r="P32" s="181">
        <f>N32+O32</f>
        <v>203799.04397975272</v>
      </c>
      <c r="Q32" s="166">
        <f>H32</f>
        <v>8.6678040025294063</v>
      </c>
      <c r="R32" s="181">
        <f>(N32+O32)/Q32</f>
        <v>23512.188775874587</v>
      </c>
      <c r="S32" s="181">
        <f>(N32+O32-N31-O31)/(Q32-Q31)</f>
        <v>120752.50816492589</v>
      </c>
      <c r="T32" s="133"/>
      <c r="U32" s="53"/>
    </row>
    <row r="33" spans="1:18" x14ac:dyDescent="0.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53"/>
    </row>
    <row r="34" spans="1:18" x14ac:dyDescent="0.3">
      <c r="A34" s="133"/>
      <c r="B34" s="133"/>
      <c r="C34" s="133"/>
      <c r="E34" s="133"/>
      <c r="F34" s="133"/>
      <c r="G34" s="133"/>
      <c r="H34" s="133"/>
      <c r="I34" s="133"/>
      <c r="J34" s="133"/>
      <c r="K34" s="133"/>
      <c r="L34" s="133"/>
      <c r="M34" s="133"/>
      <c r="O34" s="133"/>
      <c r="P34" s="133"/>
      <c r="Q34" s="53"/>
    </row>
    <row r="35" spans="1:18" x14ac:dyDescent="0.3">
      <c r="A35" s="168" t="s">
        <v>55</v>
      </c>
      <c r="B35" s="133"/>
      <c r="C35" s="133"/>
      <c r="E35" s="133"/>
      <c r="F35" s="133"/>
      <c r="G35" s="133"/>
      <c r="H35" s="133"/>
      <c r="I35" s="133"/>
      <c r="J35" s="133"/>
      <c r="K35" s="133"/>
      <c r="L35" s="133"/>
      <c r="M35" s="133"/>
      <c r="O35" s="133"/>
      <c r="P35" s="133"/>
      <c r="Q35" s="53"/>
    </row>
    <row r="36" spans="1:18" x14ac:dyDescent="0.3">
      <c r="A36" s="133" t="s">
        <v>56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53"/>
    </row>
    <row r="37" spans="1:18" ht="15.6" x14ac:dyDescent="0.3">
      <c r="A37" s="133" t="s">
        <v>57</v>
      </c>
      <c r="B37" s="133"/>
      <c r="C37" s="133"/>
      <c r="D37" s="133"/>
      <c r="E37" s="188"/>
      <c r="F37" s="188"/>
      <c r="G37" s="188"/>
      <c r="H37" s="147"/>
      <c r="I37" s="147"/>
      <c r="J37" s="133"/>
      <c r="K37" s="133"/>
      <c r="L37" s="133"/>
      <c r="M37" s="133"/>
      <c r="N37" s="133"/>
      <c r="O37" s="133"/>
      <c r="P37" s="133"/>
      <c r="Q37" s="53"/>
    </row>
    <row r="38" spans="1:18" ht="15.6" x14ac:dyDescent="0.3">
      <c r="A38" s="133" t="s">
        <v>58</v>
      </c>
      <c r="B38" s="133"/>
      <c r="C38" s="133"/>
      <c r="D38" s="133"/>
      <c r="E38" s="188"/>
      <c r="F38" s="188"/>
      <c r="G38" s="188"/>
      <c r="H38" s="147"/>
      <c r="I38" s="147"/>
      <c r="J38" s="133"/>
      <c r="K38" s="133"/>
      <c r="L38" s="133"/>
      <c r="M38" s="133"/>
      <c r="N38" s="133"/>
      <c r="O38" s="133"/>
      <c r="P38" s="133"/>
      <c r="Q38" s="53"/>
    </row>
    <row r="39" spans="1:18" x14ac:dyDescent="0.3">
      <c r="A39" s="133"/>
      <c r="B39" s="133"/>
      <c r="C39" s="133"/>
      <c r="D39" s="133"/>
      <c r="E39" s="147"/>
      <c r="F39" s="147"/>
      <c r="G39" s="147"/>
      <c r="H39" s="147"/>
      <c r="I39" s="147"/>
      <c r="J39" s="133"/>
      <c r="K39" s="133"/>
      <c r="L39" s="133"/>
      <c r="M39" s="133"/>
      <c r="N39" s="133"/>
      <c r="O39" s="133"/>
      <c r="P39" s="133"/>
      <c r="Q39" s="53"/>
    </row>
    <row r="40" spans="1:18" x14ac:dyDescent="0.3">
      <c r="Q40" s="53"/>
      <c r="R40" s="53"/>
    </row>
    <row r="41" spans="1:18" x14ac:dyDescent="0.3">
      <c r="Q41" s="53"/>
    </row>
    <row r="42" spans="1:18" ht="19.2" x14ac:dyDescent="0.45">
      <c r="D42" s="179" t="s">
        <v>59</v>
      </c>
      <c r="E42" s="133"/>
      <c r="F42" s="133"/>
      <c r="N42" s="180" t="s">
        <v>60</v>
      </c>
    </row>
    <row r="43" spans="1:18" x14ac:dyDescent="0.3">
      <c r="D43" s="133" t="s">
        <v>61</v>
      </c>
      <c r="E43" s="133">
        <f>(E49*(1+E49)^15)/(((1+E49)^15)-1)</f>
        <v>0.11328723625419036</v>
      </c>
      <c r="F43" s="133" t="s">
        <v>62</v>
      </c>
      <c r="N43" t="s">
        <v>63</v>
      </c>
      <c r="O43">
        <f>(O45*(1+O45)^15)/(((1+O45)^15)-1)</f>
        <v>0.11328723625419036</v>
      </c>
    </row>
    <row r="44" spans="1:18" x14ac:dyDescent="0.3">
      <c r="D44" s="133" t="s">
        <v>64</v>
      </c>
      <c r="E44" s="133">
        <f>B32</f>
        <v>3686375</v>
      </c>
      <c r="F44" s="133" t="s">
        <v>65</v>
      </c>
      <c r="N44" t="s">
        <v>64</v>
      </c>
      <c r="O44">
        <f>M31</f>
        <v>447809</v>
      </c>
    </row>
    <row r="45" spans="1:18" x14ac:dyDescent="0.3">
      <c r="D45" s="133" t="s">
        <v>66</v>
      </c>
      <c r="E45" s="133">
        <v>5.56</v>
      </c>
      <c r="F45" s="133" t="s">
        <v>67</v>
      </c>
      <c r="N45" t="s">
        <v>68</v>
      </c>
      <c r="O45">
        <v>7.4999999999999997E-2</v>
      </c>
    </row>
    <row r="46" spans="1:18" x14ac:dyDescent="0.3">
      <c r="D46" s="133" t="s">
        <v>69</v>
      </c>
      <c r="E46" s="133">
        <v>62932</v>
      </c>
      <c r="F46" s="133" t="s">
        <v>70</v>
      </c>
    </row>
    <row r="47" spans="1:18" x14ac:dyDescent="0.3">
      <c r="D47" s="133" t="s">
        <v>71</v>
      </c>
      <c r="E47">
        <v>44.46</v>
      </c>
      <c r="F47" s="133" t="s">
        <v>72</v>
      </c>
    </row>
    <row r="48" spans="1:18" x14ac:dyDescent="0.3">
      <c r="D48" s="133" t="s">
        <v>73</v>
      </c>
      <c r="E48">
        <v>379</v>
      </c>
      <c r="F48" t="s">
        <v>74</v>
      </c>
    </row>
    <row r="49" spans="4:5" x14ac:dyDescent="0.3">
      <c r="D49" s="133" t="s">
        <v>68</v>
      </c>
      <c r="E49">
        <v>7.4999999999999997E-2</v>
      </c>
    </row>
  </sheetData>
  <mergeCells count="17">
    <mergeCell ref="A1:K1"/>
    <mergeCell ref="A3:B3"/>
    <mergeCell ref="A4:A6"/>
    <mergeCell ref="A7:B7"/>
    <mergeCell ref="A9:P9"/>
    <mergeCell ref="Q28:Q29"/>
    <mergeCell ref="R28:R29"/>
    <mergeCell ref="S28:S29"/>
    <mergeCell ref="M27:S27"/>
    <mergeCell ref="A20:B20"/>
    <mergeCell ref="C23:C24"/>
    <mergeCell ref="B27:J27"/>
    <mergeCell ref="H28:H29"/>
    <mergeCell ref="I28:I29"/>
    <mergeCell ref="B28:G28"/>
    <mergeCell ref="J28:J29"/>
    <mergeCell ref="M28:P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C7A7-126D-446D-B7DE-42FFA41A0B95}">
  <dimension ref="A1:U49"/>
  <sheetViews>
    <sheetView workbookViewId="0">
      <selection activeCell="F19" sqref="F19"/>
    </sheetView>
  </sheetViews>
  <sheetFormatPr defaultRowHeight="14.4" x14ac:dyDescent="0.3"/>
  <cols>
    <col min="1" max="1" width="21.44140625" customWidth="1"/>
    <col min="2" max="2" width="15.6640625" bestFit="1" customWidth="1"/>
    <col min="3" max="3" width="16.88671875" customWidth="1"/>
    <col min="4" max="4" width="11.44140625" customWidth="1"/>
    <col min="5" max="5" width="10.5546875" customWidth="1"/>
    <col min="6" max="6" width="16.44140625" customWidth="1"/>
    <col min="7" max="7" width="15.44140625" customWidth="1"/>
    <col min="8" max="8" width="17.5546875" customWidth="1"/>
    <col min="9" max="9" width="17.88671875" bestFit="1" customWidth="1"/>
    <col min="10" max="10" width="12.33203125" bestFit="1" customWidth="1"/>
    <col min="11" max="11" width="10.5546875" customWidth="1"/>
    <col min="12" max="12" width="12.33203125" bestFit="1" customWidth="1"/>
    <col min="13" max="13" width="13" customWidth="1"/>
    <col min="14" max="14" width="11.44140625" customWidth="1"/>
    <col min="15" max="15" width="12.5546875" customWidth="1"/>
    <col min="16" max="16" width="11.5546875" customWidth="1"/>
    <col min="17" max="18" width="12.6640625" customWidth="1"/>
    <col min="19" max="19" width="11.88671875" customWidth="1"/>
  </cols>
  <sheetData>
    <row r="1" spans="1:16" ht="15" thickBot="1" x14ac:dyDescent="0.35">
      <c r="A1" s="223" t="s">
        <v>75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  <c r="L1" s="133"/>
      <c r="M1" s="133"/>
      <c r="N1" s="133"/>
      <c r="O1" s="133"/>
      <c r="P1" s="133"/>
    </row>
    <row r="2" spans="1:16" ht="15" thickBot="1" x14ac:dyDescent="0.35">
      <c r="A2" s="107"/>
      <c r="B2" s="108"/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10" t="s">
        <v>9</v>
      </c>
      <c r="L2" s="133"/>
      <c r="M2" s="133"/>
      <c r="N2" s="133"/>
      <c r="O2" s="133"/>
      <c r="P2" s="133"/>
    </row>
    <row r="3" spans="1:16" ht="15" thickBot="1" x14ac:dyDescent="0.35">
      <c r="A3" s="226" t="s">
        <v>10</v>
      </c>
      <c r="B3" s="227"/>
      <c r="C3" s="111">
        <v>78300</v>
      </c>
      <c r="D3" s="111">
        <v>87000</v>
      </c>
      <c r="E3" s="111">
        <v>27400</v>
      </c>
      <c r="F3" s="111">
        <v>144400</v>
      </c>
      <c r="G3" s="111">
        <v>62400</v>
      </c>
      <c r="H3" s="111">
        <v>20900</v>
      </c>
      <c r="I3" s="111">
        <v>4100</v>
      </c>
      <c r="J3" s="111">
        <v>75500</v>
      </c>
      <c r="K3" s="112">
        <f>SUM(C3:J3)</f>
        <v>500000</v>
      </c>
      <c r="L3" s="133"/>
      <c r="M3" s="133"/>
      <c r="N3" s="133"/>
      <c r="O3" s="133"/>
      <c r="P3" s="133"/>
    </row>
    <row r="4" spans="1:16" ht="14.1" customHeight="1" x14ac:dyDescent="0.3">
      <c r="A4" s="228" t="s">
        <v>11</v>
      </c>
      <c r="B4" s="134" t="s">
        <v>12</v>
      </c>
      <c r="C4" s="135">
        <f>C3*'Loading Loss'!H20/2000</f>
        <v>36.135006402387852</v>
      </c>
      <c r="D4" s="135">
        <f>D3*'Loading Loss'!B24/2000</f>
        <v>78.3</v>
      </c>
      <c r="E4" s="135">
        <f>E3*'Loading Loss'!H4/2000</f>
        <v>8.3851535000000005E-2</v>
      </c>
      <c r="F4" s="135">
        <f>F3*'Loading Loss'!H5/2000</f>
        <v>0.38462023000000001</v>
      </c>
      <c r="G4" s="135">
        <f>G3*'Loading Loss'!H6/2000</f>
        <v>0.11404629599999999</v>
      </c>
      <c r="H4" s="135">
        <f>H3*'Loading Loss'!H3/2000</f>
        <v>64.519378439999997</v>
      </c>
      <c r="I4" s="135">
        <f>I3*(AVERAGE('Loading Loss'!H7:H8))/2000</f>
        <v>0.94906091724999997</v>
      </c>
      <c r="J4" s="135">
        <f>J3*(AVERAGE('Loading Loss'!H9:H10))/2000</f>
        <v>5.3064665374999995</v>
      </c>
      <c r="K4" s="136">
        <f>SUM(C4:J4)</f>
        <v>185.79243035813784</v>
      </c>
      <c r="L4" s="133"/>
      <c r="M4" s="133"/>
      <c r="N4" s="133"/>
      <c r="O4" s="133"/>
      <c r="P4" s="133"/>
    </row>
    <row r="5" spans="1:16" x14ac:dyDescent="0.3">
      <c r="A5" s="229"/>
      <c r="B5" s="137" t="s">
        <v>13</v>
      </c>
      <c r="C5" s="138">
        <f>C3*'Loading Loss'!H20/2000</f>
        <v>36.135006402387852</v>
      </c>
      <c r="D5" s="138">
        <f>D3*'Loading Loss'!C24/2000</f>
        <v>147.9</v>
      </c>
      <c r="E5" s="139">
        <f>'Loading Loss'!I4*'50000MP'!E3/2000</f>
        <v>1.533252595899E-3</v>
      </c>
      <c r="F5" s="138">
        <f>F3*'Loading Loss'!I5/2000</f>
        <v>0.96155021400000007</v>
      </c>
      <c r="G5" s="138">
        <f>G3*'Loading Loss'!I6/2000</f>
        <v>0.28511589600000004</v>
      </c>
      <c r="H5" s="138">
        <f>H3*'Loading Loss'!I3/2000</f>
        <v>161.29844610000001</v>
      </c>
      <c r="I5" s="138">
        <f>I3*(AVERAGE('Loading Loss'!I7:I8))/2000</f>
        <v>2.3726523084999998</v>
      </c>
      <c r="J5" s="138">
        <f>J3*(AVERAGE('Loading Loss'!I9:I10))/2000</f>
        <v>13.266166343750001</v>
      </c>
      <c r="K5" s="140">
        <f>SUM(C5:J5)</f>
        <v>362.22047051723376</v>
      </c>
      <c r="L5" s="133"/>
      <c r="M5" s="133"/>
      <c r="N5" s="133"/>
      <c r="O5" s="133"/>
      <c r="P5" s="133"/>
    </row>
    <row r="6" spans="1:16" ht="15" thickBot="1" x14ac:dyDescent="0.35">
      <c r="A6" s="230"/>
      <c r="B6" s="141" t="s">
        <v>14</v>
      </c>
      <c r="C6" s="142">
        <f>AVERAGE(C4:C5)</f>
        <v>36.135006402387852</v>
      </c>
      <c r="D6" s="142">
        <f t="shared" ref="D6:J6" si="0">AVERAGE(D4:D5)</f>
        <v>113.1</v>
      </c>
      <c r="E6" s="142">
        <f t="shared" si="0"/>
        <v>4.26923937979495E-2</v>
      </c>
      <c r="F6" s="142">
        <f t="shared" si="0"/>
        <v>0.67308522200000009</v>
      </c>
      <c r="G6" s="142">
        <f t="shared" si="0"/>
        <v>0.19958109600000001</v>
      </c>
      <c r="H6" s="142">
        <f t="shared" si="0"/>
        <v>112.90891227</v>
      </c>
      <c r="I6" s="142">
        <f t="shared" si="0"/>
        <v>1.660856612875</v>
      </c>
      <c r="J6" s="142">
        <f t="shared" si="0"/>
        <v>9.2863164406250007</v>
      </c>
      <c r="K6" s="143">
        <f>SUM(C6:J6)</f>
        <v>274.00645043768583</v>
      </c>
      <c r="L6" s="133"/>
      <c r="M6" s="133"/>
      <c r="N6" s="133"/>
      <c r="O6" s="133"/>
      <c r="P6" s="133"/>
    </row>
    <row r="7" spans="1:16" ht="15" thickBot="1" x14ac:dyDescent="0.35">
      <c r="A7" s="231" t="s">
        <v>15</v>
      </c>
      <c r="B7" s="232"/>
      <c r="C7" s="144">
        <f>C6/$K$6</f>
        <v>0.13187648080790573</v>
      </c>
      <c r="D7" s="144">
        <f t="shared" ref="D7:J7" si="1">D6/$K$6</f>
        <v>0.41276400544344499</v>
      </c>
      <c r="E7" s="144">
        <f t="shared" si="1"/>
        <v>1.5580798820522126E-4</v>
      </c>
      <c r="F7" s="144">
        <f t="shared" si="1"/>
        <v>2.4564575794651673E-3</v>
      </c>
      <c r="G7" s="144">
        <f t="shared" si="1"/>
        <v>7.2838101322504623E-4</v>
      </c>
      <c r="H7" s="144">
        <f t="shared" si="1"/>
        <v>0.41206662138662897</v>
      </c>
      <c r="I7" s="144">
        <f t="shared" si="1"/>
        <v>6.0613777895448112E-3</v>
      </c>
      <c r="J7" s="144">
        <f t="shared" si="1"/>
        <v>3.3890867991579934E-2</v>
      </c>
      <c r="K7" s="145">
        <f>SUM(C7:J7)</f>
        <v>1</v>
      </c>
      <c r="L7" s="133"/>
      <c r="M7" s="133"/>
      <c r="N7" s="133"/>
      <c r="O7" s="133"/>
      <c r="P7" s="133"/>
    </row>
    <row r="8" spans="1:16" ht="15" thickBot="1" x14ac:dyDescent="0.35">
      <c r="A8" s="146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33"/>
      <c r="M8" s="133"/>
      <c r="N8" s="133"/>
      <c r="O8" s="133"/>
      <c r="P8" s="133"/>
    </row>
    <row r="9" spans="1:16" ht="15" thickBot="1" x14ac:dyDescent="0.35">
      <c r="A9" s="233" t="s">
        <v>76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5"/>
    </row>
    <row r="10" spans="1:16" ht="72.599999999999994" thickBot="1" x14ac:dyDescent="0.35">
      <c r="A10" s="148"/>
      <c r="B10" s="204" t="s">
        <v>17</v>
      </c>
      <c r="C10" s="204" t="s">
        <v>18</v>
      </c>
      <c r="D10" s="204" t="s">
        <v>19</v>
      </c>
      <c r="E10" s="204" t="s">
        <v>20</v>
      </c>
      <c r="F10" s="204" t="s">
        <v>21</v>
      </c>
      <c r="G10" s="204" t="s">
        <v>22</v>
      </c>
      <c r="H10" s="204" t="s">
        <v>23</v>
      </c>
      <c r="I10" s="204" t="s">
        <v>24</v>
      </c>
      <c r="J10" s="204" t="s">
        <v>25</v>
      </c>
      <c r="K10" s="204" t="s">
        <v>26</v>
      </c>
      <c r="L10" s="204" t="s">
        <v>27</v>
      </c>
      <c r="M10" s="204" t="s">
        <v>28</v>
      </c>
      <c r="N10" s="204" t="s">
        <v>29</v>
      </c>
      <c r="O10" s="204" t="s">
        <v>30</v>
      </c>
      <c r="P10" s="205" t="s">
        <v>31</v>
      </c>
    </row>
    <row r="11" spans="1:16" x14ac:dyDescent="0.3">
      <c r="A11" s="149" t="s">
        <v>12</v>
      </c>
      <c r="B11" s="150">
        <f>(C4*'Fuel Composition'!$J$32/100)+(D4*'Fuel Composition'!$J$6/100)+(E4*'Fuel Composition'!$J$87/100)+(F4*'Fuel Composition'!$J$110/100)+(G4*'Fuel Composition'!$J$135/100)+(H4*'Fuel Composition'!$J$64/100)+(I4*('Loading Loss'!H9/('Loading Loss'!H9+'Loading Loss'!H10)))</f>
        <v>2.2680809653385796</v>
      </c>
      <c r="C11" s="150">
        <f>(C4*'Fuel Composition'!$J$33/100)+(E4*'Fuel Composition'!$J$88/100)+(F4*'Fuel Composition'!$J$111/100)</f>
        <v>3.6973521752387849E-5</v>
      </c>
      <c r="D11" s="150">
        <f>G4*'Fuel Composition'!$J$137/100</f>
        <v>1.95817490232E-2</v>
      </c>
      <c r="E11" s="150">
        <f>D4*'Fuel Composition'!$J$12/100</f>
        <v>3.2886E-3</v>
      </c>
      <c r="F11" s="150">
        <f>(D4*'Fuel Composition'!$J$10/100)+(C4*'Fuel Composition'!$J$35/100)+(E4*'Fuel Composition'!$J$89/100)+(F4*'Fuel Composition'!$J$112/100)+(G4*'Fuel Composition'!$J$136/100)+(H4*'Fuel Composition'!$J$74/100)</f>
        <v>0.12043638427197757</v>
      </c>
      <c r="G11" s="150">
        <f>J4*('Loading Loss'!H10/('Loading Loss'!H10+'Loading Loss'!H9))</f>
        <v>5.6462674999999997E-3</v>
      </c>
      <c r="H11" s="150">
        <f>(D4*'Fuel Composition'!$J$7/100)+(C4*'Fuel Composition'!$J$36/100)+(E4*'Fuel Composition'!$J$90/100)+(F4*'Fuel Composition'!$J$113/100)+(H4*'Fuel Composition'!$J$66/100)</f>
        <v>6.0969981343152471</v>
      </c>
      <c r="I11" s="150">
        <f>J4*('Loading Loss'!H9/('Loading Loss'!H9+'Loading Loss'!H10))</f>
        <v>5.30082027</v>
      </c>
      <c r="J11" s="150">
        <f>(D4*'Fuel Composition'!$J$13/100)+(C4*'Fuel Composition'!$J$37/100)+(E4*'Fuel Composition'!$J$91/100)+(F4*'Fuel Composition'!$J$114/100)+(G4*'Fuel Composition'!$J$138/100)</f>
        <v>6.1642781610955137E-4</v>
      </c>
      <c r="K11" s="150">
        <f>(C4*'Fuel Composition'!$J$39/100)+(E4*'Fuel Composition'!$J$92/100)+(F4*'Fuel Composition'!$J$115/100)</f>
        <v>4.2004613852387855E-4</v>
      </c>
      <c r="L11" s="150">
        <f>(D4*'Fuel Composition'!$J$8/100)+(C4*'Fuel Composition'!$J$40/100)+(E4*'Fuel Composition'!$J$93/100)+(F4*'Fuel Composition'!$J$117/100)+(G4*'Fuel Composition'!$J$139/100)+(H4*'Fuel Composition'!$J$68/100)+(I4*('Loading Loss'!H8/('Loading Loss'!H8+'Loading Loss'!H7)))</f>
        <v>1.4073671727718371</v>
      </c>
      <c r="M11" s="150">
        <f>D4*'Fuel Composition'!$J$11/100</f>
        <v>0.21924000000000002</v>
      </c>
      <c r="N11" s="151">
        <f>F4*'Fuel Composition'!$J$116/100</f>
        <v>3.8462023000000002E-5</v>
      </c>
      <c r="O11" s="151">
        <f>(C4*'Fuel Composition'!$J$42/100)+(D4*'Fuel Composition'!$J$9/100)+(E4*'Fuel Composition'!$J$94/100)+(F4*'Fuel Composition'!$J$118/100)+(G4*'Fuel Composition'!$J$140/100)+(H4*'Fuel Composition'!$J$69/100)</f>
        <v>0.35343692032184909</v>
      </c>
      <c r="P11" s="152">
        <f>SUM(B11:O11)</f>
        <v>15.796008373042072</v>
      </c>
    </row>
    <row r="12" spans="1:16" x14ac:dyDescent="0.3">
      <c r="A12" s="153" t="s">
        <v>13</v>
      </c>
      <c r="B12" s="154">
        <f>(C5*'Fuel Composition'!$J$32/100)+(D5*'Fuel Composition'!$J$6/100)+(E5*'Fuel Composition'!$J$87/100)+(F5*'Fuel Composition'!$J$110/100)+(G5*'Fuel Composition'!$J$135/100)+(H5*'Fuel Composition'!$J$64/100)+(I5*('Loading Loss'!H10/('Loading Loss'!H10+'Loading Loss'!H11)))</f>
        <v>5.1108090180215946</v>
      </c>
      <c r="C12" s="154">
        <f>(C5*'Fuel Composition'!$J$33/100)+(E5*'Fuel Composition'!$J$88/100)+(F5*'Fuel Composition'!$J$111/100)</f>
        <v>3.6150338928346839E-5</v>
      </c>
      <c r="D12" s="154">
        <f>G5*'Fuel Composition'!$J$137/100</f>
        <v>4.8954399343200013E-2</v>
      </c>
      <c r="E12" s="154">
        <f>D5*'Fuel Composition'!$J$12/100</f>
        <v>6.2118E-3</v>
      </c>
      <c r="F12" s="154">
        <f>(D5*'Fuel Composition'!$J$10/100)+(C5*'Fuel Composition'!$J$35/100)+(E5*'Fuel Composition'!$J$89/100)+(F5*'Fuel Composition'!$J$112/100)+(G5*'Fuel Composition'!$J$136/100)+(H5*'Fuel Composition'!$J$74/100)</f>
        <v>0.25602712417596318</v>
      </c>
      <c r="G12" s="154">
        <f>J5*('Loading Loss'!I10/('Loading Loss'!I10+'Loading Loss'!I9))</f>
        <v>1.4115857500000002E-2</v>
      </c>
      <c r="H12" s="154">
        <f>(D5*'Fuel Composition'!$J$7/100)+(C5*'Fuel Composition'!$J$36/100)+(E5*'Fuel Composition'!$J$90/100)+(F5*'Fuel Composition'!$J$113/100)+(H5*'Fuel Composition'!$J$66/100)</f>
        <v>13.287323088820278</v>
      </c>
      <c r="I12" s="154">
        <f>J5*('Loading Loss'!I9/('Loading Loss'!I10+'Loading Loss'!I9))</f>
        <v>13.252050486249999</v>
      </c>
      <c r="J12" s="154">
        <f>(D5*'Fuel Composition'!$J$13/100)+(C5*'Fuel Composition'!$J$37/100)+(E5*'Fuel Composition'!$J$91/100)+(F5*'Fuel Composition'!$J$114/100)+(G5*'Fuel Composition'!$J$138/100)</f>
        <v>9.8096167330750093E-4</v>
      </c>
      <c r="K12" s="154">
        <f>(C5*'Fuel Composition'!$J$39/100)+(E5*'Fuel Composition'!$J$92/100)+(F5*'Fuel Composition'!$J$115/100)</f>
        <v>3.6242334084100783E-4</v>
      </c>
      <c r="L12" s="155">
        <f>(D5*'Fuel Composition'!$J$8/100)+(C5*'Fuel Composition'!$J$40/100)+(E5*'Fuel Composition'!$J$93/100)+(F5*'Fuel Composition'!$J$117/100)+(G5*'Fuel Composition'!$J$139/100)+(H5*'Fuel Composition'!$J$68/100)+(I5*('Loading Loss'!I8/('Loading Loss'!I8+'Loading Loss'!I7)))</f>
        <v>2.9154833076455509</v>
      </c>
      <c r="M12" s="154">
        <f>D5*'Fuel Composition'!$J$11/100</f>
        <v>0.41412000000000004</v>
      </c>
      <c r="N12" s="155">
        <f>F5*'Fuel Composition'!$J$116/100</f>
        <v>9.6155021400000007E-5</v>
      </c>
      <c r="O12" s="154">
        <f>(C5*'Fuel Composition'!$J$42/100)+(D5*'Fuel Composition'!$J$9/100)+(E5*'Fuel Composition'!$J$94/100)+(F5*'Fuel Composition'!$J$118/100)+(G5*'Fuel Composition'!$J$140/100)+('500000MP'!H5*'Fuel Composition'!$J$69/100)</f>
        <v>0.68483108699965678</v>
      </c>
      <c r="P12" s="156">
        <f>SUM(B12:O12)</f>
        <v>35.991401859130718</v>
      </c>
    </row>
    <row r="13" spans="1:16" ht="15" thickBot="1" x14ac:dyDescent="0.35">
      <c r="A13" s="157" t="s">
        <v>14</v>
      </c>
      <c r="B13" s="158">
        <f>AVERAGE(B11:B12)</f>
        <v>3.6894449916800873</v>
      </c>
      <c r="C13" s="158">
        <f t="shared" ref="C13:O13" si="2">AVERAGE(C11:C12)</f>
        <v>3.6561930340367344E-5</v>
      </c>
      <c r="D13" s="158">
        <f t="shared" si="2"/>
        <v>3.4268074183200006E-2</v>
      </c>
      <c r="E13" s="158">
        <f t="shared" si="2"/>
        <v>4.7501999999999996E-3</v>
      </c>
      <c r="F13" s="158">
        <f t="shared" si="2"/>
        <v>0.18823175422397037</v>
      </c>
      <c r="G13" s="158">
        <f t="shared" si="2"/>
        <v>9.881062500000001E-3</v>
      </c>
      <c r="H13" s="158">
        <f t="shared" si="2"/>
        <v>9.692160611567763</v>
      </c>
      <c r="I13" s="158">
        <f t="shared" si="2"/>
        <v>9.2764353781249991</v>
      </c>
      <c r="J13" s="158">
        <f t="shared" si="2"/>
        <v>7.9869474470852615E-4</v>
      </c>
      <c r="K13" s="158">
        <f t="shared" si="2"/>
        <v>3.9123473968244319E-4</v>
      </c>
      <c r="L13" s="158">
        <f t="shared" si="2"/>
        <v>2.1614252402086942</v>
      </c>
      <c r="M13" s="158">
        <f t="shared" si="2"/>
        <v>0.31668000000000002</v>
      </c>
      <c r="N13" s="158">
        <f t="shared" si="2"/>
        <v>6.7308522200000011E-5</v>
      </c>
      <c r="O13" s="158">
        <f t="shared" si="2"/>
        <v>0.51913400366075291</v>
      </c>
      <c r="P13" s="159">
        <f>SUM(B13:O13)</f>
        <v>25.893705116086405</v>
      </c>
    </row>
    <row r="14" spans="1:16" x14ac:dyDescent="0.3">
      <c r="A14" s="133"/>
      <c r="B14" s="133">
        <f>B13/$P$13</f>
        <v>0.14248424376270619</v>
      </c>
      <c r="C14" s="133">
        <f t="shared" ref="C14:O14" si="3">C13/$P$13</f>
        <v>1.412000722818664E-6</v>
      </c>
      <c r="D14" s="133">
        <f t="shared" si="3"/>
        <v>1.3234133172355873E-3</v>
      </c>
      <c r="E14" s="133">
        <f t="shared" si="3"/>
        <v>1.8344999213916856E-4</v>
      </c>
      <c r="F14" s="133">
        <f t="shared" si="3"/>
        <v>7.2694020952232064E-3</v>
      </c>
      <c r="G14" s="133">
        <f t="shared" si="3"/>
        <v>3.8160095110766567E-4</v>
      </c>
      <c r="H14" s="133">
        <f t="shared" si="3"/>
        <v>0.37430566881471627</v>
      </c>
      <c r="I14" s="133">
        <f t="shared" si="3"/>
        <v>0.35825059938455989</v>
      </c>
      <c r="J14" s="133">
        <f t="shared" si="3"/>
        <v>3.0845131707796383E-5</v>
      </c>
      <c r="K14" s="133">
        <f t="shared" si="3"/>
        <v>1.5109260645723099E-5</v>
      </c>
      <c r="L14" s="133">
        <f t="shared" si="3"/>
        <v>8.3472999731734554E-2</v>
      </c>
      <c r="M14" s="133">
        <f t="shared" si="3"/>
        <v>1.2229999475944572E-2</v>
      </c>
      <c r="N14" s="133">
        <f t="shared" si="3"/>
        <v>2.5994164179379931E-6</v>
      </c>
      <c r="O14" s="133">
        <f t="shared" si="3"/>
        <v>2.0048656665138359E-2</v>
      </c>
      <c r="P14" s="133"/>
    </row>
    <row r="15" spans="1:16" ht="15" thickBot="1" x14ac:dyDescent="0.35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x14ac:dyDescent="0.3">
      <c r="A16" s="160" t="s">
        <v>32</v>
      </c>
      <c r="B16" s="161">
        <v>0.97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20" ht="15" thickBot="1" x14ac:dyDescent="0.35">
      <c r="A17" s="162" t="s">
        <v>33</v>
      </c>
      <c r="B17" s="159">
        <v>672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20" ht="15" thickBot="1" x14ac:dyDescent="0.35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20" ht="28.8" x14ac:dyDescent="0.3">
      <c r="A19" s="211" t="s">
        <v>77</v>
      </c>
      <c r="B19" s="212" t="s">
        <v>35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</row>
    <row r="20" spans="1:20" x14ac:dyDescent="0.3">
      <c r="A20" s="153">
        <f>K3*1000/42/5000</f>
        <v>2380.9523809523812</v>
      </c>
      <c r="B20" s="156">
        <f>SUM(C3,D3,H3,(0.5*J3),(0.5*I3))*1000/42/5000</f>
        <v>1076.1904761904761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1:20" ht="29.1" customHeight="1" x14ac:dyDescent="0.3">
      <c r="A21" s="237" t="s">
        <v>36</v>
      </c>
      <c r="B21" s="238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20" ht="15" thickBot="1" x14ac:dyDescent="0.35">
      <c r="A22" s="163">
        <f>A20*1.1+100</f>
        <v>2719.0476190476197</v>
      </c>
      <c r="B22" s="159">
        <f>B20*1.1+100</f>
        <v>1283.8095238095239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20" ht="15" thickBot="1" x14ac:dyDescent="0.35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1:20" ht="14.4" customHeight="1" x14ac:dyDescent="0.3">
      <c r="A24" s="169" t="s">
        <v>37</v>
      </c>
      <c r="B24" s="133"/>
      <c r="C24" s="217" t="s">
        <v>38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</row>
    <row r="25" spans="1:20" x14ac:dyDescent="0.3">
      <c r="A25" s="170" t="s">
        <v>39</v>
      </c>
      <c r="B25" s="133"/>
      <c r="C25" s="218"/>
      <c r="D25" s="18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</row>
    <row r="26" spans="1:20" ht="15" thickBot="1" x14ac:dyDescent="0.35">
      <c r="A26" s="164">
        <f>D6*2000/(D3*1000/42/5000)</f>
        <v>546</v>
      </c>
      <c r="B26" s="133"/>
      <c r="C26" s="193">
        <f>B16*SUM(C6,D6,H6,(0.74*I6),J6)</f>
        <v>264.47949093634412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20" x14ac:dyDescent="0.3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20" x14ac:dyDescent="0.3">
      <c r="A28" s="133"/>
      <c r="B28" s="219" t="s">
        <v>40</v>
      </c>
      <c r="C28" s="219"/>
      <c r="D28" s="219"/>
      <c r="E28" s="219"/>
      <c r="F28" s="219"/>
      <c r="G28" s="219"/>
      <c r="H28" s="219"/>
      <c r="I28" s="219"/>
      <c r="J28" s="219"/>
      <c r="K28" s="133"/>
      <c r="M28" s="236" t="s">
        <v>41</v>
      </c>
      <c r="N28" s="236"/>
      <c r="O28" s="236"/>
      <c r="P28" s="236"/>
      <c r="Q28" s="236"/>
      <c r="R28" s="236"/>
      <c r="S28" s="236"/>
    </row>
    <row r="29" spans="1:20" ht="14.4" customHeight="1" x14ac:dyDescent="0.3">
      <c r="A29" s="133"/>
      <c r="B29" s="221" t="s">
        <v>42</v>
      </c>
      <c r="C29" s="221"/>
      <c r="D29" s="221"/>
      <c r="E29" s="221"/>
      <c r="F29" s="221"/>
      <c r="G29" s="221"/>
      <c r="H29" s="220" t="s">
        <v>43</v>
      </c>
      <c r="I29" s="220" t="s">
        <v>44</v>
      </c>
      <c r="J29" s="220" t="s">
        <v>45</v>
      </c>
      <c r="K29" s="133"/>
      <c r="M29" s="221" t="s">
        <v>42</v>
      </c>
      <c r="N29" s="221"/>
      <c r="O29" s="221"/>
      <c r="P29" s="221"/>
      <c r="Q29" s="220" t="s">
        <v>43</v>
      </c>
      <c r="R29" s="220" t="s">
        <v>44</v>
      </c>
      <c r="S29" s="220" t="s">
        <v>45</v>
      </c>
    </row>
    <row r="30" spans="1:20" ht="43.2" x14ac:dyDescent="0.3">
      <c r="A30" s="133"/>
      <c r="B30" s="210" t="s">
        <v>46</v>
      </c>
      <c r="C30" s="210" t="s">
        <v>47</v>
      </c>
      <c r="D30" s="210" t="s">
        <v>48</v>
      </c>
      <c r="E30" s="210" t="s">
        <v>49</v>
      </c>
      <c r="F30" s="210" t="s">
        <v>50</v>
      </c>
      <c r="G30" s="210" t="s">
        <v>51</v>
      </c>
      <c r="H30" s="220"/>
      <c r="I30" s="220"/>
      <c r="J30" s="220"/>
      <c r="K30" s="133"/>
      <c r="L30" s="133"/>
      <c r="M30" s="210" t="s">
        <v>46</v>
      </c>
      <c r="N30" s="210" t="s">
        <v>47</v>
      </c>
      <c r="O30" s="210" t="s">
        <v>48</v>
      </c>
      <c r="P30" s="210" t="s">
        <v>49</v>
      </c>
      <c r="Q30" s="220"/>
      <c r="R30" s="220"/>
      <c r="S30" s="220"/>
      <c r="T30" s="133"/>
    </row>
    <row r="31" spans="1:20" x14ac:dyDescent="0.3">
      <c r="A31" s="165" t="s">
        <v>52</v>
      </c>
      <c r="B31" s="154"/>
      <c r="C31" s="154"/>
      <c r="D31" s="154"/>
      <c r="E31" s="154"/>
      <c r="F31" s="154"/>
      <c r="G31" s="154"/>
      <c r="H31" s="154"/>
      <c r="I31" s="154"/>
      <c r="J31" s="154"/>
      <c r="K31" s="133"/>
      <c r="L31" s="175" t="s">
        <v>52</v>
      </c>
      <c r="M31" s="154"/>
      <c r="N31" s="154"/>
      <c r="O31" s="154"/>
      <c r="P31" s="154"/>
      <c r="Q31" s="154"/>
      <c r="R31" s="154"/>
      <c r="S31" s="154"/>
      <c r="T31" s="133"/>
    </row>
    <row r="32" spans="1:20" x14ac:dyDescent="0.3">
      <c r="A32" s="154" t="s">
        <v>78</v>
      </c>
      <c r="B32" s="187">
        <v>3686375</v>
      </c>
      <c r="C32" s="187">
        <v>343426</v>
      </c>
      <c r="D32" s="187">
        <f>E43*(B32-((1.08*E45*E46)+(E47*E46/E48)))</f>
        <v>373972.32055217243</v>
      </c>
      <c r="E32" s="192">
        <f>C32+D32</f>
        <v>717398.32055217237</v>
      </c>
      <c r="F32" s="187">
        <f>VOC_Credit*Average_CE*SUM(C6,D6,H6,(0.74*I6),J6)</f>
        <v>177730.21790922325</v>
      </c>
      <c r="G32" s="187">
        <f>C32+D32-F32</f>
        <v>539668.10264294909</v>
      </c>
      <c r="H32" s="166">
        <f>($P$13*Average_CE*SUM(C7,D7,H7,(0.74*I7),J7))</f>
        <v>24.99340412103103</v>
      </c>
      <c r="I32" s="167">
        <f>G32/H32</f>
        <v>21592.420945526112</v>
      </c>
      <c r="J32" s="167"/>
      <c r="K32" s="133"/>
      <c r="L32" s="176" t="s">
        <v>78</v>
      </c>
      <c r="M32" s="187">
        <v>447809</v>
      </c>
      <c r="N32" s="187">
        <v>288223</v>
      </c>
      <c r="O32" s="187">
        <f>M32*O43</f>
        <v>50731.043979752729</v>
      </c>
      <c r="P32" s="192">
        <f>N32+O32</f>
        <v>338954.04397975275</v>
      </c>
      <c r="Q32" s="166">
        <f>H32</f>
        <v>24.99340412103103</v>
      </c>
      <c r="R32" s="181">
        <f>(N32+O32)/Q32</f>
        <v>13561.739822969348</v>
      </c>
      <c r="S32" s="167"/>
      <c r="T32" s="133"/>
    </row>
    <row r="33" spans="1:21" x14ac:dyDescent="0.3">
      <c r="A33" s="154" t="s">
        <v>79</v>
      </c>
      <c r="B33" s="187">
        <v>3686375</v>
      </c>
      <c r="C33" s="187">
        <v>449379</v>
      </c>
      <c r="D33" s="187">
        <f>E43*(B33-((1.08*E45*E46)+(E47*E46/E48)))</f>
        <v>373972.32055217243</v>
      </c>
      <c r="E33" s="192">
        <f>C33+D33</f>
        <v>823351.32055217237</v>
      </c>
      <c r="F33" s="187">
        <f>K6*VOC_Credit*Average_CE</f>
        <v>178608.36465330113</v>
      </c>
      <c r="G33" s="187">
        <f>C33+D33-F33</f>
        <v>644742.95589887118</v>
      </c>
      <c r="H33" s="166">
        <f>$P$13*Average_CE</f>
        <v>25.116893962603811</v>
      </c>
      <c r="I33" s="167">
        <f>G33/H33</f>
        <v>25669.69295084097</v>
      </c>
      <c r="J33" s="167">
        <f>(G33-G32)/(H33-H32)</f>
        <v>850878.51695068134</v>
      </c>
      <c r="K33" s="133"/>
      <c r="L33" s="176" t="s">
        <v>79</v>
      </c>
      <c r="M33" s="187">
        <v>447809</v>
      </c>
      <c r="N33" s="187">
        <v>584525</v>
      </c>
      <c r="O33" s="187">
        <f>M33*O43</f>
        <v>50731.043979752729</v>
      </c>
      <c r="P33" s="192">
        <f>N33+O33</f>
        <v>635256.04397975269</v>
      </c>
      <c r="Q33" s="166">
        <f>H33</f>
        <v>25.116893962603811</v>
      </c>
      <c r="R33" s="181">
        <f>(N33+O33)/Q33</f>
        <v>25291.982556663912</v>
      </c>
      <c r="S33" s="181">
        <f>(N33+O33-N32-O32)/(Q33-Q32)</f>
        <v>2399403.8394273105</v>
      </c>
      <c r="T33" s="133"/>
      <c r="U33" s="53"/>
    </row>
    <row r="34" spans="1:21" x14ac:dyDescent="0.3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 t="s">
        <v>80</v>
      </c>
      <c r="O34" s="133"/>
      <c r="P34" s="133"/>
      <c r="Q34" s="53"/>
    </row>
    <row r="35" spans="1:21" x14ac:dyDescent="0.3">
      <c r="A35" s="133"/>
      <c r="B35" s="133"/>
      <c r="C35" s="133"/>
      <c r="E35" s="133"/>
      <c r="F35" s="133"/>
      <c r="G35" s="133"/>
      <c r="H35" s="133"/>
      <c r="I35" s="133"/>
      <c r="J35" s="133"/>
      <c r="K35" s="133"/>
      <c r="L35" s="133"/>
      <c r="M35" s="133"/>
      <c r="Q35" s="53"/>
    </row>
    <row r="36" spans="1:21" x14ac:dyDescent="0.3">
      <c r="A36" s="168" t="s">
        <v>55</v>
      </c>
      <c r="B36" s="133"/>
      <c r="C36" s="133"/>
      <c r="G36" s="133"/>
      <c r="H36" s="133"/>
      <c r="I36" s="133"/>
      <c r="J36" s="133"/>
      <c r="K36" s="133"/>
      <c r="L36" s="133"/>
      <c r="M36" s="133"/>
      <c r="Q36" s="53"/>
    </row>
    <row r="37" spans="1:21" x14ac:dyDescent="0.3">
      <c r="A37" s="133" t="s">
        <v>56</v>
      </c>
      <c r="B37" s="133"/>
      <c r="C37" s="133"/>
      <c r="G37" s="133"/>
      <c r="H37" s="133"/>
      <c r="I37" s="133"/>
      <c r="J37" s="133"/>
      <c r="K37" s="133"/>
      <c r="L37" s="133"/>
      <c r="M37" s="133"/>
      <c r="Q37" s="53"/>
    </row>
    <row r="38" spans="1:21" x14ac:dyDescent="0.3">
      <c r="A38" s="133" t="s">
        <v>57</v>
      </c>
      <c r="B38" s="133"/>
      <c r="C38" s="133"/>
      <c r="G38" s="133"/>
      <c r="H38" s="133"/>
      <c r="I38" s="133"/>
      <c r="J38" s="133"/>
      <c r="K38" s="133"/>
      <c r="L38" s="133"/>
      <c r="M38" s="133"/>
      <c r="Q38" s="53"/>
    </row>
    <row r="39" spans="1:21" x14ac:dyDescent="0.3">
      <c r="A39" s="133" t="s">
        <v>58</v>
      </c>
      <c r="B39" s="133"/>
      <c r="C39" s="133"/>
      <c r="G39" s="133"/>
      <c r="H39" s="133"/>
      <c r="I39" s="133"/>
      <c r="J39" s="133"/>
      <c r="K39" s="133"/>
      <c r="L39" s="133"/>
      <c r="M39" s="133"/>
      <c r="Q39" s="53"/>
    </row>
    <row r="40" spans="1:21" x14ac:dyDescent="0.3">
      <c r="Q40" s="53"/>
    </row>
    <row r="41" spans="1:21" x14ac:dyDescent="0.3">
      <c r="Q41" s="53"/>
      <c r="R41" s="53"/>
    </row>
    <row r="42" spans="1:21" ht="19.2" x14ac:dyDescent="0.45">
      <c r="D42" s="179" t="s">
        <v>59</v>
      </c>
      <c r="E42" s="133"/>
      <c r="F42" s="133"/>
      <c r="N42" s="180" t="s">
        <v>60</v>
      </c>
      <c r="Q42" s="53"/>
    </row>
    <row r="43" spans="1:21" x14ac:dyDescent="0.3">
      <c r="D43" s="133" t="s">
        <v>61</v>
      </c>
      <c r="E43" s="133">
        <f>(E49*(1+E49)^15)/(((1+E49)^15)-1)</f>
        <v>0.11328723625419036</v>
      </c>
      <c r="F43" s="133" t="s">
        <v>62</v>
      </c>
      <c r="N43" t="s">
        <v>63</v>
      </c>
      <c r="O43">
        <f>(O45*(1+O45)^15)/(((1+O45)^15)-1)</f>
        <v>0.11328723625419036</v>
      </c>
    </row>
    <row r="44" spans="1:21" x14ac:dyDescent="0.3">
      <c r="D44" s="133" t="s">
        <v>64</v>
      </c>
      <c r="E44" s="133">
        <f>B32</f>
        <v>3686375</v>
      </c>
      <c r="F44" s="133" t="s">
        <v>65</v>
      </c>
      <c r="N44" t="s">
        <v>64</v>
      </c>
      <c r="O44">
        <f>M33</f>
        <v>447809</v>
      </c>
    </row>
    <row r="45" spans="1:21" ht="30.6" customHeight="1" x14ac:dyDescent="0.3">
      <c r="D45" s="133" t="s">
        <v>66</v>
      </c>
      <c r="E45" s="133">
        <v>5.56</v>
      </c>
      <c r="F45" s="133" t="s">
        <v>67</v>
      </c>
      <c r="N45" t="s">
        <v>68</v>
      </c>
      <c r="O45">
        <v>7.4999999999999997E-2</v>
      </c>
    </row>
    <row r="46" spans="1:21" x14ac:dyDescent="0.3">
      <c r="D46" s="133" t="s">
        <v>69</v>
      </c>
      <c r="E46" s="133">
        <v>62932</v>
      </c>
      <c r="F46" s="133" t="s">
        <v>70</v>
      </c>
    </row>
    <row r="47" spans="1:21" x14ac:dyDescent="0.3">
      <c r="D47" s="133" t="s">
        <v>71</v>
      </c>
      <c r="E47">
        <v>44.46</v>
      </c>
      <c r="F47" s="133" t="s">
        <v>72</v>
      </c>
    </row>
    <row r="48" spans="1:21" x14ac:dyDescent="0.3">
      <c r="D48" s="133" t="s">
        <v>73</v>
      </c>
      <c r="E48">
        <v>379</v>
      </c>
      <c r="F48" t="s">
        <v>74</v>
      </c>
    </row>
    <row r="49" spans="4:5" x14ac:dyDescent="0.3">
      <c r="D49" s="133" t="s">
        <v>68</v>
      </c>
      <c r="E49">
        <v>7.4999999999999997E-2</v>
      </c>
    </row>
  </sheetData>
  <mergeCells count="17">
    <mergeCell ref="A1:K1"/>
    <mergeCell ref="H29:H30"/>
    <mergeCell ref="A4:A6"/>
    <mergeCell ref="I29:I30"/>
    <mergeCell ref="A3:B3"/>
    <mergeCell ref="A7:B7"/>
    <mergeCell ref="A9:P9"/>
    <mergeCell ref="A21:B21"/>
    <mergeCell ref="R29:R30"/>
    <mergeCell ref="S29:S30"/>
    <mergeCell ref="M28:S28"/>
    <mergeCell ref="M29:P29"/>
    <mergeCell ref="C24:C25"/>
    <mergeCell ref="B29:G29"/>
    <mergeCell ref="B28:J28"/>
    <mergeCell ref="J29:J30"/>
    <mergeCell ref="Q29:Q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8164-7225-4702-B9EE-4B52D1DEE184}">
  <dimension ref="A1:U49"/>
  <sheetViews>
    <sheetView workbookViewId="0">
      <selection activeCell="J57" sqref="J57"/>
    </sheetView>
  </sheetViews>
  <sheetFormatPr defaultRowHeight="14.4" x14ac:dyDescent="0.3"/>
  <cols>
    <col min="1" max="1" width="19.88671875" customWidth="1"/>
    <col min="2" max="2" width="15.88671875" bestFit="1" customWidth="1"/>
    <col min="3" max="3" width="17.44140625" customWidth="1"/>
    <col min="4" max="4" width="15" customWidth="1"/>
    <col min="5" max="5" width="16.44140625" customWidth="1"/>
    <col min="6" max="6" width="15.44140625" customWidth="1"/>
    <col min="7" max="7" width="16" customWidth="1"/>
    <col min="8" max="8" width="17.5546875" customWidth="1"/>
    <col min="9" max="9" width="17.88671875" bestFit="1" customWidth="1"/>
    <col min="10" max="10" width="12.44140625" bestFit="1" customWidth="1"/>
    <col min="11" max="11" width="10.5546875" customWidth="1"/>
    <col min="12" max="12" width="12.44140625" bestFit="1" customWidth="1"/>
    <col min="13" max="13" width="13" customWidth="1"/>
    <col min="14" max="14" width="11.44140625" customWidth="1"/>
    <col min="15" max="15" width="12.5546875" customWidth="1"/>
    <col min="16" max="16" width="14.33203125" customWidth="1"/>
    <col min="17" max="17" width="13.109375" customWidth="1"/>
    <col min="19" max="19" width="11.6640625" customWidth="1"/>
  </cols>
  <sheetData>
    <row r="1" spans="1:17" ht="15" thickBot="1" x14ac:dyDescent="0.35">
      <c r="A1" s="223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  <c r="L1" s="133"/>
      <c r="M1" s="133"/>
      <c r="N1" s="133"/>
      <c r="O1" s="133"/>
      <c r="P1" s="133"/>
      <c r="Q1" s="133"/>
    </row>
    <row r="2" spans="1:17" ht="15" thickBot="1" x14ac:dyDescent="0.35">
      <c r="A2" s="171"/>
      <c r="B2" s="172"/>
      <c r="C2" s="173" t="s">
        <v>1</v>
      </c>
      <c r="D2" s="173" t="s">
        <v>2</v>
      </c>
      <c r="E2" s="173" t="s">
        <v>3</v>
      </c>
      <c r="F2" s="173" t="s">
        <v>4</v>
      </c>
      <c r="G2" s="173" t="s">
        <v>5</v>
      </c>
      <c r="H2" s="173" t="s">
        <v>6</v>
      </c>
      <c r="I2" s="173" t="s">
        <v>7</v>
      </c>
      <c r="J2" s="173" t="s">
        <v>8</v>
      </c>
      <c r="K2" s="174" t="s">
        <v>9</v>
      </c>
      <c r="L2" s="133"/>
      <c r="M2" s="133"/>
      <c r="N2" s="133"/>
      <c r="O2" s="133"/>
      <c r="P2" s="133"/>
      <c r="Q2" s="133"/>
    </row>
    <row r="3" spans="1:17" ht="15" thickBot="1" x14ac:dyDescent="0.35">
      <c r="A3" s="226" t="s">
        <v>10</v>
      </c>
      <c r="B3" s="227"/>
      <c r="C3" s="111">
        <v>136000</v>
      </c>
      <c r="D3" s="111">
        <v>1929000</v>
      </c>
      <c r="E3" s="111">
        <v>620000</v>
      </c>
      <c r="F3" s="111">
        <v>1493000</v>
      </c>
      <c r="G3" s="111">
        <v>191000</v>
      </c>
      <c r="H3" s="111">
        <v>320000</v>
      </c>
      <c r="I3" s="111">
        <v>85000</v>
      </c>
      <c r="J3" s="111">
        <v>226000</v>
      </c>
      <c r="K3" s="112">
        <f>SUM(C3:J3)</f>
        <v>5000000</v>
      </c>
      <c r="L3" s="133"/>
      <c r="M3" s="133"/>
      <c r="N3" s="133"/>
      <c r="O3" s="133"/>
      <c r="P3" s="133"/>
      <c r="Q3" s="133"/>
    </row>
    <row r="4" spans="1:17" ht="14.1" customHeight="1" x14ac:dyDescent="0.3">
      <c r="A4" s="228" t="s">
        <v>11</v>
      </c>
      <c r="B4" s="134" t="s">
        <v>12</v>
      </c>
      <c r="C4" s="135">
        <f>C3*'Loading Loss'!H20/2000</f>
        <v>62.763229511171744</v>
      </c>
      <c r="D4" s="135">
        <f>D3*'Loading Loss'!B24/2000</f>
        <v>1736.1</v>
      </c>
      <c r="E4" s="135">
        <f>E3*'Loading Loss'!H4/2000</f>
        <v>1.8973705000000001</v>
      </c>
      <c r="F4" s="135">
        <f>F3*'Loading Loss'!H5/2000</f>
        <v>3.9767174750000001</v>
      </c>
      <c r="G4" s="135">
        <f>G3*'Loading Loss'!H6/2000</f>
        <v>0.34908401500000003</v>
      </c>
      <c r="H4" s="135">
        <f>H3*'Loading Loss'!H3/2000</f>
        <v>987.85651199999995</v>
      </c>
      <c r="I4" s="135">
        <f>I3*(AVERAGE('Loading Loss'!H7:H8))/2000</f>
        <v>19.675653162499998</v>
      </c>
      <c r="J4" s="135">
        <f>J3*(AVERAGE('Loading Loss'!H9:H10))/2000</f>
        <v>15.88425745</v>
      </c>
      <c r="K4" s="136">
        <f>SUM(C4:J4)</f>
        <v>2828.5028241136715</v>
      </c>
      <c r="L4" s="133"/>
      <c r="M4" s="133"/>
      <c r="N4" s="133"/>
      <c r="O4" s="133"/>
      <c r="P4" s="133"/>
      <c r="Q4" s="133"/>
    </row>
    <row r="5" spans="1:17" x14ac:dyDescent="0.3">
      <c r="A5" s="229"/>
      <c r="B5" s="137" t="s">
        <v>13</v>
      </c>
      <c r="C5" s="138">
        <f>C3*'Loading Loss'!H20/2000</f>
        <v>62.763229511171744</v>
      </c>
      <c r="D5" s="138">
        <f>D3*'Loading Loss'!C24/2000</f>
        <v>3279.3</v>
      </c>
      <c r="E5" s="139">
        <f>'Loading Loss'!I4*'50000MP'!E3/2000</f>
        <v>1.533252595899E-3</v>
      </c>
      <c r="F5" s="138">
        <f>F3*'Loading Loss'!I5/2000</f>
        <v>9.9417899550000008</v>
      </c>
      <c r="G5" s="138">
        <f>G3*'Loading Loss'!I6/2000</f>
        <v>0.87271051499999996</v>
      </c>
      <c r="H5" s="138">
        <f>H3*'Loading Loss'!I3/2000</f>
        <v>2469.6412799999998</v>
      </c>
      <c r="I5" s="138">
        <f>I3*(AVERAGE('Loading Loss'!I7:I8))/2000</f>
        <v>49.189133224999999</v>
      </c>
      <c r="J5" s="138">
        <f>J3*(AVERAGE('Loading Loss'!I9:I10))/2000</f>
        <v>39.710643625000003</v>
      </c>
      <c r="K5" s="140">
        <f>SUM(C5:J5)</f>
        <v>5911.4203200837674</v>
      </c>
      <c r="L5" s="133"/>
      <c r="M5" s="133"/>
      <c r="N5" s="133"/>
      <c r="O5" s="133"/>
      <c r="P5" s="133"/>
      <c r="Q5" s="133"/>
    </row>
    <row r="6" spans="1:17" ht="15" thickBot="1" x14ac:dyDescent="0.35">
      <c r="A6" s="230"/>
      <c r="B6" s="141" t="s">
        <v>14</v>
      </c>
      <c r="C6" s="142">
        <f>AVERAGE(C4:C5)</f>
        <v>62.763229511171744</v>
      </c>
      <c r="D6" s="142">
        <f t="shared" ref="D6:J6" si="0">AVERAGE(D4:D5)</f>
        <v>2507.6999999999998</v>
      </c>
      <c r="E6" s="142">
        <f t="shared" si="0"/>
        <v>0.94945187629794958</v>
      </c>
      <c r="F6" s="142">
        <f t="shared" si="0"/>
        <v>6.9592537150000009</v>
      </c>
      <c r="G6" s="142">
        <f t="shared" si="0"/>
        <v>0.61089726499999997</v>
      </c>
      <c r="H6" s="142">
        <f t="shared" si="0"/>
        <v>1728.7488959999998</v>
      </c>
      <c r="I6" s="142">
        <f t="shared" si="0"/>
        <v>34.432393193750002</v>
      </c>
      <c r="J6" s="142">
        <f t="shared" si="0"/>
        <v>27.797450537500001</v>
      </c>
      <c r="K6" s="143">
        <f>SUM(C6:J6)</f>
        <v>4369.9615720987185</v>
      </c>
      <c r="L6" s="133"/>
      <c r="M6" s="133"/>
      <c r="N6" s="133"/>
      <c r="O6" s="133"/>
      <c r="P6" s="133"/>
      <c r="Q6" s="133"/>
    </row>
    <row r="7" spans="1:17" ht="15" thickBot="1" x14ac:dyDescent="0.35">
      <c r="A7" s="231" t="s">
        <v>15</v>
      </c>
      <c r="B7" s="232"/>
      <c r="C7" s="144">
        <f>C6/$K$6</f>
        <v>1.4362421379607021E-2</v>
      </c>
      <c r="D7" s="144">
        <f t="shared" ref="D7:J7" si="1">D6/$K$6</f>
        <v>0.57384943977794556</v>
      </c>
      <c r="E7" s="144">
        <f t="shared" si="1"/>
        <v>2.1726778614255998E-4</v>
      </c>
      <c r="F7" s="144">
        <f t="shared" si="1"/>
        <v>1.592520574879506E-3</v>
      </c>
      <c r="G7" s="144">
        <f t="shared" si="1"/>
        <v>1.397946537792117E-4</v>
      </c>
      <c r="H7" s="144">
        <f t="shared" si="1"/>
        <v>0.39559819176390393</v>
      </c>
      <c r="I7" s="144">
        <f t="shared" si="1"/>
        <v>7.8793354645481459E-3</v>
      </c>
      <c r="J7" s="144">
        <f t="shared" si="1"/>
        <v>6.3610285991942926E-3</v>
      </c>
      <c r="K7" s="145">
        <f>SUM(C7:J7)</f>
        <v>1</v>
      </c>
      <c r="L7" s="133"/>
      <c r="M7" s="133"/>
      <c r="N7" s="133"/>
      <c r="O7" s="133"/>
      <c r="P7" s="133"/>
      <c r="Q7" s="133"/>
    </row>
    <row r="8" spans="1:17" ht="15" thickBot="1" x14ac:dyDescent="0.35">
      <c r="A8" s="146"/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33"/>
      <c r="M8" s="133"/>
      <c r="N8" s="133"/>
      <c r="O8" s="133"/>
      <c r="P8" s="133"/>
      <c r="Q8" s="133"/>
    </row>
    <row r="9" spans="1:17" ht="15" thickBot="1" x14ac:dyDescent="0.35">
      <c r="A9" s="233" t="s">
        <v>82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5"/>
      <c r="Q9" s="133"/>
    </row>
    <row r="10" spans="1:17" ht="72.599999999999994" thickBot="1" x14ac:dyDescent="0.35">
      <c r="A10" s="203"/>
      <c r="B10" s="204" t="s">
        <v>17</v>
      </c>
      <c r="C10" s="204" t="s">
        <v>18</v>
      </c>
      <c r="D10" s="204" t="s">
        <v>19</v>
      </c>
      <c r="E10" s="204" t="s">
        <v>20</v>
      </c>
      <c r="F10" s="204" t="s">
        <v>21</v>
      </c>
      <c r="G10" s="204" t="s">
        <v>22</v>
      </c>
      <c r="H10" s="204" t="s">
        <v>23</v>
      </c>
      <c r="I10" s="204" t="s">
        <v>24</v>
      </c>
      <c r="J10" s="204" t="s">
        <v>25</v>
      </c>
      <c r="K10" s="204" t="s">
        <v>26</v>
      </c>
      <c r="L10" s="204" t="s">
        <v>27</v>
      </c>
      <c r="M10" s="204" t="s">
        <v>28</v>
      </c>
      <c r="N10" s="204" t="s">
        <v>29</v>
      </c>
      <c r="O10" s="204" t="s">
        <v>30</v>
      </c>
      <c r="P10" s="205" t="s">
        <v>31</v>
      </c>
      <c r="Q10" s="133"/>
    </row>
    <row r="11" spans="1:17" x14ac:dyDescent="0.3">
      <c r="A11" s="149" t="s">
        <v>12</v>
      </c>
      <c r="B11" s="150">
        <f>(C4*'Fuel Composition'!$J$32/100)+(D4*'Fuel Composition'!$J$6/100)+(E4*'Fuel Composition'!$J$87/100)+(F4*'Fuel Composition'!$J$110/100)+(G4*'Fuel Composition'!$J$135/100)+(H4*'Fuel Composition'!$J$64/100)+(I4*('Loading Loss'!H9/('Loading Loss'!H9+'Loading Loss'!H10)))</f>
        <v>42.545303521116018</v>
      </c>
      <c r="C11" s="150">
        <f>(C4*'Fuel Composition'!$J$33/100)+(E4*'Fuel Composition'!$J$88/100)+(F4*'Fuel Composition'!$J$111/100)</f>
        <v>8.1736934511171739E-5</v>
      </c>
      <c r="D11" s="150">
        <f>G4*'Fuel Composition'!$J$137/100</f>
        <v>5.993772537550001E-2</v>
      </c>
      <c r="E11" s="150">
        <f>D4*'Fuel Composition'!$J$12/100</f>
        <v>7.2916199999999987E-2</v>
      </c>
      <c r="F11" s="150">
        <f>(D4*'Fuel Composition'!$J$10/100)+(C4*'Fuel Composition'!$J$35/100)+(E4*'Fuel Composition'!$J$89/100)+(F4*'Fuel Composition'!$J$112/100)+(G4*'Fuel Composition'!$J$136/100)+(H4*'Fuel Composition'!$J$74/100)</f>
        <v>2.1239319751997341</v>
      </c>
      <c r="G11" s="150">
        <f>J4*('Loading Loss'!H10/('Loading Loss'!H10+'Loading Loss'!H9))</f>
        <v>1.6901409999999999E-2</v>
      </c>
      <c r="H11" s="150">
        <f>(D4*'Fuel Composition'!$J$7/100)+(C4*'Fuel Composition'!$J$36/100)+(E4*'Fuel Composition'!$J$90/100)+(F4*'Fuel Composition'!$J$113/100)+(H4*'Fuel Composition'!$J$66/100)</f>
        <v>83.219225340618976</v>
      </c>
      <c r="I11" s="150">
        <f>J4*('Loading Loss'!H9/('Loading Loss'!H9+'Loading Loss'!H10))</f>
        <v>15.867356040000001</v>
      </c>
      <c r="J11" s="150">
        <f>(D4*'Fuel Composition'!$J$13/100)+(C4*'Fuel Composition'!$J$37/100)+(E4*'Fuel Composition'!$J$91/100)+(F4*'Fuel Composition'!$J$114/100)+(G4*'Fuel Composition'!$J$138/100)</f>
        <v>1.0277909915544687E-2</v>
      </c>
      <c r="K11" s="150">
        <f>(C4*'Fuel Composition'!$J$39/100)+(E4*'Fuel Composition'!$J$92/100)+(F4*'Fuel Composition'!$J$115/100)</f>
        <v>1.9557916451117176E-3</v>
      </c>
      <c r="L11" s="150">
        <f>(D4*'Fuel Composition'!$J$8/100)+(C4*'Fuel Composition'!$J$40/100)+(E4*'Fuel Composition'!$J$93/100)+(F4*'Fuel Composition'!$J$117/100)+(G4*'Fuel Composition'!$J$139/100)+(H4*'Fuel Composition'!$J$68/100)+(I4*('Loading Loss'!H8/('Loading Loss'!H8+'Loading Loss'!H7)))</f>
        <v>27.541082168410721</v>
      </c>
      <c r="M11" s="150">
        <f>D4*'Fuel Composition'!$J$11/100</f>
        <v>4.8610800000000003</v>
      </c>
      <c r="N11" s="151">
        <f>F4*'Fuel Composition'!$J$116/100</f>
        <v>3.9767174750000004E-4</v>
      </c>
      <c r="O11" s="151">
        <f>(C4*'Fuel Composition'!$J$42/100)+(D4*'Fuel Composition'!$J$9/100)+(E4*'Fuel Composition'!$J$94/100)+(F4*'Fuel Composition'!$J$118/100)+(G4*'Fuel Composition'!$J$140/100)+(H4*'Fuel Composition'!$J$69/100)</f>
        <v>6.6396791082080533</v>
      </c>
      <c r="P11" s="152">
        <f>SUM(B11:O11)</f>
        <v>182.96012659917164</v>
      </c>
      <c r="Q11" s="133"/>
    </row>
    <row r="12" spans="1:17" x14ac:dyDescent="0.3">
      <c r="A12" s="153" t="s">
        <v>13</v>
      </c>
      <c r="B12" s="154">
        <f>(C5*'Fuel Composition'!$J$32/100)+(D5*'Fuel Composition'!$J$6/100)+(E5*'Fuel Composition'!$J$87/100)+(F5*'Fuel Composition'!$J$110/100)+(G5*'Fuel Composition'!$J$135/100)+(H5*'Fuel Composition'!$J$64/100)+(I5*('Loading Loss'!H10/('Loading Loss'!H10+'Loading Loss'!H11)))</f>
        <v>97.611629835388484</v>
      </c>
      <c r="C12" s="154">
        <f>(C5*'Fuel Composition'!$J$33/100)+(E5*'Fuel Composition'!$J$88/100)+(F5*'Fuel Composition'!$J$111/100)</f>
        <v>6.2778562037130731E-5</v>
      </c>
      <c r="D12" s="154">
        <f>G5*'Fuel Composition'!$J$137/100</f>
        <v>0.14984439542550002</v>
      </c>
      <c r="E12" s="154">
        <f>D5*'Fuel Composition'!$J$12/100</f>
        <v>0.13773059999999998</v>
      </c>
      <c r="F12" s="154">
        <f>(D5*'Fuel Composition'!$J$10/100)+(C5*'Fuel Composition'!$J$35/100)+(E5*'Fuel Composition'!$J$89/100)+(F5*'Fuel Composition'!$J$112/100)+(G5*'Fuel Composition'!$J$136/100)+(H5*'Fuel Composition'!$J$74/100)</f>
        <v>4.5317393432818207</v>
      </c>
      <c r="G12" s="154">
        <f>J5*('Loading Loss'!I10/('Loading Loss'!I10+'Loading Loss'!I9))</f>
        <v>4.2254090000000001E-2</v>
      </c>
      <c r="H12" s="154">
        <f>(D5*'Fuel Composition'!$J$7/100)+(C5*'Fuel Composition'!$J$36/100)+(E5*'Fuel Composition'!$J$90/100)+(F5*'Fuel Composition'!$J$113/100)+(H5*'Fuel Composition'!$J$66/100)</f>
        <v>196.81888192076121</v>
      </c>
      <c r="I12" s="154">
        <f>J5*('Loading Loss'!I9/('Loading Loss'!I10+'Loading Loss'!I9))</f>
        <v>39.668389534999996</v>
      </c>
      <c r="J12" s="154">
        <f>(D5*'Fuel Composition'!$J$13/100)+(C5*'Fuel Composition'!$J$37/100)+(E5*'Fuel Composition'!$J$91/100)+(F5*'Fuel Composition'!$J$114/100)+(G5*'Fuel Composition'!$J$138/100)</f>
        <v>1.7642498539842639E-2</v>
      </c>
      <c r="K12" s="154">
        <f>(C5*'Fuel Composition'!$J$39/100)+(E5*'Fuel Composition'!$J$92/100)+(F5*'Fuel Composition'!$J$115/100)</f>
        <v>6.2870557192884675E-4</v>
      </c>
      <c r="L12" s="155">
        <f>(D5*'Fuel Composition'!$J$8/100)+(C5*'Fuel Composition'!$J$40/100)+(E5*'Fuel Composition'!$J$93/100)+(F5*'Fuel Composition'!$J$117/100)+(G5*'Fuel Composition'!$J$139/100)+(H5*'Fuel Composition'!$J$68/100)+(I5*('Loading Loss'!I8/('Loading Loss'!I8+'Loading Loss'!I7)))</f>
        <v>57.587315308802545</v>
      </c>
      <c r="M12" s="154">
        <f>D5*'Fuel Composition'!$J$11/100</f>
        <v>9.1820400000000024</v>
      </c>
      <c r="N12" s="155">
        <f>F5*'Fuel Composition'!$J$116/100</f>
        <v>9.941789955E-4</v>
      </c>
      <c r="O12" s="154">
        <f>(C5*'Fuel Composition'!$J$42/100)+(D5*'Fuel Composition'!$J$9/100)+(E5*'Fuel Composition'!$J$94/100)+(F5*'Fuel Composition'!$J$118/100)+(G5*'Fuel Composition'!$J$140/100)+('5000000MP '!H5*'Fuel Composition'!$J$69/100)</f>
        <v>13.188061455349564</v>
      </c>
      <c r="P12" s="156">
        <f>SUM(B12:O12)</f>
        <v>418.93721464567847</v>
      </c>
      <c r="Q12" s="133"/>
    </row>
    <row r="13" spans="1:17" ht="15" thickBot="1" x14ac:dyDescent="0.35">
      <c r="A13" s="157" t="s">
        <v>14</v>
      </c>
      <c r="B13" s="158">
        <f>AVERAGE(B11:B12)</f>
        <v>70.078466678252255</v>
      </c>
      <c r="C13" s="158">
        <f t="shared" ref="C13:O13" si="2">AVERAGE(C11:C12)</f>
        <v>7.2257748274151242E-5</v>
      </c>
      <c r="D13" s="158">
        <f t="shared" si="2"/>
        <v>0.10489106040050002</v>
      </c>
      <c r="E13" s="158">
        <f t="shared" si="2"/>
        <v>0.10532339999999998</v>
      </c>
      <c r="F13" s="158">
        <f t="shared" si="2"/>
        <v>3.3278356592407774</v>
      </c>
      <c r="G13" s="158">
        <f t="shared" si="2"/>
        <v>2.957775E-2</v>
      </c>
      <c r="H13" s="158">
        <f t="shared" si="2"/>
        <v>140.01905363069011</v>
      </c>
      <c r="I13" s="158">
        <f t="shared" si="2"/>
        <v>27.767872787499996</v>
      </c>
      <c r="J13" s="158">
        <f t="shared" si="2"/>
        <v>1.3960204227693663E-2</v>
      </c>
      <c r="K13" s="158">
        <f t="shared" si="2"/>
        <v>1.2922486085202821E-3</v>
      </c>
      <c r="L13" s="158">
        <f t="shared" si="2"/>
        <v>42.564198738606635</v>
      </c>
      <c r="M13" s="158">
        <f t="shared" si="2"/>
        <v>7.0215600000000009</v>
      </c>
      <c r="N13" s="158">
        <f t="shared" si="2"/>
        <v>6.9592537150000005E-4</v>
      </c>
      <c r="O13" s="158">
        <f t="shared" si="2"/>
        <v>9.9138702817788094</v>
      </c>
      <c r="P13" s="159">
        <f>SUM(B13:O13)</f>
        <v>300.94867062242508</v>
      </c>
      <c r="Q13" s="133"/>
    </row>
    <row r="14" spans="1:17" ht="15" thickBot="1" x14ac:dyDescent="0.3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</row>
    <row r="15" spans="1:17" x14ac:dyDescent="0.3">
      <c r="A15" s="160" t="s">
        <v>32</v>
      </c>
      <c r="B15" s="161">
        <v>0.97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</row>
    <row r="16" spans="1:17" ht="15" thickBot="1" x14ac:dyDescent="0.35">
      <c r="A16" s="162" t="s">
        <v>33</v>
      </c>
      <c r="B16" s="159">
        <v>672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</row>
    <row r="17" spans="1:19" ht="15" thickBot="1" x14ac:dyDescent="0.35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</row>
    <row r="18" spans="1:19" ht="29.1" customHeight="1" x14ac:dyDescent="0.3">
      <c r="A18" s="200" t="s">
        <v>34</v>
      </c>
      <c r="B18" s="201" t="s">
        <v>83</v>
      </c>
      <c r="C18" s="201" t="s">
        <v>84</v>
      </c>
      <c r="D18" s="201" t="s">
        <v>35</v>
      </c>
      <c r="E18" s="201" t="s">
        <v>83</v>
      </c>
      <c r="F18" s="202" t="s">
        <v>85</v>
      </c>
      <c r="G18" s="133"/>
      <c r="J18" s="133"/>
      <c r="K18" s="133"/>
      <c r="L18" s="133"/>
      <c r="M18" s="133"/>
      <c r="N18" s="133"/>
      <c r="O18" s="133"/>
      <c r="P18" s="133"/>
      <c r="Q18" s="133"/>
    </row>
    <row r="19" spans="1:19" ht="15" thickBot="1" x14ac:dyDescent="0.35">
      <c r="A19" s="163">
        <f>K3*1000/42/5000</f>
        <v>23809.523809523809</v>
      </c>
      <c r="B19" s="158">
        <f>A19/8760</f>
        <v>2.7179821700369646</v>
      </c>
      <c r="C19" s="158">
        <f>2.62/3*8760</f>
        <v>7650.4000000000005</v>
      </c>
      <c r="D19" s="158">
        <f>SUM(C3,D3,H3,(0.5*J3),(0.5*I3))*1000/42/5000</f>
        <v>12097.619047619048</v>
      </c>
      <c r="E19" s="184">
        <f>D19/8760</f>
        <v>1.3810067405957818</v>
      </c>
      <c r="F19" s="159">
        <f>1.33/2*8760</f>
        <v>5825.4000000000005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</row>
    <row r="20" spans="1:19" ht="30" customHeight="1" x14ac:dyDescent="0.3">
      <c r="A20" s="67"/>
      <c r="B20" s="67"/>
      <c r="C20" s="239" t="s">
        <v>36</v>
      </c>
      <c r="D20" s="240"/>
      <c r="E20" s="240"/>
      <c r="F20" s="241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</row>
    <row r="21" spans="1:19" ht="15" thickBot="1" x14ac:dyDescent="0.35">
      <c r="A21" s="67"/>
      <c r="B21" s="147"/>
      <c r="C21" s="163">
        <f>C19*1.1+100</f>
        <v>8515.44</v>
      </c>
      <c r="D21" s="182"/>
      <c r="E21" s="182"/>
      <c r="F21" s="159">
        <f>F19*1.1+100</f>
        <v>6507.9400000000014</v>
      </c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</row>
    <row r="22" spans="1:19" x14ac:dyDescent="0.3">
      <c r="A22" s="147"/>
      <c r="B22" s="147"/>
      <c r="C22" s="147"/>
      <c r="D22" s="183"/>
      <c r="E22" s="18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</row>
    <row r="23" spans="1:19" ht="15" thickBot="1" x14ac:dyDescent="0.35">
      <c r="A23" s="133"/>
      <c r="B23" s="133"/>
      <c r="C23" s="133"/>
      <c r="D23" s="133"/>
      <c r="E23" s="133"/>
      <c r="F23" s="133"/>
      <c r="G23" s="133"/>
      <c r="J23" s="133"/>
      <c r="K23" s="133"/>
      <c r="L23" s="133"/>
      <c r="M23" s="133"/>
      <c r="N23" s="133"/>
      <c r="O23" s="133"/>
      <c r="P23" s="133"/>
      <c r="Q23" s="133"/>
    </row>
    <row r="24" spans="1:19" x14ac:dyDescent="0.3">
      <c r="A24" s="196" t="s">
        <v>37</v>
      </c>
      <c r="B24" s="197" t="s">
        <v>86</v>
      </c>
      <c r="C24" s="133"/>
      <c r="D24" s="217" t="s">
        <v>38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19" ht="43.2" x14ac:dyDescent="0.3">
      <c r="A25" s="198" t="s">
        <v>39</v>
      </c>
      <c r="B25" s="199" t="s">
        <v>87</v>
      </c>
      <c r="C25" s="133"/>
      <c r="D25" s="218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9" ht="15" thickBot="1" x14ac:dyDescent="0.35">
      <c r="A26" s="163">
        <f>D6*2000/(D3*1000/42/5000)</f>
        <v>546.00000000000011</v>
      </c>
      <c r="B26" s="159">
        <f>A26*2</f>
        <v>1092.0000000000002</v>
      </c>
      <c r="C26" s="133"/>
      <c r="D26" s="193">
        <f>B15*SUM(C6,D6,H6,(0.74*I6),J6)</f>
        <v>4221.9148606016852</v>
      </c>
      <c r="F26" s="133"/>
      <c r="G26" s="133"/>
      <c r="H26" s="133"/>
      <c r="I26" s="133"/>
      <c r="J26" s="133"/>
      <c r="K26" s="133"/>
      <c r="L26" s="133"/>
    </row>
    <row r="27" spans="1:19" x14ac:dyDescent="0.3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</row>
    <row r="28" spans="1:19" x14ac:dyDescent="0.3">
      <c r="A28" s="133"/>
      <c r="B28" s="219" t="s">
        <v>40</v>
      </c>
      <c r="C28" s="219"/>
      <c r="D28" s="219"/>
      <c r="E28" s="219"/>
      <c r="F28" s="219"/>
      <c r="G28" s="219"/>
      <c r="H28" s="219"/>
      <c r="I28" s="219"/>
      <c r="J28" s="219"/>
      <c r="K28" s="133"/>
      <c r="M28" s="214" t="s">
        <v>41</v>
      </c>
      <c r="N28" s="214"/>
      <c r="O28" s="214"/>
      <c r="P28" s="214"/>
      <c r="Q28" s="214"/>
      <c r="R28" s="214"/>
      <c r="S28" s="214"/>
    </row>
    <row r="29" spans="1:19" ht="14.4" customHeight="1" x14ac:dyDescent="0.3">
      <c r="A29" s="133"/>
      <c r="B29" s="221" t="s">
        <v>42</v>
      </c>
      <c r="C29" s="221"/>
      <c r="D29" s="221"/>
      <c r="E29" s="221"/>
      <c r="F29" s="221"/>
      <c r="G29" s="221"/>
      <c r="H29" s="220" t="s">
        <v>43</v>
      </c>
      <c r="I29" s="220" t="s">
        <v>44</v>
      </c>
      <c r="J29" s="220" t="s">
        <v>45</v>
      </c>
      <c r="K29" s="133"/>
      <c r="M29" s="222" t="s">
        <v>42</v>
      </c>
      <c r="N29" s="222"/>
      <c r="O29" s="222"/>
      <c r="P29" s="222"/>
      <c r="Q29" s="213" t="s">
        <v>43</v>
      </c>
      <c r="R29" s="213" t="s">
        <v>44</v>
      </c>
      <c r="S29" s="213" t="s">
        <v>45</v>
      </c>
    </row>
    <row r="30" spans="1:19" ht="43.2" x14ac:dyDescent="0.3">
      <c r="A30" s="133"/>
      <c r="B30" s="210" t="s">
        <v>46</v>
      </c>
      <c r="C30" s="210" t="s">
        <v>47</v>
      </c>
      <c r="D30" s="210" t="s">
        <v>48</v>
      </c>
      <c r="E30" s="210" t="s">
        <v>49</v>
      </c>
      <c r="F30" s="210" t="s">
        <v>50</v>
      </c>
      <c r="G30" s="210" t="s">
        <v>51</v>
      </c>
      <c r="H30" s="220"/>
      <c r="I30" s="220"/>
      <c r="J30" s="220"/>
      <c r="K30" s="133"/>
      <c r="L30" s="133"/>
      <c r="M30" s="177" t="s">
        <v>46</v>
      </c>
      <c r="N30" s="177" t="s">
        <v>47</v>
      </c>
      <c r="O30" s="177" t="s">
        <v>48</v>
      </c>
      <c r="P30" s="177" t="s">
        <v>49</v>
      </c>
      <c r="Q30" s="213"/>
      <c r="R30" s="213"/>
      <c r="S30" s="213"/>
    </row>
    <row r="31" spans="1:19" x14ac:dyDescent="0.3">
      <c r="A31" s="195" t="s">
        <v>52</v>
      </c>
      <c r="B31" s="154"/>
      <c r="C31" s="154"/>
      <c r="D31" s="154"/>
      <c r="E31" s="154"/>
      <c r="F31" s="154"/>
      <c r="G31" s="154"/>
      <c r="H31" s="154"/>
      <c r="I31" s="154"/>
      <c r="J31" s="154"/>
      <c r="K31" s="133"/>
      <c r="L31" s="175" t="s">
        <v>52</v>
      </c>
      <c r="M31" s="154"/>
      <c r="N31" s="154"/>
      <c r="O31" s="154"/>
      <c r="P31" s="154"/>
      <c r="Q31" s="154"/>
      <c r="R31" s="154"/>
      <c r="S31" s="154"/>
    </row>
    <row r="32" spans="1:19" x14ac:dyDescent="0.3">
      <c r="A32" s="176" t="s">
        <v>88</v>
      </c>
      <c r="B32" s="181">
        <f>3686375*2</f>
        <v>7372750</v>
      </c>
      <c r="C32" s="181">
        <f>731920*2</f>
        <v>1463840</v>
      </c>
      <c r="D32" s="181">
        <f>E43*(B32-((1.08*E45*E46)+(E47*E46/E48)))</f>
        <v>791591.55609871342</v>
      </c>
      <c r="E32" s="181">
        <f>C32+D32</f>
        <v>2255431.5560987135</v>
      </c>
      <c r="F32" s="181">
        <f>VOC_Credit*Average_CE*SUM(C6,D6,H6,(0.74*I6),J6)</f>
        <v>2837126.7863243325</v>
      </c>
      <c r="G32" s="181">
        <f>C32+D32-F32</f>
        <v>-581695.23022561893</v>
      </c>
      <c r="H32" s="166">
        <f>($P$13*Average_CE*SUM(C7,D7,H7,(0.74*I7),J7))</f>
        <v>290.75305213014252</v>
      </c>
      <c r="I32" s="181">
        <f>G32/H32</f>
        <v>-2000.6504694067639</v>
      </c>
      <c r="J32" s="181"/>
      <c r="K32" s="133"/>
      <c r="L32" s="176" t="s">
        <v>88</v>
      </c>
      <c r="M32" s="181">
        <f>447809*2</f>
        <v>895618</v>
      </c>
      <c r="N32" s="181">
        <f>1374664*2</f>
        <v>2749328</v>
      </c>
      <c r="O32" s="181">
        <f>M32*O43</f>
        <v>101462.08795950546</v>
      </c>
      <c r="P32" s="181">
        <f>N32+O32</f>
        <v>2850790.0879595056</v>
      </c>
      <c r="Q32" s="166">
        <f>H32</f>
        <v>290.75305213014252</v>
      </c>
      <c r="R32" s="181">
        <f>(N32+O32)/Q32</f>
        <v>9804.8500852313591</v>
      </c>
      <c r="S32" s="181"/>
    </row>
    <row r="33" spans="1:21" x14ac:dyDescent="0.3">
      <c r="A33" s="176" t="s">
        <v>89</v>
      </c>
      <c r="B33" s="181">
        <f>3686375*3</f>
        <v>11059125</v>
      </c>
      <c r="C33" s="181">
        <f>880626*3</f>
        <v>2641878</v>
      </c>
      <c r="D33" s="181">
        <f>E43*(B33-((1.08*E45*E46)+(E47*E46/E48)))</f>
        <v>1209210.7916452545</v>
      </c>
      <c r="E33" s="181">
        <f>C33+D33</f>
        <v>3851088.7916452545</v>
      </c>
      <c r="F33" s="181">
        <f>K6*VOC_Credit*Average_CE</f>
        <v>2848515.7511568284</v>
      </c>
      <c r="G33" s="181">
        <f>C33+D33-F33</f>
        <v>1002573.0404884261</v>
      </c>
      <c r="H33" s="166">
        <f>$P$13*Average_CE</f>
        <v>291.92021050375234</v>
      </c>
      <c r="I33" s="181">
        <f>G33/H33</f>
        <v>3434.4077745022696</v>
      </c>
      <c r="J33" s="181">
        <f>(G33-G32)/(H33-H32)</f>
        <v>1357372.149774475</v>
      </c>
      <c r="K33" s="133"/>
      <c r="L33" s="176" t="s">
        <v>89</v>
      </c>
      <c r="M33" s="181">
        <f>447809*3</f>
        <v>1343427</v>
      </c>
      <c r="N33" s="181">
        <f>1788447*3</f>
        <v>5365341</v>
      </c>
      <c r="O33" s="181">
        <f>M33*O43</f>
        <v>152193.13193925819</v>
      </c>
      <c r="P33" s="181">
        <f>N33+O33</f>
        <v>5517534.1319392584</v>
      </c>
      <c r="Q33" s="166">
        <f>H33</f>
        <v>291.92021050375234</v>
      </c>
      <c r="R33" s="181">
        <f>(N33+O33)/Q33</f>
        <v>18900.82951919609</v>
      </c>
      <c r="S33" s="181">
        <f>(N33+O33-N32-O32)/(Q33-Q32)</f>
        <v>2284817.6428122311</v>
      </c>
      <c r="T33" s="67"/>
      <c r="U33" s="53"/>
    </row>
    <row r="34" spans="1:21" x14ac:dyDescent="0.3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53"/>
    </row>
    <row r="35" spans="1:21" x14ac:dyDescent="0.3">
      <c r="A35" s="133"/>
      <c r="B35" s="133"/>
      <c r="C35" s="133"/>
      <c r="E35" s="133"/>
      <c r="F35" s="133"/>
      <c r="G35" s="133"/>
      <c r="H35" s="133"/>
      <c r="I35" s="133"/>
      <c r="J35" s="133"/>
      <c r="K35" s="133"/>
      <c r="L35" s="133"/>
      <c r="M35" s="133"/>
      <c r="O35" s="133"/>
      <c r="P35" s="133"/>
      <c r="Q35" s="53"/>
    </row>
    <row r="36" spans="1:21" x14ac:dyDescent="0.3">
      <c r="A36" s="168" t="s">
        <v>55</v>
      </c>
      <c r="B36" s="133"/>
      <c r="C36" s="133"/>
      <c r="E36" s="133"/>
      <c r="F36" s="133"/>
      <c r="G36" s="133"/>
      <c r="H36" s="133"/>
      <c r="I36" s="133"/>
      <c r="J36" s="133"/>
      <c r="K36" s="133"/>
      <c r="L36" s="133"/>
      <c r="M36" s="133"/>
      <c r="O36" s="133"/>
      <c r="P36" s="133"/>
      <c r="Q36" s="53"/>
    </row>
    <row r="37" spans="1:21" x14ac:dyDescent="0.3">
      <c r="A37" s="133" t="s">
        <v>56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53"/>
    </row>
    <row r="38" spans="1:21" x14ac:dyDescent="0.3">
      <c r="A38" s="133" t="s">
        <v>57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53"/>
    </row>
    <row r="39" spans="1:21" x14ac:dyDescent="0.3">
      <c r="A39" s="133" t="s">
        <v>90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53"/>
    </row>
    <row r="40" spans="1:21" x14ac:dyDescent="0.3">
      <c r="A40" s="133" t="s">
        <v>91</v>
      </c>
      <c r="Q40" s="53"/>
    </row>
    <row r="41" spans="1:21" x14ac:dyDescent="0.3">
      <c r="Q41" s="53"/>
      <c r="R41" s="53"/>
    </row>
    <row r="42" spans="1:21" ht="19.2" x14ac:dyDescent="0.45">
      <c r="D42" s="179" t="s">
        <v>59</v>
      </c>
      <c r="E42" s="133"/>
      <c r="F42" s="133"/>
      <c r="N42" s="180" t="s">
        <v>60</v>
      </c>
      <c r="Q42" s="53"/>
    </row>
    <row r="43" spans="1:21" x14ac:dyDescent="0.3">
      <c r="D43" s="133" t="s">
        <v>61</v>
      </c>
      <c r="E43" s="133">
        <f>(E49*(1+E49)^15)/(((1+E49)^15)-1)</f>
        <v>0.11328723625419036</v>
      </c>
      <c r="F43" s="133" t="s">
        <v>62</v>
      </c>
      <c r="N43" t="s">
        <v>63</v>
      </c>
      <c r="O43">
        <f>(O45*(1+O45)^15)/(((1+O45)^15)-1)</f>
        <v>0.11328723625419036</v>
      </c>
    </row>
    <row r="44" spans="1:21" x14ac:dyDescent="0.3">
      <c r="D44" s="133" t="s">
        <v>64</v>
      </c>
      <c r="E44" s="133">
        <f>B32</f>
        <v>7372750</v>
      </c>
      <c r="F44" s="133" t="s">
        <v>65</v>
      </c>
      <c r="N44" t="s">
        <v>64</v>
      </c>
      <c r="O44">
        <f>M32</f>
        <v>895618</v>
      </c>
    </row>
    <row r="45" spans="1:21" x14ac:dyDescent="0.3">
      <c r="D45" s="133" t="s">
        <v>66</v>
      </c>
      <c r="E45" s="133">
        <v>5.56</v>
      </c>
      <c r="F45" s="133" t="s">
        <v>67</v>
      </c>
      <c r="N45" t="s">
        <v>68</v>
      </c>
      <c r="O45">
        <v>7.4999999999999997E-2</v>
      </c>
    </row>
    <row r="46" spans="1:21" x14ac:dyDescent="0.3">
      <c r="D46" s="133" t="s">
        <v>69</v>
      </c>
      <c r="E46" s="133">
        <v>62932</v>
      </c>
      <c r="F46" s="133" t="s">
        <v>70</v>
      </c>
    </row>
    <row r="47" spans="1:21" x14ac:dyDescent="0.3">
      <c r="D47" s="133" t="s">
        <v>71</v>
      </c>
      <c r="E47">
        <v>44.46</v>
      </c>
      <c r="F47" s="133" t="s">
        <v>72</v>
      </c>
    </row>
    <row r="48" spans="1:21" x14ac:dyDescent="0.3">
      <c r="D48" s="133" t="s">
        <v>73</v>
      </c>
      <c r="E48">
        <v>379</v>
      </c>
      <c r="F48" t="s">
        <v>74</v>
      </c>
    </row>
    <row r="49" spans="4:5" x14ac:dyDescent="0.3">
      <c r="D49" s="133" t="s">
        <v>68</v>
      </c>
      <c r="E49">
        <v>7.4999999999999997E-2</v>
      </c>
    </row>
  </sheetData>
  <mergeCells count="17">
    <mergeCell ref="C20:F20"/>
    <mergeCell ref="A1:K1"/>
    <mergeCell ref="A3:B3"/>
    <mergeCell ref="A4:A6"/>
    <mergeCell ref="A7:B7"/>
    <mergeCell ref="A9:P9"/>
    <mergeCell ref="R29:R30"/>
    <mergeCell ref="S29:S30"/>
    <mergeCell ref="M28:S28"/>
    <mergeCell ref="D24:D25"/>
    <mergeCell ref="J29:J30"/>
    <mergeCell ref="B29:G29"/>
    <mergeCell ref="B28:J28"/>
    <mergeCell ref="M29:P29"/>
    <mergeCell ref="Q29:Q30"/>
    <mergeCell ref="H29:H30"/>
    <mergeCell ref="I29:I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4886-A1C2-43F2-B83A-DB00995D57EE}">
  <dimension ref="A1:T24"/>
  <sheetViews>
    <sheetView workbookViewId="0">
      <selection activeCell="C17" sqref="C17"/>
    </sheetView>
  </sheetViews>
  <sheetFormatPr defaultRowHeight="14.4" x14ac:dyDescent="0.3"/>
  <cols>
    <col min="1" max="1" width="18.88671875" bestFit="1" customWidth="1"/>
    <col min="2" max="3" width="10.88671875" bestFit="1" customWidth="1"/>
    <col min="5" max="5" width="9.88671875" bestFit="1" customWidth="1"/>
    <col min="6" max="6" width="12.33203125" bestFit="1" customWidth="1"/>
    <col min="8" max="9" width="11.109375" bestFit="1" customWidth="1"/>
    <col min="10" max="10" width="10.88671875" bestFit="1" customWidth="1"/>
    <col min="13" max="13" width="19.33203125" bestFit="1" customWidth="1"/>
    <col min="14" max="15" width="11.109375" bestFit="1" customWidth="1"/>
  </cols>
  <sheetData>
    <row r="1" spans="1:20" ht="57.6" x14ac:dyDescent="0.3">
      <c r="A1" s="1" t="s">
        <v>92</v>
      </c>
      <c r="B1" s="2" t="s">
        <v>93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53"/>
      <c r="K1" s="53"/>
      <c r="L1" s="121" t="s">
        <v>100</v>
      </c>
      <c r="M1" s="2" t="s">
        <v>98</v>
      </c>
      <c r="N1" s="2" t="s">
        <v>99</v>
      </c>
      <c r="O1" s="53" t="s">
        <v>101</v>
      </c>
      <c r="P1" s="53"/>
      <c r="Q1" s="53"/>
    </row>
    <row r="2" spans="1:20" x14ac:dyDescent="0.3">
      <c r="A2" s="1"/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108</v>
      </c>
      <c r="J2" s="53"/>
      <c r="K2" s="53"/>
      <c r="L2" s="3" t="s">
        <v>104</v>
      </c>
      <c r="M2" s="3" t="s">
        <v>109</v>
      </c>
      <c r="N2" s="3" t="s">
        <v>109</v>
      </c>
      <c r="O2" s="53" t="s">
        <v>109</v>
      </c>
      <c r="P2" s="53"/>
      <c r="Q2" s="53"/>
    </row>
    <row r="3" spans="1:20" x14ac:dyDescent="0.3">
      <c r="A3" s="53" t="s">
        <v>110</v>
      </c>
      <c r="B3" s="53">
        <v>0.2</v>
      </c>
      <c r="C3" s="53">
        <v>0.5</v>
      </c>
      <c r="D3" s="53">
        <v>10.199999999999999</v>
      </c>
      <c r="E3" s="53">
        <v>128.1705</v>
      </c>
      <c r="F3" s="53">
        <v>527.66999999999996</v>
      </c>
      <c r="G3" s="53">
        <v>5.55</v>
      </c>
      <c r="H3" s="53">
        <v>6.1741032000000002</v>
      </c>
      <c r="I3" s="53">
        <v>15.435257999999999</v>
      </c>
      <c r="J3" s="53"/>
      <c r="K3" s="53"/>
      <c r="L3" s="53">
        <v>13</v>
      </c>
      <c r="M3" s="53">
        <v>735.01228600000002</v>
      </c>
      <c r="N3" s="53">
        <v>1837.53072</v>
      </c>
      <c r="O3" s="53">
        <f>AVERAGE(M3:N3)</f>
        <v>1286.2715029999999</v>
      </c>
      <c r="P3" s="53"/>
      <c r="Q3" s="53"/>
    </row>
    <row r="4" spans="1:20" x14ac:dyDescent="0.3">
      <c r="A4" s="53" t="s">
        <v>3</v>
      </c>
      <c r="B4" s="53">
        <v>0.2</v>
      </c>
      <c r="C4" s="53">
        <v>0.5</v>
      </c>
      <c r="D4" s="53">
        <v>0.1</v>
      </c>
      <c r="E4" s="53">
        <v>162</v>
      </c>
      <c r="F4" s="53">
        <v>527.66999999999996</v>
      </c>
      <c r="G4" s="53">
        <v>6.82</v>
      </c>
      <c r="H4" s="53">
        <v>6.1205499999999998E-3</v>
      </c>
      <c r="I4" s="53">
        <v>1.530138E-2</v>
      </c>
      <c r="J4" s="53"/>
      <c r="K4" s="53"/>
      <c r="L4" s="53">
        <v>9</v>
      </c>
      <c r="M4" s="53">
        <v>0.72863721999999997</v>
      </c>
      <c r="N4" s="53">
        <v>1.82159304</v>
      </c>
      <c r="O4" s="53">
        <f t="shared" ref="O4:O10" si="0">AVERAGE(M4:N4)</f>
        <v>1.2751151300000001</v>
      </c>
      <c r="P4" s="53"/>
      <c r="Q4" s="53"/>
    </row>
    <row r="5" spans="1:20" x14ac:dyDescent="0.3">
      <c r="A5" s="53" t="s">
        <v>111</v>
      </c>
      <c r="B5" s="53">
        <v>0.2</v>
      </c>
      <c r="C5" s="53">
        <v>0.5</v>
      </c>
      <c r="D5" s="53">
        <v>6.0000000000000001E-3</v>
      </c>
      <c r="E5" s="53">
        <v>188</v>
      </c>
      <c r="F5" s="53">
        <v>527.66999999999996</v>
      </c>
      <c r="G5" s="53">
        <v>7</v>
      </c>
      <c r="H5" s="53">
        <v>5.3271500000000001E-3</v>
      </c>
      <c r="I5" s="53">
        <v>1.3317870000000001E-2</v>
      </c>
      <c r="J5" s="53"/>
      <c r="K5" s="53"/>
      <c r="L5" s="53">
        <v>0.1</v>
      </c>
      <c r="M5" s="53">
        <v>0.63418423999999995</v>
      </c>
      <c r="N5" s="53">
        <v>1.5854606099999999</v>
      </c>
      <c r="O5" s="53">
        <f t="shared" si="0"/>
        <v>1.1098224249999999</v>
      </c>
      <c r="P5" s="53"/>
      <c r="Q5" s="53"/>
    </row>
    <row r="6" spans="1:20" x14ac:dyDescent="0.3">
      <c r="A6" s="53" t="s">
        <v>112</v>
      </c>
      <c r="B6" s="53">
        <v>0.2</v>
      </c>
      <c r="C6" s="53">
        <v>0.5</v>
      </c>
      <c r="D6" s="53">
        <v>2E-3</v>
      </c>
      <c r="E6" s="53">
        <v>387</v>
      </c>
      <c r="F6" s="53">
        <v>527.66999999999996</v>
      </c>
      <c r="G6" s="53">
        <v>8.3000000000000007</v>
      </c>
      <c r="H6" s="53">
        <v>3.65533E-3</v>
      </c>
      <c r="I6" s="53">
        <v>9.1383300000000001E-3</v>
      </c>
      <c r="J6" s="53"/>
      <c r="K6" s="53"/>
      <c r="L6" s="53">
        <v>0.1</v>
      </c>
      <c r="M6" s="53">
        <v>0.43515833999999998</v>
      </c>
      <c r="N6" s="53">
        <v>1.0878958400000001</v>
      </c>
      <c r="O6" s="53">
        <f t="shared" si="0"/>
        <v>0.76152708999999996</v>
      </c>
      <c r="P6" s="53"/>
      <c r="Q6" s="53"/>
    </row>
    <row r="7" spans="1:20" x14ac:dyDescent="0.3">
      <c r="A7" s="53" t="s">
        <v>113</v>
      </c>
      <c r="B7" s="53">
        <v>0.2</v>
      </c>
      <c r="C7" s="53">
        <v>0.5</v>
      </c>
      <c r="D7" s="53">
        <v>1.86</v>
      </c>
      <c r="E7" s="53">
        <v>78.111999999999995</v>
      </c>
      <c r="F7" s="53">
        <v>527.66999999999996</v>
      </c>
      <c r="G7" s="53">
        <v>7.29</v>
      </c>
      <c r="H7" s="53">
        <v>0.68614567999999998</v>
      </c>
      <c r="I7" s="53">
        <v>1.7153642099999999</v>
      </c>
      <c r="J7" s="53">
        <f>I7/(I7+I8)</f>
        <v>0.7410476069127766</v>
      </c>
      <c r="K7" s="53"/>
      <c r="L7" s="53">
        <v>1.4</v>
      </c>
      <c r="M7" s="53">
        <v>81.684010099999995</v>
      </c>
      <c r="N7" s="53">
        <v>204.210025</v>
      </c>
      <c r="O7" s="53">
        <f t="shared" si="0"/>
        <v>142.94701755</v>
      </c>
      <c r="R7" s="53">
        <v>0.94121500000000002</v>
      </c>
      <c r="S7" s="53">
        <v>2.353037</v>
      </c>
      <c r="T7">
        <f>AVERAGE(R7:S7)</f>
        <v>1.6471260000000001</v>
      </c>
    </row>
    <row r="8" spans="1:20" x14ac:dyDescent="0.3">
      <c r="A8" s="53" t="s">
        <v>114</v>
      </c>
      <c r="B8" s="53">
        <v>0.2</v>
      </c>
      <c r="C8" s="53">
        <v>0.5</v>
      </c>
      <c r="D8" s="53">
        <v>0.55100000000000005</v>
      </c>
      <c r="E8" s="53">
        <v>92.141000000000005</v>
      </c>
      <c r="F8" s="53">
        <v>527.66999999999996</v>
      </c>
      <c r="G8" s="53">
        <v>7.2</v>
      </c>
      <c r="H8" s="53">
        <v>0.23976740999999999</v>
      </c>
      <c r="I8" s="53">
        <v>0.59941853</v>
      </c>
      <c r="J8" s="53"/>
      <c r="K8" s="53"/>
      <c r="L8" s="53">
        <v>1.1000000000000001</v>
      </c>
      <c r="M8" s="53">
        <v>28.543739500000001</v>
      </c>
      <c r="N8" s="53">
        <v>71.359348600000004</v>
      </c>
      <c r="O8" s="53">
        <f t="shared" si="0"/>
        <v>49.951544050000003</v>
      </c>
      <c r="R8" s="53">
        <v>0.33300999999999997</v>
      </c>
      <c r="S8" s="53">
        <v>0.83252599999999999</v>
      </c>
      <c r="T8">
        <f t="shared" ref="T8:T10" si="1">AVERAGE(R8:S8)</f>
        <v>0.58276799999999995</v>
      </c>
    </row>
    <row r="9" spans="1:20" x14ac:dyDescent="0.3">
      <c r="A9" s="53" t="s">
        <v>115</v>
      </c>
      <c r="B9" s="53">
        <v>0.2</v>
      </c>
      <c r="C9" s="53">
        <v>0.5</v>
      </c>
      <c r="D9" s="53">
        <v>1.8560000000000001</v>
      </c>
      <c r="E9" s="53">
        <v>32.04</v>
      </c>
      <c r="F9" s="53">
        <v>527.66999999999996</v>
      </c>
      <c r="G9" s="53">
        <v>6.6</v>
      </c>
      <c r="H9" s="53">
        <v>0.28083816</v>
      </c>
      <c r="I9" s="53">
        <v>0.70209538999999999</v>
      </c>
      <c r="J9" s="178">
        <f>I9/(I9+I10)</f>
        <v>0.99893595051243633</v>
      </c>
      <c r="K9" s="53"/>
      <c r="L9" s="53">
        <v>1.8</v>
      </c>
      <c r="M9" s="53">
        <v>33.433113900000002</v>
      </c>
      <c r="N9" s="53">
        <v>83.582784700000005</v>
      </c>
      <c r="O9" s="53">
        <f t="shared" si="0"/>
        <v>58.507949300000007</v>
      </c>
      <c r="R9" s="53">
        <v>0.425512</v>
      </c>
      <c r="S9" s="53">
        <v>1.0637810000000001</v>
      </c>
      <c r="T9">
        <f t="shared" si="1"/>
        <v>0.74464649999999999</v>
      </c>
    </row>
    <row r="10" spans="1:20" x14ac:dyDescent="0.3">
      <c r="A10" s="53" t="s">
        <v>116</v>
      </c>
      <c r="B10" s="53">
        <v>0.2</v>
      </c>
      <c r="C10" s="53">
        <v>0.5</v>
      </c>
      <c r="D10" s="53">
        <v>1.0200000000000001E-3</v>
      </c>
      <c r="E10" s="53">
        <v>62.1</v>
      </c>
      <c r="F10" s="53">
        <v>527.66999999999996</v>
      </c>
      <c r="G10" s="53">
        <v>9.15</v>
      </c>
      <c r="H10" s="53">
        <v>2.9913999999999999E-4</v>
      </c>
      <c r="I10" s="53">
        <v>7.4786000000000004E-4</v>
      </c>
      <c r="J10" s="53"/>
      <c r="K10" s="53"/>
      <c r="L10" s="53">
        <v>0.01</v>
      </c>
      <c r="M10" s="53">
        <v>3.561214E-2</v>
      </c>
      <c r="N10" s="53">
        <v>8.9030360000000003E-2</v>
      </c>
      <c r="O10" s="53">
        <f t="shared" si="0"/>
        <v>6.2321250000000002E-2</v>
      </c>
      <c r="R10" s="53">
        <v>3.2699999999999998E-4</v>
      </c>
      <c r="S10" s="53">
        <v>8.1700000000000002E-4</v>
      </c>
      <c r="T10">
        <f t="shared" si="1"/>
        <v>5.7200000000000003E-4</v>
      </c>
    </row>
    <row r="11" spans="1:20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20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20" x14ac:dyDescent="0.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 t="s">
        <v>117</v>
      </c>
      <c r="N13" s="4"/>
      <c r="O13" s="53"/>
      <c r="P13" s="53"/>
      <c r="Q13" s="53"/>
    </row>
    <row r="14" spans="1:20" ht="72" x14ac:dyDescent="0.3">
      <c r="A14" s="53"/>
      <c r="B14" s="2" t="s">
        <v>94</v>
      </c>
      <c r="C14" s="2" t="s">
        <v>95</v>
      </c>
      <c r="D14" s="2" t="s">
        <v>96</v>
      </c>
      <c r="E14" s="2" t="s">
        <v>118</v>
      </c>
      <c r="F14" s="2" t="s">
        <v>119</v>
      </c>
      <c r="G14" s="2" t="s">
        <v>97</v>
      </c>
      <c r="H14" s="2" t="s">
        <v>120</v>
      </c>
      <c r="I14" s="2" t="s">
        <v>121</v>
      </c>
      <c r="J14" s="2" t="s">
        <v>122</v>
      </c>
      <c r="K14" s="53"/>
      <c r="L14" s="53"/>
      <c r="M14" s="53"/>
      <c r="N14" s="53"/>
      <c r="O14" s="53"/>
      <c r="P14" s="53"/>
      <c r="Q14" s="53"/>
    </row>
    <row r="15" spans="1:20" x14ac:dyDescent="0.3">
      <c r="A15" s="53"/>
      <c r="B15" s="3" t="s">
        <v>104</v>
      </c>
      <c r="C15" s="3" t="s">
        <v>105</v>
      </c>
      <c r="D15" s="3" t="s">
        <v>106</v>
      </c>
      <c r="E15" s="3"/>
      <c r="F15" s="3"/>
      <c r="G15" s="3" t="s">
        <v>107</v>
      </c>
      <c r="H15" s="3" t="s">
        <v>108</v>
      </c>
      <c r="I15" s="3" t="s">
        <v>108</v>
      </c>
      <c r="J15" s="3" t="s">
        <v>108</v>
      </c>
      <c r="K15" s="53"/>
      <c r="L15" s="53"/>
      <c r="M15" s="53"/>
      <c r="N15" s="53"/>
      <c r="O15" s="53"/>
      <c r="P15" s="53"/>
      <c r="Q15" s="53"/>
    </row>
    <row r="16" spans="1:20" x14ac:dyDescent="0.3">
      <c r="A16" s="53" t="s">
        <v>123</v>
      </c>
      <c r="B16" s="53">
        <v>3.36</v>
      </c>
      <c r="C16" s="53">
        <v>60</v>
      </c>
      <c r="D16" s="53">
        <v>527.66999999999996</v>
      </c>
      <c r="E16" s="53">
        <v>1.02</v>
      </c>
      <c r="F16" s="53">
        <f>1.84*(0.44*B16-0.42)*C16*E16/D16</f>
        <v>0.22586902268463246</v>
      </c>
      <c r="G16" s="53">
        <v>7.21</v>
      </c>
      <c r="H16" s="53">
        <v>0.86</v>
      </c>
      <c r="I16" s="53">
        <v>0.46</v>
      </c>
      <c r="J16" s="53">
        <v>0.33</v>
      </c>
      <c r="K16" s="53"/>
      <c r="L16" s="53"/>
      <c r="M16" s="53"/>
      <c r="N16" s="53"/>
      <c r="O16" s="53"/>
      <c r="P16" s="53"/>
      <c r="Q16" s="53"/>
    </row>
    <row r="17" spans="1:17" ht="57.6" x14ac:dyDescent="0.3">
      <c r="A17" s="53"/>
      <c r="B17" s="53"/>
      <c r="C17" s="53"/>
      <c r="D17" s="53"/>
      <c r="E17" s="53"/>
      <c r="F17" s="53"/>
      <c r="G17" s="53"/>
      <c r="H17" s="2" t="s">
        <v>124</v>
      </c>
      <c r="I17" s="2" t="s">
        <v>125</v>
      </c>
      <c r="J17" s="2" t="s">
        <v>126</v>
      </c>
      <c r="K17" s="53"/>
      <c r="L17" s="53"/>
      <c r="M17" s="2" t="s">
        <v>124</v>
      </c>
      <c r="N17" s="2" t="s">
        <v>125</v>
      </c>
      <c r="O17" s="2" t="s">
        <v>126</v>
      </c>
      <c r="P17" s="53"/>
      <c r="Q17" s="53"/>
    </row>
    <row r="18" spans="1:17" x14ac:dyDescent="0.3">
      <c r="A18" s="53"/>
      <c r="B18" s="53"/>
      <c r="C18" s="53"/>
      <c r="D18" s="53"/>
      <c r="E18" s="53"/>
      <c r="F18" s="53"/>
      <c r="G18" s="53"/>
      <c r="H18" s="3" t="s">
        <v>108</v>
      </c>
      <c r="I18" s="3" t="s">
        <v>108</v>
      </c>
      <c r="J18" s="3" t="s">
        <v>108</v>
      </c>
      <c r="K18" s="53"/>
      <c r="L18" s="53"/>
      <c r="M18" s="3" t="s">
        <v>109</v>
      </c>
      <c r="N18" s="3" t="s">
        <v>109</v>
      </c>
      <c r="O18" s="3" t="s">
        <v>109</v>
      </c>
      <c r="P18" s="53"/>
      <c r="Q18" s="53"/>
    </row>
    <row r="19" spans="1:17" x14ac:dyDescent="0.3">
      <c r="A19" s="53"/>
      <c r="B19" s="53"/>
      <c r="C19" s="53"/>
      <c r="D19" s="53"/>
      <c r="E19" s="53"/>
      <c r="F19" s="53"/>
      <c r="G19" s="53"/>
      <c r="H19" s="189">
        <f>H16+$F16</f>
        <v>1.0858690226846324</v>
      </c>
      <c r="I19" s="189">
        <f>I16+$F16</f>
        <v>0.68586902268463246</v>
      </c>
      <c r="J19" s="189">
        <f t="shared" ref="J19" si="2">J16+$F16</f>
        <v>0.55586902268463245</v>
      </c>
      <c r="K19" s="53"/>
      <c r="L19" s="53">
        <v>5</v>
      </c>
      <c r="M19" s="53">
        <v>287.77632699999998</v>
      </c>
      <c r="N19" s="53">
        <v>240.15727999999999</v>
      </c>
      <c r="O19" s="53">
        <v>224.68108899999999</v>
      </c>
      <c r="P19" s="53"/>
      <c r="Q19" s="53"/>
    </row>
    <row r="20" spans="1:17" x14ac:dyDescent="0.3">
      <c r="A20" s="53"/>
      <c r="B20" s="53"/>
      <c r="C20" s="53"/>
      <c r="D20" s="53"/>
      <c r="E20" s="53"/>
      <c r="F20" s="53"/>
      <c r="G20" s="190" t="s">
        <v>127</v>
      </c>
      <c r="H20" s="191">
        <f>0.85*H19</f>
        <v>0.92298866928193746</v>
      </c>
      <c r="I20" s="53"/>
      <c r="J20" s="53"/>
      <c r="K20" s="53"/>
      <c r="L20" s="53"/>
      <c r="M20" s="53"/>
      <c r="N20" s="53"/>
      <c r="O20" s="53"/>
      <c r="P20" s="53"/>
      <c r="Q20" s="53"/>
    </row>
    <row r="21" spans="1:17" x14ac:dyDescent="0.3">
      <c r="A21" s="53"/>
      <c r="B21" s="53"/>
      <c r="C21" s="53"/>
      <c r="D21" s="53"/>
      <c r="E21" s="53"/>
      <c r="F21" s="53"/>
      <c r="G21" s="53"/>
      <c r="H21" s="53"/>
      <c r="J21" s="53"/>
      <c r="K21" s="53"/>
      <c r="L21" s="53"/>
      <c r="M21" s="53"/>
      <c r="N21" s="53"/>
      <c r="O21" s="53"/>
      <c r="P21" s="53"/>
      <c r="Q21" s="53"/>
    </row>
    <row r="22" spans="1:17" ht="43.2" x14ac:dyDescent="0.3">
      <c r="A22" s="53"/>
      <c r="B22" s="2" t="s">
        <v>98</v>
      </c>
      <c r="C22" s="2" t="s">
        <v>99</v>
      </c>
      <c r="D22" s="53" t="s">
        <v>97</v>
      </c>
      <c r="E22" s="53"/>
      <c r="F22" s="53"/>
      <c r="G22" s="53"/>
      <c r="H22" s="53"/>
      <c r="I22" s="53"/>
      <c r="J22" s="53"/>
      <c r="K22" s="53"/>
      <c r="L22" s="53"/>
      <c r="M22" s="2" t="s">
        <v>98</v>
      </c>
      <c r="N22" s="2" t="s">
        <v>99</v>
      </c>
      <c r="O22" s="53"/>
      <c r="P22" s="53"/>
      <c r="Q22" s="53"/>
    </row>
    <row r="23" spans="1:17" x14ac:dyDescent="0.3">
      <c r="A23" s="53"/>
      <c r="B23" s="3" t="s">
        <v>108</v>
      </c>
      <c r="C23" s="3" t="s">
        <v>108</v>
      </c>
      <c r="D23" s="3" t="s">
        <v>107</v>
      </c>
      <c r="E23" s="53"/>
      <c r="F23" s="53"/>
      <c r="G23" s="53"/>
      <c r="H23" s="53"/>
      <c r="I23" s="53"/>
      <c r="J23" s="53"/>
      <c r="K23" s="53"/>
      <c r="L23" s="53"/>
      <c r="M23" s="3" t="s">
        <v>109</v>
      </c>
      <c r="N23" s="3" t="s">
        <v>109</v>
      </c>
      <c r="O23" s="53"/>
      <c r="P23" s="53"/>
      <c r="Q23" s="53"/>
    </row>
    <row r="24" spans="1:17" x14ac:dyDescent="0.3">
      <c r="A24" s="122" t="s">
        <v>2</v>
      </c>
      <c r="B24" s="53">
        <v>1.8</v>
      </c>
      <c r="C24" s="53">
        <v>3.4</v>
      </c>
      <c r="D24" s="53">
        <v>6.26</v>
      </c>
      <c r="E24" s="53"/>
      <c r="F24" s="53"/>
      <c r="G24" s="53"/>
      <c r="H24" s="53"/>
      <c r="I24" s="53"/>
      <c r="J24" s="53"/>
      <c r="K24" s="53"/>
      <c r="L24" s="53">
        <v>6</v>
      </c>
      <c r="M24" s="53">
        <v>214.28571400000001</v>
      </c>
      <c r="N24" s="53">
        <v>404.76190500000001</v>
      </c>
      <c r="O24" s="53">
        <f>AVERAGE(M24:N24)</f>
        <v>309.52380950000003</v>
      </c>
      <c r="P24" s="53"/>
      <c r="Q24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AC37-F56D-4EFD-9AEC-046D9E0F19B5}">
  <dimension ref="A1:Z185"/>
  <sheetViews>
    <sheetView topLeftCell="A148" workbookViewId="0">
      <selection activeCell="E169" sqref="E169"/>
    </sheetView>
  </sheetViews>
  <sheetFormatPr defaultRowHeight="14.4" x14ac:dyDescent="0.3"/>
  <cols>
    <col min="1" max="1" width="36.5546875" bestFit="1" customWidth="1"/>
    <col min="2" max="2" width="36.5546875" customWidth="1"/>
    <col min="3" max="3" width="27" customWidth="1"/>
    <col min="4" max="4" width="18.109375" customWidth="1"/>
    <col min="5" max="5" width="12.33203125" customWidth="1"/>
    <col min="6" max="6" width="8.6640625" customWidth="1"/>
    <col min="7" max="7" width="17.5546875" customWidth="1"/>
    <col min="8" max="9" width="8.6640625" customWidth="1"/>
    <col min="10" max="10" width="12.44140625" customWidth="1"/>
    <col min="11" max="11" width="11.33203125" customWidth="1"/>
    <col min="12" max="12" width="36.5546875" customWidth="1"/>
    <col min="13" max="14" width="8.6640625" customWidth="1"/>
    <col min="15" max="15" width="27" customWidth="1"/>
    <col min="16" max="18" width="8.6640625" customWidth="1"/>
    <col min="19" max="19" width="32.44140625" customWidth="1"/>
    <col min="20" max="21" width="10.109375" bestFit="1" customWidth="1"/>
  </cols>
  <sheetData>
    <row r="1" spans="1:26" x14ac:dyDescent="0.3">
      <c r="A1" s="2"/>
      <c r="B1" s="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7" x14ac:dyDescent="0.3">
      <c r="A2" s="46" t="s">
        <v>128</v>
      </c>
      <c r="B2" s="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x14ac:dyDescent="0.3">
      <c r="A3" s="2"/>
      <c r="B3" s="2"/>
      <c r="C3" s="53"/>
      <c r="D3" s="53" t="s">
        <v>129</v>
      </c>
      <c r="E3" s="53" t="s">
        <v>130</v>
      </c>
      <c r="F3" s="53" t="s">
        <v>131</v>
      </c>
      <c r="G3" s="53"/>
      <c r="H3" s="53" t="s">
        <v>132</v>
      </c>
      <c r="I3" s="53"/>
      <c r="J3" s="53" t="s">
        <v>133</v>
      </c>
      <c r="K3" s="53"/>
      <c r="L3" s="5" t="s">
        <v>134</v>
      </c>
      <c r="M3" s="5" t="s">
        <v>134</v>
      </c>
      <c r="N3" s="53"/>
      <c r="O3" s="6" t="s">
        <v>135</v>
      </c>
      <c r="P3" s="7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53.4" x14ac:dyDescent="0.3">
      <c r="A4" s="11" t="s">
        <v>134</v>
      </c>
      <c r="B4" s="9" t="s">
        <v>136</v>
      </c>
      <c r="C4" s="9" t="s">
        <v>137</v>
      </c>
      <c r="D4" s="10" t="s">
        <v>138</v>
      </c>
      <c r="E4" s="10" t="s">
        <v>139</v>
      </c>
      <c r="F4" s="10" t="s">
        <v>140</v>
      </c>
      <c r="G4" s="11" t="s">
        <v>141</v>
      </c>
      <c r="H4" s="10" t="s">
        <v>142</v>
      </c>
      <c r="I4" s="10" t="s">
        <v>143</v>
      </c>
      <c r="J4" s="12" t="s">
        <v>144</v>
      </c>
      <c r="K4" s="13"/>
      <c r="L4" s="10" t="s">
        <v>145</v>
      </c>
      <c r="M4" s="14">
        <v>68</v>
      </c>
      <c r="N4" s="10" t="s">
        <v>146</v>
      </c>
      <c r="O4" s="8" t="s">
        <v>147</v>
      </c>
      <c r="P4" s="10" t="s">
        <v>148</v>
      </c>
      <c r="Q4" s="8" t="s">
        <v>149</v>
      </c>
      <c r="R4" s="53"/>
      <c r="S4" s="53"/>
      <c r="T4" s="53" t="s">
        <v>150</v>
      </c>
      <c r="U4" s="53" t="s">
        <v>13</v>
      </c>
      <c r="V4" s="53"/>
      <c r="W4" s="53"/>
      <c r="X4" s="53"/>
      <c r="Y4" s="53"/>
      <c r="Z4" s="53"/>
    </row>
    <row r="5" spans="1:26" x14ac:dyDescent="0.3">
      <c r="A5" s="47"/>
      <c r="B5" s="47"/>
      <c r="C5" s="16" t="s">
        <v>134</v>
      </c>
      <c r="D5" s="17" t="s">
        <v>134</v>
      </c>
      <c r="E5" s="17" t="s">
        <v>134</v>
      </c>
      <c r="F5" s="17" t="s">
        <v>134</v>
      </c>
      <c r="G5" s="17" t="s">
        <v>134</v>
      </c>
      <c r="H5" s="17" t="s">
        <v>134</v>
      </c>
      <c r="I5" s="17" t="s">
        <v>134</v>
      </c>
      <c r="J5" s="17" t="s">
        <v>134</v>
      </c>
      <c r="K5" s="53"/>
      <c r="L5" s="17" t="s">
        <v>134</v>
      </c>
      <c r="M5" s="53">
        <v>20</v>
      </c>
      <c r="N5" s="53" t="s">
        <v>149</v>
      </c>
      <c r="O5" s="17" t="s">
        <v>134</v>
      </c>
      <c r="P5" s="17" t="s">
        <v>134</v>
      </c>
      <c r="Q5" s="17" t="s">
        <v>134</v>
      </c>
      <c r="R5" s="53"/>
      <c r="S5" s="53"/>
      <c r="T5" s="53" t="s">
        <v>151</v>
      </c>
      <c r="U5" s="53" t="s">
        <v>151</v>
      </c>
      <c r="V5" s="53"/>
      <c r="W5" s="53"/>
      <c r="X5" s="53"/>
      <c r="Y5" s="53"/>
      <c r="Z5" s="53"/>
    </row>
    <row r="6" spans="1:26" x14ac:dyDescent="0.3">
      <c r="A6" s="2" t="s">
        <v>113</v>
      </c>
      <c r="B6" s="50">
        <v>78.11</v>
      </c>
      <c r="C6" s="18">
        <v>1.454</v>
      </c>
      <c r="D6" s="18">
        <v>1.61</v>
      </c>
      <c r="E6" s="20">
        <v>2.0599999999999999E-4</v>
      </c>
      <c r="F6" s="20">
        <v>1.7299999999999999E-2</v>
      </c>
      <c r="G6" s="20">
        <v>2.52E-2</v>
      </c>
      <c r="H6" s="20">
        <v>6.7200000000000003E-3</v>
      </c>
      <c r="I6" s="20">
        <v>0.52500000000000002</v>
      </c>
      <c r="J6" s="19">
        <v>0.8</v>
      </c>
      <c r="K6" s="53"/>
      <c r="L6" s="53"/>
      <c r="M6" s="53"/>
      <c r="N6" s="53"/>
      <c r="O6" s="53">
        <v>6.9056499999999996</v>
      </c>
      <c r="P6" s="53">
        <v>1211.0329999999999</v>
      </c>
      <c r="Q6" s="53">
        <v>220.79</v>
      </c>
      <c r="R6" s="53"/>
      <c r="S6" s="53"/>
      <c r="T6" s="53">
        <v>2.29</v>
      </c>
      <c r="U6" s="53">
        <v>4.33</v>
      </c>
      <c r="V6" s="53">
        <f>AVERAGE(T6:U6)</f>
        <v>3.31</v>
      </c>
      <c r="W6" s="53"/>
      <c r="X6" s="53"/>
      <c r="Y6" s="53"/>
      <c r="Z6" s="53"/>
    </row>
    <row r="7" spans="1:26" x14ac:dyDescent="0.3">
      <c r="A7" s="2" t="s">
        <v>152</v>
      </c>
      <c r="B7" s="50">
        <v>86.18</v>
      </c>
      <c r="C7" s="18">
        <v>2.347</v>
      </c>
      <c r="D7" s="19">
        <v>1</v>
      </c>
      <c r="E7" s="20">
        <v>1.16E-4</v>
      </c>
      <c r="F7" s="20">
        <v>9.7599999999999996E-3</v>
      </c>
      <c r="G7" s="20">
        <v>2.29E-2</v>
      </c>
      <c r="H7" s="20">
        <v>6.11E-3</v>
      </c>
      <c r="I7" s="20">
        <v>0.52700000000000002</v>
      </c>
      <c r="J7" s="19">
        <v>0.8</v>
      </c>
      <c r="K7" s="53"/>
      <c r="L7" s="53"/>
      <c r="M7" s="53"/>
      <c r="N7" s="53"/>
      <c r="O7" s="53">
        <v>6.87601</v>
      </c>
      <c r="P7" s="53">
        <v>1171.17</v>
      </c>
      <c r="Q7" s="53">
        <v>224.41</v>
      </c>
      <c r="R7" s="53"/>
      <c r="S7" s="53"/>
      <c r="T7" s="53">
        <v>2.2999999999999998</v>
      </c>
      <c r="U7" s="53">
        <v>4.34</v>
      </c>
      <c r="V7" s="53">
        <f t="shared" ref="V7:V23" si="0">AVERAGE(T7:U7)</f>
        <v>3.32</v>
      </c>
      <c r="W7" s="53"/>
      <c r="X7" s="53"/>
      <c r="Y7" s="53"/>
      <c r="Z7" s="53"/>
    </row>
    <row r="8" spans="1:26" x14ac:dyDescent="0.3">
      <c r="A8" s="2" t="s">
        <v>153</v>
      </c>
      <c r="B8" s="50">
        <v>92.14</v>
      </c>
      <c r="C8" s="18">
        <v>0.42199999999999999</v>
      </c>
      <c r="D8" s="19">
        <v>7.2</v>
      </c>
      <c r="E8" s="20">
        <v>7.8299999999999995E-4</v>
      </c>
      <c r="F8" s="20">
        <v>6.5799999999999997E-2</v>
      </c>
      <c r="G8" s="20">
        <v>2.7799999999999998E-2</v>
      </c>
      <c r="H8" s="20">
        <v>7.4200000000000004E-3</v>
      </c>
      <c r="I8" s="20">
        <v>0.68400000000000005</v>
      </c>
      <c r="J8" s="19">
        <v>1.04</v>
      </c>
      <c r="K8" s="53"/>
      <c r="L8" s="53"/>
      <c r="M8" s="53"/>
      <c r="N8" s="53"/>
      <c r="O8" s="53">
        <v>6.9546400000000004</v>
      </c>
      <c r="P8" s="53">
        <v>1344.8</v>
      </c>
      <c r="Q8" s="53">
        <v>219.48</v>
      </c>
      <c r="R8" s="53"/>
      <c r="S8" s="53"/>
      <c r="T8" s="53">
        <v>2.98</v>
      </c>
      <c r="U8" s="53">
        <v>5.63</v>
      </c>
      <c r="V8" s="53">
        <f t="shared" si="0"/>
        <v>4.3049999999999997</v>
      </c>
      <c r="W8" s="53"/>
      <c r="X8" s="53"/>
      <c r="Y8" s="53"/>
      <c r="Z8" s="53"/>
    </row>
    <row r="9" spans="1:26" x14ac:dyDescent="0.3">
      <c r="A9" s="2" t="s">
        <v>154</v>
      </c>
      <c r="B9" s="50">
        <v>106.14</v>
      </c>
      <c r="C9" s="18">
        <v>0.126</v>
      </c>
      <c r="D9" s="19">
        <v>7.17</v>
      </c>
      <c r="E9" s="20">
        <v>6.7599999999999995E-4</v>
      </c>
      <c r="F9" s="20">
        <v>5.6800000000000003E-2</v>
      </c>
      <c r="G9" s="20">
        <v>7.1599999999999997E-3</v>
      </c>
      <c r="H9" s="20">
        <v>1.91E-3</v>
      </c>
      <c r="I9" s="20">
        <v>0.20300000000000001</v>
      </c>
      <c r="J9" s="19">
        <v>0.31</v>
      </c>
      <c r="K9" s="53"/>
      <c r="L9" s="2"/>
      <c r="M9" s="53"/>
      <c r="N9" s="53"/>
      <c r="O9" s="53">
        <v>6.9905200000000001</v>
      </c>
      <c r="P9" s="53">
        <v>1453.43</v>
      </c>
      <c r="Q9" s="53">
        <v>215.31</v>
      </c>
      <c r="R9" s="53"/>
      <c r="S9" s="53"/>
      <c r="T9" s="53">
        <v>0.88</v>
      </c>
      <c r="U9" s="53">
        <v>1.67</v>
      </c>
      <c r="V9" s="53">
        <f t="shared" si="0"/>
        <v>1.2749999999999999</v>
      </c>
      <c r="W9" s="53"/>
      <c r="X9" s="53"/>
      <c r="Y9" s="53"/>
      <c r="Z9" s="53"/>
    </row>
    <row r="10" spans="1:26" x14ac:dyDescent="0.3">
      <c r="A10" s="2" t="s">
        <v>155</v>
      </c>
      <c r="B10" s="50">
        <v>106.17</v>
      </c>
      <c r="C10" s="18">
        <v>0.13700000000000001</v>
      </c>
      <c r="D10" s="19">
        <v>1.605</v>
      </c>
      <c r="E10" s="20">
        <v>1.5100000000000001E-4</v>
      </c>
      <c r="F10" s="20">
        <v>1.2699999999999999E-2</v>
      </c>
      <c r="G10" s="20">
        <v>1.74E-3</v>
      </c>
      <c r="H10" s="20">
        <v>4.6500000000000003E-4</v>
      </c>
      <c r="I10" s="20">
        <v>4.9299999999999997E-2</v>
      </c>
      <c r="J10" s="19">
        <v>7.0000000000000007E-2</v>
      </c>
      <c r="K10" s="53"/>
      <c r="L10" s="53"/>
      <c r="M10" s="53"/>
      <c r="N10" s="53"/>
      <c r="O10" s="53">
        <v>6.9571899999999998</v>
      </c>
      <c r="P10" s="53">
        <v>1424.2550000000001</v>
      </c>
      <c r="Q10" s="53">
        <v>213.21</v>
      </c>
      <c r="R10" s="53"/>
      <c r="S10" s="53"/>
      <c r="T10" s="53">
        <v>0.22</v>
      </c>
      <c r="U10" s="53">
        <v>0.41</v>
      </c>
      <c r="V10" s="53">
        <f t="shared" si="0"/>
        <v>0.315</v>
      </c>
      <c r="W10" s="53"/>
      <c r="X10" s="53"/>
      <c r="Y10" s="53"/>
      <c r="Z10" s="53"/>
    </row>
    <row r="11" spans="1:26" x14ac:dyDescent="0.3">
      <c r="A11" s="2" t="s">
        <v>156</v>
      </c>
      <c r="B11" s="50">
        <v>114.23</v>
      </c>
      <c r="C11" s="18">
        <v>0.747</v>
      </c>
      <c r="D11" s="19">
        <v>1.0980000000000001</v>
      </c>
      <c r="E11" s="20">
        <v>9.6100000000000005E-5</v>
      </c>
      <c r="F11" s="20">
        <v>8.0800000000000004E-3</v>
      </c>
      <c r="G11" s="20">
        <v>6.0400000000000002E-3</v>
      </c>
      <c r="H11" s="20">
        <v>1.6100000000000001E-3</v>
      </c>
      <c r="I11" s="20">
        <v>0.184</v>
      </c>
      <c r="J11" s="19">
        <v>0.28000000000000003</v>
      </c>
      <c r="K11" s="53"/>
      <c r="L11" s="53"/>
      <c r="M11" s="53"/>
      <c r="N11" s="53"/>
      <c r="O11" s="53">
        <v>6.81189</v>
      </c>
      <c r="P11" s="53">
        <v>1257.8399999999999</v>
      </c>
      <c r="Q11" s="53">
        <v>220.74</v>
      </c>
      <c r="R11" s="53"/>
      <c r="S11" s="53"/>
      <c r="T11" s="53">
        <v>0.8</v>
      </c>
      <c r="U11" s="53">
        <v>1.52</v>
      </c>
      <c r="V11" s="53">
        <f t="shared" si="0"/>
        <v>1.1600000000000001</v>
      </c>
      <c r="W11" s="53"/>
      <c r="X11" s="53"/>
      <c r="Y11" s="53"/>
      <c r="Z11" s="53"/>
    </row>
    <row r="12" spans="1:26" x14ac:dyDescent="0.3">
      <c r="A12" s="2" t="s">
        <v>157</v>
      </c>
      <c r="B12" s="50">
        <v>120.19</v>
      </c>
      <c r="C12" s="18">
        <v>6.5000000000000002E-2</v>
      </c>
      <c r="D12" s="19">
        <v>0.19</v>
      </c>
      <c r="E12" s="20">
        <v>1.5800000000000001E-5</v>
      </c>
      <c r="F12" s="20">
        <v>1.33E-3</v>
      </c>
      <c r="G12" s="20">
        <v>8.5799999999999998E-5</v>
      </c>
      <c r="H12" s="20">
        <v>2.2900000000000001E-5</v>
      </c>
      <c r="I12" s="20">
        <v>2.7499999999999998E-3</v>
      </c>
      <c r="J12" s="19">
        <v>4.1999999999999997E-3</v>
      </c>
      <c r="K12" s="53"/>
      <c r="L12" s="53"/>
      <c r="M12" s="53"/>
      <c r="N12" s="53"/>
      <c r="O12" s="53">
        <v>6.9366599999999998</v>
      </c>
      <c r="P12" s="53">
        <v>1460.7929999999999</v>
      </c>
      <c r="Q12" s="53">
        <v>207.78</v>
      </c>
      <c r="R12" s="53"/>
      <c r="S12" s="53"/>
      <c r="T12" s="53">
        <v>0.01</v>
      </c>
      <c r="U12" s="53">
        <v>0.02</v>
      </c>
      <c r="V12" s="53">
        <f t="shared" si="0"/>
        <v>1.4999999999999999E-2</v>
      </c>
      <c r="W12" s="53"/>
      <c r="X12" s="53"/>
      <c r="Y12" s="53"/>
      <c r="Z12" s="53"/>
    </row>
    <row r="13" spans="1:26" x14ac:dyDescent="0.3">
      <c r="A13" s="11" t="s">
        <v>158</v>
      </c>
      <c r="B13" s="51">
        <v>128.16999999999999</v>
      </c>
      <c r="C13" s="21">
        <v>3.0000000000000001E-3</v>
      </c>
      <c r="D13" s="22">
        <v>0.44400000000000001</v>
      </c>
      <c r="E13" s="23">
        <v>3.4600000000000001E-5</v>
      </c>
      <c r="F13" s="23">
        <v>2.9099999999999998E-3</v>
      </c>
      <c r="G13" s="23">
        <v>1.0200000000000001E-5</v>
      </c>
      <c r="H13" s="23">
        <v>2.7199999999999998E-6</v>
      </c>
      <c r="I13" s="23">
        <v>3.48E-4</v>
      </c>
      <c r="J13" s="22">
        <v>5.0000000000000001E-4</v>
      </c>
      <c r="K13" s="53"/>
      <c r="L13" s="8" t="s">
        <v>134</v>
      </c>
      <c r="M13" s="8" t="s">
        <v>134</v>
      </c>
      <c r="N13" s="8" t="s">
        <v>134</v>
      </c>
      <c r="O13" s="8">
        <v>7.37</v>
      </c>
      <c r="P13" s="8">
        <v>1968.36</v>
      </c>
      <c r="Q13" s="8">
        <v>222.61</v>
      </c>
      <c r="R13" s="53"/>
      <c r="S13" s="53"/>
      <c r="T13" s="53">
        <v>0</v>
      </c>
      <c r="U13" s="53">
        <v>0</v>
      </c>
      <c r="V13" s="53">
        <f t="shared" si="0"/>
        <v>0</v>
      </c>
      <c r="W13" s="53"/>
      <c r="X13" s="53"/>
      <c r="Y13" s="53"/>
      <c r="Z13" s="53"/>
    </row>
    <row r="14" spans="1:26" x14ac:dyDescent="0.3">
      <c r="A14" s="2" t="s">
        <v>159</v>
      </c>
      <c r="B14" s="50">
        <v>46.07</v>
      </c>
      <c r="C14" s="18">
        <v>0.89700000000000002</v>
      </c>
      <c r="D14" s="19">
        <v>8</v>
      </c>
      <c r="E14" s="20">
        <v>1.74E-3</v>
      </c>
      <c r="F14" s="20">
        <v>0.14599999999999999</v>
      </c>
      <c r="G14" s="20">
        <v>0.13100000000000001</v>
      </c>
      <c r="H14" s="20">
        <v>3.5000000000000003E-2</v>
      </c>
      <c r="I14" s="20">
        <v>1.61</v>
      </c>
      <c r="J14" s="19">
        <v>2.4441999999999999</v>
      </c>
      <c r="K14" s="53"/>
      <c r="L14" s="53"/>
      <c r="M14" s="53"/>
      <c r="N14" s="53"/>
      <c r="O14" s="53">
        <v>8.2109000000000005</v>
      </c>
      <c r="P14" s="53">
        <v>1718.1</v>
      </c>
      <c r="Q14" s="53">
        <v>237.52</v>
      </c>
      <c r="R14" s="53"/>
      <c r="S14" s="53"/>
      <c r="T14" s="53">
        <v>7.03</v>
      </c>
      <c r="U14" s="53">
        <v>13.28</v>
      </c>
      <c r="V14" s="53">
        <f t="shared" si="0"/>
        <v>10.154999999999999</v>
      </c>
      <c r="W14" s="53"/>
      <c r="X14" s="53"/>
      <c r="Y14" s="53"/>
      <c r="Z14" s="53"/>
    </row>
    <row r="15" spans="1:26" x14ac:dyDescent="0.3">
      <c r="A15" s="2" t="s">
        <v>160</v>
      </c>
      <c r="B15" s="50">
        <v>58.12</v>
      </c>
      <c r="C15" s="18">
        <v>30.076000000000001</v>
      </c>
      <c r="D15" s="19">
        <v>4.7</v>
      </c>
      <c r="E15" s="20">
        <v>8.0900000000000004E-4</v>
      </c>
      <c r="F15" s="20">
        <v>6.8000000000000005E-2</v>
      </c>
      <c r="G15" s="20">
        <v>2.0499999999999998</v>
      </c>
      <c r="H15" s="20">
        <v>0.54600000000000004</v>
      </c>
      <c r="I15" s="20">
        <v>31.7</v>
      </c>
      <c r="J15" s="19">
        <v>48.16</v>
      </c>
      <c r="K15" s="53"/>
      <c r="L15" s="17" t="s">
        <v>134</v>
      </c>
      <c r="M15" s="17" t="s">
        <v>134</v>
      </c>
      <c r="N15" s="17" t="s">
        <v>134</v>
      </c>
      <c r="O15" s="17">
        <v>6.8089599999999999</v>
      </c>
      <c r="P15" s="17">
        <v>935.86</v>
      </c>
      <c r="Q15" s="17">
        <v>238.73</v>
      </c>
      <c r="R15" s="53"/>
      <c r="S15" s="53"/>
      <c r="T15" s="53">
        <v>138.49</v>
      </c>
      <c r="U15" s="53">
        <v>261.58999999999997</v>
      </c>
      <c r="V15" s="53">
        <f t="shared" si="0"/>
        <v>200.04</v>
      </c>
      <c r="W15" s="53"/>
      <c r="X15" s="53"/>
      <c r="Y15" s="53"/>
      <c r="Z15" s="53"/>
    </row>
    <row r="16" spans="1:26" x14ac:dyDescent="0.3">
      <c r="A16" s="2" t="s">
        <v>161</v>
      </c>
      <c r="B16" s="50">
        <v>58.12</v>
      </c>
      <c r="C16" s="18">
        <v>11.103</v>
      </c>
      <c r="D16" s="19">
        <v>1.7</v>
      </c>
      <c r="E16" s="20">
        <v>2.92E-4</v>
      </c>
      <c r="F16" s="20">
        <v>2.46E-2</v>
      </c>
      <c r="G16" s="20">
        <v>0.27300000000000002</v>
      </c>
      <c r="H16" s="20">
        <v>7.2900000000000006E-2</v>
      </c>
      <c r="I16" s="20">
        <v>4.24</v>
      </c>
      <c r="J16" s="19">
        <v>6.43</v>
      </c>
      <c r="K16" s="53"/>
      <c r="L16" s="53"/>
      <c r="M16" s="53"/>
      <c r="N16" s="53"/>
      <c r="O16" s="53">
        <v>6.8331499999999998</v>
      </c>
      <c r="P16" s="53">
        <v>1040.73</v>
      </c>
      <c r="Q16" s="53">
        <v>235.45</v>
      </c>
      <c r="R16" s="53"/>
      <c r="S16" s="53"/>
      <c r="T16" s="53">
        <v>18.489999999999998</v>
      </c>
      <c r="U16" s="53">
        <v>34.93</v>
      </c>
      <c r="V16" s="53">
        <f t="shared" si="0"/>
        <v>26.71</v>
      </c>
      <c r="W16" s="53"/>
      <c r="X16" s="53"/>
      <c r="Y16" s="53"/>
      <c r="Z16" s="53"/>
    </row>
    <row r="17" spans="1:26" x14ac:dyDescent="0.3">
      <c r="A17" s="2" t="s">
        <v>162</v>
      </c>
      <c r="B17" s="50">
        <v>72.150000000000006</v>
      </c>
      <c r="C17" s="18">
        <v>8.5239999999999991</v>
      </c>
      <c r="D17" s="19">
        <v>3.9</v>
      </c>
      <c r="E17" s="20">
        <v>5.4100000000000003E-4</v>
      </c>
      <c r="F17" s="20">
        <v>4.5499999999999999E-2</v>
      </c>
      <c r="G17" s="20">
        <v>0.38700000000000001</v>
      </c>
      <c r="H17" s="20">
        <v>0.10299999999999999</v>
      </c>
      <c r="I17" s="20">
        <v>7.46</v>
      </c>
      <c r="J17" s="19">
        <v>11.33</v>
      </c>
      <c r="K17" s="53"/>
      <c r="L17" s="53"/>
      <c r="M17" s="53"/>
      <c r="N17" s="53"/>
      <c r="O17" s="53">
        <v>6.8529600000000004</v>
      </c>
      <c r="P17" s="53">
        <v>1064.8399999999999</v>
      </c>
      <c r="Q17" s="53">
        <v>233.01</v>
      </c>
      <c r="R17" s="53"/>
      <c r="S17" s="53"/>
      <c r="T17" s="53">
        <v>32.57</v>
      </c>
      <c r="U17" s="53">
        <v>61.52</v>
      </c>
      <c r="V17" s="53">
        <f t="shared" si="0"/>
        <v>47.045000000000002</v>
      </c>
      <c r="W17" s="53"/>
      <c r="X17" s="53"/>
      <c r="Y17" s="53"/>
      <c r="Z17" s="53"/>
    </row>
    <row r="18" spans="1:26" x14ac:dyDescent="0.3">
      <c r="A18" s="2" t="s">
        <v>163</v>
      </c>
      <c r="B18" s="50">
        <v>72.150000000000006</v>
      </c>
      <c r="C18" s="18">
        <v>2.9670000000000001</v>
      </c>
      <c r="D18" s="19">
        <v>7.9</v>
      </c>
      <c r="E18" s="20">
        <v>1.09E-3</v>
      </c>
      <c r="F18" s="20">
        <v>9.2100000000000001E-2</v>
      </c>
      <c r="G18" s="20">
        <v>0.27300000000000002</v>
      </c>
      <c r="H18" s="20">
        <v>7.2900000000000006E-2</v>
      </c>
      <c r="I18" s="20">
        <v>5.26</v>
      </c>
      <c r="J18" s="19">
        <v>7.99</v>
      </c>
      <c r="K18" s="53"/>
      <c r="L18" s="53"/>
      <c r="M18" s="53"/>
      <c r="N18" s="53"/>
      <c r="O18" s="53">
        <v>6.8488699999999998</v>
      </c>
      <c r="P18" s="53">
        <v>1152.3679999999999</v>
      </c>
      <c r="Q18" s="53">
        <v>227.13</v>
      </c>
      <c r="R18" s="53"/>
      <c r="S18" s="53"/>
      <c r="T18" s="53">
        <v>22.96</v>
      </c>
      <c r="U18" s="53">
        <v>43.37</v>
      </c>
      <c r="V18" s="53">
        <f t="shared" si="0"/>
        <v>33.164999999999999</v>
      </c>
      <c r="W18" s="53"/>
      <c r="X18" s="53"/>
      <c r="Y18" s="53"/>
      <c r="Z18" s="53"/>
    </row>
    <row r="19" spans="1:26" x14ac:dyDescent="0.3">
      <c r="A19" s="2" t="s">
        <v>164</v>
      </c>
      <c r="B19" s="50">
        <v>86.18</v>
      </c>
      <c r="C19" s="18">
        <v>3.3159999999999998</v>
      </c>
      <c r="D19" s="19">
        <v>10.08</v>
      </c>
      <c r="E19" s="20">
        <v>1.17E-3</v>
      </c>
      <c r="F19" s="20">
        <v>9.8400000000000001E-2</v>
      </c>
      <c r="G19" s="20">
        <v>0.32600000000000001</v>
      </c>
      <c r="H19" s="20">
        <v>8.7099999999999997E-2</v>
      </c>
      <c r="I19" s="20">
        <v>7.5</v>
      </c>
      <c r="J19" s="19">
        <v>11.39</v>
      </c>
      <c r="K19" s="53"/>
      <c r="L19" s="53"/>
      <c r="M19" s="53"/>
      <c r="N19" s="53"/>
      <c r="O19" s="18">
        <v>6.8391000000000002</v>
      </c>
      <c r="P19" s="18">
        <v>1135.4100000000001</v>
      </c>
      <c r="Q19" s="18">
        <v>226.57</v>
      </c>
      <c r="R19" s="53"/>
      <c r="S19" s="53"/>
      <c r="T19" s="53">
        <v>32.75</v>
      </c>
      <c r="U19" s="53">
        <v>61.86</v>
      </c>
      <c r="V19" s="53">
        <f t="shared" si="0"/>
        <v>47.305</v>
      </c>
      <c r="W19" s="53"/>
      <c r="X19" s="53"/>
      <c r="Y19" s="53"/>
      <c r="Z19" s="53"/>
    </row>
    <row r="20" spans="1:26" x14ac:dyDescent="0.3">
      <c r="A20" s="2" t="s">
        <v>165</v>
      </c>
      <c r="B20" s="50">
        <v>100.2</v>
      </c>
      <c r="C20" s="18">
        <v>1</v>
      </c>
      <c r="D20" s="19">
        <v>7.21</v>
      </c>
      <c r="E20" s="20">
        <v>7.2000000000000005E-4</v>
      </c>
      <c r="F20" s="20">
        <v>6.0499999999999998E-2</v>
      </c>
      <c r="G20" s="20">
        <v>6.0499999999999998E-2</v>
      </c>
      <c r="H20" s="20">
        <v>1.61E-2</v>
      </c>
      <c r="I20" s="20">
        <v>1.62</v>
      </c>
      <c r="J20" s="19">
        <v>2.46</v>
      </c>
      <c r="K20" s="53"/>
      <c r="L20" s="53"/>
      <c r="M20" s="53"/>
      <c r="N20" s="53"/>
      <c r="O20" s="53">
        <v>6.8731799999999996</v>
      </c>
      <c r="P20" s="53">
        <v>1236.0229999999999</v>
      </c>
      <c r="Q20" s="53">
        <v>219.55</v>
      </c>
      <c r="R20" s="53"/>
      <c r="S20" s="53"/>
      <c r="T20" s="53">
        <v>7.06</v>
      </c>
      <c r="U20" s="53">
        <v>13.34</v>
      </c>
      <c r="V20" s="53">
        <f t="shared" si="0"/>
        <v>10.199999999999999</v>
      </c>
      <c r="W20" s="53"/>
      <c r="X20" s="53"/>
      <c r="Y20" s="53"/>
      <c r="Z20" s="53"/>
    </row>
    <row r="21" spans="1:26" ht="28.8" x14ac:dyDescent="0.3">
      <c r="A21" s="2" t="s">
        <v>166</v>
      </c>
      <c r="B21" s="50">
        <v>114.23</v>
      </c>
      <c r="C21" s="18">
        <v>0.40200000000000002</v>
      </c>
      <c r="D21" s="19">
        <v>3.21</v>
      </c>
      <c r="E21" s="20">
        <v>2.81E-4</v>
      </c>
      <c r="F21" s="20">
        <v>2.3599999999999999E-2</v>
      </c>
      <c r="G21" s="20">
        <v>9.4900000000000002E-3</v>
      </c>
      <c r="H21" s="20">
        <v>2.5300000000000001E-3</v>
      </c>
      <c r="I21" s="20">
        <v>0.28899999999999998</v>
      </c>
      <c r="J21" s="19">
        <v>0.44</v>
      </c>
      <c r="K21" s="53"/>
      <c r="L21" s="53"/>
      <c r="M21" s="53"/>
      <c r="N21" s="53"/>
      <c r="O21" s="18">
        <v>6.8539599999999998</v>
      </c>
      <c r="P21" s="18">
        <v>1315.08</v>
      </c>
      <c r="Q21" s="18">
        <v>217.53</v>
      </c>
      <c r="R21" s="53"/>
      <c r="S21" s="53"/>
      <c r="T21" s="53">
        <v>1.26</v>
      </c>
      <c r="U21" s="53">
        <v>2.39</v>
      </c>
      <c r="V21" s="53">
        <f t="shared" si="0"/>
        <v>1.8250000000000002</v>
      </c>
      <c r="W21" s="53"/>
      <c r="X21" s="53"/>
      <c r="Y21" s="53"/>
      <c r="Z21" s="53"/>
    </row>
    <row r="22" spans="1:26" ht="28.8" x14ac:dyDescent="0.3">
      <c r="A22" s="2" t="s">
        <v>167</v>
      </c>
      <c r="B22" s="50">
        <v>120.19</v>
      </c>
      <c r="C22" s="18">
        <v>2.8000000000000001E-2</v>
      </c>
      <c r="D22" s="19">
        <v>7.29</v>
      </c>
      <c r="E22" s="20">
        <v>6.0700000000000001E-4</v>
      </c>
      <c r="F22" s="20">
        <v>5.0999999999999997E-2</v>
      </c>
      <c r="G22" s="20">
        <v>1.4300000000000001E-3</v>
      </c>
      <c r="H22" s="20">
        <v>3.8099999999999999E-4</v>
      </c>
      <c r="I22" s="20">
        <v>4.58E-2</v>
      </c>
      <c r="J22" s="19">
        <v>7.0000000000000007E-2</v>
      </c>
      <c r="K22" s="53"/>
      <c r="L22" s="53"/>
      <c r="M22" s="53"/>
      <c r="N22" s="53"/>
      <c r="O22" s="53">
        <v>7.0438299999999998</v>
      </c>
      <c r="P22" s="53">
        <v>1573.2670000000001</v>
      </c>
      <c r="Q22" s="53">
        <v>208.56399999999999</v>
      </c>
      <c r="R22" s="53"/>
      <c r="S22" s="53"/>
      <c r="T22" s="53">
        <v>0.2</v>
      </c>
      <c r="U22" s="53">
        <v>0.38</v>
      </c>
      <c r="V22" s="53">
        <f t="shared" si="0"/>
        <v>0.29000000000000004</v>
      </c>
      <c r="W22" s="53"/>
      <c r="X22" s="53"/>
      <c r="Y22" s="53"/>
      <c r="Z22" s="53"/>
    </row>
    <row r="23" spans="1:26" ht="28.8" x14ac:dyDescent="0.3">
      <c r="A23" s="2" t="s">
        <v>168</v>
      </c>
      <c r="B23" s="50">
        <v>100.2</v>
      </c>
      <c r="C23" s="18">
        <v>0.68500000000000005</v>
      </c>
      <c r="D23" s="19">
        <v>25.68</v>
      </c>
      <c r="E23" s="20">
        <v>2.5600000000000002E-3</v>
      </c>
      <c r="F23" s="20">
        <v>0.216</v>
      </c>
      <c r="G23" s="20">
        <v>0.14799999999999999</v>
      </c>
      <c r="H23" s="20">
        <v>3.9399999999999998E-2</v>
      </c>
      <c r="I23" s="20">
        <v>3.95</v>
      </c>
      <c r="J23" s="19">
        <v>5.99</v>
      </c>
      <c r="K23" s="53"/>
      <c r="L23" s="53"/>
      <c r="M23" s="53"/>
      <c r="N23" s="53"/>
      <c r="O23" s="53">
        <v>6.8967700000000001</v>
      </c>
      <c r="P23" s="53">
        <v>1264.9000000000001</v>
      </c>
      <c r="Q23" s="53">
        <v>216.54</v>
      </c>
      <c r="R23" s="53"/>
      <c r="S23" s="53"/>
      <c r="T23" s="53">
        <v>17.23</v>
      </c>
      <c r="U23" s="53">
        <v>32.549999999999997</v>
      </c>
      <c r="V23" s="53">
        <f t="shared" si="0"/>
        <v>24.89</v>
      </c>
      <c r="W23" s="53"/>
      <c r="X23" s="53"/>
      <c r="Y23" s="53"/>
      <c r="Z23" s="53"/>
    </row>
    <row r="24" spans="1:26" x14ac:dyDescent="0.3">
      <c r="A24" s="2"/>
      <c r="B24" s="47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x14ac:dyDescent="0.3">
      <c r="A25" s="2"/>
      <c r="B25" s="2"/>
      <c r="C25" s="53"/>
      <c r="D25" s="53">
        <v>100</v>
      </c>
      <c r="E25" s="53">
        <v>1.1890960000000001E-2</v>
      </c>
      <c r="F25" s="53">
        <v>1</v>
      </c>
      <c r="G25" s="24">
        <v>3.75</v>
      </c>
      <c r="H25" s="53">
        <v>1</v>
      </c>
      <c r="I25" s="6">
        <v>65.88</v>
      </c>
      <c r="J25" s="53">
        <v>100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x14ac:dyDescent="0.3">
      <c r="A26" s="2"/>
      <c r="B26" s="2"/>
      <c r="C26" s="53"/>
      <c r="D26" s="53">
        <v>20.329999999999998</v>
      </c>
      <c r="E26" s="53"/>
      <c r="F26" s="53"/>
      <c r="G26" s="53" t="s">
        <v>169</v>
      </c>
      <c r="H26" s="4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x14ac:dyDescent="0.3">
      <c r="A27" s="2"/>
      <c r="B27" s="2"/>
      <c r="C27" s="53"/>
      <c r="D27" s="53" t="s">
        <v>170</v>
      </c>
      <c r="E27" s="53"/>
      <c r="F27" s="53"/>
      <c r="G27" s="53"/>
      <c r="H27" s="53">
        <v>1</v>
      </c>
      <c r="I27" s="53"/>
      <c r="J27" s="25">
        <v>3.3</v>
      </c>
      <c r="K27" s="6" t="s">
        <v>171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x14ac:dyDescent="0.3">
      <c r="A28" s="2"/>
      <c r="B28" s="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x14ac:dyDescent="0.3">
      <c r="A29" s="2"/>
      <c r="B29" s="2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66.599999999999994" x14ac:dyDescent="0.3">
      <c r="A30" s="11" t="s">
        <v>134</v>
      </c>
      <c r="B30" s="9" t="s">
        <v>136</v>
      </c>
      <c r="C30" s="9" t="s">
        <v>137</v>
      </c>
      <c r="D30" s="10" t="s">
        <v>172</v>
      </c>
      <c r="E30" s="10" t="s">
        <v>173</v>
      </c>
      <c r="F30" s="10" t="s">
        <v>174</v>
      </c>
      <c r="G30" s="11" t="s">
        <v>175</v>
      </c>
      <c r="H30" s="10" t="s">
        <v>176</v>
      </c>
      <c r="I30" s="10" t="s">
        <v>143</v>
      </c>
      <c r="J30" s="12" t="s">
        <v>177</v>
      </c>
      <c r="K30" s="13"/>
      <c r="L30" s="10" t="s">
        <v>145</v>
      </c>
      <c r="M30" s="14">
        <v>68</v>
      </c>
      <c r="N30" s="10" t="s">
        <v>146</v>
      </c>
      <c r="O30" s="8" t="s">
        <v>147</v>
      </c>
      <c r="P30" s="10" t="s">
        <v>148</v>
      </c>
      <c r="Q30" s="8" t="s">
        <v>149</v>
      </c>
      <c r="R30" s="53"/>
      <c r="S30" s="53"/>
      <c r="T30" s="2" t="s">
        <v>178</v>
      </c>
      <c r="U30" s="2" t="s">
        <v>179</v>
      </c>
      <c r="V30" s="2" t="s">
        <v>180</v>
      </c>
      <c r="W30" s="53"/>
      <c r="X30" s="53"/>
      <c r="Y30" s="53"/>
      <c r="Z30" s="53"/>
    </row>
    <row r="31" spans="1:26" x14ac:dyDescent="0.3">
      <c r="A31" s="47"/>
      <c r="B31" s="47"/>
      <c r="C31" s="16" t="s">
        <v>134</v>
      </c>
      <c r="D31" s="17" t="s">
        <v>134</v>
      </c>
      <c r="E31" s="17" t="s">
        <v>134</v>
      </c>
      <c r="F31" s="17" t="s">
        <v>134</v>
      </c>
      <c r="G31" s="17" t="s">
        <v>134</v>
      </c>
      <c r="H31" s="17" t="s">
        <v>134</v>
      </c>
      <c r="I31" s="17" t="s">
        <v>134</v>
      </c>
      <c r="J31" s="17" t="s">
        <v>134</v>
      </c>
      <c r="K31" s="53"/>
      <c r="L31" s="17" t="s">
        <v>134</v>
      </c>
      <c r="M31" s="53">
        <v>20</v>
      </c>
      <c r="N31" s="53" t="s">
        <v>149</v>
      </c>
      <c r="O31" s="17" t="s">
        <v>134</v>
      </c>
      <c r="P31" s="17" t="s">
        <v>134</v>
      </c>
      <c r="Q31" s="17" t="s">
        <v>134</v>
      </c>
      <c r="R31" s="53"/>
      <c r="S31" s="53"/>
      <c r="T31" s="53" t="s">
        <v>151</v>
      </c>
      <c r="U31" s="53" t="s">
        <v>151</v>
      </c>
      <c r="V31" s="53" t="s">
        <v>151</v>
      </c>
      <c r="W31" s="53"/>
      <c r="X31" s="53"/>
      <c r="Y31" s="53"/>
      <c r="Z31" s="53"/>
    </row>
    <row r="32" spans="1:26" x14ac:dyDescent="0.3">
      <c r="A32" s="2" t="s">
        <v>113</v>
      </c>
      <c r="B32" s="50">
        <v>78.11</v>
      </c>
      <c r="C32" s="18">
        <v>1.454</v>
      </c>
      <c r="D32" s="53">
        <v>0.44600000000000001</v>
      </c>
      <c r="E32" s="26">
        <v>5.7099000000000003E-5</v>
      </c>
      <c r="F32" s="26">
        <v>5.4799999999999996E-3</v>
      </c>
      <c r="G32" s="26">
        <v>7.9699999999999997E-3</v>
      </c>
      <c r="H32" s="26">
        <v>3.0300000000000001E-3</v>
      </c>
      <c r="I32" s="26">
        <v>0.23699999999999999</v>
      </c>
      <c r="J32" s="27">
        <v>0.33</v>
      </c>
      <c r="K32" s="53"/>
      <c r="L32" s="53"/>
      <c r="M32" s="53"/>
      <c r="N32" s="53"/>
      <c r="O32" s="53">
        <v>6.9056499999999996</v>
      </c>
      <c r="P32" s="53">
        <v>1211.0329999999999</v>
      </c>
      <c r="Q32" s="53">
        <v>220.79</v>
      </c>
      <c r="R32" s="53"/>
      <c r="S32" s="53"/>
      <c r="T32" s="53">
        <v>1.0917148000000001</v>
      </c>
      <c r="U32" s="53">
        <v>0.91106609999999999</v>
      </c>
      <c r="V32" s="53">
        <v>0.85235499999999997</v>
      </c>
      <c r="W32" s="53"/>
      <c r="X32" s="53"/>
      <c r="Y32" s="53"/>
      <c r="Z32" s="53"/>
    </row>
    <row r="33" spans="1:26" x14ac:dyDescent="0.3">
      <c r="A33" s="2" t="s">
        <v>181</v>
      </c>
      <c r="B33" s="50">
        <v>154.21</v>
      </c>
      <c r="C33" s="18">
        <v>0</v>
      </c>
      <c r="D33" s="53">
        <v>0.6</v>
      </c>
      <c r="E33" s="26">
        <v>3.8908500000000002E-5</v>
      </c>
      <c r="F33" s="26">
        <v>3.7299999999999998E-3</v>
      </c>
      <c r="G33" s="26">
        <v>1.35E-6</v>
      </c>
      <c r="H33" s="26">
        <v>5.1399999999999997E-7</v>
      </c>
      <c r="I33" s="26">
        <v>7.9200000000000001E-5</v>
      </c>
      <c r="J33" s="27">
        <v>1E-4</v>
      </c>
      <c r="K33" s="53"/>
      <c r="L33" s="53"/>
      <c r="M33" s="53"/>
      <c r="N33" s="53"/>
      <c r="O33" s="53">
        <v>7.2454000000000001</v>
      </c>
      <c r="P33" s="53">
        <v>1998.72</v>
      </c>
      <c r="Q33" s="53">
        <v>202.74</v>
      </c>
      <c r="R33" s="53"/>
      <c r="S33" s="53"/>
      <c r="T33" s="53">
        <v>3.6539999999999999E-4</v>
      </c>
      <c r="U33" s="53">
        <v>3.0489999999999998E-4</v>
      </c>
      <c r="V33" s="53">
        <v>2.8499999999999999E-4</v>
      </c>
      <c r="W33" s="53"/>
      <c r="X33" s="53"/>
      <c r="Y33" s="53"/>
      <c r="Z33" s="53"/>
    </row>
    <row r="34" spans="1:26" x14ac:dyDescent="0.3">
      <c r="A34" s="2" t="s">
        <v>182</v>
      </c>
      <c r="B34" s="50">
        <v>84.16</v>
      </c>
      <c r="C34" s="18">
        <v>1.4990000000000001</v>
      </c>
      <c r="D34" s="53">
        <v>0.7</v>
      </c>
      <c r="E34" s="26">
        <v>8.3172900000000005E-5</v>
      </c>
      <c r="F34" s="26">
        <v>7.9799999999999992E-3</v>
      </c>
      <c r="G34" s="26">
        <v>1.2E-2</v>
      </c>
      <c r="H34" s="26">
        <v>4.5500000000000002E-3</v>
      </c>
      <c r="I34" s="26">
        <v>0.38300000000000001</v>
      </c>
      <c r="J34" s="53">
        <v>0.53</v>
      </c>
      <c r="K34" s="53"/>
      <c r="L34" s="53"/>
      <c r="M34" s="53"/>
      <c r="N34" s="53"/>
      <c r="O34" s="53">
        <v>6.8413000000000004</v>
      </c>
      <c r="P34" s="53">
        <v>1201.5309999999999</v>
      </c>
      <c r="Q34" s="53">
        <v>222.64699999999999</v>
      </c>
      <c r="R34" s="53"/>
      <c r="S34" s="53"/>
      <c r="T34" s="53">
        <v>1.7667404</v>
      </c>
      <c r="U34" s="53">
        <v>1.4743936</v>
      </c>
      <c r="V34" s="53">
        <v>1.379381</v>
      </c>
      <c r="W34" s="53"/>
      <c r="X34" s="53"/>
      <c r="Y34" s="53"/>
      <c r="Z34" s="53"/>
    </row>
    <row r="35" spans="1:26" x14ac:dyDescent="0.3">
      <c r="A35" s="2" t="s">
        <v>155</v>
      </c>
      <c r="B35" s="50">
        <v>106.17</v>
      </c>
      <c r="C35" s="18">
        <v>0.13700000000000001</v>
      </c>
      <c r="D35" s="53">
        <v>0.34599999999999997</v>
      </c>
      <c r="E35" s="26">
        <v>3.2589200000000003E-5</v>
      </c>
      <c r="F35" s="26">
        <v>3.13E-3</v>
      </c>
      <c r="G35" s="26">
        <v>4.28E-4</v>
      </c>
      <c r="H35" s="26">
        <v>1.63E-4</v>
      </c>
      <c r="I35" s="26">
        <v>1.7299999999999999E-2</v>
      </c>
      <c r="J35" s="27">
        <v>0.02</v>
      </c>
      <c r="K35" s="53"/>
      <c r="L35" s="53"/>
      <c r="M35" s="53"/>
      <c r="N35" s="53"/>
      <c r="O35" s="53">
        <v>6.9571899999999998</v>
      </c>
      <c r="P35" s="53">
        <v>1424.2550000000001</v>
      </c>
      <c r="Q35" s="53">
        <v>213.21</v>
      </c>
      <c r="R35" s="53"/>
      <c r="S35" s="53"/>
      <c r="T35" s="53">
        <v>7.9731200000000002E-2</v>
      </c>
      <c r="U35" s="53">
        <v>6.6537799999999994E-2</v>
      </c>
      <c r="V35" s="53">
        <v>6.225E-2</v>
      </c>
      <c r="W35" s="53"/>
      <c r="X35" s="53"/>
      <c r="Y35" s="53"/>
      <c r="Z35" s="53"/>
    </row>
    <row r="36" spans="1:26" x14ac:dyDescent="0.3">
      <c r="A36" s="2" t="s">
        <v>183</v>
      </c>
      <c r="B36" s="50">
        <v>86.18</v>
      </c>
      <c r="C36" s="18">
        <v>2.347</v>
      </c>
      <c r="D36" s="53">
        <v>2.4630000000000001</v>
      </c>
      <c r="E36" s="53">
        <v>2.8579700000000002E-4</v>
      </c>
      <c r="F36" s="26">
        <v>2.7400000000000001E-2</v>
      </c>
      <c r="G36" s="26">
        <v>6.4399999999999999E-2</v>
      </c>
      <c r="H36" s="26">
        <v>2.4500000000000001E-2</v>
      </c>
      <c r="I36" s="26">
        <v>2.11</v>
      </c>
      <c r="J36" s="27">
        <v>2.9</v>
      </c>
      <c r="K36" s="53"/>
      <c r="L36" s="53"/>
      <c r="M36" s="53"/>
      <c r="N36" s="53"/>
      <c r="O36" s="53">
        <v>6.87601</v>
      </c>
      <c r="P36" s="53">
        <v>1171.17</v>
      </c>
      <c r="Q36" s="53">
        <v>224.41</v>
      </c>
      <c r="R36" s="53"/>
      <c r="S36" s="53"/>
      <c r="T36" s="53">
        <v>9.7317114</v>
      </c>
      <c r="U36" s="53">
        <v>8.1213815</v>
      </c>
      <c r="V36" s="53">
        <v>7.5980239999999997</v>
      </c>
      <c r="W36" s="53"/>
      <c r="X36" s="53"/>
      <c r="Y36" s="53"/>
      <c r="Z36" s="53"/>
    </row>
    <row r="37" spans="1:26" x14ac:dyDescent="0.3">
      <c r="A37" s="2" t="s">
        <v>158</v>
      </c>
      <c r="B37" s="50">
        <v>128.16999999999999</v>
      </c>
      <c r="C37" s="18">
        <v>3.0000000000000001E-3</v>
      </c>
      <c r="D37" s="53">
        <v>0.219</v>
      </c>
      <c r="E37" s="26">
        <v>1.70867E-5</v>
      </c>
      <c r="F37" s="26">
        <v>1.64E-3</v>
      </c>
      <c r="G37" s="26">
        <v>5.7200000000000003E-6</v>
      </c>
      <c r="H37" s="26">
        <v>2.1799999999999999E-6</v>
      </c>
      <c r="I37" s="26">
        <v>2.7900000000000001E-4</v>
      </c>
      <c r="J37" s="27">
        <v>4.0000000000000002E-4</v>
      </c>
      <c r="K37" s="53"/>
      <c r="L37" s="53"/>
      <c r="M37" s="53"/>
      <c r="N37" s="53"/>
      <c r="O37" s="53">
        <v>7.37</v>
      </c>
      <c r="P37" s="53">
        <v>1968.36</v>
      </c>
      <c r="Q37" s="53">
        <v>222.61</v>
      </c>
      <c r="R37" s="53"/>
      <c r="S37" s="53"/>
      <c r="T37" s="53">
        <v>1.2874E-3</v>
      </c>
      <c r="U37" s="53">
        <v>1.0744000000000001E-3</v>
      </c>
      <c r="V37" s="53">
        <v>1.005E-3</v>
      </c>
      <c r="W37" s="53"/>
      <c r="X37" s="53"/>
      <c r="Y37" s="53"/>
      <c r="Z37" s="53"/>
    </row>
    <row r="38" spans="1:26" x14ac:dyDescent="0.3">
      <c r="A38" s="2" t="s">
        <v>184</v>
      </c>
      <c r="B38" s="50">
        <v>84.14</v>
      </c>
      <c r="C38" s="18">
        <v>1.21</v>
      </c>
      <c r="D38" s="53">
        <v>4.0000000000000002E-4</v>
      </c>
      <c r="E38" s="26">
        <v>4.7539800000000003E-8</v>
      </c>
      <c r="F38" s="26">
        <v>4.5600000000000004E-6</v>
      </c>
      <c r="G38" s="26">
        <v>5.5199999999999997E-6</v>
      </c>
      <c r="H38" s="26">
        <v>2.0999999999999998E-6</v>
      </c>
      <c r="I38" s="26">
        <v>1.7699999999999999E-4</v>
      </c>
      <c r="J38" s="53">
        <v>2.0000000000000001E-4</v>
      </c>
      <c r="K38" s="53"/>
      <c r="L38" s="53"/>
      <c r="M38" s="53"/>
      <c r="N38" s="53"/>
      <c r="O38" s="53">
        <v>6.9592599999999996</v>
      </c>
      <c r="P38" s="53">
        <v>1246.02</v>
      </c>
      <c r="Q38" s="53">
        <v>221.35</v>
      </c>
      <c r="R38" s="53"/>
      <c r="S38" s="53"/>
      <c r="T38" s="53">
        <v>8.1499999999999997E-4</v>
      </c>
      <c r="U38" s="53">
        <v>6.801E-4</v>
      </c>
      <c r="V38" s="53">
        <v>6.3599999999999996E-4</v>
      </c>
      <c r="W38" s="53"/>
      <c r="X38" s="53"/>
      <c r="Y38" s="53"/>
      <c r="Z38" s="53"/>
    </row>
    <row r="39" spans="1:26" x14ac:dyDescent="0.3">
      <c r="A39" s="2" t="s">
        <v>185</v>
      </c>
      <c r="B39" s="50">
        <v>94.11</v>
      </c>
      <c r="C39" s="18">
        <v>4.0000000000000001E-3</v>
      </c>
      <c r="D39" s="53">
        <v>0.32300000000000001</v>
      </c>
      <c r="E39" s="26">
        <v>3.4321099999999999E-5</v>
      </c>
      <c r="F39" s="26">
        <v>3.29E-3</v>
      </c>
      <c r="G39" s="26">
        <v>1.4E-5</v>
      </c>
      <c r="H39" s="26">
        <v>5.3299999999999998E-6</v>
      </c>
      <c r="I39" s="26">
        <v>5.0199999999999995E-4</v>
      </c>
      <c r="J39" s="27">
        <v>1E-3</v>
      </c>
      <c r="K39" s="53"/>
      <c r="L39" s="53"/>
      <c r="M39" s="53"/>
      <c r="N39" s="53"/>
      <c r="O39" s="53">
        <v>7.1345000000000001</v>
      </c>
      <c r="P39" s="53">
        <v>1516.07</v>
      </c>
      <c r="Q39" s="53">
        <v>174.57</v>
      </c>
      <c r="R39" s="53"/>
      <c r="S39" s="53"/>
      <c r="T39" s="53">
        <v>2.3138999999999998E-3</v>
      </c>
      <c r="U39" s="53">
        <v>1.931E-3</v>
      </c>
      <c r="V39" s="53">
        <v>1.807E-3</v>
      </c>
      <c r="W39" s="53"/>
      <c r="X39" s="53"/>
      <c r="Y39" s="53"/>
      <c r="Z39" s="53"/>
    </row>
    <row r="40" spans="1:26" x14ac:dyDescent="0.3">
      <c r="A40" s="2" t="s">
        <v>153</v>
      </c>
      <c r="B40" s="50">
        <v>92.14</v>
      </c>
      <c r="C40" s="18">
        <v>0.42199999999999999</v>
      </c>
      <c r="D40" s="53">
        <v>0.878</v>
      </c>
      <c r="E40" s="26">
        <v>9.5289800000000004E-5</v>
      </c>
      <c r="F40" s="26">
        <v>9.1400000000000006E-3</v>
      </c>
      <c r="G40" s="26">
        <v>3.8600000000000001E-3</v>
      </c>
      <c r="H40" s="26">
        <v>1.47E-3</v>
      </c>
      <c r="I40" s="26">
        <v>0.13500000000000001</v>
      </c>
      <c r="J40" s="27">
        <v>0.19</v>
      </c>
      <c r="K40" s="53"/>
      <c r="L40" s="53"/>
      <c r="M40" s="53"/>
      <c r="N40" s="53"/>
      <c r="O40" s="53">
        <v>6.9546400000000004</v>
      </c>
      <c r="P40" s="53">
        <v>1344.8</v>
      </c>
      <c r="Q40" s="53">
        <v>219.48</v>
      </c>
      <c r="R40" s="53"/>
      <c r="S40" s="53"/>
      <c r="T40" s="53">
        <v>0.62398520000000002</v>
      </c>
      <c r="U40" s="53">
        <v>0.52073290000000005</v>
      </c>
      <c r="V40" s="53">
        <v>0.487176</v>
      </c>
      <c r="W40" s="53"/>
      <c r="X40" s="53"/>
      <c r="Y40" s="53"/>
      <c r="Z40" s="53"/>
    </row>
    <row r="41" spans="1:26" x14ac:dyDescent="0.3">
      <c r="A41" s="2" t="s">
        <v>186</v>
      </c>
      <c r="B41" s="50">
        <v>120.19</v>
      </c>
      <c r="C41" s="18">
        <v>2.8000000000000001E-2</v>
      </c>
      <c r="D41" s="53">
        <v>0.32600000000000001</v>
      </c>
      <c r="E41" s="26">
        <v>2.7123699999999999E-5</v>
      </c>
      <c r="F41" s="26">
        <v>2.5999999999999999E-3</v>
      </c>
      <c r="G41" s="26">
        <v>7.2799999999999994E-5</v>
      </c>
      <c r="H41" s="26">
        <v>2.7699999999999999E-5</v>
      </c>
      <c r="I41" s="26">
        <v>3.3300000000000001E-3</v>
      </c>
      <c r="J41" s="53">
        <v>5.0000000000000001E-3</v>
      </c>
      <c r="K41" s="53"/>
      <c r="L41" s="53"/>
      <c r="M41" s="53"/>
      <c r="N41" s="53"/>
      <c r="O41" s="53">
        <v>7.0438299999999998</v>
      </c>
      <c r="P41" s="53">
        <v>1573.2670000000001</v>
      </c>
      <c r="Q41" s="53">
        <v>208.56399999999999</v>
      </c>
      <c r="R41" s="53"/>
      <c r="S41" s="53"/>
      <c r="T41" s="53">
        <v>1.53575E-2</v>
      </c>
      <c r="U41" s="53">
        <v>1.2816299999999999E-2</v>
      </c>
      <c r="V41" s="53">
        <v>1.1990000000000001E-2</v>
      </c>
      <c r="W41" s="53"/>
      <c r="X41" s="53"/>
      <c r="Y41" s="53"/>
      <c r="Z41" s="53"/>
    </row>
    <row r="42" spans="1:26" x14ac:dyDescent="0.3">
      <c r="A42" s="2" t="s">
        <v>154</v>
      </c>
      <c r="B42" s="50">
        <v>106.14</v>
      </c>
      <c r="C42" s="18">
        <v>0.126</v>
      </c>
      <c r="D42" s="53">
        <v>1.42</v>
      </c>
      <c r="E42" s="53">
        <v>1.33786E-4</v>
      </c>
      <c r="F42" s="26">
        <v>1.2800000000000001E-2</v>
      </c>
      <c r="G42" s="26">
        <v>1.6199999999999999E-3</v>
      </c>
      <c r="H42" s="26">
        <v>6.1499999999999999E-4</v>
      </c>
      <c r="I42" s="26">
        <v>6.5299999999999997E-2</v>
      </c>
      <c r="J42" s="27">
        <v>0.09</v>
      </c>
      <c r="K42" s="53"/>
      <c r="L42" s="53"/>
      <c r="M42" s="53"/>
      <c r="N42" s="53"/>
      <c r="O42" s="53">
        <v>6.9905200000000001</v>
      </c>
      <c r="P42" s="53">
        <v>1453.43</v>
      </c>
      <c r="Q42" s="53">
        <v>215.31</v>
      </c>
      <c r="R42" s="53"/>
      <c r="S42" s="53"/>
      <c r="T42" s="53">
        <v>0.30108410000000002</v>
      </c>
      <c r="U42" s="53">
        <v>0.25126300000000001</v>
      </c>
      <c r="V42" s="53">
        <v>0.235071</v>
      </c>
      <c r="W42" s="53"/>
      <c r="X42" s="53"/>
      <c r="Y42" s="53"/>
      <c r="Z42" s="53"/>
    </row>
    <row r="43" spans="1:26" x14ac:dyDescent="0.3">
      <c r="A43" s="2" t="s">
        <v>160</v>
      </c>
      <c r="B43" s="50">
        <v>58.12</v>
      </c>
      <c r="C43" s="18">
        <v>30.076000000000001</v>
      </c>
      <c r="D43" s="53">
        <v>2.5</v>
      </c>
      <c r="E43" s="53">
        <v>4.30145E-4</v>
      </c>
      <c r="F43" s="26">
        <v>4.1300000000000003E-2</v>
      </c>
      <c r="G43" s="26">
        <v>1.24</v>
      </c>
      <c r="H43" s="26">
        <v>0.47199999999999998</v>
      </c>
      <c r="I43" s="26">
        <v>27.4</v>
      </c>
      <c r="J43" s="53">
        <v>37.75</v>
      </c>
      <c r="K43" s="53"/>
      <c r="L43" s="53"/>
      <c r="M43" s="53"/>
      <c r="N43" s="53"/>
      <c r="O43" s="53">
        <v>6.8089599999999999</v>
      </c>
      <c r="P43" s="53">
        <v>935.86</v>
      </c>
      <c r="Q43" s="53">
        <v>238.73</v>
      </c>
      <c r="R43" s="53"/>
      <c r="S43" s="53"/>
      <c r="T43" s="53">
        <v>126.56399999999999</v>
      </c>
      <c r="U43" s="53">
        <v>105.62115</v>
      </c>
      <c r="V43" s="53">
        <v>98.814719999999994</v>
      </c>
      <c r="W43" s="53"/>
      <c r="X43" s="53"/>
      <c r="Y43" s="53"/>
      <c r="Z43" s="53"/>
    </row>
    <row r="44" spans="1:26" x14ac:dyDescent="0.3">
      <c r="A44" s="2" t="s">
        <v>162</v>
      </c>
      <c r="B44" s="50">
        <v>72.150000000000006</v>
      </c>
      <c r="C44" s="18">
        <v>8.5239999999999991</v>
      </c>
      <c r="D44" s="53">
        <v>5.9</v>
      </c>
      <c r="E44" s="53">
        <v>8.1774099999999998E-4</v>
      </c>
      <c r="F44" s="26">
        <v>7.8399999999999997E-2</v>
      </c>
      <c r="G44" s="26">
        <v>0.66900000000000004</v>
      </c>
      <c r="H44" s="26">
        <v>0.254</v>
      </c>
      <c r="I44" s="26">
        <v>18.399999999999999</v>
      </c>
      <c r="J44" s="53">
        <v>25.25</v>
      </c>
      <c r="K44" s="53"/>
      <c r="L44" s="53"/>
      <c r="M44" s="53"/>
      <c r="N44" s="53"/>
      <c r="O44" s="53">
        <v>6.8529600000000004</v>
      </c>
      <c r="P44" s="53">
        <v>1064.8399999999999</v>
      </c>
      <c r="Q44" s="53">
        <v>233.01</v>
      </c>
      <c r="R44" s="53"/>
      <c r="S44" s="53"/>
      <c r="T44" s="53">
        <v>84.657342</v>
      </c>
      <c r="U44" s="53">
        <v>70.648886000000005</v>
      </c>
      <c r="V44" s="53">
        <v>66.096140000000005</v>
      </c>
      <c r="W44" s="53"/>
      <c r="X44" s="53"/>
      <c r="Y44" s="53"/>
      <c r="Z44" s="53"/>
    </row>
    <row r="45" spans="1:26" x14ac:dyDescent="0.3">
      <c r="A45" s="2" t="s">
        <v>187</v>
      </c>
      <c r="B45" s="50">
        <v>100.2</v>
      </c>
      <c r="C45" s="18">
        <v>3.3159999999999998</v>
      </c>
      <c r="D45" s="53">
        <v>3.1</v>
      </c>
      <c r="E45" s="53">
        <v>3.0938100000000001E-4</v>
      </c>
      <c r="F45" s="26">
        <v>2.9700000000000001E-2</v>
      </c>
      <c r="G45" s="26">
        <v>9.8400000000000001E-2</v>
      </c>
      <c r="H45" s="26">
        <v>3.7499999999999999E-2</v>
      </c>
      <c r="I45" s="26">
        <v>3.75</v>
      </c>
      <c r="J45" s="53">
        <v>5.16</v>
      </c>
      <c r="K45" s="53"/>
      <c r="L45" s="53"/>
      <c r="M45" s="53"/>
      <c r="N45" s="53"/>
      <c r="O45" s="18">
        <v>6.8391000000000002</v>
      </c>
      <c r="P45" s="18">
        <v>1135.4100000000001</v>
      </c>
      <c r="Q45" s="18">
        <v>226.57</v>
      </c>
      <c r="R45" s="53"/>
      <c r="S45" s="53"/>
      <c r="T45" s="53">
        <v>17.305478999999998</v>
      </c>
      <c r="U45" s="53">
        <v>14.441898999999999</v>
      </c>
      <c r="V45" s="53">
        <v>13.511240000000001</v>
      </c>
      <c r="W45" s="53"/>
      <c r="X45" s="53"/>
      <c r="Y45" s="53"/>
      <c r="Z45" s="53"/>
    </row>
    <row r="46" spans="1:26" ht="28.8" x14ac:dyDescent="0.3">
      <c r="A46" s="2" t="s">
        <v>188</v>
      </c>
      <c r="B46" s="50">
        <v>100.2</v>
      </c>
      <c r="C46" s="18">
        <v>0.68500000000000005</v>
      </c>
      <c r="D46" s="53">
        <v>80.778599999999997</v>
      </c>
      <c r="E46" s="53">
        <v>8.0617369999999994E-3</v>
      </c>
      <c r="F46" s="26">
        <v>0.77300000000000002</v>
      </c>
      <c r="G46" s="26">
        <v>0.53</v>
      </c>
      <c r="H46" s="26">
        <v>0.20200000000000001</v>
      </c>
      <c r="I46" s="26">
        <v>20.2</v>
      </c>
      <c r="J46" s="53">
        <v>27.78</v>
      </c>
      <c r="K46" s="53"/>
      <c r="L46" s="53"/>
      <c r="M46" s="53"/>
      <c r="N46" s="53"/>
      <c r="O46" s="53">
        <v>6.8967700000000001</v>
      </c>
      <c r="P46" s="53">
        <v>1264.9000000000001</v>
      </c>
      <c r="Q46" s="53">
        <v>216.54</v>
      </c>
      <c r="R46" s="53"/>
      <c r="S46" s="53"/>
      <c r="T46" s="53">
        <v>93.131460000000004</v>
      </c>
      <c r="U46" s="53">
        <v>77.720770999999999</v>
      </c>
      <c r="V46" s="53">
        <v>72.712299999999999</v>
      </c>
      <c r="W46" s="53"/>
      <c r="X46" s="53"/>
      <c r="Y46" s="53"/>
      <c r="Z46" s="53"/>
    </row>
    <row r="47" spans="1:26" x14ac:dyDescent="0.3">
      <c r="A47" s="47"/>
      <c r="B47" s="47"/>
      <c r="C47" s="15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x14ac:dyDescent="0.3">
      <c r="A48" s="47"/>
      <c r="B48" s="47"/>
      <c r="C48" s="15"/>
      <c r="D48" s="53">
        <v>100</v>
      </c>
      <c r="E48" s="53">
        <v>0.01</v>
      </c>
      <c r="F48" s="53">
        <v>1</v>
      </c>
      <c r="G48" s="53">
        <v>2.63</v>
      </c>
      <c r="H48" s="53">
        <v>1</v>
      </c>
      <c r="I48" s="53">
        <v>72.7</v>
      </c>
      <c r="J48" s="53">
        <v>100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x14ac:dyDescent="0.3">
      <c r="A49" s="47"/>
      <c r="B49" s="47"/>
      <c r="C49" s="15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x14ac:dyDescent="0.3">
      <c r="A50" s="47"/>
      <c r="B50" s="47"/>
      <c r="C50" s="15"/>
      <c r="D50" s="53"/>
      <c r="E50" s="53"/>
      <c r="F50" s="53"/>
      <c r="G50" s="26">
        <v>7.8200000000000006E-2</v>
      </c>
      <c r="H50" s="53"/>
      <c r="I50" s="53"/>
      <c r="J50" s="28">
        <v>3.53</v>
      </c>
      <c r="K50" s="6" t="s">
        <v>171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x14ac:dyDescent="0.3">
      <c r="A51" s="47"/>
      <c r="B51" s="47"/>
      <c r="C51" s="15" t="s">
        <v>189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x14ac:dyDescent="0.3">
      <c r="A52" s="47"/>
      <c r="B52" s="47"/>
      <c r="C52" s="15">
        <v>5.7619999999999996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x14ac:dyDescent="0.3">
      <c r="A53" s="2"/>
      <c r="B53" s="2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43.2" x14ac:dyDescent="0.3">
      <c r="A54" s="48" t="s">
        <v>190</v>
      </c>
      <c r="B54" s="52"/>
      <c r="C54" s="30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29" t="s">
        <v>191</v>
      </c>
      <c r="P54" s="30"/>
      <c r="Q54" s="30"/>
      <c r="R54" s="53"/>
      <c r="S54" s="53"/>
      <c r="T54" s="53"/>
      <c r="U54" s="53"/>
      <c r="V54" s="53"/>
      <c r="W54" s="53"/>
      <c r="X54" s="53"/>
      <c r="Y54" s="53"/>
      <c r="Z54" s="53"/>
    </row>
    <row r="55" spans="1:26" x14ac:dyDescent="0.3">
      <c r="A55" s="49"/>
      <c r="B55" s="2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8.8" x14ac:dyDescent="0.3">
      <c r="A56" s="48" t="s">
        <v>192</v>
      </c>
      <c r="B56" s="2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x14ac:dyDescent="0.3">
      <c r="A57" s="2"/>
      <c r="B57" s="2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x14ac:dyDescent="0.3">
      <c r="A58" s="2"/>
      <c r="B58" s="2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53.4" x14ac:dyDescent="0.3">
      <c r="A59" s="11" t="s">
        <v>134</v>
      </c>
      <c r="B59" s="9" t="s">
        <v>136</v>
      </c>
      <c r="C59" s="9" t="s">
        <v>137</v>
      </c>
      <c r="D59" s="10" t="s">
        <v>193</v>
      </c>
      <c r="E59" s="10" t="s">
        <v>194</v>
      </c>
      <c r="F59" s="10" t="s">
        <v>195</v>
      </c>
      <c r="G59" s="11" t="s">
        <v>196</v>
      </c>
      <c r="H59" s="10" t="s">
        <v>197</v>
      </c>
      <c r="I59" s="10" t="s">
        <v>143</v>
      </c>
      <c r="J59" s="12" t="s">
        <v>198</v>
      </c>
      <c r="K59" s="13"/>
      <c r="L59" s="10" t="s">
        <v>145</v>
      </c>
      <c r="M59" s="14">
        <v>68</v>
      </c>
      <c r="N59" s="10" t="s">
        <v>146</v>
      </c>
      <c r="O59" s="8" t="s">
        <v>147</v>
      </c>
      <c r="P59" s="10" t="s">
        <v>148</v>
      </c>
      <c r="Q59" s="8" t="s">
        <v>149</v>
      </c>
      <c r="R59" s="53"/>
      <c r="S59" s="53"/>
      <c r="T59" s="53" t="s">
        <v>150</v>
      </c>
      <c r="U59" s="53" t="s">
        <v>13</v>
      </c>
      <c r="V59" s="53"/>
      <c r="W59" s="53"/>
      <c r="X59" s="53"/>
      <c r="Y59" s="53"/>
      <c r="Z59" s="53"/>
    </row>
    <row r="60" spans="1:26" x14ac:dyDescent="0.3">
      <c r="A60" s="47"/>
      <c r="B60" s="47"/>
      <c r="C60" s="16" t="s">
        <v>134</v>
      </c>
      <c r="D60" s="17" t="s">
        <v>134</v>
      </c>
      <c r="E60" s="17" t="s">
        <v>134</v>
      </c>
      <c r="F60" s="17" t="s">
        <v>134</v>
      </c>
      <c r="G60" s="17" t="s">
        <v>134</v>
      </c>
      <c r="H60" s="17" t="s">
        <v>134</v>
      </c>
      <c r="I60" s="17" t="s">
        <v>134</v>
      </c>
      <c r="J60" s="17" t="s">
        <v>134</v>
      </c>
      <c r="K60" s="53"/>
      <c r="L60" s="17" t="s">
        <v>134</v>
      </c>
      <c r="M60" s="53">
        <v>20</v>
      </c>
      <c r="N60" s="53" t="s">
        <v>149</v>
      </c>
      <c r="O60" s="17" t="s">
        <v>134</v>
      </c>
      <c r="P60" s="17" t="s">
        <v>134</v>
      </c>
      <c r="Q60" s="17" t="s">
        <v>134</v>
      </c>
      <c r="R60" s="53"/>
      <c r="S60" s="53"/>
      <c r="T60" s="53" t="s">
        <v>151</v>
      </c>
      <c r="U60" s="53" t="s">
        <v>151</v>
      </c>
      <c r="V60" s="53"/>
      <c r="W60" s="53"/>
      <c r="X60" s="53"/>
      <c r="Y60" s="53"/>
      <c r="Z60" s="53"/>
    </row>
    <row r="61" spans="1:26" x14ac:dyDescent="0.3">
      <c r="A61" s="2" t="s">
        <v>160</v>
      </c>
      <c r="B61" s="50">
        <v>58.12</v>
      </c>
      <c r="C61" s="18">
        <v>30.076000000000001</v>
      </c>
      <c r="D61" s="53">
        <v>1.5</v>
      </c>
      <c r="E61" s="53">
        <v>2.58087E-4</v>
      </c>
      <c r="F61" s="26">
        <v>2.4E-2</v>
      </c>
      <c r="G61" s="26">
        <v>0.72099999999999997</v>
      </c>
      <c r="H61" s="26">
        <v>0.19900000000000001</v>
      </c>
      <c r="I61" s="26">
        <v>11.5</v>
      </c>
      <c r="J61" s="53">
        <v>15.35</v>
      </c>
      <c r="K61" s="53"/>
      <c r="L61" s="53"/>
      <c r="M61" s="53"/>
      <c r="N61" s="53"/>
      <c r="O61" s="53">
        <v>6.8089599999999999</v>
      </c>
      <c r="P61" s="53">
        <v>935.86</v>
      </c>
      <c r="Q61" s="53">
        <v>238.73</v>
      </c>
      <c r="R61" s="53"/>
      <c r="S61" s="53"/>
      <c r="T61" s="53">
        <v>170.75869</v>
      </c>
      <c r="U61" s="53">
        <v>426.89674000000002</v>
      </c>
      <c r="V61" s="53">
        <f>AVERAGE(T61:U61)</f>
        <v>298.82771500000001</v>
      </c>
      <c r="W61" s="53"/>
      <c r="X61" s="53"/>
      <c r="Y61" s="53"/>
      <c r="Z61" s="53"/>
    </row>
    <row r="62" spans="1:26" x14ac:dyDescent="0.3">
      <c r="A62" s="2" t="s">
        <v>162</v>
      </c>
      <c r="B62" s="50">
        <v>72.150000000000006</v>
      </c>
      <c r="C62" s="18">
        <v>8.5239999999999991</v>
      </c>
      <c r="D62" s="53">
        <v>14.6</v>
      </c>
      <c r="E62" s="53">
        <v>2.023562E-3</v>
      </c>
      <c r="F62" s="26">
        <v>0.188</v>
      </c>
      <c r="G62" s="26">
        <v>1.6</v>
      </c>
      <c r="H62" s="26">
        <v>0.441</v>
      </c>
      <c r="I62" s="26">
        <v>31.9</v>
      </c>
      <c r="J62" s="53">
        <v>42.35</v>
      </c>
      <c r="K62" s="53"/>
      <c r="L62" s="53"/>
      <c r="M62" s="53"/>
      <c r="N62" s="53"/>
      <c r="O62" s="53">
        <v>6.8529600000000004</v>
      </c>
      <c r="P62" s="53">
        <v>1064.8399999999999</v>
      </c>
      <c r="Q62" s="53">
        <v>233.01</v>
      </c>
      <c r="R62" s="53"/>
      <c r="S62" s="53"/>
      <c r="T62" s="53">
        <v>471.07152000000002</v>
      </c>
      <c r="U62" s="53">
        <v>1177.6787999999999</v>
      </c>
      <c r="V62" s="53">
        <f t="shared" ref="V62:V75" si="1">AVERAGE(T62:U62)</f>
        <v>824.37515999999994</v>
      </c>
      <c r="W62" s="53"/>
      <c r="X62" s="53"/>
      <c r="Y62" s="53"/>
      <c r="Z62" s="53"/>
    </row>
    <row r="63" spans="1:26" x14ac:dyDescent="0.3">
      <c r="A63" s="2" t="s">
        <v>199</v>
      </c>
      <c r="B63" s="50">
        <v>70.099999999999994</v>
      </c>
      <c r="C63" s="18">
        <v>5.0220000000000002</v>
      </c>
      <c r="D63" s="53">
        <v>1.5</v>
      </c>
      <c r="E63" s="53">
        <v>2.1398000000000001E-4</v>
      </c>
      <c r="F63" s="26">
        <v>1.9900000000000001E-2</v>
      </c>
      <c r="G63" s="26">
        <v>9.9900000000000003E-2</v>
      </c>
      <c r="H63" s="26">
        <v>2.75E-2</v>
      </c>
      <c r="I63" s="26">
        <v>1.93</v>
      </c>
      <c r="J63" s="53">
        <v>2.56</v>
      </c>
      <c r="K63" s="53"/>
      <c r="L63" s="53"/>
      <c r="M63" s="53"/>
      <c r="N63" s="53"/>
      <c r="O63" s="53">
        <v>6.8867599999999998</v>
      </c>
      <c r="P63" s="53">
        <v>1124.162</v>
      </c>
      <c r="Q63" s="53">
        <v>231.36099999999999</v>
      </c>
      <c r="R63" s="53"/>
      <c r="S63" s="53"/>
      <c r="T63" s="53">
        <v>28.510961000000002</v>
      </c>
      <c r="U63" s="53">
        <v>71.277403000000007</v>
      </c>
      <c r="V63" s="53">
        <f t="shared" si="1"/>
        <v>49.894182000000001</v>
      </c>
      <c r="W63" s="53"/>
      <c r="X63" s="53"/>
      <c r="Y63" s="53"/>
      <c r="Z63" s="53"/>
    </row>
    <row r="64" spans="1:26" x14ac:dyDescent="0.3">
      <c r="A64" s="2" t="s">
        <v>113</v>
      </c>
      <c r="B64" s="50">
        <v>78.11</v>
      </c>
      <c r="C64" s="18">
        <v>1.454</v>
      </c>
      <c r="D64" s="53">
        <v>1.8</v>
      </c>
      <c r="E64" s="53">
        <v>2.30444E-4</v>
      </c>
      <c r="F64" s="26">
        <v>2.1399999999999999E-2</v>
      </c>
      <c r="G64" s="26">
        <v>3.1099999999999999E-2</v>
      </c>
      <c r="H64" s="26">
        <v>8.5800000000000008E-3</v>
      </c>
      <c r="I64" s="26">
        <v>0.67</v>
      </c>
      <c r="J64" s="27">
        <v>0.89</v>
      </c>
      <c r="K64" s="53"/>
      <c r="L64" s="53"/>
      <c r="M64" s="53"/>
      <c r="N64" s="53"/>
      <c r="O64" s="53">
        <v>6.9056499999999996</v>
      </c>
      <c r="P64" s="53">
        <v>1211.0329999999999</v>
      </c>
      <c r="Q64" s="53">
        <v>220.79</v>
      </c>
      <c r="R64" s="53"/>
      <c r="S64" s="53"/>
      <c r="T64" s="53">
        <v>9.9075945999999995</v>
      </c>
      <c r="U64" s="53">
        <v>24.768986000000002</v>
      </c>
      <c r="V64" s="53">
        <f t="shared" si="1"/>
        <v>17.338290300000001</v>
      </c>
      <c r="W64" s="53"/>
      <c r="X64" s="53"/>
      <c r="Y64" s="53"/>
      <c r="Z64" s="53"/>
    </row>
    <row r="65" spans="1:26" x14ac:dyDescent="0.3">
      <c r="A65" s="2" t="s">
        <v>182</v>
      </c>
      <c r="B65" s="50">
        <v>84.16</v>
      </c>
      <c r="C65" s="18">
        <v>1.4990000000000001</v>
      </c>
      <c r="D65" s="53">
        <v>7.5</v>
      </c>
      <c r="E65" s="53">
        <v>8.9113899999999999E-4</v>
      </c>
      <c r="F65" s="26">
        <v>8.2799999999999999E-2</v>
      </c>
      <c r="G65" s="26">
        <v>0.124</v>
      </c>
      <c r="H65" s="26">
        <v>3.4200000000000001E-2</v>
      </c>
      <c r="I65" s="26">
        <v>2.88</v>
      </c>
      <c r="J65" s="53">
        <v>3.83</v>
      </c>
      <c r="K65" s="53"/>
      <c r="L65" s="53"/>
      <c r="M65" s="53"/>
      <c r="N65" s="53"/>
      <c r="O65" s="53">
        <v>6.8413000000000004</v>
      </c>
      <c r="P65" s="53">
        <v>1201.5309999999999</v>
      </c>
      <c r="Q65" s="53">
        <v>222.64699999999999</v>
      </c>
      <c r="R65" s="53"/>
      <c r="S65" s="53"/>
      <c r="T65" s="53">
        <v>42.565460000000002</v>
      </c>
      <c r="U65" s="53">
        <v>106.41365</v>
      </c>
      <c r="V65" s="53">
        <f t="shared" si="1"/>
        <v>74.489554999999996</v>
      </c>
      <c r="W65" s="53"/>
      <c r="X65" s="53"/>
      <c r="Y65" s="53"/>
      <c r="Z65" s="53"/>
    </row>
    <row r="66" spans="1:26" x14ac:dyDescent="0.3">
      <c r="A66" s="2" t="s">
        <v>183</v>
      </c>
      <c r="B66" s="50">
        <v>86.18</v>
      </c>
      <c r="C66" s="18">
        <v>2.347</v>
      </c>
      <c r="D66" s="53">
        <v>8.5</v>
      </c>
      <c r="E66" s="53">
        <v>9.8630799999999998E-4</v>
      </c>
      <c r="F66" s="26">
        <v>9.1700000000000004E-2</v>
      </c>
      <c r="G66" s="26">
        <v>0.215</v>
      </c>
      <c r="H66" s="26">
        <v>5.9299999999999999E-2</v>
      </c>
      <c r="I66" s="26">
        <v>5.1100000000000003</v>
      </c>
      <c r="J66" s="27">
        <v>6.79</v>
      </c>
      <c r="K66" s="53"/>
      <c r="L66" s="53"/>
      <c r="M66" s="53"/>
      <c r="N66" s="53"/>
      <c r="O66" s="53">
        <v>6.87601</v>
      </c>
      <c r="P66" s="53">
        <v>1171.17</v>
      </c>
      <c r="Q66" s="53">
        <v>224.41</v>
      </c>
      <c r="R66" s="53"/>
      <c r="S66" s="53"/>
      <c r="T66" s="53">
        <v>75.520544000000001</v>
      </c>
      <c r="U66" s="53">
        <v>188.80135999999999</v>
      </c>
      <c r="V66" s="53">
        <f t="shared" si="1"/>
        <v>132.16095200000001</v>
      </c>
      <c r="W66" s="53"/>
      <c r="X66" s="53"/>
      <c r="Y66" s="53"/>
      <c r="Z66" s="53"/>
    </row>
    <row r="67" spans="1:26" x14ac:dyDescent="0.3">
      <c r="A67" s="2" t="s">
        <v>187</v>
      </c>
      <c r="B67" s="50">
        <v>100.2</v>
      </c>
      <c r="C67" s="18">
        <v>3.3159999999999998</v>
      </c>
      <c r="D67" s="53">
        <v>6.5</v>
      </c>
      <c r="E67" s="53">
        <v>6.4870300000000004E-4</v>
      </c>
      <c r="F67" s="26">
        <v>6.0299999999999999E-2</v>
      </c>
      <c r="G67" s="26">
        <v>0.2</v>
      </c>
      <c r="H67" s="26">
        <v>5.5100000000000003E-2</v>
      </c>
      <c r="I67" s="26">
        <v>5.52</v>
      </c>
      <c r="J67" s="53">
        <v>7.33</v>
      </c>
      <c r="K67" s="53"/>
      <c r="L67" s="53"/>
      <c r="M67" s="53"/>
      <c r="N67" s="53"/>
      <c r="O67" s="18">
        <v>6.8391000000000002</v>
      </c>
      <c r="P67" s="18">
        <v>1135.4100000000001</v>
      </c>
      <c r="Q67" s="18">
        <v>226.57</v>
      </c>
      <c r="R67" s="53"/>
      <c r="S67" s="53"/>
      <c r="T67" s="53">
        <v>81.593704000000002</v>
      </c>
      <c r="U67" s="53">
        <v>203.98426000000001</v>
      </c>
      <c r="V67" s="53">
        <f t="shared" si="1"/>
        <v>142.788982</v>
      </c>
      <c r="W67" s="53"/>
      <c r="X67" s="53"/>
      <c r="Y67" s="53"/>
      <c r="Z67" s="53"/>
    </row>
    <row r="68" spans="1:26" x14ac:dyDescent="0.3">
      <c r="A68" s="2" t="s">
        <v>153</v>
      </c>
      <c r="B68" s="50">
        <v>92.14</v>
      </c>
      <c r="C68" s="18">
        <v>0.42199999999999999</v>
      </c>
      <c r="D68" s="53">
        <v>3</v>
      </c>
      <c r="E68" s="53">
        <v>3.2559100000000002E-4</v>
      </c>
      <c r="F68" s="26">
        <v>3.0300000000000001E-2</v>
      </c>
      <c r="G68" s="26">
        <v>1.2800000000000001E-2</v>
      </c>
      <c r="H68" s="26">
        <v>3.5200000000000001E-3</v>
      </c>
      <c r="I68" s="26">
        <v>0.32400000000000001</v>
      </c>
      <c r="J68" s="27">
        <v>0.43</v>
      </c>
      <c r="K68" s="53"/>
      <c r="L68" s="53"/>
      <c r="M68" s="53"/>
      <c r="N68" s="53"/>
      <c r="O68" s="53">
        <v>6.9546400000000004</v>
      </c>
      <c r="P68" s="53">
        <v>1344.8</v>
      </c>
      <c r="Q68" s="53">
        <v>219.48</v>
      </c>
      <c r="R68" s="53"/>
      <c r="S68" s="53"/>
      <c r="T68" s="53">
        <v>4.7942689999999999</v>
      </c>
      <c r="U68" s="53">
        <v>11.985673</v>
      </c>
      <c r="V68" s="53">
        <f t="shared" si="1"/>
        <v>8.3899709999999992</v>
      </c>
      <c r="W68" s="53"/>
      <c r="X68" s="53"/>
      <c r="Y68" s="53"/>
      <c r="Z68" s="53"/>
    </row>
    <row r="69" spans="1:26" x14ac:dyDescent="0.3">
      <c r="A69" s="2" t="s">
        <v>154</v>
      </c>
      <c r="B69" s="50">
        <v>106.14</v>
      </c>
      <c r="C69" s="18">
        <v>0.126</v>
      </c>
      <c r="D69" s="53">
        <v>2.8</v>
      </c>
      <c r="E69" s="53">
        <v>2.6380300000000001E-4</v>
      </c>
      <c r="F69" s="26">
        <v>2.4500000000000001E-2</v>
      </c>
      <c r="G69" s="26">
        <v>3.0899999999999999E-3</v>
      </c>
      <c r="H69" s="26">
        <v>8.4999999999999995E-4</v>
      </c>
      <c r="I69" s="26">
        <v>9.0300000000000005E-2</v>
      </c>
      <c r="J69" s="27">
        <v>0.12</v>
      </c>
      <c r="K69" s="53"/>
      <c r="L69" s="53"/>
      <c r="M69" s="53"/>
      <c r="N69" s="53"/>
      <c r="O69" s="53">
        <v>6.9905200000000001</v>
      </c>
      <c r="P69" s="53">
        <v>1453.43</v>
      </c>
      <c r="Q69" s="53">
        <v>215.31</v>
      </c>
      <c r="R69" s="53"/>
      <c r="S69" s="53"/>
      <c r="T69" s="53">
        <v>1.3349926000000001</v>
      </c>
      <c r="U69" s="53">
        <v>3.3374814000000002</v>
      </c>
      <c r="V69" s="53">
        <f t="shared" si="1"/>
        <v>2.3362370000000001</v>
      </c>
      <c r="W69" s="53"/>
      <c r="X69" s="53"/>
      <c r="Y69" s="53"/>
      <c r="Z69" s="53"/>
    </row>
    <row r="70" spans="1:26" x14ac:dyDescent="0.3">
      <c r="A70" s="2" t="s">
        <v>200</v>
      </c>
      <c r="B70" s="50">
        <v>100.2</v>
      </c>
      <c r="C70" s="18">
        <v>0.68500000000000005</v>
      </c>
      <c r="D70" s="53">
        <v>4.4000000000000004</v>
      </c>
      <c r="E70" s="53">
        <v>4.3912200000000001E-4</v>
      </c>
      <c r="F70" s="26">
        <v>4.0800000000000003E-2</v>
      </c>
      <c r="G70" s="26">
        <v>2.8000000000000001E-2</v>
      </c>
      <c r="H70" s="26">
        <v>7.7000000000000002E-3</v>
      </c>
      <c r="I70" s="26">
        <v>0.77100000000000002</v>
      </c>
      <c r="J70" s="53">
        <v>1.03</v>
      </c>
      <c r="K70" s="53"/>
      <c r="L70" s="53"/>
      <c r="M70" s="53"/>
      <c r="N70" s="53"/>
      <c r="O70" s="53">
        <v>6.8967700000000001</v>
      </c>
      <c r="P70" s="53">
        <v>1264.9000000000001</v>
      </c>
      <c r="Q70" s="53">
        <v>216.54</v>
      </c>
      <c r="R70" s="53"/>
      <c r="S70" s="53"/>
      <c r="T70" s="53">
        <v>11.407071</v>
      </c>
      <c r="U70" s="53">
        <v>28.517676999999999</v>
      </c>
      <c r="V70" s="53">
        <f t="shared" si="1"/>
        <v>19.962374000000001</v>
      </c>
      <c r="W70" s="53"/>
      <c r="X70" s="53"/>
      <c r="Y70" s="53"/>
      <c r="Z70" s="53"/>
    </row>
    <row r="71" spans="1:26" x14ac:dyDescent="0.3">
      <c r="A71" s="2" t="s">
        <v>164</v>
      </c>
      <c r="B71" s="50">
        <v>86.18</v>
      </c>
      <c r="C71" s="18">
        <v>3.3159999999999998</v>
      </c>
      <c r="D71" s="19">
        <v>14.9</v>
      </c>
      <c r="E71" s="53">
        <v>1.7289390000000001E-3</v>
      </c>
      <c r="F71" s="26">
        <v>0.161</v>
      </c>
      <c r="G71" s="26">
        <v>0.53300000000000003</v>
      </c>
      <c r="H71" s="26">
        <v>0.14699999999999999</v>
      </c>
      <c r="I71" s="26">
        <v>12.6</v>
      </c>
      <c r="J71" s="53">
        <v>16.809999999999999</v>
      </c>
      <c r="K71" s="53"/>
      <c r="L71" s="53"/>
      <c r="M71" s="53"/>
      <c r="N71" s="53"/>
      <c r="O71" s="18">
        <v>6.8391000000000002</v>
      </c>
      <c r="P71" s="18">
        <v>1135.4100000000001</v>
      </c>
      <c r="Q71" s="18">
        <v>226.57</v>
      </c>
      <c r="R71" s="53"/>
      <c r="S71" s="53"/>
      <c r="T71" s="53">
        <v>187.03787</v>
      </c>
      <c r="U71" s="53">
        <v>467.59469000000001</v>
      </c>
      <c r="V71" s="53">
        <f t="shared" si="1"/>
        <v>327.31628000000001</v>
      </c>
      <c r="W71" s="53"/>
      <c r="X71" s="53"/>
      <c r="Y71" s="53"/>
      <c r="Z71" s="53"/>
    </row>
    <row r="72" spans="1:26" ht="28.8" x14ac:dyDescent="0.3">
      <c r="A72" s="2" t="s">
        <v>166</v>
      </c>
      <c r="B72" s="50">
        <v>114.23</v>
      </c>
      <c r="C72" s="18">
        <v>0.40200000000000002</v>
      </c>
      <c r="D72" s="19">
        <v>16.8</v>
      </c>
      <c r="E72" s="53">
        <v>1.4707170000000001E-3</v>
      </c>
      <c r="F72" s="26">
        <v>0.13700000000000001</v>
      </c>
      <c r="G72" s="26">
        <v>5.4899999999999997E-2</v>
      </c>
      <c r="H72" s="26">
        <v>1.5100000000000001E-2</v>
      </c>
      <c r="I72" s="26">
        <v>1.73</v>
      </c>
      <c r="J72" s="53">
        <v>2.2999999999999998</v>
      </c>
      <c r="K72" s="53"/>
      <c r="L72" s="53"/>
      <c r="M72" s="53"/>
      <c r="N72" s="53"/>
      <c r="O72" s="18">
        <v>6.8539599999999998</v>
      </c>
      <c r="P72" s="18">
        <v>1315.08</v>
      </c>
      <c r="Q72" s="18">
        <v>217.53</v>
      </c>
      <c r="R72" s="53"/>
      <c r="S72" s="53"/>
      <c r="T72" s="53">
        <v>25.541775000000001</v>
      </c>
      <c r="U72" s="53">
        <v>63.854436999999997</v>
      </c>
      <c r="V72" s="53">
        <f t="shared" si="1"/>
        <v>44.698105999999996</v>
      </c>
      <c r="W72" s="53"/>
      <c r="X72" s="53"/>
      <c r="Y72" s="53"/>
      <c r="Z72" s="53"/>
    </row>
    <row r="73" spans="1:26" ht="28.8" x14ac:dyDescent="0.3">
      <c r="A73" s="2" t="s">
        <v>167</v>
      </c>
      <c r="B73" s="50">
        <v>120.19</v>
      </c>
      <c r="C73" s="18">
        <v>2.8000000000000001E-2</v>
      </c>
      <c r="D73" s="19">
        <v>7.2</v>
      </c>
      <c r="E73" s="53">
        <v>5.9905199999999998E-4</v>
      </c>
      <c r="F73" s="26">
        <v>5.57E-2</v>
      </c>
      <c r="G73" s="26">
        <v>1.56E-3</v>
      </c>
      <c r="H73" s="26">
        <v>4.2900000000000002E-4</v>
      </c>
      <c r="I73" s="26">
        <v>5.16E-2</v>
      </c>
      <c r="J73" s="53">
        <v>7.0000000000000007E-2</v>
      </c>
      <c r="K73" s="53"/>
      <c r="L73" s="53"/>
      <c r="M73" s="53"/>
      <c r="N73" s="53"/>
      <c r="O73" s="53">
        <v>7.0438299999999998</v>
      </c>
      <c r="P73" s="53">
        <v>1573.2670000000001</v>
      </c>
      <c r="Q73" s="53">
        <v>208.56399999999999</v>
      </c>
      <c r="R73" s="53"/>
      <c r="S73" s="53"/>
      <c r="T73" s="53">
        <v>0.76270579999999999</v>
      </c>
      <c r="U73" s="53">
        <v>1.9067645</v>
      </c>
      <c r="V73" s="53">
        <f t="shared" si="1"/>
        <v>1.33473515</v>
      </c>
      <c r="W73" s="53"/>
      <c r="X73" s="53"/>
      <c r="Y73" s="53"/>
      <c r="Z73" s="53"/>
    </row>
    <row r="74" spans="1:26" x14ac:dyDescent="0.3">
      <c r="A74" s="2" t="s">
        <v>155</v>
      </c>
      <c r="B74" s="50">
        <v>106.17</v>
      </c>
      <c r="C74" s="18">
        <v>0.13700000000000001</v>
      </c>
      <c r="D74" s="53">
        <v>2</v>
      </c>
      <c r="E74" s="53">
        <v>1.8837699999999999E-4</v>
      </c>
      <c r="F74" s="26">
        <v>1.7500000000000002E-2</v>
      </c>
      <c r="G74" s="26">
        <v>2.3999999999999998E-3</v>
      </c>
      <c r="H74" s="26">
        <v>6.6E-4</v>
      </c>
      <c r="I74" s="26">
        <v>7.0099999999999996E-2</v>
      </c>
      <c r="J74" s="27">
        <v>0.09</v>
      </c>
      <c r="K74" s="53"/>
      <c r="L74" s="53"/>
      <c r="M74" s="53"/>
      <c r="N74" s="53"/>
      <c r="O74" s="53">
        <v>6.9571899999999998</v>
      </c>
      <c r="P74" s="53">
        <v>1424.2550000000001</v>
      </c>
      <c r="Q74" s="53">
        <v>213.21</v>
      </c>
      <c r="R74" s="53"/>
      <c r="S74" s="53"/>
      <c r="T74" s="53">
        <v>1.0363424999999999</v>
      </c>
      <c r="U74" s="53">
        <v>2.5908563</v>
      </c>
      <c r="V74" s="53">
        <f t="shared" si="1"/>
        <v>1.8135994</v>
      </c>
      <c r="W74" s="53"/>
      <c r="X74" s="53"/>
      <c r="Y74" s="53"/>
      <c r="Z74" s="53"/>
    </row>
    <row r="75" spans="1:26" x14ac:dyDescent="0.3">
      <c r="A75" s="2" t="s">
        <v>201</v>
      </c>
      <c r="B75" s="50">
        <v>142.29</v>
      </c>
      <c r="C75" s="18">
        <v>2.3E-2</v>
      </c>
      <c r="D75" s="19">
        <v>7</v>
      </c>
      <c r="E75" s="53">
        <v>4.9195300000000005E-4</v>
      </c>
      <c r="F75" s="26">
        <v>4.5699999999999998E-2</v>
      </c>
      <c r="G75" s="26">
        <v>1.0499999999999999E-3</v>
      </c>
      <c r="H75" s="26">
        <v>2.8899999999999998E-4</v>
      </c>
      <c r="I75" s="26">
        <v>4.1099999999999998E-2</v>
      </c>
      <c r="J75" s="53">
        <v>0.05</v>
      </c>
      <c r="K75" s="53"/>
      <c r="L75" s="53"/>
      <c r="M75" s="53"/>
      <c r="N75" s="53"/>
      <c r="O75" s="53">
        <v>7.44</v>
      </c>
      <c r="P75" s="53">
        <v>1843.12</v>
      </c>
      <c r="Q75" s="53">
        <v>230.22</v>
      </c>
      <c r="R75" s="53"/>
      <c r="S75" s="53"/>
      <c r="T75" s="53">
        <v>0.60752130000000004</v>
      </c>
      <c r="U75" s="53">
        <v>1.5188033000000001</v>
      </c>
      <c r="V75" s="53">
        <f t="shared" si="1"/>
        <v>1.0631623000000001</v>
      </c>
      <c r="W75" s="53"/>
      <c r="X75" s="53"/>
      <c r="Y75" s="53"/>
      <c r="Z75" s="53"/>
    </row>
    <row r="76" spans="1:26" x14ac:dyDescent="0.3">
      <c r="A76" s="47"/>
      <c r="B76" s="47"/>
      <c r="C76" s="15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x14ac:dyDescent="0.3">
      <c r="A77" s="47"/>
      <c r="B77" s="47"/>
      <c r="C77" s="15"/>
      <c r="D77" s="53">
        <v>100</v>
      </c>
      <c r="E77" s="53">
        <v>0.01</v>
      </c>
      <c r="F77" s="53">
        <v>1</v>
      </c>
      <c r="G77" s="53">
        <v>3.63</v>
      </c>
      <c r="H77" s="53">
        <v>1</v>
      </c>
      <c r="I77" s="53">
        <v>75.22</v>
      </c>
      <c r="J77" s="53">
        <v>100</v>
      </c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x14ac:dyDescent="0.3">
      <c r="A78" s="47"/>
      <c r="B78" s="47"/>
      <c r="C78" s="15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x14ac:dyDescent="0.3">
      <c r="A79" s="47"/>
      <c r="B79" s="47"/>
      <c r="C79" s="15"/>
      <c r="D79" s="53"/>
      <c r="E79" s="53"/>
      <c r="F79" s="53"/>
      <c r="G79" s="26">
        <v>0.26500000000000001</v>
      </c>
      <c r="H79" s="53"/>
      <c r="I79" s="53"/>
      <c r="J79" s="28">
        <v>8.32</v>
      </c>
      <c r="K79" s="6" t="s">
        <v>171</v>
      </c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x14ac:dyDescent="0.3">
      <c r="A80" s="47"/>
      <c r="B80" s="47"/>
      <c r="C80" s="15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43.2" x14ac:dyDescent="0.3">
      <c r="A81" s="48" t="s">
        <v>202</v>
      </c>
      <c r="B81" s="52"/>
      <c r="C81" s="30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x14ac:dyDescent="0.3">
      <c r="A82" s="2"/>
      <c r="B82" s="2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x14ac:dyDescent="0.3">
      <c r="A83" s="2"/>
      <c r="B83" s="2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x14ac:dyDescent="0.3">
      <c r="A84" s="2"/>
      <c r="B84" s="2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66.599999999999994" x14ac:dyDescent="0.3">
      <c r="A85" s="11" t="s">
        <v>134</v>
      </c>
      <c r="B85" s="9" t="s">
        <v>136</v>
      </c>
      <c r="C85" s="9" t="s">
        <v>137</v>
      </c>
      <c r="D85" s="10" t="s">
        <v>203</v>
      </c>
      <c r="E85" s="10" t="s">
        <v>204</v>
      </c>
      <c r="F85" s="10" t="s">
        <v>205</v>
      </c>
      <c r="G85" s="31" t="s">
        <v>206</v>
      </c>
      <c r="H85" s="10" t="s">
        <v>207</v>
      </c>
      <c r="I85" s="10" t="s">
        <v>143</v>
      </c>
      <c r="J85" s="12" t="s">
        <v>208</v>
      </c>
      <c r="K85" s="13"/>
      <c r="L85" s="10" t="s">
        <v>145</v>
      </c>
      <c r="M85" s="14">
        <v>68</v>
      </c>
      <c r="N85" s="10" t="s">
        <v>146</v>
      </c>
      <c r="O85" s="8" t="s">
        <v>147</v>
      </c>
      <c r="P85" s="10" t="s">
        <v>148</v>
      </c>
      <c r="Q85" s="8" t="s">
        <v>149</v>
      </c>
      <c r="R85" s="53"/>
      <c r="S85" s="53"/>
      <c r="T85" s="53" t="s">
        <v>150</v>
      </c>
      <c r="U85" s="53" t="s">
        <v>13</v>
      </c>
      <c r="V85" s="53"/>
      <c r="W85" s="53"/>
      <c r="X85" s="53"/>
      <c r="Y85" s="53"/>
      <c r="Z85" s="53"/>
    </row>
    <row r="86" spans="1:26" x14ac:dyDescent="0.3">
      <c r="A86" s="47"/>
      <c r="B86" s="47"/>
      <c r="C86" s="16" t="s">
        <v>134</v>
      </c>
      <c r="D86" s="17" t="s">
        <v>134</v>
      </c>
      <c r="E86" s="17" t="s">
        <v>134</v>
      </c>
      <c r="F86" s="17" t="s">
        <v>134</v>
      </c>
      <c r="G86" s="17" t="s">
        <v>134</v>
      </c>
      <c r="H86" s="17" t="s">
        <v>134</v>
      </c>
      <c r="I86" s="17" t="s">
        <v>134</v>
      </c>
      <c r="J86" s="17" t="s">
        <v>134</v>
      </c>
      <c r="K86" s="53"/>
      <c r="L86" s="17" t="s">
        <v>134</v>
      </c>
      <c r="M86" s="53">
        <v>20</v>
      </c>
      <c r="N86" s="53" t="s">
        <v>149</v>
      </c>
      <c r="O86" s="17" t="s">
        <v>134</v>
      </c>
      <c r="P86" s="17" t="s">
        <v>134</v>
      </c>
      <c r="Q86" s="17" t="s">
        <v>134</v>
      </c>
      <c r="R86" s="53"/>
      <c r="S86" s="53"/>
      <c r="T86" s="53" t="s">
        <v>151</v>
      </c>
      <c r="U86" s="53" t="s">
        <v>151</v>
      </c>
      <c r="V86" s="53"/>
      <c r="W86" s="53"/>
      <c r="X86" s="53"/>
      <c r="Y86" s="53"/>
      <c r="Z86" s="53"/>
    </row>
    <row r="87" spans="1:26" x14ac:dyDescent="0.3">
      <c r="A87" s="2" t="s">
        <v>113</v>
      </c>
      <c r="B87" s="50">
        <v>78.11</v>
      </c>
      <c r="C87" s="18">
        <v>1.454</v>
      </c>
      <c r="D87" s="53">
        <v>4.0000000000000001E-3</v>
      </c>
      <c r="E87" s="26">
        <v>5.1209799999999998E-7</v>
      </c>
      <c r="F87" s="26">
        <v>6.6299999999999999E-5</v>
      </c>
      <c r="G87" s="26">
        <v>9.6399999999999999E-5</v>
      </c>
      <c r="H87" s="26">
        <v>1.81E-3</v>
      </c>
      <c r="I87" s="26">
        <v>0.14099999999999999</v>
      </c>
      <c r="J87" s="27">
        <v>0.12</v>
      </c>
      <c r="K87" s="53"/>
      <c r="L87" s="53"/>
      <c r="M87" s="53"/>
      <c r="N87" s="53"/>
      <c r="O87" s="53">
        <v>6.9056499999999996</v>
      </c>
      <c r="P87" s="53">
        <v>1211.0329999999999</v>
      </c>
      <c r="Q87" s="53">
        <v>220.79</v>
      </c>
      <c r="R87" s="53"/>
      <c r="S87" s="53"/>
      <c r="T87" s="53">
        <v>1.0539E-3</v>
      </c>
      <c r="U87" s="53">
        <v>2.6346E-3</v>
      </c>
      <c r="V87" s="53">
        <f>AVERAGE(T87:U87)</f>
        <v>1.84425E-3</v>
      </c>
      <c r="W87" s="53"/>
      <c r="X87" s="53"/>
      <c r="Y87" s="53"/>
      <c r="Z87" s="53"/>
    </row>
    <row r="88" spans="1:26" x14ac:dyDescent="0.3">
      <c r="A88" s="2" t="s">
        <v>181</v>
      </c>
      <c r="B88" s="50">
        <v>154.21</v>
      </c>
      <c r="C88" s="18">
        <v>0</v>
      </c>
      <c r="D88" s="53">
        <v>0.12</v>
      </c>
      <c r="E88" s="26">
        <v>7.7817099999999994E-6</v>
      </c>
      <c r="F88" s="26">
        <v>1.01E-3</v>
      </c>
      <c r="G88" s="26">
        <v>3.6399999999999998E-7</v>
      </c>
      <c r="H88" s="26">
        <v>6.8399999999999997E-6</v>
      </c>
      <c r="I88" s="26">
        <v>1.0499999999999999E-3</v>
      </c>
      <c r="J88" s="27">
        <v>1E-3</v>
      </c>
      <c r="K88" s="53"/>
      <c r="L88" s="53"/>
      <c r="M88" s="53"/>
      <c r="N88" s="53"/>
      <c r="O88" s="53">
        <v>7.2454000000000001</v>
      </c>
      <c r="P88" s="53">
        <v>1998.72</v>
      </c>
      <c r="Q88" s="53">
        <v>202.74</v>
      </c>
      <c r="R88" s="53"/>
      <c r="S88" s="53"/>
      <c r="T88" s="26">
        <v>7.8660000000000006E-6</v>
      </c>
      <c r="U88" s="26">
        <v>1.9660000000000002E-5</v>
      </c>
      <c r="V88" s="53">
        <f t="shared" ref="V88:V98" si="2">AVERAGE(T88:U88)</f>
        <v>1.3763E-5</v>
      </c>
      <c r="W88" s="53"/>
      <c r="X88" s="53"/>
      <c r="Y88" s="53"/>
      <c r="Z88" s="53"/>
    </row>
    <row r="89" spans="1:26" x14ac:dyDescent="0.3">
      <c r="A89" s="2" t="s">
        <v>155</v>
      </c>
      <c r="B89" s="50">
        <v>106.17</v>
      </c>
      <c r="C89" s="18">
        <v>0.13700000000000001</v>
      </c>
      <c r="D89" s="53">
        <v>0.127</v>
      </c>
      <c r="E89" s="26">
        <v>1.19619E-5</v>
      </c>
      <c r="F89" s="26">
        <v>1.5499999999999999E-3</v>
      </c>
      <c r="G89" s="26">
        <v>2.12E-4</v>
      </c>
      <c r="H89" s="26">
        <v>3.98E-3</v>
      </c>
      <c r="I89" s="26">
        <v>0.42199999999999999</v>
      </c>
      <c r="J89" s="27">
        <v>0.35</v>
      </c>
      <c r="K89" s="53"/>
      <c r="L89" s="53"/>
      <c r="M89" s="53"/>
      <c r="N89" s="53"/>
      <c r="O89" s="53">
        <v>6.9571899999999998</v>
      </c>
      <c r="P89" s="53">
        <v>1424.2550000000001</v>
      </c>
      <c r="Q89" s="53">
        <v>213.21</v>
      </c>
      <c r="R89" s="53"/>
      <c r="S89" s="53"/>
      <c r="T89" s="53">
        <v>3.1499000000000002E-3</v>
      </c>
      <c r="U89" s="53">
        <v>7.8747999999999995E-3</v>
      </c>
      <c r="V89" s="53">
        <f t="shared" si="2"/>
        <v>5.5123500000000001E-3</v>
      </c>
      <c r="W89" s="53"/>
      <c r="X89" s="53"/>
      <c r="Y89" s="53"/>
      <c r="Z89" s="53"/>
    </row>
    <row r="90" spans="1:26" x14ac:dyDescent="0.3">
      <c r="A90" s="2" t="s">
        <v>183</v>
      </c>
      <c r="B90" s="50">
        <v>86.18</v>
      </c>
      <c r="C90" s="18">
        <v>2.347</v>
      </c>
      <c r="D90" s="53">
        <v>5.0000000000000001E-3</v>
      </c>
      <c r="E90" s="26">
        <v>5.8018099999999997E-7</v>
      </c>
      <c r="F90" s="26">
        <v>7.5099999999999996E-5</v>
      </c>
      <c r="G90" s="26">
        <v>1.76E-4</v>
      </c>
      <c r="H90" s="26">
        <v>3.31E-3</v>
      </c>
      <c r="I90" s="26">
        <v>0.28499999999999998</v>
      </c>
      <c r="J90" s="27">
        <v>0.24</v>
      </c>
      <c r="K90" s="53"/>
      <c r="L90" s="53"/>
      <c r="M90" s="53"/>
      <c r="N90" s="53"/>
      <c r="O90" s="53">
        <v>6.87601</v>
      </c>
      <c r="P90" s="53">
        <v>1171.17</v>
      </c>
      <c r="Q90" s="53">
        <v>224.41</v>
      </c>
      <c r="R90" s="53"/>
      <c r="S90" s="53"/>
      <c r="T90" s="53">
        <v>2.1264000000000001E-3</v>
      </c>
      <c r="U90" s="53">
        <v>5.3160000000000004E-3</v>
      </c>
      <c r="V90" s="53">
        <f t="shared" si="2"/>
        <v>3.7212E-3</v>
      </c>
      <c r="W90" s="53"/>
      <c r="X90" s="53"/>
      <c r="Y90" s="53"/>
      <c r="Z90" s="53"/>
    </row>
    <row r="91" spans="1:26" x14ac:dyDescent="0.3">
      <c r="A91" s="2" t="s">
        <v>158</v>
      </c>
      <c r="B91" s="50">
        <v>128.16999999999999</v>
      </c>
      <c r="C91" s="18">
        <v>3.0000000000000001E-3</v>
      </c>
      <c r="D91" s="53">
        <v>0.73299999999999998</v>
      </c>
      <c r="E91" s="26">
        <v>5.7189699999999999E-5</v>
      </c>
      <c r="F91" s="26">
        <v>7.4000000000000003E-3</v>
      </c>
      <c r="G91" s="26">
        <v>2.58E-5</v>
      </c>
      <c r="H91" s="26">
        <v>4.8500000000000003E-4</v>
      </c>
      <c r="I91" s="26">
        <v>6.2199999999999998E-2</v>
      </c>
      <c r="J91" s="27">
        <v>0.05</v>
      </c>
      <c r="K91" s="53"/>
      <c r="L91" s="53"/>
      <c r="M91" s="53"/>
      <c r="N91" s="53"/>
      <c r="O91" s="53">
        <v>7.37</v>
      </c>
      <c r="P91" s="53">
        <v>1968.36</v>
      </c>
      <c r="Q91" s="53">
        <v>222.61</v>
      </c>
      <c r="R91" s="53"/>
      <c r="S91" s="53"/>
      <c r="T91" s="53">
        <v>4.638E-4</v>
      </c>
      <c r="U91" s="53">
        <v>1.1594999999999999E-3</v>
      </c>
      <c r="V91" s="53">
        <f t="shared" si="2"/>
        <v>8.1164999999999991E-4</v>
      </c>
      <c r="W91" s="53"/>
      <c r="X91" s="53"/>
      <c r="Y91" s="53"/>
      <c r="Z91" s="53"/>
    </row>
    <row r="92" spans="1:26" x14ac:dyDescent="0.3">
      <c r="A92" s="2" t="s">
        <v>185</v>
      </c>
      <c r="B92" s="50">
        <v>94.11</v>
      </c>
      <c r="C92" s="18">
        <v>4.0000000000000001E-3</v>
      </c>
      <c r="D92" s="53">
        <v>0.77</v>
      </c>
      <c r="E92" s="26">
        <v>8.1818100000000002E-5</v>
      </c>
      <c r="F92" s="26">
        <v>1.06E-2</v>
      </c>
      <c r="G92" s="26">
        <v>4.5099999999999998E-5</v>
      </c>
      <c r="H92" s="26">
        <v>8.4599999999999996E-4</v>
      </c>
      <c r="I92" s="26">
        <v>7.9600000000000004E-2</v>
      </c>
      <c r="J92" s="27">
        <v>7.0000000000000007E-2</v>
      </c>
      <c r="K92" s="53"/>
      <c r="L92" s="53"/>
      <c r="M92" s="53"/>
      <c r="N92" s="53"/>
      <c r="O92" s="53">
        <v>7.1345000000000001</v>
      </c>
      <c r="P92" s="53">
        <v>1516.07</v>
      </c>
      <c r="Q92" s="53">
        <v>174.57</v>
      </c>
      <c r="R92" s="53"/>
      <c r="S92" s="53"/>
      <c r="T92" s="53">
        <v>5.9369999999999996E-4</v>
      </c>
      <c r="U92" s="53">
        <v>1.4843E-3</v>
      </c>
      <c r="V92" s="53">
        <f t="shared" si="2"/>
        <v>1.039E-3</v>
      </c>
      <c r="W92" s="53"/>
      <c r="X92" s="53"/>
      <c r="Y92" s="53"/>
      <c r="Z92" s="53"/>
    </row>
    <row r="93" spans="1:26" x14ac:dyDescent="0.3">
      <c r="A93" s="2" t="s">
        <v>153</v>
      </c>
      <c r="B93" s="50">
        <v>92.14</v>
      </c>
      <c r="C93" s="18">
        <v>0.42199999999999999</v>
      </c>
      <c r="D93" s="53">
        <v>0.13</v>
      </c>
      <c r="E93" s="26">
        <v>1.4109E-5</v>
      </c>
      <c r="F93" s="26">
        <v>1.83E-3</v>
      </c>
      <c r="G93" s="26">
        <v>7.7099999999999998E-4</v>
      </c>
      <c r="H93" s="26">
        <v>1.4500000000000001E-2</v>
      </c>
      <c r="I93" s="26">
        <v>1.33</v>
      </c>
      <c r="J93" s="27">
        <v>1.1100000000000001</v>
      </c>
      <c r="K93" s="53"/>
      <c r="L93" s="53"/>
      <c r="M93" s="53"/>
      <c r="N93" s="53"/>
      <c r="O93" s="53">
        <v>6.9546400000000004</v>
      </c>
      <c r="P93" s="53">
        <v>1344.8</v>
      </c>
      <c r="Q93" s="53">
        <v>219.48</v>
      </c>
      <c r="R93" s="53"/>
      <c r="S93" s="53"/>
      <c r="T93" s="53">
        <v>9.9442000000000003E-3</v>
      </c>
      <c r="U93" s="53">
        <v>2.4860500000000001E-2</v>
      </c>
      <c r="V93" s="53">
        <f t="shared" si="2"/>
        <v>1.740235E-2</v>
      </c>
      <c r="W93" s="53"/>
      <c r="X93" s="53"/>
      <c r="Y93" s="53"/>
      <c r="Z93" s="53"/>
    </row>
    <row r="94" spans="1:26" x14ac:dyDescent="0.3">
      <c r="A94" s="2" t="s">
        <v>154</v>
      </c>
      <c r="B94" s="50">
        <v>106.14</v>
      </c>
      <c r="C94" s="18">
        <v>0.126</v>
      </c>
      <c r="D94" s="53">
        <v>0.31</v>
      </c>
      <c r="E94" s="26">
        <v>2.9206699999999999E-5</v>
      </c>
      <c r="F94" s="26">
        <v>3.7799999999999999E-3</v>
      </c>
      <c r="G94" s="26">
        <v>4.7600000000000002E-4</v>
      </c>
      <c r="H94" s="26">
        <v>8.94E-3</v>
      </c>
      <c r="I94" s="26">
        <v>0.94799999999999995</v>
      </c>
      <c r="J94" s="27">
        <v>0.79</v>
      </c>
      <c r="K94" s="53"/>
      <c r="L94" s="53"/>
      <c r="M94" s="53"/>
      <c r="N94" s="53"/>
      <c r="O94" s="53">
        <v>6.9905200000000001</v>
      </c>
      <c r="P94" s="53">
        <v>1453.43</v>
      </c>
      <c r="Q94" s="53">
        <v>215.31</v>
      </c>
      <c r="R94" s="53"/>
      <c r="S94" s="53"/>
      <c r="T94" s="53">
        <v>7.0746999999999997E-3</v>
      </c>
      <c r="U94" s="53">
        <v>1.76867E-2</v>
      </c>
      <c r="V94" s="53">
        <f t="shared" si="2"/>
        <v>1.23807E-2</v>
      </c>
      <c r="W94" s="53"/>
      <c r="X94" s="53"/>
      <c r="Y94" s="53"/>
      <c r="Z94" s="53"/>
    </row>
    <row r="95" spans="1:26" x14ac:dyDescent="0.3">
      <c r="A95" s="2" t="s">
        <v>200</v>
      </c>
      <c r="B95" s="50">
        <v>100.2</v>
      </c>
      <c r="C95" s="18">
        <v>0.68500000000000005</v>
      </c>
      <c r="D95" s="53">
        <v>0.08</v>
      </c>
      <c r="E95" s="26">
        <v>7.9840300000000005E-6</v>
      </c>
      <c r="F95" s="26">
        <v>1.0300000000000001E-3</v>
      </c>
      <c r="G95" s="26">
        <v>7.0799999999999997E-4</v>
      </c>
      <c r="H95" s="26">
        <v>1.3299999999999999E-2</v>
      </c>
      <c r="I95" s="26">
        <v>1.33</v>
      </c>
      <c r="J95" s="53">
        <v>1.1100000000000001</v>
      </c>
      <c r="K95" s="53"/>
      <c r="L95" s="53"/>
      <c r="M95" s="53"/>
      <c r="N95" s="53"/>
      <c r="O95" s="53">
        <v>6.8967700000000001</v>
      </c>
      <c r="P95" s="53">
        <v>1264.9000000000001</v>
      </c>
      <c r="Q95" s="53">
        <v>216.54</v>
      </c>
      <c r="R95" s="53"/>
      <c r="S95" s="53"/>
      <c r="T95" s="53">
        <v>9.9273999999999994E-3</v>
      </c>
      <c r="U95" s="53">
        <v>2.48186E-2</v>
      </c>
      <c r="V95" s="53">
        <f t="shared" si="2"/>
        <v>1.7373E-2</v>
      </c>
      <c r="W95" s="53"/>
      <c r="X95" s="53"/>
      <c r="Y95" s="53"/>
      <c r="Z95" s="53"/>
    </row>
    <row r="96" spans="1:26" ht="28.8" x14ac:dyDescent="0.3">
      <c r="A96" s="2" t="s">
        <v>166</v>
      </c>
      <c r="B96" s="50">
        <v>114.23</v>
      </c>
      <c r="C96" s="18">
        <v>0.40200000000000002</v>
      </c>
      <c r="D96" s="19">
        <v>6.1</v>
      </c>
      <c r="E96" s="53">
        <v>5.3401000000000002E-4</v>
      </c>
      <c r="F96" s="26">
        <v>6.9099999999999995E-2</v>
      </c>
      <c r="G96" s="26">
        <v>2.7799999999999998E-2</v>
      </c>
      <c r="H96" s="26">
        <v>0.52100000000000002</v>
      </c>
      <c r="I96" s="26">
        <v>59.5</v>
      </c>
      <c r="J96" s="53">
        <v>49.46</v>
      </c>
      <c r="K96" s="53"/>
      <c r="L96" s="53"/>
      <c r="M96" s="53"/>
      <c r="N96" s="53"/>
      <c r="O96" s="18">
        <v>6.8539599999999998</v>
      </c>
      <c r="P96" s="18">
        <v>1315.08</v>
      </c>
      <c r="Q96" s="18">
        <v>217.53</v>
      </c>
      <c r="R96" s="53"/>
      <c r="S96" s="53"/>
      <c r="T96" s="53">
        <v>0.44391180000000002</v>
      </c>
      <c r="U96" s="53">
        <v>1.1097794000000001</v>
      </c>
      <c r="V96" s="53">
        <f t="shared" si="2"/>
        <v>0.77684560000000002</v>
      </c>
      <c r="W96" s="53"/>
      <c r="X96" s="53"/>
      <c r="Y96" s="53"/>
      <c r="Z96" s="53"/>
    </row>
    <row r="97" spans="1:26" ht="28.8" x14ac:dyDescent="0.3">
      <c r="A97" s="2" t="s">
        <v>167</v>
      </c>
      <c r="B97" s="50">
        <v>120.19</v>
      </c>
      <c r="C97" s="18">
        <v>2.8000000000000001E-2</v>
      </c>
      <c r="D97" s="19">
        <v>42.1</v>
      </c>
      <c r="E97" s="53">
        <v>3.5027869999999998E-3</v>
      </c>
      <c r="F97" s="26">
        <v>0.45300000000000001</v>
      </c>
      <c r="G97" s="26">
        <v>1.2699999999999999E-2</v>
      </c>
      <c r="H97" s="26">
        <v>0.23799999999999999</v>
      </c>
      <c r="I97" s="26">
        <v>28.6</v>
      </c>
      <c r="J97" s="53">
        <v>23.79</v>
      </c>
      <c r="K97" s="53"/>
      <c r="L97" s="53"/>
      <c r="M97" s="53"/>
      <c r="N97" s="53"/>
      <c r="O97" s="53">
        <v>7.0438299999999998</v>
      </c>
      <c r="P97" s="53">
        <v>1573.2670000000001</v>
      </c>
      <c r="Q97" s="53">
        <v>208.56399999999999</v>
      </c>
      <c r="R97" s="53"/>
      <c r="S97" s="53"/>
      <c r="T97" s="53">
        <v>0.2134675</v>
      </c>
      <c r="U97" s="53">
        <v>0.5336687</v>
      </c>
      <c r="V97" s="53">
        <f t="shared" si="2"/>
        <v>0.37356810000000001</v>
      </c>
      <c r="W97" s="53"/>
      <c r="X97" s="53"/>
      <c r="Y97" s="53"/>
      <c r="Z97" s="53"/>
    </row>
    <row r="98" spans="1:26" x14ac:dyDescent="0.3">
      <c r="A98" s="2" t="s">
        <v>209</v>
      </c>
      <c r="B98" s="50">
        <v>142.29</v>
      </c>
      <c r="C98" s="18">
        <v>2.3E-2</v>
      </c>
      <c r="D98" s="19">
        <v>49.52</v>
      </c>
      <c r="E98" s="53">
        <v>3.4802869999999999E-3</v>
      </c>
      <c r="F98" s="26">
        <v>0.45</v>
      </c>
      <c r="G98" s="26">
        <v>1.03E-2</v>
      </c>
      <c r="H98" s="26">
        <v>0.19400000000000001</v>
      </c>
      <c r="I98" s="26">
        <v>27.6</v>
      </c>
      <c r="J98" s="53">
        <v>22.92</v>
      </c>
      <c r="K98" s="53"/>
      <c r="L98" s="53"/>
      <c r="M98" s="53"/>
      <c r="N98" s="53"/>
      <c r="O98" s="53">
        <v>7.44</v>
      </c>
      <c r="P98" s="53">
        <v>1843.12</v>
      </c>
      <c r="Q98" s="53">
        <v>230.22</v>
      </c>
      <c r="R98" s="53"/>
      <c r="S98" s="53"/>
      <c r="T98" s="53">
        <v>0.20572070000000001</v>
      </c>
      <c r="U98" s="53">
        <v>0.51430160000000003</v>
      </c>
      <c r="V98" s="53">
        <f t="shared" si="2"/>
        <v>0.36001115</v>
      </c>
      <c r="W98" s="53"/>
      <c r="X98" s="53"/>
      <c r="Y98" s="53"/>
      <c r="Z98" s="53"/>
    </row>
    <row r="99" spans="1:26" x14ac:dyDescent="0.3">
      <c r="A99" s="2"/>
      <c r="B99" s="50"/>
      <c r="C99" s="18"/>
      <c r="D99" s="19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18"/>
      <c r="P99" s="18"/>
      <c r="Q99" s="18"/>
      <c r="R99" s="53"/>
      <c r="S99" s="53"/>
      <c r="T99" s="53"/>
      <c r="U99" s="53"/>
      <c r="V99" s="53"/>
      <c r="W99" s="53"/>
      <c r="X99" s="53"/>
      <c r="Y99" s="53"/>
      <c r="Z99" s="53"/>
    </row>
    <row r="100" spans="1:26" x14ac:dyDescent="0.3">
      <c r="A100" s="47"/>
      <c r="B100" s="47"/>
      <c r="C100" s="15"/>
      <c r="D100" s="53">
        <v>100</v>
      </c>
      <c r="E100" s="53">
        <v>0.01</v>
      </c>
      <c r="F100" s="53">
        <v>1</v>
      </c>
      <c r="G100" s="53">
        <v>0.05</v>
      </c>
      <c r="H100" s="53">
        <v>1</v>
      </c>
      <c r="I100" s="53">
        <v>120.31</v>
      </c>
      <c r="J100" s="53">
        <v>100</v>
      </c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x14ac:dyDescent="0.3">
      <c r="A101" s="47"/>
      <c r="B101" s="47"/>
      <c r="C101" s="15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x14ac:dyDescent="0.3">
      <c r="A102" s="47"/>
      <c r="B102" s="47"/>
      <c r="C102" s="15"/>
      <c r="D102" s="53"/>
      <c r="E102" s="53"/>
      <c r="F102" s="53"/>
      <c r="G102" s="26">
        <v>1.8E-3</v>
      </c>
      <c r="H102" s="53"/>
      <c r="I102" s="53"/>
      <c r="J102" s="28">
        <v>2.72</v>
      </c>
      <c r="K102" s="6" t="s">
        <v>171</v>
      </c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8.8" x14ac:dyDescent="0.3">
      <c r="A103" s="48" t="s">
        <v>210</v>
      </c>
      <c r="B103" s="2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43.2" x14ac:dyDescent="0.3">
      <c r="A104" s="48" t="s">
        <v>190</v>
      </c>
      <c r="B104" s="52"/>
      <c r="C104" s="30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x14ac:dyDescent="0.3">
      <c r="A105" s="2"/>
      <c r="B105" s="2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x14ac:dyDescent="0.3">
      <c r="A106" s="2"/>
      <c r="B106" s="2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x14ac:dyDescent="0.3">
      <c r="A107" s="2"/>
      <c r="B107" s="2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53.4" x14ac:dyDescent="0.3">
      <c r="A108" s="11" t="s">
        <v>134</v>
      </c>
      <c r="B108" s="9" t="s">
        <v>136</v>
      </c>
      <c r="C108" s="9" t="s">
        <v>137</v>
      </c>
      <c r="D108" s="10" t="s">
        <v>211</v>
      </c>
      <c r="E108" s="10" t="s">
        <v>212</v>
      </c>
      <c r="F108" s="10" t="s">
        <v>213</v>
      </c>
      <c r="G108" s="31" t="s">
        <v>214</v>
      </c>
      <c r="H108" s="10" t="s">
        <v>215</v>
      </c>
      <c r="I108" s="10" t="s">
        <v>143</v>
      </c>
      <c r="J108" s="12" t="s">
        <v>216</v>
      </c>
      <c r="K108" s="13"/>
      <c r="L108" s="10" t="s">
        <v>145</v>
      </c>
      <c r="M108" s="14">
        <v>68</v>
      </c>
      <c r="N108" s="10" t="s">
        <v>146</v>
      </c>
      <c r="O108" s="8" t="s">
        <v>147</v>
      </c>
      <c r="P108" s="10" t="s">
        <v>148</v>
      </c>
      <c r="Q108" s="8" t="s">
        <v>149</v>
      </c>
      <c r="R108" s="53"/>
      <c r="S108" s="53"/>
      <c r="T108" s="53" t="s">
        <v>150</v>
      </c>
      <c r="U108" s="53" t="s">
        <v>13</v>
      </c>
      <c r="V108" s="53"/>
      <c r="W108" s="53"/>
      <c r="X108" s="53"/>
      <c r="Y108" s="53"/>
      <c r="Z108" s="53"/>
    </row>
    <row r="109" spans="1:26" x14ac:dyDescent="0.3">
      <c r="A109" s="47"/>
      <c r="B109" s="47"/>
      <c r="C109" s="16" t="s">
        <v>134</v>
      </c>
      <c r="D109" s="17" t="s">
        <v>134</v>
      </c>
      <c r="E109" s="17" t="s">
        <v>134</v>
      </c>
      <c r="F109" s="17" t="s">
        <v>134</v>
      </c>
      <c r="G109" s="17" t="s">
        <v>134</v>
      </c>
      <c r="H109" s="17" t="s">
        <v>134</v>
      </c>
      <c r="I109" s="17" t="s">
        <v>134</v>
      </c>
      <c r="J109" s="17" t="s">
        <v>134</v>
      </c>
      <c r="K109" s="53"/>
      <c r="L109" s="17" t="s">
        <v>134</v>
      </c>
      <c r="M109" s="53">
        <v>20</v>
      </c>
      <c r="N109" s="53" t="s">
        <v>149</v>
      </c>
      <c r="O109" s="17" t="s">
        <v>134</v>
      </c>
      <c r="P109" s="17" t="s">
        <v>134</v>
      </c>
      <c r="Q109" s="17" t="s">
        <v>134</v>
      </c>
      <c r="R109" s="53"/>
      <c r="S109" s="53"/>
      <c r="T109" s="53" t="s">
        <v>151</v>
      </c>
      <c r="U109" s="53" t="s">
        <v>151</v>
      </c>
      <c r="V109" s="53"/>
      <c r="W109" s="53"/>
      <c r="X109" s="53"/>
      <c r="Y109" s="53"/>
      <c r="Z109" s="53"/>
    </row>
    <row r="110" spans="1:26" x14ac:dyDescent="0.3">
      <c r="A110" s="2" t="s">
        <v>113</v>
      </c>
      <c r="B110" s="50">
        <v>78.11</v>
      </c>
      <c r="C110" s="18">
        <v>1.454</v>
      </c>
      <c r="D110" s="53">
        <v>8.0000000000000004E-4</v>
      </c>
      <c r="E110" s="26">
        <v>1.0242E-7</v>
      </c>
      <c r="F110" s="26">
        <v>1.38E-5</v>
      </c>
      <c r="G110" s="26">
        <v>2.0100000000000001E-5</v>
      </c>
      <c r="H110" s="26">
        <v>6.3600000000000001E-5</v>
      </c>
      <c r="I110" s="26">
        <v>4.9699999999999996E-3</v>
      </c>
      <c r="J110" s="27">
        <v>0.01</v>
      </c>
      <c r="K110" s="53"/>
      <c r="L110" s="53"/>
      <c r="M110" s="53"/>
      <c r="N110" s="53"/>
      <c r="O110" s="53">
        <v>6.9056499999999996</v>
      </c>
      <c r="P110" s="53">
        <v>1211.0329999999999</v>
      </c>
      <c r="Q110" s="53">
        <v>220.79</v>
      </c>
      <c r="R110" s="53"/>
      <c r="S110" s="53"/>
      <c r="T110" s="26">
        <v>4.0800000000000002E-5</v>
      </c>
      <c r="U110" s="53">
        <v>1.02E-4</v>
      </c>
      <c r="V110" s="26">
        <f>AVERAGE(T110:U110)</f>
        <v>7.1400000000000001E-5</v>
      </c>
      <c r="W110" s="53"/>
      <c r="X110" s="53"/>
      <c r="Y110" s="53"/>
      <c r="Z110" s="53"/>
    </row>
    <row r="111" spans="1:26" x14ac:dyDescent="0.3">
      <c r="A111" s="2" t="s">
        <v>181</v>
      </c>
      <c r="B111" s="50">
        <v>154.21</v>
      </c>
      <c r="C111" s="18">
        <v>0</v>
      </c>
      <c r="D111" s="53">
        <v>0.1</v>
      </c>
      <c r="E111" s="26">
        <v>6.4847599999999999E-6</v>
      </c>
      <c r="F111" s="26">
        <v>8.7500000000000002E-4</v>
      </c>
      <c r="G111" s="26">
        <v>3.1699999999999999E-7</v>
      </c>
      <c r="H111" s="26">
        <v>9.9999999999999995E-7</v>
      </c>
      <c r="I111" s="26">
        <v>1.54E-4</v>
      </c>
      <c r="J111" s="27">
        <v>0</v>
      </c>
      <c r="K111" s="53"/>
      <c r="L111" s="53"/>
      <c r="M111" s="53"/>
      <c r="N111" s="53"/>
      <c r="O111" s="53">
        <v>7.2454000000000001</v>
      </c>
      <c r="P111" s="53">
        <v>1998.72</v>
      </c>
      <c r="Q111" s="53">
        <v>202.74</v>
      </c>
      <c r="R111" s="53"/>
      <c r="S111" s="53"/>
      <c r="T111" s="26">
        <v>1.269E-6</v>
      </c>
      <c r="U111" s="26">
        <v>3.1719999999999999E-6</v>
      </c>
      <c r="V111" s="26">
        <f t="shared" ref="V111:V122" si="3">AVERAGE(T111:U111)</f>
        <v>2.2205000000000002E-6</v>
      </c>
      <c r="W111" s="53"/>
      <c r="X111" s="53"/>
      <c r="Y111" s="53"/>
      <c r="Z111" s="53"/>
    </row>
    <row r="112" spans="1:26" x14ac:dyDescent="0.3">
      <c r="A112" s="2" t="s">
        <v>155</v>
      </c>
      <c r="B112" s="50">
        <v>106.17</v>
      </c>
      <c r="C112" s="18">
        <v>0.13700000000000001</v>
      </c>
      <c r="D112" s="53">
        <v>1.2999999999999999E-2</v>
      </c>
      <c r="E112" s="26">
        <v>1.22445E-6</v>
      </c>
      <c r="F112" s="26">
        <v>1.65E-4</v>
      </c>
      <c r="G112" s="26">
        <v>2.26E-5</v>
      </c>
      <c r="H112" s="26">
        <v>7.1600000000000006E-5</v>
      </c>
      <c r="I112" s="26">
        <v>7.6E-3</v>
      </c>
      <c r="J112" s="27">
        <v>0.01</v>
      </c>
      <c r="K112" s="53"/>
      <c r="L112" s="53"/>
      <c r="M112" s="53"/>
      <c r="N112" s="53"/>
      <c r="O112" s="53">
        <v>6.9571899999999998</v>
      </c>
      <c r="P112" s="53">
        <v>1424.2550000000001</v>
      </c>
      <c r="Q112" s="53">
        <v>213.21</v>
      </c>
      <c r="R112" s="53"/>
      <c r="S112" s="53"/>
      <c r="T112" s="26">
        <v>6.2420000000000002E-5</v>
      </c>
      <c r="U112" s="53">
        <v>1.561E-4</v>
      </c>
      <c r="V112" s="26">
        <f t="shared" si="3"/>
        <v>1.0925999999999999E-4</v>
      </c>
      <c r="W112" s="32"/>
      <c r="X112" s="53"/>
      <c r="Y112" s="53"/>
      <c r="Z112" s="53"/>
    </row>
    <row r="113" spans="1:26" x14ac:dyDescent="0.3">
      <c r="A113" s="2" t="s">
        <v>183</v>
      </c>
      <c r="B113" s="50">
        <v>86.18</v>
      </c>
      <c r="C113" s="18">
        <v>2.347</v>
      </c>
      <c r="D113" s="53">
        <v>1</v>
      </c>
      <c r="E113" s="53">
        <v>1.16036E-4</v>
      </c>
      <c r="F113" s="26">
        <v>1.5699999999999999E-2</v>
      </c>
      <c r="G113" s="26">
        <v>3.6700000000000003E-2</v>
      </c>
      <c r="H113" s="26">
        <v>0.11600000000000001</v>
      </c>
      <c r="I113" s="26">
        <v>10</v>
      </c>
      <c r="J113" s="27">
        <v>10.82</v>
      </c>
      <c r="K113" s="53"/>
      <c r="L113" s="53"/>
      <c r="M113" s="53"/>
      <c r="N113" s="53"/>
      <c r="O113" s="53">
        <v>6.87601</v>
      </c>
      <c r="P113" s="53">
        <v>1171.17</v>
      </c>
      <c r="Q113" s="53">
        <v>224.41</v>
      </c>
      <c r="R113" s="53"/>
      <c r="S113" s="53"/>
      <c r="T113" s="53">
        <v>8.2329700000000006E-2</v>
      </c>
      <c r="U113" s="53">
        <v>0.20582439999999999</v>
      </c>
      <c r="V113" s="26">
        <f t="shared" si="3"/>
        <v>0.14407704999999998</v>
      </c>
      <c r="W113" s="32"/>
      <c r="X113" s="53"/>
      <c r="Y113" s="53"/>
      <c r="Z113" s="53"/>
    </row>
    <row r="114" spans="1:26" x14ac:dyDescent="0.3">
      <c r="A114" s="2" t="s">
        <v>158</v>
      </c>
      <c r="B114" s="50">
        <v>128.16999999999999</v>
      </c>
      <c r="C114" s="18">
        <v>3.0000000000000001E-3</v>
      </c>
      <c r="D114" s="53">
        <v>0.55000000000000004</v>
      </c>
      <c r="E114" s="26">
        <v>4.2911799999999998E-5</v>
      </c>
      <c r="F114" s="26">
        <v>5.79E-3</v>
      </c>
      <c r="G114" s="26">
        <v>2.02E-5</v>
      </c>
      <c r="H114" s="26">
        <v>6.3999999999999997E-5</v>
      </c>
      <c r="I114" s="26">
        <v>8.2000000000000007E-3</v>
      </c>
      <c r="J114" s="27">
        <v>0.01</v>
      </c>
      <c r="K114" s="53"/>
      <c r="L114" s="53"/>
      <c r="M114" s="53"/>
      <c r="N114" s="53"/>
      <c r="O114" s="53">
        <v>7.37</v>
      </c>
      <c r="P114" s="53">
        <v>1968.36</v>
      </c>
      <c r="Q114" s="53">
        <v>222.61</v>
      </c>
      <c r="R114" s="53"/>
      <c r="S114" s="53"/>
      <c r="T114" s="26">
        <v>6.737E-5</v>
      </c>
      <c r="U114" s="53">
        <v>1.684E-4</v>
      </c>
      <c r="V114" s="26">
        <f t="shared" si="3"/>
        <v>1.17885E-4</v>
      </c>
      <c r="W114" s="32"/>
      <c r="X114" s="53"/>
      <c r="Y114" s="53"/>
      <c r="Z114" s="53"/>
    </row>
    <row r="115" spans="1:26" x14ac:dyDescent="0.3">
      <c r="A115" s="2" t="s">
        <v>185</v>
      </c>
      <c r="B115" s="50">
        <v>94.11</v>
      </c>
      <c r="C115" s="18">
        <v>4.0000000000000001E-3</v>
      </c>
      <c r="D115" s="53">
        <v>6.4000000000000001E-2</v>
      </c>
      <c r="E115" s="26">
        <v>6.80047E-6</v>
      </c>
      <c r="F115" s="26">
        <v>9.1699999999999995E-4</v>
      </c>
      <c r="G115" s="26">
        <v>3.8999999999999999E-6</v>
      </c>
      <c r="H115" s="26">
        <v>1.24E-5</v>
      </c>
      <c r="I115" s="26">
        <v>1.16E-3</v>
      </c>
      <c r="J115" s="27">
        <v>0</v>
      </c>
      <c r="K115" s="53"/>
      <c r="L115" s="53"/>
      <c r="M115" s="53"/>
      <c r="N115" s="53"/>
      <c r="O115" s="53">
        <v>7.1345000000000001</v>
      </c>
      <c r="P115" s="53">
        <v>1516.07</v>
      </c>
      <c r="Q115" s="53">
        <v>174.57</v>
      </c>
      <c r="R115" s="53"/>
      <c r="S115" s="53"/>
      <c r="T115" s="26">
        <v>9.5529999999999998E-6</v>
      </c>
      <c r="U115" s="26">
        <v>2.3879999999999998E-5</v>
      </c>
      <c r="V115" s="26">
        <f t="shared" si="3"/>
        <v>1.6716499999999998E-5</v>
      </c>
      <c r="W115" s="32"/>
      <c r="X115" s="53"/>
      <c r="Y115" s="53"/>
      <c r="Z115" s="53"/>
    </row>
    <row r="116" spans="1:26" x14ac:dyDescent="0.3">
      <c r="A116" s="2" t="s">
        <v>217</v>
      </c>
      <c r="B116" s="50">
        <v>104.15</v>
      </c>
      <c r="C116" s="18">
        <v>8.7999999999999995E-2</v>
      </c>
      <c r="D116" s="53">
        <v>3.2000000000000001E-2</v>
      </c>
      <c r="E116" s="26">
        <v>3.07249E-6</v>
      </c>
      <c r="F116" s="26">
        <v>4.1399999999999998E-4</v>
      </c>
      <c r="G116" s="26">
        <v>3.6399999999999997E-5</v>
      </c>
      <c r="H116" s="26">
        <v>1.15E-4</v>
      </c>
      <c r="I116" s="26">
        <v>1.2E-2</v>
      </c>
      <c r="J116" s="27">
        <v>0.01</v>
      </c>
      <c r="K116" s="53"/>
      <c r="L116" s="53"/>
      <c r="M116" s="53"/>
      <c r="N116" s="53"/>
      <c r="O116" s="53">
        <v>6.9570999999999996</v>
      </c>
      <c r="P116" s="53">
        <v>1445.58</v>
      </c>
      <c r="Q116" s="53">
        <v>209.44</v>
      </c>
      <c r="R116" s="53"/>
      <c r="S116" s="53"/>
      <c r="T116" s="26">
        <v>9.8439999999999999E-5</v>
      </c>
      <c r="U116" s="53">
        <v>2.4610000000000002E-4</v>
      </c>
      <c r="V116" s="26">
        <f t="shared" si="3"/>
        <v>1.7227E-4</v>
      </c>
      <c r="W116" s="32"/>
      <c r="X116" s="53"/>
      <c r="Y116" s="53"/>
      <c r="Z116" s="53"/>
    </row>
    <row r="117" spans="1:26" x14ac:dyDescent="0.3">
      <c r="A117" s="2" t="s">
        <v>153</v>
      </c>
      <c r="B117" s="50">
        <v>92.14</v>
      </c>
      <c r="C117" s="18">
        <v>0.42199999999999999</v>
      </c>
      <c r="D117" s="53">
        <v>3.2000000000000001E-2</v>
      </c>
      <c r="E117" s="26">
        <v>3.4729799999999999E-6</v>
      </c>
      <c r="F117" s="26">
        <v>4.6900000000000002E-4</v>
      </c>
      <c r="G117" s="26">
        <v>1.9799999999999999E-4</v>
      </c>
      <c r="H117" s="26">
        <v>6.2600000000000004E-4</v>
      </c>
      <c r="I117" s="26">
        <v>5.7700000000000001E-2</v>
      </c>
      <c r="J117" s="27">
        <v>0.06</v>
      </c>
      <c r="K117" s="53"/>
      <c r="L117" s="53"/>
      <c r="M117" s="53"/>
      <c r="N117" s="53"/>
      <c r="O117" s="53">
        <v>6.9546400000000004</v>
      </c>
      <c r="P117" s="53">
        <v>1344.8</v>
      </c>
      <c r="Q117" s="53">
        <v>219.48</v>
      </c>
      <c r="R117" s="53"/>
      <c r="S117" s="53"/>
      <c r="T117" s="53">
        <v>4.7390000000000003E-4</v>
      </c>
      <c r="U117" s="53">
        <v>1.1846999999999999E-3</v>
      </c>
      <c r="V117" s="26">
        <f t="shared" si="3"/>
        <v>8.2929999999999994E-4</v>
      </c>
      <c r="W117" s="32"/>
      <c r="X117" s="53"/>
      <c r="Y117" s="53"/>
      <c r="Z117" s="53"/>
    </row>
    <row r="118" spans="1:26" x14ac:dyDescent="0.3">
      <c r="A118" s="2" t="s">
        <v>154</v>
      </c>
      <c r="B118" s="50">
        <v>106.14</v>
      </c>
      <c r="C118" s="18">
        <v>0.126</v>
      </c>
      <c r="D118" s="53">
        <v>2.9000000000000001E-2</v>
      </c>
      <c r="E118" s="26">
        <v>2.7322400000000001E-6</v>
      </c>
      <c r="F118" s="26">
        <v>3.6900000000000002E-4</v>
      </c>
      <c r="G118" s="26">
        <v>4.6400000000000003E-5</v>
      </c>
      <c r="H118" s="26">
        <v>1.47E-4</v>
      </c>
      <c r="I118" s="26">
        <v>1.5599999999999999E-2</v>
      </c>
      <c r="J118" s="27">
        <v>0.02</v>
      </c>
      <c r="K118" s="53"/>
      <c r="L118" s="53"/>
      <c r="M118" s="53"/>
      <c r="N118" s="53"/>
      <c r="O118" s="53">
        <v>6.9905200000000001</v>
      </c>
      <c r="P118" s="53">
        <v>1453.43</v>
      </c>
      <c r="Q118" s="53">
        <v>215.31</v>
      </c>
      <c r="R118" s="53"/>
      <c r="S118" s="53"/>
      <c r="T118" s="53">
        <v>1.281E-4</v>
      </c>
      <c r="U118" s="53">
        <v>3.2029999999999998E-4</v>
      </c>
      <c r="V118" s="26">
        <f t="shared" si="3"/>
        <v>2.2419999999999997E-4</v>
      </c>
      <c r="W118" s="32"/>
      <c r="X118" s="53"/>
      <c r="Y118" s="53"/>
      <c r="Z118" s="53"/>
    </row>
    <row r="119" spans="1:26" x14ac:dyDescent="0.3">
      <c r="A119" s="2" t="s">
        <v>164</v>
      </c>
      <c r="B119" s="50">
        <v>86.18</v>
      </c>
      <c r="C119" s="18">
        <v>3.3159999999999998</v>
      </c>
      <c r="D119" s="19">
        <v>3.7</v>
      </c>
      <c r="E119" s="53">
        <v>4.2933400000000002E-4</v>
      </c>
      <c r="F119" s="26">
        <v>5.79E-2</v>
      </c>
      <c r="G119" s="26">
        <v>0.192</v>
      </c>
      <c r="H119" s="26">
        <v>0.60799999999999998</v>
      </c>
      <c r="I119" s="26">
        <v>52.4</v>
      </c>
      <c r="J119" s="53">
        <v>56.55</v>
      </c>
      <c r="K119" s="53"/>
      <c r="L119" s="53"/>
      <c r="M119" s="53"/>
      <c r="N119" s="53"/>
      <c r="O119" s="18">
        <v>6.8391000000000002</v>
      </c>
      <c r="P119" s="18">
        <v>1135.4100000000001</v>
      </c>
      <c r="Q119" s="18">
        <v>226.57</v>
      </c>
      <c r="R119" s="53"/>
      <c r="S119" s="53"/>
      <c r="T119" s="53">
        <v>0.43038349999999997</v>
      </c>
      <c r="U119" s="53">
        <v>1.0759588</v>
      </c>
      <c r="V119" s="26">
        <f t="shared" si="3"/>
        <v>0.75317115000000001</v>
      </c>
      <c r="W119" s="32"/>
      <c r="X119" s="53"/>
      <c r="Y119" s="53"/>
      <c r="Z119" s="53"/>
    </row>
    <row r="120" spans="1:26" x14ac:dyDescent="0.3">
      <c r="A120" s="2" t="s">
        <v>165</v>
      </c>
      <c r="B120" s="50">
        <v>100.2</v>
      </c>
      <c r="C120" s="18">
        <v>1</v>
      </c>
      <c r="D120" s="19">
        <v>5</v>
      </c>
      <c r="E120" s="20">
        <v>4.9899999999999999E-4</v>
      </c>
      <c r="F120" s="26">
        <v>6.7299999999999999E-2</v>
      </c>
      <c r="G120" s="26">
        <v>6.7299999999999999E-2</v>
      </c>
      <c r="H120" s="26">
        <v>0.21299999999999999</v>
      </c>
      <c r="I120" s="26">
        <v>21.3</v>
      </c>
      <c r="J120" s="53">
        <v>23.03</v>
      </c>
      <c r="K120" s="53"/>
      <c r="L120" s="53"/>
      <c r="M120" s="53"/>
      <c r="N120" s="53"/>
      <c r="O120" s="53">
        <v>6.8731799999999996</v>
      </c>
      <c r="P120" s="53">
        <v>1236.0229999999999</v>
      </c>
      <c r="Q120" s="53">
        <v>219.55</v>
      </c>
      <c r="R120" s="53"/>
      <c r="S120" s="53"/>
      <c r="T120" s="53">
        <v>0.17528779999999999</v>
      </c>
      <c r="U120" s="53">
        <v>0.43821939999999998</v>
      </c>
      <c r="V120" s="26">
        <f t="shared" si="3"/>
        <v>0.30675359999999996</v>
      </c>
      <c r="W120" s="32"/>
      <c r="X120" s="53"/>
      <c r="Y120" s="53"/>
      <c r="Z120" s="53"/>
    </row>
    <row r="121" spans="1:26" ht="28.8" x14ac:dyDescent="0.3">
      <c r="A121" s="2" t="s">
        <v>167</v>
      </c>
      <c r="B121" s="50">
        <v>120.19</v>
      </c>
      <c r="C121" s="18">
        <v>2.8000000000000001E-2</v>
      </c>
      <c r="D121" s="19">
        <v>1</v>
      </c>
      <c r="E121" s="26">
        <v>8.3201600000000007E-5</v>
      </c>
      <c r="F121" s="26">
        <v>1.12E-2</v>
      </c>
      <c r="G121" s="26">
        <v>3.1399999999999999E-4</v>
      </c>
      <c r="H121" s="26">
        <v>9.9400000000000009E-4</v>
      </c>
      <c r="I121" s="26">
        <v>0.11899999999999999</v>
      </c>
      <c r="J121" s="53">
        <v>0.13</v>
      </c>
      <c r="K121" s="53"/>
      <c r="L121" s="53"/>
      <c r="M121" s="53"/>
      <c r="N121" s="53"/>
      <c r="O121" s="53">
        <v>7.0438299999999998</v>
      </c>
      <c r="P121" s="53">
        <v>1573.2670000000001</v>
      </c>
      <c r="Q121" s="53">
        <v>208.56399999999999</v>
      </c>
      <c r="R121" s="53"/>
      <c r="S121" s="53"/>
      <c r="T121" s="53">
        <v>9.8160000000000001E-4</v>
      </c>
      <c r="U121" s="53">
        <v>2.454E-3</v>
      </c>
      <c r="V121" s="26">
        <f t="shared" si="3"/>
        <v>1.7178E-3</v>
      </c>
      <c r="W121" s="32"/>
      <c r="X121" s="53"/>
      <c r="Y121" s="53"/>
      <c r="Z121" s="53"/>
    </row>
    <row r="122" spans="1:26" x14ac:dyDescent="0.3">
      <c r="A122" s="2" t="s">
        <v>218</v>
      </c>
      <c r="B122" s="50">
        <v>142.29</v>
      </c>
      <c r="C122" s="18">
        <v>2.3E-2</v>
      </c>
      <c r="D122" s="19">
        <v>88.48</v>
      </c>
      <c r="E122" s="53">
        <v>6.2182299999999999E-3</v>
      </c>
      <c r="F122" s="26">
        <v>0.83899999999999997</v>
      </c>
      <c r="G122" s="26">
        <v>1.9199999999999998E-2</v>
      </c>
      <c r="H122" s="26">
        <v>6.0900000000000003E-2</v>
      </c>
      <c r="I122" s="26">
        <v>8.66</v>
      </c>
      <c r="J122" s="53">
        <v>9.35</v>
      </c>
      <c r="K122" s="53"/>
      <c r="L122" s="53"/>
      <c r="M122" s="53"/>
      <c r="N122" s="53"/>
      <c r="O122" s="53">
        <v>7.44</v>
      </c>
      <c r="P122" s="53">
        <v>1843.12</v>
      </c>
      <c r="Q122" s="53">
        <v>230.22</v>
      </c>
      <c r="R122" s="53"/>
      <c r="S122" s="53"/>
      <c r="T122" s="53">
        <v>7.11566E-2</v>
      </c>
      <c r="U122" s="53">
        <v>0.17789150000000001</v>
      </c>
      <c r="V122" s="26">
        <f t="shared" si="3"/>
        <v>0.12452405</v>
      </c>
      <c r="W122" s="32"/>
      <c r="X122" s="53"/>
      <c r="Y122" s="53"/>
      <c r="Z122" s="53"/>
    </row>
    <row r="123" spans="1:26" x14ac:dyDescent="0.3">
      <c r="A123" s="2"/>
      <c r="B123" s="50"/>
      <c r="C123" s="18"/>
      <c r="D123" s="19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18"/>
      <c r="P123" s="18"/>
      <c r="Q123" s="18"/>
      <c r="R123" s="53"/>
      <c r="S123" s="53"/>
      <c r="T123" s="19"/>
      <c r="U123" s="19"/>
      <c r="V123" s="32"/>
      <c r="W123" s="32"/>
      <c r="X123" s="53"/>
      <c r="Y123" s="53"/>
      <c r="Z123" s="53"/>
    </row>
    <row r="124" spans="1:26" x14ac:dyDescent="0.3">
      <c r="A124" s="47"/>
      <c r="B124" s="47"/>
      <c r="C124" s="15"/>
      <c r="D124" s="53">
        <v>100</v>
      </c>
      <c r="E124" s="53">
        <v>0.01</v>
      </c>
      <c r="F124" s="53">
        <v>1</v>
      </c>
      <c r="G124" s="53">
        <v>0.32</v>
      </c>
      <c r="H124" s="53">
        <v>1</v>
      </c>
      <c r="I124" s="53">
        <v>92.63</v>
      </c>
      <c r="J124" s="53">
        <v>100</v>
      </c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x14ac:dyDescent="0.3">
      <c r="A125" s="47"/>
      <c r="B125" s="47"/>
      <c r="C125" s="15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x14ac:dyDescent="0.3">
      <c r="A126" s="47"/>
      <c r="B126" s="47"/>
      <c r="C126" s="15"/>
      <c r="D126" s="53"/>
      <c r="E126" s="53"/>
      <c r="F126" s="53"/>
      <c r="G126" s="26">
        <v>3.7100000000000001E-2</v>
      </c>
      <c r="H126" s="53"/>
      <c r="I126" s="53"/>
      <c r="J126" s="28">
        <v>10.93</v>
      </c>
      <c r="K126" s="6" t="s">
        <v>171</v>
      </c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x14ac:dyDescent="0.3">
      <c r="A127" s="2"/>
      <c r="B127" s="2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43.2" x14ac:dyDescent="0.3">
      <c r="A128" s="48" t="s">
        <v>190</v>
      </c>
      <c r="B128" s="52"/>
      <c r="C128" s="30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8.8" x14ac:dyDescent="0.3">
      <c r="A129" s="48" t="s">
        <v>219</v>
      </c>
      <c r="B129" s="52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x14ac:dyDescent="0.3">
      <c r="A130" s="2"/>
      <c r="B130" s="2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x14ac:dyDescent="0.3">
      <c r="A131" s="2"/>
      <c r="B131" s="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x14ac:dyDescent="0.3">
      <c r="A132" s="2"/>
      <c r="B132" s="2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53.4" x14ac:dyDescent="0.3">
      <c r="A133" s="11" t="s">
        <v>134</v>
      </c>
      <c r="B133" s="9" t="s">
        <v>136</v>
      </c>
      <c r="C133" s="9" t="s">
        <v>137</v>
      </c>
      <c r="D133" s="10" t="s">
        <v>220</v>
      </c>
      <c r="E133" s="10" t="s">
        <v>221</v>
      </c>
      <c r="F133" s="10" t="s">
        <v>222</v>
      </c>
      <c r="G133" s="31" t="s">
        <v>223</v>
      </c>
      <c r="H133" s="10" t="s">
        <v>224</v>
      </c>
      <c r="I133" s="10" t="s">
        <v>143</v>
      </c>
      <c r="J133" s="12" t="s">
        <v>225</v>
      </c>
      <c r="K133" s="13"/>
      <c r="L133" s="10" t="s">
        <v>145</v>
      </c>
      <c r="M133" s="14">
        <v>68</v>
      </c>
      <c r="N133" s="10" t="s">
        <v>146</v>
      </c>
      <c r="O133" s="8" t="s">
        <v>147</v>
      </c>
      <c r="P133" s="10" t="s">
        <v>148</v>
      </c>
      <c r="Q133" s="8" t="s">
        <v>149</v>
      </c>
      <c r="R133" s="53"/>
      <c r="S133" s="53"/>
      <c r="T133" s="53" t="s">
        <v>150</v>
      </c>
      <c r="U133" s="53" t="s">
        <v>13</v>
      </c>
      <c r="V133" s="53"/>
      <c r="W133" s="53"/>
      <c r="X133" s="53"/>
      <c r="Y133" s="53"/>
      <c r="Z133" s="53"/>
    </row>
    <row r="134" spans="1:26" x14ac:dyDescent="0.3">
      <c r="A134" s="47"/>
      <c r="B134" s="47"/>
      <c r="C134" s="16" t="s">
        <v>134</v>
      </c>
      <c r="D134" s="17" t="s">
        <v>134</v>
      </c>
      <c r="E134" s="17" t="s">
        <v>134</v>
      </c>
      <c r="F134" s="17" t="s">
        <v>134</v>
      </c>
      <c r="G134" s="17" t="s">
        <v>134</v>
      </c>
      <c r="H134" s="17" t="s">
        <v>134</v>
      </c>
      <c r="I134" s="17" t="s">
        <v>134</v>
      </c>
      <c r="J134" s="17" t="s">
        <v>134</v>
      </c>
      <c r="K134" s="53"/>
      <c r="L134" s="17" t="s">
        <v>134</v>
      </c>
      <c r="M134" s="53">
        <v>20</v>
      </c>
      <c r="N134" s="53" t="s">
        <v>149</v>
      </c>
      <c r="O134" s="17" t="s">
        <v>134</v>
      </c>
      <c r="P134" s="17" t="s">
        <v>134</v>
      </c>
      <c r="Q134" s="17" t="s">
        <v>134</v>
      </c>
      <c r="R134" s="53"/>
      <c r="S134" s="53"/>
      <c r="T134" s="53" t="s">
        <v>151</v>
      </c>
      <c r="U134" s="53" t="s">
        <v>151</v>
      </c>
      <c r="V134" s="53"/>
      <c r="W134" s="53"/>
      <c r="X134" s="53"/>
      <c r="Y134" s="53"/>
      <c r="Z134" s="53"/>
    </row>
    <row r="135" spans="1:26" x14ac:dyDescent="0.3">
      <c r="A135" s="2" t="s">
        <v>113</v>
      </c>
      <c r="B135" s="50">
        <v>78.11</v>
      </c>
      <c r="C135" s="18">
        <v>1.454</v>
      </c>
      <c r="D135" s="53">
        <v>1E-3</v>
      </c>
      <c r="E135" s="26">
        <v>1.2802500000000001E-7</v>
      </c>
      <c r="F135" s="26">
        <v>1.7900000000000001E-5</v>
      </c>
      <c r="G135" s="26">
        <v>2.5999999999999998E-5</v>
      </c>
      <c r="H135" s="26">
        <v>2.3900000000000001E-4</v>
      </c>
      <c r="I135" s="26">
        <v>1.8700000000000001E-2</v>
      </c>
      <c r="J135" s="27">
        <v>0.02</v>
      </c>
      <c r="K135" s="53"/>
      <c r="L135" s="53"/>
      <c r="M135" s="53"/>
      <c r="N135" s="53"/>
      <c r="O135" s="53">
        <v>6.9056499999999996</v>
      </c>
      <c r="P135" s="53">
        <v>1211.0329999999999</v>
      </c>
      <c r="Q135" s="53">
        <v>220.79</v>
      </c>
      <c r="R135" s="53"/>
      <c r="S135" s="53"/>
      <c r="T135" s="26">
        <v>8.5950000000000002E-5</v>
      </c>
      <c r="U135" s="53">
        <v>2.1489999999999999E-4</v>
      </c>
      <c r="V135" s="26">
        <f>AVERAGE(T135:U135)</f>
        <v>1.5042499999999998E-4</v>
      </c>
      <c r="W135" s="53"/>
      <c r="X135" s="53"/>
      <c r="Y135" s="53"/>
      <c r="Z135" s="53"/>
    </row>
    <row r="136" spans="1:26" x14ac:dyDescent="0.3">
      <c r="A136" s="2" t="s">
        <v>155</v>
      </c>
      <c r="B136" s="50">
        <v>106.17</v>
      </c>
      <c r="C136" s="18">
        <v>0.13700000000000001</v>
      </c>
      <c r="D136" s="53">
        <v>2.2000000000000001E-3</v>
      </c>
      <c r="E136" s="26">
        <v>2.0721499999999999E-7</v>
      </c>
      <c r="F136" s="26">
        <v>2.9E-5</v>
      </c>
      <c r="G136" s="26">
        <v>3.9700000000000001E-6</v>
      </c>
      <c r="H136" s="26">
        <v>3.6399999999999997E-5</v>
      </c>
      <c r="I136" s="26">
        <v>3.8700000000000002E-3</v>
      </c>
      <c r="J136" s="27">
        <v>0</v>
      </c>
      <c r="K136" s="53"/>
      <c r="L136" s="53"/>
      <c r="M136" s="53"/>
      <c r="N136" s="53"/>
      <c r="O136" s="53">
        <v>6.9571899999999998</v>
      </c>
      <c r="P136" s="53">
        <v>1424.2550000000001</v>
      </c>
      <c r="Q136" s="53">
        <v>213.21</v>
      </c>
      <c r="R136" s="53"/>
      <c r="S136" s="53"/>
      <c r="T136" s="26">
        <v>1.7799999999999999E-5</v>
      </c>
      <c r="U136" s="26">
        <v>4.4499999999999997E-5</v>
      </c>
      <c r="V136" s="26">
        <f t="shared" ref="V136:V146" si="4">AVERAGE(T136:U136)</f>
        <v>3.1149999999999998E-5</v>
      </c>
      <c r="W136" s="53"/>
      <c r="X136" s="53"/>
      <c r="Y136" s="53"/>
      <c r="Z136" s="53"/>
    </row>
    <row r="137" spans="1:26" x14ac:dyDescent="0.3">
      <c r="A137" s="2" t="s">
        <v>226</v>
      </c>
      <c r="B137" s="50">
        <v>70.91</v>
      </c>
      <c r="C137" s="18">
        <v>97.683999999999997</v>
      </c>
      <c r="D137" s="53">
        <v>1.3100000000000001E-2</v>
      </c>
      <c r="E137" s="26">
        <v>1.84752E-6</v>
      </c>
      <c r="F137" s="26">
        <v>2.5799999999999998E-4</v>
      </c>
      <c r="G137" s="26">
        <v>2.52E-2</v>
      </c>
      <c r="H137" s="26">
        <v>0.23200000000000001</v>
      </c>
      <c r="I137" s="26">
        <v>16.399999999999999</v>
      </c>
      <c r="J137" s="27">
        <v>17.170000000000002</v>
      </c>
      <c r="K137" s="53"/>
      <c r="L137" s="53"/>
      <c r="M137" s="53"/>
      <c r="N137" s="53"/>
      <c r="O137" s="53">
        <v>6.9317000000000002</v>
      </c>
      <c r="P137" s="53">
        <v>859.17</v>
      </c>
      <c r="Q137" s="53">
        <v>246.14</v>
      </c>
      <c r="R137" s="53"/>
      <c r="S137" s="53"/>
      <c r="T137" s="53">
        <v>7.5637499999999996E-2</v>
      </c>
      <c r="U137" s="53">
        <v>0.18909380000000001</v>
      </c>
      <c r="V137" s="26">
        <f t="shared" si="4"/>
        <v>0.13236565</v>
      </c>
      <c r="W137" s="53"/>
      <c r="X137" s="53"/>
      <c r="Y137" s="53"/>
      <c r="Z137" s="53"/>
    </row>
    <row r="138" spans="1:26" x14ac:dyDescent="0.3">
      <c r="A138" s="2" t="s">
        <v>158</v>
      </c>
      <c r="B138" s="50">
        <v>128.16999999999999</v>
      </c>
      <c r="C138" s="18">
        <v>3.0000000000000001E-3</v>
      </c>
      <c r="D138" s="53">
        <v>0.1</v>
      </c>
      <c r="E138" s="26">
        <v>7.8021400000000005E-6</v>
      </c>
      <c r="F138" s="26">
        <v>1.09E-3</v>
      </c>
      <c r="G138" s="26">
        <v>3.8099999999999999E-6</v>
      </c>
      <c r="H138" s="26">
        <v>3.4999999999999997E-5</v>
      </c>
      <c r="I138" s="26">
        <v>4.4799999999999996E-3</v>
      </c>
      <c r="J138" s="27">
        <v>0</v>
      </c>
      <c r="K138" s="53"/>
      <c r="L138" s="53"/>
      <c r="M138" s="53"/>
      <c r="N138" s="53"/>
      <c r="O138" s="53">
        <v>7.37</v>
      </c>
      <c r="P138" s="53">
        <v>1968.36</v>
      </c>
      <c r="Q138" s="53">
        <v>222.61</v>
      </c>
      <c r="R138" s="53"/>
      <c r="S138" s="53"/>
      <c r="T138" s="26">
        <v>2.0639999999999999E-5</v>
      </c>
      <c r="U138" s="26">
        <v>5.1610000000000002E-5</v>
      </c>
      <c r="V138" s="26">
        <f t="shared" si="4"/>
        <v>3.6124999999999997E-5</v>
      </c>
      <c r="W138" s="53"/>
      <c r="X138" s="53" t="s">
        <v>227</v>
      </c>
      <c r="Y138" s="53">
        <v>4.3</v>
      </c>
      <c r="Z138" s="53">
        <v>0.53749999999999998</v>
      </c>
    </row>
    <row r="139" spans="1:26" x14ac:dyDescent="0.3">
      <c r="A139" s="2" t="s">
        <v>153</v>
      </c>
      <c r="B139" s="50">
        <v>92.14</v>
      </c>
      <c r="C139" s="18">
        <v>0.42199999999999999</v>
      </c>
      <c r="D139" s="53">
        <v>6.0000000000000001E-3</v>
      </c>
      <c r="E139" s="26">
        <v>6.5118299999999996E-7</v>
      </c>
      <c r="F139" s="26">
        <v>9.1000000000000003E-5</v>
      </c>
      <c r="G139" s="26">
        <v>3.8399999999999998E-5</v>
      </c>
      <c r="H139" s="26">
        <v>3.5300000000000002E-4</v>
      </c>
      <c r="I139" s="26">
        <v>3.2500000000000001E-2</v>
      </c>
      <c r="J139" s="27">
        <v>0.03</v>
      </c>
      <c r="K139" s="53"/>
      <c r="L139" s="53"/>
      <c r="M139" s="53"/>
      <c r="N139" s="53"/>
      <c r="O139" s="53">
        <v>6.9546400000000004</v>
      </c>
      <c r="P139" s="53">
        <v>1344.8</v>
      </c>
      <c r="Q139" s="53">
        <v>219.48</v>
      </c>
      <c r="R139" s="53"/>
      <c r="S139" s="53"/>
      <c r="T139" s="53">
        <v>1.4970000000000001E-4</v>
      </c>
      <c r="U139" s="53">
        <v>3.7429999999999999E-4</v>
      </c>
      <c r="V139" s="26">
        <f t="shared" si="4"/>
        <v>2.6199999999999997E-4</v>
      </c>
      <c r="W139" s="53"/>
      <c r="X139" s="53" t="s">
        <v>228</v>
      </c>
      <c r="Y139" s="53">
        <v>1.4</v>
      </c>
      <c r="Z139" s="53">
        <v>0.2</v>
      </c>
    </row>
    <row r="140" spans="1:26" x14ac:dyDescent="0.3">
      <c r="A140" s="2" t="s">
        <v>154</v>
      </c>
      <c r="B140" s="50">
        <v>106.14</v>
      </c>
      <c r="C140" s="18">
        <v>0.126</v>
      </c>
      <c r="D140" s="53">
        <v>1.2999999999999999E-2</v>
      </c>
      <c r="E140" s="26">
        <v>1.2247999999999999E-6</v>
      </c>
      <c r="F140" s="26">
        <v>1.7100000000000001E-4</v>
      </c>
      <c r="G140" s="26">
        <v>2.16E-5</v>
      </c>
      <c r="H140" s="26">
        <v>1.9799999999999999E-4</v>
      </c>
      <c r="I140" s="26">
        <v>2.1000000000000001E-2</v>
      </c>
      <c r="J140" s="27">
        <v>0.02</v>
      </c>
      <c r="K140" s="53"/>
      <c r="L140" s="53"/>
      <c r="M140" s="53"/>
      <c r="N140" s="53"/>
      <c r="O140" s="53">
        <v>6.9905200000000001</v>
      </c>
      <c r="P140" s="53">
        <v>1453.43</v>
      </c>
      <c r="Q140" s="53">
        <v>215.31</v>
      </c>
      <c r="R140" s="53"/>
      <c r="S140" s="53"/>
      <c r="T140" s="26">
        <v>9.679E-5</v>
      </c>
      <c r="U140" s="53">
        <v>2.42E-4</v>
      </c>
      <c r="V140" s="26">
        <f t="shared" si="4"/>
        <v>1.69395E-4</v>
      </c>
      <c r="W140" s="53"/>
      <c r="X140" s="53" t="s">
        <v>229</v>
      </c>
      <c r="Y140" s="53">
        <v>1.8</v>
      </c>
      <c r="Z140" s="53">
        <v>0.3</v>
      </c>
    </row>
    <row r="141" spans="1:26" x14ac:dyDescent="0.3">
      <c r="A141" s="2" t="s">
        <v>184</v>
      </c>
      <c r="B141" s="50">
        <v>84.14</v>
      </c>
      <c r="C141" s="18">
        <v>1.21</v>
      </c>
      <c r="D141" s="53">
        <v>1.1299999999999999</v>
      </c>
      <c r="E141" s="53">
        <v>1.3430000000000001E-4</v>
      </c>
      <c r="F141" s="26">
        <v>1.8800000000000001E-2</v>
      </c>
      <c r="G141" s="26">
        <v>2.2700000000000001E-2</v>
      </c>
      <c r="H141" s="26">
        <v>0.20899999999999999</v>
      </c>
      <c r="I141" s="26">
        <v>17.600000000000001</v>
      </c>
      <c r="J141" s="53">
        <v>18.36</v>
      </c>
      <c r="K141" s="53"/>
      <c r="L141" s="53"/>
      <c r="M141" s="53"/>
      <c r="N141" s="53"/>
      <c r="O141" s="53">
        <v>6.9592599999999996</v>
      </c>
      <c r="P141" s="53">
        <v>1246.02</v>
      </c>
      <c r="Q141" s="53">
        <v>221.35</v>
      </c>
      <c r="R141" s="53"/>
      <c r="S141" s="53"/>
      <c r="T141" s="53">
        <v>8.0845899999999998E-2</v>
      </c>
      <c r="U141" s="53">
        <v>0.20211480000000001</v>
      </c>
      <c r="V141" s="26">
        <f t="shared" si="4"/>
        <v>0.14148035</v>
      </c>
      <c r="W141" s="53"/>
      <c r="X141" s="53"/>
      <c r="Y141" s="53"/>
      <c r="Z141" s="53"/>
    </row>
    <row r="142" spans="1:26" x14ac:dyDescent="0.3">
      <c r="A142" s="2" t="s">
        <v>164</v>
      </c>
      <c r="B142" s="50">
        <v>86.18</v>
      </c>
      <c r="C142" s="18">
        <v>3.3159999999999998</v>
      </c>
      <c r="D142" s="19">
        <v>0.5</v>
      </c>
      <c r="E142" s="26">
        <v>5.8018099999999999E-5</v>
      </c>
      <c r="F142" s="26">
        <v>8.1099999999999992E-3</v>
      </c>
      <c r="G142" s="26">
        <v>2.69E-2</v>
      </c>
      <c r="H142" s="26">
        <v>0.247</v>
      </c>
      <c r="I142" s="26">
        <v>21.3</v>
      </c>
      <c r="J142" s="53">
        <v>22.26</v>
      </c>
      <c r="K142" s="53"/>
      <c r="L142" s="53"/>
      <c r="M142" s="53"/>
      <c r="N142" s="53"/>
      <c r="O142" s="18">
        <v>6.8391000000000002</v>
      </c>
      <c r="P142" s="18">
        <v>1135.4100000000001</v>
      </c>
      <c r="Q142" s="18">
        <v>226.57</v>
      </c>
      <c r="R142" s="53"/>
      <c r="S142" s="53"/>
      <c r="T142" s="53">
        <v>9.80124E-2</v>
      </c>
      <c r="U142" s="53">
        <v>0.2450311</v>
      </c>
      <c r="V142" s="26">
        <f t="shared" si="4"/>
        <v>0.17152175</v>
      </c>
      <c r="W142" s="53"/>
      <c r="X142" s="53" t="s">
        <v>230</v>
      </c>
      <c r="Y142" s="53">
        <v>10.1</v>
      </c>
      <c r="Z142" s="53"/>
    </row>
    <row r="143" spans="1:26" x14ac:dyDescent="0.3">
      <c r="A143" s="2" t="s">
        <v>165</v>
      </c>
      <c r="B143" s="50">
        <v>100.2</v>
      </c>
      <c r="C143" s="18">
        <v>1</v>
      </c>
      <c r="D143" s="19">
        <v>0.5</v>
      </c>
      <c r="E143" s="26">
        <v>4.99002E-5</v>
      </c>
      <c r="F143" s="26">
        <v>6.9800000000000001E-3</v>
      </c>
      <c r="G143" s="26">
        <v>6.9699999999999996E-3</v>
      </c>
      <c r="H143" s="26">
        <v>6.4000000000000001E-2</v>
      </c>
      <c r="I143" s="26">
        <v>6.42</v>
      </c>
      <c r="J143" s="53">
        <v>6.71</v>
      </c>
      <c r="K143" s="53"/>
      <c r="L143" s="53"/>
      <c r="M143" s="53"/>
      <c r="N143" s="53"/>
      <c r="O143" s="53">
        <v>6.8731799999999996</v>
      </c>
      <c r="P143" s="53">
        <v>1236.0229999999999</v>
      </c>
      <c r="Q143" s="53">
        <v>219.55</v>
      </c>
      <c r="R143" s="53"/>
      <c r="S143" s="53"/>
      <c r="T143" s="53">
        <v>2.9539900000000001E-2</v>
      </c>
      <c r="U143" s="53">
        <v>7.3849700000000004E-2</v>
      </c>
      <c r="V143" s="26">
        <f t="shared" si="4"/>
        <v>5.1694799999999999E-2</v>
      </c>
      <c r="W143" s="53"/>
      <c r="X143" s="53" t="s">
        <v>231</v>
      </c>
      <c r="Y143" s="53">
        <v>3.4</v>
      </c>
      <c r="Z143" s="53"/>
    </row>
    <row r="144" spans="1:26" ht="28.8" x14ac:dyDescent="0.3">
      <c r="A144" s="2" t="s">
        <v>166</v>
      </c>
      <c r="B144" s="50">
        <v>114.23</v>
      </c>
      <c r="C144" s="18">
        <v>0.40200000000000002</v>
      </c>
      <c r="D144" s="19">
        <v>1</v>
      </c>
      <c r="E144" s="26">
        <v>9.0825500000000006E-5</v>
      </c>
      <c r="F144" s="26">
        <v>1.2699999999999999E-2</v>
      </c>
      <c r="G144" s="26">
        <v>5.1000000000000004E-3</v>
      </c>
      <c r="H144" s="26">
        <v>4.6800000000000001E-2</v>
      </c>
      <c r="I144" s="26">
        <v>5.35</v>
      </c>
      <c r="J144" s="53">
        <v>5.59</v>
      </c>
      <c r="K144" s="53"/>
      <c r="L144" s="53"/>
      <c r="M144" s="53"/>
      <c r="N144" s="53"/>
      <c r="O144" s="18">
        <v>6.8539599999999998</v>
      </c>
      <c r="P144" s="18">
        <v>1315.08</v>
      </c>
      <c r="Q144" s="18">
        <v>217.53</v>
      </c>
      <c r="R144" s="53"/>
      <c r="S144" s="53"/>
      <c r="T144" s="53">
        <v>2.4631900000000002E-2</v>
      </c>
      <c r="U144" s="53">
        <v>6.1579700000000001E-2</v>
      </c>
      <c r="V144" s="26">
        <f t="shared" si="4"/>
        <v>4.31058E-2</v>
      </c>
      <c r="W144" s="53"/>
      <c r="X144" s="53" t="s">
        <v>232</v>
      </c>
      <c r="Y144" s="53">
        <v>4.3</v>
      </c>
      <c r="Z144" s="53"/>
    </row>
    <row r="145" spans="1:26" ht="28.8" x14ac:dyDescent="0.3">
      <c r="A145" s="2" t="s">
        <v>167</v>
      </c>
      <c r="B145" s="50">
        <v>120.19</v>
      </c>
      <c r="C145" s="18">
        <v>2.8000000000000001E-2</v>
      </c>
      <c r="D145" s="19">
        <v>1</v>
      </c>
      <c r="E145" s="26">
        <v>8.6321699999999997E-5</v>
      </c>
      <c r="F145" s="26">
        <v>1.21E-2</v>
      </c>
      <c r="G145" s="26">
        <v>3.3799999999999998E-4</v>
      </c>
      <c r="H145" s="26">
        <v>3.0999999999999999E-3</v>
      </c>
      <c r="I145" s="26">
        <v>0.373</v>
      </c>
      <c r="J145" s="53">
        <v>0.39</v>
      </c>
      <c r="K145" s="53"/>
      <c r="L145" s="53"/>
      <c r="M145" s="53"/>
      <c r="N145" s="53"/>
      <c r="O145" s="53">
        <v>7.0438299999999998</v>
      </c>
      <c r="P145" s="53">
        <v>1573.2670000000001</v>
      </c>
      <c r="Q145" s="53">
        <v>208.56399999999999</v>
      </c>
      <c r="R145" s="53"/>
      <c r="S145" s="53"/>
      <c r="T145" s="53">
        <v>1.7163E-3</v>
      </c>
      <c r="U145" s="53">
        <v>4.2906000000000003E-3</v>
      </c>
      <c r="V145" s="26">
        <f t="shared" si="4"/>
        <v>3.0034500000000004E-3</v>
      </c>
      <c r="W145" s="53"/>
      <c r="X145" s="53"/>
      <c r="Y145" s="53"/>
      <c r="Z145" s="53"/>
    </row>
    <row r="146" spans="1:26" x14ac:dyDescent="0.3">
      <c r="A146" s="2" t="s">
        <v>218</v>
      </c>
      <c r="B146" s="50">
        <v>142.29</v>
      </c>
      <c r="C146" s="18">
        <v>2.3E-2</v>
      </c>
      <c r="D146" s="19">
        <v>95.66</v>
      </c>
      <c r="E146" s="53">
        <v>6.7228690000000002E-3</v>
      </c>
      <c r="F146" s="26">
        <v>0.94</v>
      </c>
      <c r="G146" s="26">
        <v>2.1499999999999998E-2</v>
      </c>
      <c r="H146" s="26">
        <v>0.19800000000000001</v>
      </c>
      <c r="I146" s="26">
        <v>28.2</v>
      </c>
      <c r="J146" s="53">
        <v>29.44</v>
      </c>
      <c r="K146" s="53"/>
      <c r="L146" s="53"/>
      <c r="M146" s="53"/>
      <c r="N146" s="53"/>
      <c r="O146" s="53">
        <v>7.44</v>
      </c>
      <c r="P146" s="53">
        <v>1843.12</v>
      </c>
      <c r="Q146" s="53">
        <v>230.22</v>
      </c>
      <c r="R146" s="53"/>
      <c r="S146" s="53"/>
      <c r="T146" s="53">
        <v>0.12964639999999999</v>
      </c>
      <c r="U146" s="53">
        <v>0.32411600000000002</v>
      </c>
      <c r="V146" s="26">
        <f t="shared" si="4"/>
        <v>0.22688120000000001</v>
      </c>
      <c r="W146" s="53"/>
      <c r="X146" s="53"/>
      <c r="Y146" s="53"/>
      <c r="Z146" s="53"/>
    </row>
    <row r="147" spans="1:26" x14ac:dyDescent="0.3">
      <c r="A147" s="2"/>
      <c r="B147" s="50"/>
      <c r="C147" s="18"/>
      <c r="D147" s="19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18"/>
      <c r="P147" s="18"/>
      <c r="Q147" s="18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x14ac:dyDescent="0.3">
      <c r="A148" s="47"/>
      <c r="B148" s="47"/>
      <c r="C148" s="15"/>
      <c r="D148" s="53">
        <v>100</v>
      </c>
      <c r="E148" s="53">
        <v>0.01</v>
      </c>
      <c r="F148" s="53">
        <v>1</v>
      </c>
      <c r="G148" s="53">
        <v>0.11</v>
      </c>
      <c r="H148" s="53">
        <v>1</v>
      </c>
      <c r="I148" s="53">
        <v>95.64</v>
      </c>
      <c r="J148" s="53">
        <v>100</v>
      </c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x14ac:dyDescent="0.3">
      <c r="A149" s="47"/>
      <c r="B149" s="47"/>
      <c r="C149" s="15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x14ac:dyDescent="0.3">
      <c r="A150" s="47"/>
      <c r="B150" s="47"/>
      <c r="C150" s="15"/>
      <c r="D150" s="53"/>
      <c r="E150" s="53"/>
      <c r="F150" s="53"/>
      <c r="G150" s="26">
        <v>2.53E-2</v>
      </c>
      <c r="H150" s="53"/>
      <c r="I150" s="53"/>
      <c r="J150" s="28">
        <v>17.260000000000002</v>
      </c>
      <c r="K150" s="6" t="s">
        <v>171</v>
      </c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x14ac:dyDescent="0.3">
      <c r="A151" s="2"/>
      <c r="B151" s="2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28.8" x14ac:dyDescent="0.3">
      <c r="A152" s="48" t="s">
        <v>233</v>
      </c>
      <c r="B152" s="52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43.2" x14ac:dyDescent="0.3">
      <c r="A153" s="48" t="s">
        <v>190</v>
      </c>
      <c r="B153" s="52"/>
      <c r="C153" s="30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x14ac:dyDescent="0.3">
      <c r="A154" s="2"/>
      <c r="B154" s="2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x14ac:dyDescent="0.3">
      <c r="A155" s="2"/>
      <c r="B155" s="2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x14ac:dyDescent="0.3">
      <c r="A156" s="2"/>
      <c r="B156" s="2"/>
      <c r="C156" s="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x14ac:dyDescent="0.3">
      <c r="A157" s="2"/>
      <c r="B157" s="2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x14ac:dyDescent="0.3">
      <c r="A158" s="2"/>
      <c r="B158" s="2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x14ac:dyDescent="0.3">
      <c r="A159" s="2"/>
      <c r="B159" s="2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x14ac:dyDescent="0.3">
      <c r="A160" s="2"/>
      <c r="B160" s="2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x14ac:dyDescent="0.3">
      <c r="A161" s="2"/>
      <c r="B161" s="2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x14ac:dyDescent="0.3">
      <c r="A162" s="2"/>
      <c r="B162" s="2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x14ac:dyDescent="0.3">
      <c r="A163" s="2"/>
      <c r="B163" s="2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x14ac:dyDescent="0.3">
      <c r="A164" s="2"/>
      <c r="B164" s="2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x14ac:dyDescent="0.3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3"/>
      <c r="U165" s="53"/>
      <c r="V165" s="53"/>
      <c r="W165" s="53"/>
      <c r="X165" s="53"/>
      <c r="Y165" s="53"/>
      <c r="Z165" s="53"/>
    </row>
    <row r="166" spans="1:26" x14ac:dyDescent="0.3">
      <c r="A166" s="2"/>
      <c r="B166" s="2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x14ac:dyDescent="0.3">
      <c r="A167" s="2"/>
      <c r="B167" s="2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x14ac:dyDescent="0.3">
      <c r="A168" s="2"/>
      <c r="B168" s="2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x14ac:dyDescent="0.3">
      <c r="A169" s="2"/>
      <c r="B169" s="2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x14ac:dyDescent="0.3">
      <c r="A170" s="2"/>
      <c r="B170" s="2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x14ac:dyDescent="0.3">
      <c r="A171" s="2"/>
      <c r="B171" s="2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33" t="s">
        <v>234</v>
      </c>
      <c r="T171" s="34">
        <v>50000</v>
      </c>
      <c r="U171" s="35">
        <v>911</v>
      </c>
      <c r="V171" s="35">
        <v>16.04</v>
      </c>
      <c r="W171" s="53"/>
      <c r="X171" s="53"/>
      <c r="Y171" s="53"/>
      <c r="Z171" s="53"/>
    </row>
    <row r="172" spans="1:26" x14ac:dyDescent="0.3">
      <c r="A172" s="2"/>
      <c r="B172" s="2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36" t="s">
        <v>235</v>
      </c>
      <c r="T172" s="37">
        <v>30000</v>
      </c>
      <c r="U172" s="39">
        <v>1631</v>
      </c>
      <c r="V172" s="38">
        <v>30.07</v>
      </c>
      <c r="W172" s="53"/>
      <c r="X172" s="53"/>
      <c r="Y172" s="53"/>
      <c r="Z172" s="53"/>
    </row>
    <row r="173" spans="1:26" x14ac:dyDescent="0.3">
      <c r="A173" s="2"/>
      <c r="B173" s="2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36" t="s">
        <v>236</v>
      </c>
      <c r="T173" s="37">
        <v>21000</v>
      </c>
      <c r="U173" s="39">
        <v>2353</v>
      </c>
      <c r="V173" s="38">
        <v>44.09</v>
      </c>
      <c r="W173" s="53"/>
      <c r="X173" s="53"/>
      <c r="Y173" s="53"/>
      <c r="Z173" s="53"/>
    </row>
    <row r="174" spans="1:26" x14ac:dyDescent="0.3">
      <c r="A174" s="2"/>
      <c r="B174" s="2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36" t="s">
        <v>237</v>
      </c>
      <c r="T174" s="37">
        <v>19000</v>
      </c>
      <c r="U174" s="39">
        <v>3101</v>
      </c>
      <c r="V174" s="38">
        <v>58.12</v>
      </c>
      <c r="W174" s="53"/>
      <c r="X174" s="53"/>
      <c r="Y174" s="53"/>
      <c r="Z174" s="53"/>
    </row>
    <row r="175" spans="1:26" x14ac:dyDescent="0.3">
      <c r="A175" s="2"/>
      <c r="B175" s="2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36" t="s">
        <v>162</v>
      </c>
      <c r="T175" s="37">
        <v>14000</v>
      </c>
      <c r="U175" s="39">
        <v>3709</v>
      </c>
      <c r="V175" s="38">
        <v>72.150000000000006</v>
      </c>
      <c r="W175" s="53"/>
      <c r="X175" s="53"/>
      <c r="Y175" s="53"/>
      <c r="Z175" s="53"/>
    </row>
    <row r="176" spans="1:26" x14ac:dyDescent="0.3">
      <c r="A176" s="2"/>
      <c r="B176" s="2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36" t="s">
        <v>152</v>
      </c>
      <c r="T176" s="37">
        <v>11000</v>
      </c>
      <c r="U176" s="39">
        <v>4404</v>
      </c>
      <c r="V176" s="38">
        <v>86.17</v>
      </c>
      <c r="W176" s="53"/>
      <c r="X176" s="53"/>
      <c r="Y176" s="53"/>
      <c r="Z176" s="53"/>
    </row>
    <row r="177" spans="1:26" x14ac:dyDescent="0.3">
      <c r="A177" s="2"/>
      <c r="B177" s="2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36" t="s">
        <v>238</v>
      </c>
      <c r="T177" s="37">
        <v>10000</v>
      </c>
      <c r="U177" s="39">
        <v>5796</v>
      </c>
      <c r="V177" s="38">
        <v>114.23</v>
      </c>
      <c r="W177" s="53"/>
      <c r="X177" s="53"/>
      <c r="Y177" s="53"/>
      <c r="Z177" s="53"/>
    </row>
    <row r="178" spans="1:26" x14ac:dyDescent="0.3">
      <c r="A178" s="2"/>
      <c r="B178" s="2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36" t="s">
        <v>239</v>
      </c>
      <c r="T178" s="37">
        <v>8000</v>
      </c>
      <c r="U178" s="39">
        <v>6493</v>
      </c>
      <c r="V178" s="38">
        <v>128.25</v>
      </c>
      <c r="W178" s="53"/>
      <c r="X178" s="53"/>
      <c r="Y178" s="53"/>
      <c r="Z178" s="53"/>
    </row>
    <row r="179" spans="1:26" x14ac:dyDescent="0.3">
      <c r="A179" s="2"/>
      <c r="B179" s="2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36" t="s">
        <v>201</v>
      </c>
      <c r="T179" s="37">
        <v>8000</v>
      </c>
      <c r="U179" s="39">
        <v>7190</v>
      </c>
      <c r="V179" s="38">
        <v>142.28</v>
      </c>
      <c r="W179" s="53"/>
      <c r="X179" s="53"/>
      <c r="Y179" s="53"/>
      <c r="Z179" s="53"/>
    </row>
    <row r="180" spans="1:26" x14ac:dyDescent="0.3">
      <c r="A180" s="2"/>
      <c r="B180" s="2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36" t="s">
        <v>240</v>
      </c>
      <c r="T180" s="37">
        <v>27000</v>
      </c>
      <c r="U180" s="39">
        <v>1499</v>
      </c>
      <c r="V180" s="38">
        <v>28.05</v>
      </c>
      <c r="W180" s="53"/>
      <c r="X180" s="53"/>
      <c r="Y180" s="53"/>
      <c r="Z180" s="53"/>
    </row>
    <row r="181" spans="1:26" x14ac:dyDescent="0.3">
      <c r="A181" s="2"/>
      <c r="B181" s="2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36" t="s">
        <v>241</v>
      </c>
      <c r="T181" s="37">
        <v>20000</v>
      </c>
      <c r="U181" s="39">
        <v>2182</v>
      </c>
      <c r="V181" s="38">
        <v>42.08</v>
      </c>
      <c r="W181" s="53"/>
      <c r="X181" s="53"/>
      <c r="Y181" s="53"/>
      <c r="Z181" s="53"/>
    </row>
    <row r="182" spans="1:26" x14ac:dyDescent="0.3">
      <c r="A182" s="2"/>
      <c r="B182" s="2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36" t="s">
        <v>182</v>
      </c>
      <c r="T182" s="37">
        <v>13000</v>
      </c>
      <c r="U182" s="39">
        <v>4180</v>
      </c>
      <c r="V182" s="38">
        <v>84.16</v>
      </c>
      <c r="W182" s="53"/>
      <c r="X182" s="53"/>
      <c r="Y182" s="53"/>
      <c r="Z182" s="53"/>
    </row>
    <row r="183" spans="1:26" x14ac:dyDescent="0.3">
      <c r="A183" s="2"/>
      <c r="B183" s="2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40" t="s">
        <v>242</v>
      </c>
      <c r="T183" s="42">
        <v>14000</v>
      </c>
      <c r="U183" s="42">
        <v>3475</v>
      </c>
      <c r="V183" s="41">
        <v>78.11</v>
      </c>
      <c r="W183" s="53"/>
      <c r="X183" s="53"/>
      <c r="Y183" s="53"/>
      <c r="Z183" s="53"/>
    </row>
    <row r="184" spans="1:26" x14ac:dyDescent="0.3">
      <c r="A184" s="2"/>
      <c r="B184" s="2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40" t="s">
        <v>243</v>
      </c>
      <c r="T184" s="42">
        <v>11000</v>
      </c>
      <c r="U184" s="42">
        <v>4274</v>
      </c>
      <c r="V184" s="41">
        <v>92.14</v>
      </c>
      <c r="W184" s="53"/>
      <c r="X184" s="53"/>
      <c r="Y184" s="53"/>
      <c r="Z184" s="53"/>
    </row>
    <row r="185" spans="1:26" x14ac:dyDescent="0.3">
      <c r="A185" s="2"/>
      <c r="B185" s="2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43" t="s">
        <v>244</v>
      </c>
      <c r="T185" s="45">
        <v>82500</v>
      </c>
      <c r="U185" s="44">
        <v>705</v>
      </c>
      <c r="V185" s="44">
        <v>50.49</v>
      </c>
      <c r="W185" s="53"/>
      <c r="X185" s="53"/>
      <c r="Y185" s="53"/>
      <c r="Z185" s="53"/>
    </row>
  </sheetData>
  <hyperlinks>
    <hyperlink ref="A54" r:id="rId1" xr:uid="{F3984BB5-50B6-4EFF-B4D2-2BD25CBEB03F}"/>
    <hyperlink ref="O54" r:id="rId2" xr:uid="{71D69645-C9CC-4933-90C5-436EED86B538}"/>
    <hyperlink ref="A56" r:id="rId3" xr:uid="{8A723A8E-8B87-4A60-97D6-E58723D88270}"/>
    <hyperlink ref="A81" r:id="rId4" xr:uid="{50DBEF0B-E2AF-40BF-8148-EEEA7C8B58B1}"/>
    <hyperlink ref="A103" r:id="rId5" xr:uid="{B4853FFE-BCC2-4603-907F-A105B75BA2CC}"/>
    <hyperlink ref="A104" r:id="rId6" xr:uid="{1FC05E90-A62F-42D7-B69A-B597D412C94B}"/>
    <hyperlink ref="A128" r:id="rId7" xr:uid="{F58B306A-B7B7-4D9B-8616-8E11E5D3D6DB}"/>
    <hyperlink ref="A129" r:id="rId8" xr:uid="{5D15C993-0DC1-45B6-881B-DDB21DD8A2D5}"/>
    <hyperlink ref="A152" r:id="rId9" xr:uid="{4B2D8C95-7877-4660-8376-3ADC4CFD0366}"/>
    <hyperlink ref="A153" r:id="rId10" xr:uid="{3D002E6D-0601-4E6E-96AD-7D0E373B96A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workbookViewId="0">
      <selection activeCell="M2" sqref="M2:M6"/>
    </sheetView>
  </sheetViews>
  <sheetFormatPr defaultRowHeight="14.4" x14ac:dyDescent="0.3"/>
  <cols>
    <col min="1" max="1" width="19.6640625" customWidth="1"/>
    <col min="2" max="2" width="16.6640625" customWidth="1"/>
    <col min="3" max="3" width="15.6640625" bestFit="1" customWidth="1"/>
    <col min="4" max="4" width="9.5546875" bestFit="1" customWidth="1"/>
    <col min="5" max="5" width="10.88671875" customWidth="1"/>
    <col min="6" max="6" width="15.5546875" bestFit="1" customWidth="1"/>
    <col min="7" max="7" width="15.33203125" bestFit="1" customWidth="1"/>
    <col min="8" max="8" width="18.109375" bestFit="1" customWidth="1"/>
    <col min="9" max="9" width="17.88671875" bestFit="1" customWidth="1"/>
    <col min="10" max="11" width="12.33203125" bestFit="1" customWidth="1"/>
    <col min="12" max="12" width="12.33203125" customWidth="1"/>
    <col min="13" max="13" width="15.109375" customWidth="1"/>
    <col min="14" max="16" width="12.33203125" customWidth="1"/>
    <col min="18" max="18" width="15.6640625" bestFit="1" customWidth="1"/>
  </cols>
  <sheetData>
    <row r="1" spans="1:16" ht="15" thickBot="1" x14ac:dyDescent="0.35">
      <c r="A1" s="223" t="s">
        <v>245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  <c r="L1" s="53"/>
      <c r="M1" s="53"/>
      <c r="N1" s="53"/>
      <c r="O1" s="53"/>
      <c r="P1" s="53"/>
    </row>
    <row r="2" spans="1:16" ht="15" thickBot="1" x14ac:dyDescent="0.35">
      <c r="A2" s="107"/>
      <c r="B2" s="108"/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10" t="s">
        <v>9</v>
      </c>
      <c r="L2" s="53"/>
      <c r="M2" s="128" t="s">
        <v>34</v>
      </c>
      <c r="N2" s="53"/>
      <c r="O2" s="53"/>
      <c r="P2" s="53"/>
    </row>
    <row r="3" spans="1:16" ht="15" thickBot="1" x14ac:dyDescent="0.35">
      <c r="A3" s="252" t="s">
        <v>10</v>
      </c>
      <c r="B3" s="253"/>
      <c r="C3" s="114">
        <v>4120.2337699999998</v>
      </c>
      <c r="D3" s="114">
        <v>10338.9</v>
      </c>
      <c r="E3" s="114">
        <v>200.40710000000001</v>
      </c>
      <c r="F3" s="114">
        <v>12521.45</v>
      </c>
      <c r="G3" s="114">
        <v>12212.37</v>
      </c>
      <c r="H3" s="114">
        <v>458.36070000000001</v>
      </c>
      <c r="I3" s="114">
        <v>940.17679999999996</v>
      </c>
      <c r="J3" s="114">
        <v>7641.9830000000002</v>
      </c>
      <c r="K3" s="115">
        <v>48433.883320000001</v>
      </c>
      <c r="L3" s="54"/>
      <c r="M3">
        <f>K3*1000/42/5000</f>
        <v>230.6375396190476</v>
      </c>
      <c r="N3" s="54"/>
      <c r="O3" s="54"/>
      <c r="P3" s="54"/>
    </row>
    <row r="4" spans="1:16" ht="14.1" customHeight="1" x14ac:dyDescent="0.3">
      <c r="A4" s="254" t="s">
        <v>246</v>
      </c>
      <c r="B4" s="88" t="s">
        <v>12</v>
      </c>
      <c r="C4" s="73">
        <f>C3*'Loading Loss'!H20/2000</f>
        <v>1.9014645422514003</v>
      </c>
      <c r="D4" s="73">
        <f>D3*'Loading Loss'!B24/2000</f>
        <v>9.3050099999999993</v>
      </c>
      <c r="E4" s="73">
        <f>E3*'Loading Loss'!H4/2000</f>
        <v>6.1330083795250003E-4</v>
      </c>
      <c r="F4" s="73">
        <f>F3*'Loading Loss'!H5/2000</f>
        <v>3.3351821183750005E-2</v>
      </c>
      <c r="G4" s="73">
        <f>G3*'Loading Loss'!H6/2000</f>
        <v>2.2320121216050003E-2</v>
      </c>
      <c r="H4" s="73">
        <f>H3*'Loading Loss'!H3/2000</f>
        <v>1.41498313231212</v>
      </c>
      <c r="I4" s="73">
        <f>I3*(AVERAGE('Loading Loss'!H7:H8))/2000</f>
        <v>0.21763050150857799</v>
      </c>
      <c r="J4" s="73">
        <f>J3*(AVERAGE('Loading Loss'!H9:H10))/2000</f>
        <v>0.53711161681647501</v>
      </c>
      <c r="K4" s="106">
        <f>SUM(C4:J4)</f>
        <v>13.432485036126325</v>
      </c>
    </row>
    <row r="5" spans="1:16" x14ac:dyDescent="0.3">
      <c r="A5" s="255"/>
      <c r="B5" s="89" t="s">
        <v>13</v>
      </c>
      <c r="C5" s="61">
        <f>C3*'Loading Loss'!H20/2000</f>
        <v>1.9014645422514003</v>
      </c>
      <c r="D5" s="61">
        <f>D3*'Loading Loss'!C24/2000</f>
        <v>17.576129999999999</v>
      </c>
      <c r="E5" s="61">
        <f>'Loading Loss'!I4*'50000MP'!E3/2000</f>
        <v>1.533252595899E-3</v>
      </c>
      <c r="F5" s="61">
        <f>F3*'Loading Loss'!I5/2000</f>
        <v>8.3379521655750008E-2</v>
      </c>
      <c r="G5" s="61">
        <f>G3*'Loading Loss'!I6/2000</f>
        <v>5.5800333571050006E-2</v>
      </c>
      <c r="H5" s="61">
        <f>H3*'Loading Loss'!I3/2000</f>
        <v>3.5374578307803</v>
      </c>
      <c r="I5" s="61">
        <f>I3*(AVERAGE('Loading Loss'!I7:I8))/2000</f>
        <v>0.54407625729710796</v>
      </c>
      <c r="J5" s="61">
        <f>J3*(AVERAGE('Loading Loss'!I9:I10))/2000</f>
        <v>1.3427790420411876</v>
      </c>
      <c r="K5" s="102">
        <f>SUM(C5:J5)</f>
        <v>25.042620780192692</v>
      </c>
      <c r="M5" t="s">
        <v>247</v>
      </c>
    </row>
    <row r="6" spans="1:16" ht="15" thickBot="1" x14ac:dyDescent="0.35">
      <c r="A6" s="256"/>
      <c r="B6" s="90" t="s">
        <v>14</v>
      </c>
      <c r="C6" s="77">
        <f>AVERAGE(C4:C5)</f>
        <v>1.9014645422514003</v>
      </c>
      <c r="D6" s="77">
        <f t="shared" ref="D6:J6" si="0">AVERAGE(D4:D5)</f>
        <v>13.440569999999999</v>
      </c>
      <c r="E6" s="77">
        <f t="shared" si="0"/>
        <v>1.0732767169257501E-3</v>
      </c>
      <c r="F6" s="77">
        <f t="shared" si="0"/>
        <v>5.8365671419750006E-2</v>
      </c>
      <c r="G6" s="77">
        <f t="shared" si="0"/>
        <v>3.9060227393550001E-2</v>
      </c>
      <c r="H6" s="77">
        <f t="shared" si="0"/>
        <v>2.4762204815462101</v>
      </c>
      <c r="I6" s="77">
        <f t="shared" si="0"/>
        <v>0.38085337940284297</v>
      </c>
      <c r="J6" s="77">
        <f t="shared" si="0"/>
        <v>0.93994532942883136</v>
      </c>
      <c r="K6" s="96">
        <f>SUM(C6:J6)</f>
        <v>19.237552908159511</v>
      </c>
      <c r="M6">
        <f>K6*2000/2400</f>
        <v>16.031294090132928</v>
      </c>
    </row>
    <row r="7" spans="1:16" ht="15" thickBot="1" x14ac:dyDescent="0.35">
      <c r="A7" s="257" t="s">
        <v>15</v>
      </c>
      <c r="B7" s="258"/>
      <c r="C7" s="97">
        <f>C6/$K$6</f>
        <v>9.8841289811081104E-2</v>
      </c>
      <c r="D7" s="97">
        <f t="shared" ref="D7:J7" si="1">D6/$K$6</f>
        <v>0.69866318570587271</v>
      </c>
      <c r="E7" s="97">
        <f t="shared" si="1"/>
        <v>5.5790709039221155E-5</v>
      </c>
      <c r="F7" s="97">
        <f t="shared" si="1"/>
        <v>3.0339446861245281E-3</v>
      </c>
      <c r="G7" s="97">
        <f t="shared" si="1"/>
        <v>2.0304155928783855E-3</v>
      </c>
      <c r="H7" s="97">
        <f t="shared" si="1"/>
        <v>0.12871805958729468</v>
      </c>
      <c r="I7" s="97">
        <f t="shared" si="1"/>
        <v>1.9797392174620398E-2</v>
      </c>
      <c r="J7" s="97">
        <f t="shared" si="1"/>
        <v>4.8859921733088944E-2</v>
      </c>
      <c r="K7" s="98">
        <f>SUM(C7:J7)</f>
        <v>1</v>
      </c>
    </row>
    <row r="8" spans="1:16" ht="15" thickBot="1" x14ac:dyDescent="0.35">
      <c r="A8" s="91"/>
      <c r="B8" s="91"/>
      <c r="C8" s="67"/>
      <c r="D8" s="67"/>
      <c r="E8" s="67"/>
      <c r="F8" s="67"/>
      <c r="G8" s="67"/>
      <c r="H8" s="67"/>
      <c r="I8" s="67"/>
      <c r="J8" s="67"/>
      <c r="K8" s="67"/>
    </row>
    <row r="9" spans="1:16" ht="29.25" customHeight="1" thickBot="1" x14ac:dyDescent="0.35">
      <c r="A9" s="242" t="s">
        <v>248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4"/>
    </row>
    <row r="10" spans="1:16" ht="58.2" thickBot="1" x14ac:dyDescent="0.35">
      <c r="A10" s="103"/>
      <c r="B10" s="104" t="s">
        <v>17</v>
      </c>
      <c r="C10" s="104" t="s">
        <v>18</v>
      </c>
      <c r="D10" s="104" t="s">
        <v>19</v>
      </c>
      <c r="E10" s="104" t="s">
        <v>20</v>
      </c>
      <c r="F10" s="104" t="s">
        <v>21</v>
      </c>
      <c r="G10" s="104" t="s">
        <v>22</v>
      </c>
      <c r="H10" s="104" t="s">
        <v>23</v>
      </c>
      <c r="I10" s="104" t="s">
        <v>24</v>
      </c>
      <c r="J10" s="104" t="s">
        <v>25</v>
      </c>
      <c r="K10" s="104" t="s">
        <v>26</v>
      </c>
      <c r="L10" s="104" t="s">
        <v>27</v>
      </c>
      <c r="M10" s="104" t="s">
        <v>28</v>
      </c>
      <c r="N10" s="104" t="s">
        <v>29</v>
      </c>
      <c r="O10" s="104" t="s">
        <v>30</v>
      </c>
      <c r="P10" s="105" t="s">
        <v>31</v>
      </c>
    </row>
    <row r="11" spans="1:16" x14ac:dyDescent="0.3">
      <c r="A11" s="99" t="s">
        <v>12</v>
      </c>
      <c r="B11" s="93">
        <f>(C4*'Fuel Composition'!$J$32/100)+(D4*'Fuel Composition'!$J$6/100)+(E4*'Fuel Composition'!$J$87/100)+(F4*'Fuel Composition'!$J$110/100)+(G4*'Fuel Composition'!$J$135/100)+(H4*'Fuel Composition'!$J$64/100)+(I4*('Loading Loss'!H7/('Loading Loss'!H7+'Loading Loss'!H8)))</f>
        <v>0.25459136047343062</v>
      </c>
      <c r="C11" s="93">
        <f>(C4*'Fuel Composition'!$J$33/100)+(E4*'Fuel Composition'!$J$88/100)+(F4*'Fuel Composition'!$J$111/100)</f>
        <v>1.9075975506309252E-6</v>
      </c>
      <c r="D11" s="93">
        <f>G4*'Fuel Composition'!$J$137/100</f>
        <v>3.832364812795786E-3</v>
      </c>
      <c r="E11" s="93">
        <f>D4*'Fuel Composition'!$J$12/100</f>
        <v>3.9081041999999996E-4</v>
      </c>
      <c r="F11" s="93">
        <f>(D4*'Fuel Composition'!$J$10/100)+(C4*'Fuel Composition'!$J$35/100)+(E4*'Fuel Composition'!$J$89/100)+(F4*'Fuel Composition'!$J$112/100)+(G4*'Fuel Composition'!$J$136/100)+(H4*'Fuel Composition'!$J$74/100)</f>
        <v>8.1727664625823974E-3</v>
      </c>
      <c r="G11" s="93">
        <f>J4*('Loading Loss'!H10/('Loading Loss'!H10+'Loading Loss'!H9))</f>
        <v>5.7150569865499999E-4</v>
      </c>
      <c r="H11" s="93">
        <f>(D4*'Fuel Composition'!$J$7/100)+(C4*'Fuel Composition'!$J$36/100)+(E4*'Fuel Composition'!$J$90/100)+(F4*'Fuel Composition'!$J$113/100)+(H4*'Fuel Composition'!$J$66/100)</f>
        <v>0.22927004538337636</v>
      </c>
      <c r="I11" s="93">
        <f>J4*('Loading Loss'!H9/('Loading Loss'!H9+'Loading Loss'!H10))</f>
        <v>0.53654011111782007</v>
      </c>
      <c r="J11" s="93">
        <f>(D4*'Fuel Composition'!$J$13/100)+(C4*'Fuel Composition'!$J$37/100)+(E4*'Fuel Composition'!$J$91/100)+(F4*'Fuel Composition'!$J$114/100)+(G4*'Fuel Composition'!$J$138/100)</f>
        <v>5.7772740706356854E-5</v>
      </c>
      <c r="K11" s="93">
        <f>(C4*'Fuel Composition'!$J$39/100)+(E4*'Fuel Composition'!$J$92/100)+(F4*'Fuel Composition'!$J$115/100)</f>
        <v>1.9443956009080754E-5</v>
      </c>
      <c r="L11" s="93">
        <f>(D4*'Fuel Composition'!$J$8/100)+(C4*'Fuel Composition'!$J$40/100)+(E4*'Fuel Composition'!$J$93/100)+(F4*'Fuel Composition'!$J$117/100)+(G4*'Fuel Composition'!$J$139/100)+(H4*'Fuel Composition'!$J$68/100)+(I4*('Loading Loss'!H8/('Loading Loss'!H8+'Loading Loss'!H7)))</f>
        <v>0.16285876793711812</v>
      </c>
      <c r="M11" s="93">
        <f>D4*'Fuel Composition'!$J$11/100</f>
        <v>2.6054028000000003E-2</v>
      </c>
      <c r="N11" s="94">
        <f>F4*'Fuel Composition'!$J$116/100</f>
        <v>3.3351821183750005E-6</v>
      </c>
      <c r="O11" s="93">
        <f>(C4*'Fuel Composition'!$J$42/100)+(D4*'Fuel Composition'!$J$9/100)+(E4*'Fuel Composition'!$J$94/100)+(F4*'Fuel Composition'!$J$118/100)+(G4*'Fuel Composition'!$J$140/100)+(H4*'Fuel Composition'!$J$69/100)</f>
        <v>3.2270808311900587E-2</v>
      </c>
      <c r="P11" s="100">
        <f>SUM(B11:O11)</f>
        <v>1.2546350280940632</v>
      </c>
    </row>
    <row r="12" spans="1:16" x14ac:dyDescent="0.3">
      <c r="A12" s="101" t="s">
        <v>13</v>
      </c>
      <c r="B12" s="61">
        <f>(C5*'Fuel Composition'!$J$32/100)+(D5*'Fuel Composition'!$J$6/100)+(E5*'Fuel Composition'!$J$87/100)+(F5*'Fuel Composition'!$J$110/100)+(G5*'Fuel Composition'!$J$135/100)+(H5*'Fuel Composition'!$J$64/100)+(I5*('Loading Loss'!I7/('Loading Loss'!I7+'Loading Loss'!I8)))</f>
        <v>0.58157499405345114</v>
      </c>
      <c r="C12" s="61">
        <f>(C5*'Fuel Composition'!$J$33/100)+(E5*'Fuel Composition'!$J$88/100)+(F5*'Fuel Composition'!$J$111/100)</f>
        <v>1.9167970682103902E-6</v>
      </c>
      <c r="D12" s="61">
        <f>G5*'Fuel Composition'!$J$137/100</f>
        <v>9.5809172741492862E-3</v>
      </c>
      <c r="E12" s="61">
        <f>D5*'Fuel Composition'!$J$12/100</f>
        <v>7.381974599999999E-4</v>
      </c>
      <c r="F12" s="61">
        <f>(D5*'Fuel Composition'!$J$10/100)+(C5*'Fuel Composition'!$J$35/100)+(E5*'Fuel Composition'!$J$89/100)+(F5*'Fuel Composition'!$J$112/100)+(G5*'Fuel Composition'!$J$136/100)+(H5*'Fuel Composition'!$J$74/100)</f>
        <v>1.5881000292403771E-2</v>
      </c>
      <c r="G12" s="61">
        <f>J5*('Loading Loss'!I10/('Loading Loss'!I10+'Loading Loss'!I9))</f>
        <v>1.4287833515950002E-3</v>
      </c>
      <c r="H12" s="61">
        <f>(D5*'Fuel Composition'!$J$7/100)+(C5*'Fuel Composition'!$J$36/100)+(E5*'Fuel Composition'!$J$90/100)+(F5*'Fuel Composition'!$J$113/100)+(H5*'Fuel Composition'!$J$66/100)</f>
        <v>0.44497024248465533</v>
      </c>
      <c r="I12" s="61">
        <f>J5*('Loading Loss'!I9/('Loading Loss'!I9+'Loading Loss'!I10))</f>
        <v>1.3413502586895925</v>
      </c>
      <c r="J12" s="61">
        <f>(D5*'Fuel Composition'!$J$13/100)+(C5*'Fuel Composition'!$J$37/100)+(E5*'Fuel Composition'!$J$91/100)+(F5*'Fuel Composition'!$J$114/100)+(G5*'Fuel Composition'!$J$138/100)</f>
        <v>1.045910866325301E-4</v>
      </c>
      <c r="K12" s="61">
        <f>(C5*'Fuel Composition'!$J$39/100)+(E5*'Fuel Composition'!$J$92/100)+(F5*'Fuel Composition'!$J$115/100)</f>
        <v>2.0087922239643301E-5</v>
      </c>
      <c r="L12" s="61">
        <f>(D5*'Fuel Composition'!$J$8/100)+(C5*'Fuel Composition'!$J$40/100)+(E5*'Fuel Composition'!$J$93/100)+(F5*'Fuel Composition'!$J$117/100)+(G5*'Fuel Composition'!$J$139/100)+(H5*'Fuel Composition'!$J$68/100)+(I5*('Loading Loss'!I8/('Loading Loss'!I8+'Loading Loss'!I7)))</f>
        <v>0.34258923906853822</v>
      </c>
      <c r="M12" s="61">
        <f>D5*'Fuel Composition'!$J$11/100</f>
        <v>4.9213164000000004E-2</v>
      </c>
      <c r="N12" s="92">
        <f>F5*'Fuel Composition'!$J$116/100</f>
        <v>8.3379521655750012E-6</v>
      </c>
      <c r="O12" s="61">
        <f>(C5*'Fuel Composition'!$J$42/100)+(D5*'Fuel Composition'!$J$9/100)+(E5*'Fuel Composition'!$J$94/100)+(F5*'Fuel Composition'!$J$118/100)+(G5*'Fuel Composition'!$J$140/100)+(H5*'Fuel Composition'!$J$69/100)</f>
        <v>6.0482219151515582E-2</v>
      </c>
      <c r="P12" s="102">
        <f>SUM(B12:O12)</f>
        <v>2.8479439495840069</v>
      </c>
    </row>
    <row r="13" spans="1:16" ht="15" thickBot="1" x14ac:dyDescent="0.35">
      <c r="A13" s="113" t="s">
        <v>14</v>
      </c>
      <c r="B13" s="77">
        <f>AVERAGE(B11:B12)</f>
        <v>0.41808317726344091</v>
      </c>
      <c r="C13" s="77">
        <f t="shared" ref="C13:O13" si="2">AVERAGE(C11:C12)</f>
        <v>1.9121973094206577E-6</v>
      </c>
      <c r="D13" s="77">
        <f t="shared" si="2"/>
        <v>6.7066410434725356E-3</v>
      </c>
      <c r="E13" s="77">
        <f t="shared" si="2"/>
        <v>5.6450393999999998E-4</v>
      </c>
      <c r="F13" s="77">
        <f t="shared" si="2"/>
        <v>1.2026883377493084E-2</v>
      </c>
      <c r="G13" s="77">
        <f t="shared" si="2"/>
        <v>1.000144525125E-3</v>
      </c>
      <c r="H13" s="77">
        <f t="shared" si="2"/>
        <v>0.33712014393401585</v>
      </c>
      <c r="I13" s="77">
        <f t="shared" si="2"/>
        <v>0.93894518490370626</v>
      </c>
      <c r="J13" s="77">
        <f t="shared" si="2"/>
        <v>8.1181913669443482E-5</v>
      </c>
      <c r="K13" s="77">
        <f t="shared" si="2"/>
        <v>1.9765939124362028E-5</v>
      </c>
      <c r="L13" s="77">
        <f t="shared" si="2"/>
        <v>0.2527240035028282</v>
      </c>
      <c r="M13" s="77">
        <f t="shared" si="2"/>
        <v>3.7633596000000005E-2</v>
      </c>
      <c r="N13" s="77">
        <f t="shared" si="2"/>
        <v>5.8365671419750013E-6</v>
      </c>
      <c r="O13" s="77">
        <f t="shared" si="2"/>
        <v>4.6376513731708084E-2</v>
      </c>
      <c r="P13" s="96">
        <f>SUM(B13:O13)</f>
        <v>2.0512894888390352</v>
      </c>
    </row>
    <row r="15" spans="1:16" hidden="1" x14ac:dyDescent="0.3">
      <c r="A15" s="99" t="s">
        <v>12</v>
      </c>
      <c r="B15" s="93">
        <f>(C4*'Fuel Composition'!$J$32/100)+(D4*'Fuel Composition'!$J$6/100)+(E4*'Fuel Composition'!$J$87/100)+(H4*'Fuel Composition'!$J$64/100)+(I4*('Loading Loss'!H7/('Loading Loss'!H7+'Loading Loss'!H8)))</f>
        <v>0.25458356126706905</v>
      </c>
      <c r="C15" s="93">
        <f>(C4*'Fuel Composition'!$J$33/100)+(E4*'Fuel Composition'!$J$88/100)</f>
        <v>1.9075975506309252E-6</v>
      </c>
      <c r="D15" s="93">
        <v>0</v>
      </c>
      <c r="E15" s="93">
        <f>D4*'Fuel Composition'!$J$12/100</f>
        <v>3.9081041999999996E-4</v>
      </c>
      <c r="F15" s="93">
        <f>(D4*'Fuel Composition'!$J$10/100)+(C4*'Fuel Composition'!$J$35/100)+(E4*'Fuel Composition'!$J$89/100)+(H4*'Fuel Composition'!$J$74/100)</f>
        <v>8.1694312804640231E-3</v>
      </c>
      <c r="G15" s="93">
        <v>0</v>
      </c>
      <c r="H15" s="93">
        <f>(D4*'Fuel Composition'!$J$7/100)+(C4*'Fuel Composition'!$J$36/100)+(E4*'Fuel Composition'!$J$90/100)+(H4*'Fuel Composition'!$J$66/100)</f>
        <v>0.22566137833129463</v>
      </c>
      <c r="I15" s="93">
        <v>0</v>
      </c>
      <c r="J15" s="93">
        <f>(D4*'Fuel Composition'!$J$13/100)+(C4*'Fuel Composition'!$J$37/100)+(E4*'Fuel Composition'!$J$91/100)</f>
        <v>5.4437558587981853E-5</v>
      </c>
      <c r="K15" s="93">
        <f>(C4*'Fuel Composition'!$J$39/100)+(E4*'Fuel Composition'!$J$92/100)+(F4*'Fuel Composition'!$J$115/100)</f>
        <v>1.9443956009080754E-5</v>
      </c>
      <c r="L15" s="93" t="e">
        <f>(D8*'Fuel Composition'!$J$8/100)+(C8*'Fuel Composition'!$J$40/100)+(E8*'Fuel Composition'!$J$93/100)+(F8*'Fuel Composition'!$J$117/100)+(G8*'Fuel Composition'!$J$139/100)+(H8*'Fuel Composition'!$J$68/100)+(I8*('Loading Loss'!H12/('Loading Loss'!H12+'Loading Loss'!H11)))</f>
        <v>#DIV/0!</v>
      </c>
      <c r="M15" s="93">
        <f>D8*'Fuel Composition'!$J$11/100</f>
        <v>0</v>
      </c>
      <c r="N15" s="94">
        <f>F8*'Fuel Composition'!$J$116/100</f>
        <v>0</v>
      </c>
      <c r="O15" s="93">
        <f>(C8*'Fuel Composition'!$J$42/100)+(D8*'Fuel Composition'!$J$9/100)+(E8*'Fuel Composition'!$J$94/100)+(F8*'Fuel Composition'!$J$118/100)+(G8*'Fuel Composition'!$J$140/100)+(H8*'Fuel Composition'!$J$69/100)</f>
        <v>0</v>
      </c>
      <c r="P15" s="100" t="e">
        <f>SUM(B15:O15)</f>
        <v>#DIV/0!</v>
      </c>
    </row>
    <row r="16" spans="1:16" hidden="1" x14ac:dyDescent="0.3">
      <c r="A16" s="101" t="s">
        <v>13</v>
      </c>
      <c r="B16" s="61">
        <f>(C5*'Fuel Composition'!$J$32/100)+(D5*'Fuel Composition'!$J$6/100)+(E5*'Fuel Composition'!$J$87/100)+(H5*'Fuel Composition'!$J$64/100)+(I9*('Loading Loss'!I7/('Loading Loss'!I7+'Loading Loss'!I8)))</f>
        <v>0.17836908758648939</v>
      </c>
      <c r="C16" s="61">
        <f>(C5*'Fuel Composition'!$J$33/100)+(E5*'Fuel Composition'!$J$88/100)</f>
        <v>1.9167970682103902E-6</v>
      </c>
      <c r="D16" s="61">
        <v>0</v>
      </c>
      <c r="E16" s="61">
        <f>D5*'Fuel Composition'!$J$12/100</f>
        <v>7.381974599999999E-4</v>
      </c>
      <c r="F16" s="61">
        <f>(D5*'Fuel Composition'!$J$10/100)+(C5*'Fuel Composition'!$J$35/100)+(E5*'Fuel Composition'!$J$89/100)+(H5*'Fuel Composition'!$J$74/100)</f>
        <v>1.5872662340238198E-2</v>
      </c>
      <c r="G16" s="61">
        <v>0</v>
      </c>
      <c r="H16" s="61">
        <f>(D5*'Fuel Composition'!$J$7/100)+(C5*'Fuel Composition'!$J$36/100)+(E5*'Fuel Composition'!$J$90/100)+(H5*'Fuel Composition'!$J$66/100)</f>
        <v>0.43594857824150313</v>
      </c>
      <c r="I16" s="61">
        <v>0</v>
      </c>
      <c r="J16" s="61">
        <f>(D5*'Fuel Composition'!$J$13/100)+(C5*'Fuel Composition'!$J$37/100)+(E5*'Fuel Composition'!$J$91/100)</f>
        <v>9.6253134466955096E-5</v>
      </c>
      <c r="K16" s="61">
        <f>(C5*'Fuel Composition'!$J$39/100)+(E5*'Fuel Composition'!$J$92/100)+(F5*'Fuel Composition'!$J$115/100)</f>
        <v>2.0087922239643301E-5</v>
      </c>
      <c r="L16" s="61" t="e">
        <f>(D9*'Fuel Composition'!$J$8/100)+(C9*'Fuel Composition'!$J$40/100)+(E9*'Fuel Composition'!$J$93/100)+(F9*'Fuel Composition'!$J$117/100)+(G9*'Fuel Composition'!$J$139/100)+(H9*'Fuel Composition'!$J$68/100)+(I9*('Loading Loss'!I12/('Loading Loss'!I12+'Loading Loss'!I11)))</f>
        <v>#DIV/0!</v>
      </c>
      <c r="M16" s="61">
        <f>D9*'Fuel Composition'!$J$11/100</f>
        <v>0</v>
      </c>
      <c r="N16" s="92">
        <f>F9*'Fuel Composition'!$J$116/100</f>
        <v>0</v>
      </c>
      <c r="O16" s="61">
        <f>(C9*'Fuel Composition'!$J$42/100)+(D9*'Fuel Composition'!$J$9/100)+(E9*'Fuel Composition'!$J$94/100)+(F9*'Fuel Composition'!$J$118/100)+(G9*'Fuel Composition'!$J$140/100)+(H9*'Fuel Composition'!$J$69/100)</f>
        <v>0</v>
      </c>
      <c r="P16" s="102" t="e">
        <f>SUM(B16:O16)</f>
        <v>#DIV/0!</v>
      </c>
    </row>
    <row r="17" spans="1:18" ht="15" hidden="1" thickBot="1" x14ac:dyDescent="0.35">
      <c r="A17" s="113" t="s">
        <v>14</v>
      </c>
      <c r="B17" s="77">
        <f>AVERAGE(B15:B16)</f>
        <v>0.21647632442677922</v>
      </c>
      <c r="C17" s="77">
        <f t="shared" ref="C17" si="3">AVERAGE(C15:C16)</f>
        <v>1.9121973094206577E-6</v>
      </c>
      <c r="D17" s="77">
        <v>0</v>
      </c>
      <c r="E17" s="77">
        <f t="shared" ref="E17" si="4">AVERAGE(E15:E16)</f>
        <v>5.6450393999999998E-4</v>
      </c>
      <c r="F17" s="77">
        <f t="shared" ref="F17" si="5">AVERAGE(F15:F16)</f>
        <v>1.202104681035111E-2</v>
      </c>
      <c r="G17" s="77">
        <f t="shared" ref="G17" si="6">AVERAGE(G15:G16)</f>
        <v>0</v>
      </c>
      <c r="H17" s="77">
        <f t="shared" ref="H17" si="7">AVERAGE(H15:H16)</f>
        <v>0.33080497828639888</v>
      </c>
      <c r="I17" s="77">
        <f t="shared" ref="I17" si="8">AVERAGE(I15:I16)</f>
        <v>0</v>
      </c>
      <c r="J17" s="77">
        <f t="shared" ref="J17" si="9">AVERAGE(J15:J16)</f>
        <v>7.5345346527468468E-5</v>
      </c>
      <c r="K17" s="77">
        <f t="shared" ref="K17" si="10">AVERAGE(K15:K16)</f>
        <v>1.9765939124362028E-5</v>
      </c>
      <c r="L17" s="77" t="e">
        <f t="shared" ref="L17" si="11">AVERAGE(L15:L16)</f>
        <v>#DIV/0!</v>
      </c>
      <c r="M17" s="77">
        <f t="shared" ref="M17" si="12">AVERAGE(M15:M16)</f>
        <v>0</v>
      </c>
      <c r="N17" s="77">
        <f t="shared" ref="N17" si="13">AVERAGE(N15:N16)</f>
        <v>0</v>
      </c>
      <c r="O17" s="77">
        <f t="shared" ref="O17" si="14">AVERAGE(O15:O16)</f>
        <v>0</v>
      </c>
      <c r="P17" s="96" t="e">
        <f>SUM(B17:O17)</f>
        <v>#DIV/0!</v>
      </c>
    </row>
    <row r="18" spans="1:18" hidden="1" x14ac:dyDescent="0.3"/>
    <row r="24" spans="1:18" x14ac:dyDescent="0.3">
      <c r="B24" s="245" t="s">
        <v>40</v>
      </c>
      <c r="C24" s="245"/>
      <c r="D24" s="245"/>
      <c r="E24" s="245"/>
      <c r="F24" s="245"/>
      <c r="I24" s="248" t="s">
        <v>249</v>
      </c>
      <c r="J24" s="249"/>
      <c r="K24" s="250"/>
      <c r="L24" s="56"/>
    </row>
    <row r="25" spans="1:18" ht="14.1" customHeight="1" x14ac:dyDescent="0.3">
      <c r="B25" s="245" t="s">
        <v>250</v>
      </c>
      <c r="C25" s="245"/>
      <c r="D25" s="245"/>
      <c r="E25" s="245"/>
      <c r="F25" s="246" t="s">
        <v>251</v>
      </c>
      <c r="I25" s="248" t="s">
        <v>250</v>
      </c>
      <c r="J25" s="249"/>
      <c r="K25" s="250"/>
      <c r="L25" s="246" t="s">
        <v>251</v>
      </c>
    </row>
    <row r="26" spans="1:18" ht="43.2" x14ac:dyDescent="0.3">
      <c r="B26" s="59" t="s">
        <v>252</v>
      </c>
      <c r="C26" s="59" t="s">
        <v>253</v>
      </c>
      <c r="D26" s="59" t="s">
        <v>50</v>
      </c>
      <c r="E26" s="59" t="s">
        <v>254</v>
      </c>
      <c r="F26" s="247"/>
      <c r="I26" s="55" t="s">
        <v>252</v>
      </c>
      <c r="J26" s="55" t="s">
        <v>253</v>
      </c>
      <c r="K26" s="55" t="s">
        <v>254</v>
      </c>
      <c r="L26" s="251"/>
    </row>
    <row r="27" spans="1:18" x14ac:dyDescent="0.3">
      <c r="A27" s="60" t="s">
        <v>52</v>
      </c>
      <c r="B27" s="61"/>
      <c r="C27" s="61"/>
      <c r="D27" s="61"/>
      <c r="E27" s="61"/>
      <c r="F27" s="61"/>
      <c r="H27" s="118" t="s">
        <v>52</v>
      </c>
      <c r="I27" s="119"/>
      <c r="J27" s="120"/>
      <c r="K27" s="120"/>
      <c r="L27" s="120"/>
      <c r="P27" t="s">
        <v>101</v>
      </c>
    </row>
    <row r="28" spans="1:18" x14ac:dyDescent="0.3">
      <c r="A28" s="61" t="s">
        <v>255</v>
      </c>
      <c r="B28" s="65">
        <v>2064594</v>
      </c>
      <c r="C28" s="65">
        <f>57779+268364</f>
        <v>326143</v>
      </c>
      <c r="D28" s="65">
        <v>30054</v>
      </c>
      <c r="E28" s="65">
        <v>296090</v>
      </c>
      <c r="F28" s="65">
        <f>E28/P13</f>
        <v>144343.35163857226</v>
      </c>
      <c r="H28" s="61" t="s">
        <v>255</v>
      </c>
      <c r="I28" s="65">
        <v>946003</v>
      </c>
      <c r="J28" s="65">
        <f>13347+117770</f>
        <v>131117</v>
      </c>
      <c r="K28" s="65">
        <v>131117</v>
      </c>
      <c r="L28" s="65">
        <f>K28/P13</f>
        <v>63919.305740804077</v>
      </c>
      <c r="P28" t="s">
        <v>109</v>
      </c>
    </row>
    <row r="29" spans="1:18" x14ac:dyDescent="0.3">
      <c r="A29" s="61" t="s">
        <v>256</v>
      </c>
      <c r="B29" s="65">
        <v>2064594</v>
      </c>
      <c r="C29" s="65">
        <f>52246+267784</f>
        <v>320030</v>
      </c>
      <c r="D29" s="65">
        <v>9016</v>
      </c>
      <c r="E29" s="65">
        <v>311014</v>
      </c>
      <c r="F29" s="61"/>
      <c r="H29" s="61" t="s">
        <v>256</v>
      </c>
      <c r="I29" s="65">
        <v>946003</v>
      </c>
      <c r="J29" s="65">
        <f>4004+117232</f>
        <v>121236</v>
      </c>
      <c r="K29" s="65">
        <v>121236</v>
      </c>
      <c r="L29" s="61"/>
      <c r="O29" s="53" t="s">
        <v>110</v>
      </c>
      <c r="P29">
        <v>1286.2715029999999</v>
      </c>
      <c r="Q29">
        <v>0.11521588597700817</v>
      </c>
      <c r="R29">
        <f>Q29*P29</f>
        <v>148.19891082512291</v>
      </c>
    </row>
    <row r="30" spans="1:18" x14ac:dyDescent="0.3">
      <c r="A30" s="61" t="s">
        <v>257</v>
      </c>
      <c r="B30" s="65">
        <v>2064594</v>
      </c>
      <c r="C30" s="65">
        <f>52444+267805</f>
        <v>320249</v>
      </c>
      <c r="D30" s="65">
        <v>9767</v>
      </c>
      <c r="E30" s="65">
        <v>310481</v>
      </c>
      <c r="F30" s="61"/>
      <c r="H30" s="61" t="s">
        <v>257</v>
      </c>
      <c r="I30" s="65">
        <v>946003</v>
      </c>
      <c r="J30" s="65">
        <f>4338+117251</f>
        <v>121589</v>
      </c>
      <c r="K30" s="65">
        <v>121589</v>
      </c>
      <c r="L30" s="61"/>
      <c r="O30" s="53" t="s">
        <v>3</v>
      </c>
      <c r="P30">
        <v>1.2751151300000001</v>
      </c>
      <c r="Q30">
        <v>4.9938415726970978E-5</v>
      </c>
      <c r="R30">
        <f t="shared" ref="R30:R38" si="15">Q30*P30</f>
        <v>6.3677229461690649E-5</v>
      </c>
    </row>
    <row r="31" spans="1:18" x14ac:dyDescent="0.3">
      <c r="O31" s="53" t="s">
        <v>111</v>
      </c>
      <c r="P31">
        <v>1.1098224249999999</v>
      </c>
      <c r="Q31">
        <v>2.7156921580223791E-3</v>
      </c>
      <c r="R31">
        <f t="shared" si="15"/>
        <v>3.0139360563698797E-3</v>
      </c>
    </row>
    <row r="32" spans="1:18" x14ac:dyDescent="0.3">
      <c r="A32" s="84" t="s">
        <v>55</v>
      </c>
      <c r="O32" s="53" t="s">
        <v>112</v>
      </c>
      <c r="P32">
        <v>0.76152708999999996</v>
      </c>
      <c r="Q32">
        <v>1.8174305313883594E-3</v>
      </c>
      <c r="R32">
        <f t="shared" si="15"/>
        <v>1.384022583845331E-3</v>
      </c>
    </row>
    <row r="33" spans="1:19" x14ac:dyDescent="0.3">
      <c r="A33" t="s">
        <v>56</v>
      </c>
      <c r="O33" s="53" t="s">
        <v>113</v>
      </c>
      <c r="P33">
        <v>142.94701755</v>
      </c>
      <c r="Q33">
        <f>I7/2</f>
        <v>9.8986960873101992E-3</v>
      </c>
      <c r="R33">
        <f t="shared" si="15"/>
        <v>1.4149890833148473</v>
      </c>
    </row>
    <row r="34" spans="1:19" x14ac:dyDescent="0.3">
      <c r="A34" t="s">
        <v>57</v>
      </c>
      <c r="O34" s="53" t="s">
        <v>114</v>
      </c>
      <c r="P34">
        <v>49.951544050000003</v>
      </c>
      <c r="Q34">
        <f>Q33</f>
        <v>9.8986960873101992E-3</v>
      </c>
      <c r="R34">
        <f t="shared" si="15"/>
        <v>0.4944551536428381</v>
      </c>
    </row>
    <row r="35" spans="1:19" x14ac:dyDescent="0.3">
      <c r="A35" t="s">
        <v>58</v>
      </c>
      <c r="O35" s="53" t="s">
        <v>115</v>
      </c>
      <c r="P35">
        <v>58.507949300000007</v>
      </c>
      <c r="Q35">
        <f>J7/2</f>
        <v>2.4429960866544472E-2</v>
      </c>
      <c r="R35">
        <f t="shared" si="15"/>
        <v>1.4293469117807682</v>
      </c>
    </row>
    <row r="36" spans="1:19" x14ac:dyDescent="0.3">
      <c r="O36" s="53" t="s">
        <v>116</v>
      </c>
      <c r="P36">
        <v>6.2321250000000002E-2</v>
      </c>
      <c r="Q36">
        <f>Q35</f>
        <v>2.4429960866544472E-2</v>
      </c>
      <c r="R36">
        <f t="shared" si="15"/>
        <v>1.5225056986541347E-3</v>
      </c>
    </row>
    <row r="37" spans="1:19" x14ac:dyDescent="0.3">
      <c r="O37" s="53" t="s">
        <v>258</v>
      </c>
      <c r="P37" s="53">
        <v>240.15727999999999</v>
      </c>
      <c r="Q37">
        <v>0.1933703822663691</v>
      </c>
      <c r="R37">
        <f t="shared" si="15"/>
        <v>46.439305037651437</v>
      </c>
    </row>
    <row r="38" spans="1:19" x14ac:dyDescent="0.3">
      <c r="O38" s="53" t="s">
        <v>2</v>
      </c>
      <c r="P38">
        <v>309.52380950000003</v>
      </c>
      <c r="Q38">
        <v>0.62537532183686451</v>
      </c>
      <c r="R38">
        <f t="shared" si="15"/>
        <v>193.56855198223485</v>
      </c>
    </row>
    <row r="39" spans="1:19" x14ac:dyDescent="0.3">
      <c r="Q39">
        <f>SUM(Q29:Q38)</f>
        <v>1.0072019650930888</v>
      </c>
      <c r="R39">
        <f>SUM(R29:R38)</f>
        <v>391.55154313531597</v>
      </c>
      <c r="S39" t="s">
        <v>259</v>
      </c>
    </row>
  </sheetData>
  <mergeCells count="11">
    <mergeCell ref="A9:P9"/>
    <mergeCell ref="A1:K1"/>
    <mergeCell ref="B24:F24"/>
    <mergeCell ref="B25:E25"/>
    <mergeCell ref="F25:F26"/>
    <mergeCell ref="I24:K24"/>
    <mergeCell ref="I25:K25"/>
    <mergeCell ref="L25:L26"/>
    <mergeCell ref="A3:B3"/>
    <mergeCell ref="A4:A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28FD-7761-4F17-8661-7CBFDACC9E5D}">
  <dimension ref="A1:R40"/>
  <sheetViews>
    <sheetView workbookViewId="0">
      <selection activeCell="M4" sqref="M4"/>
    </sheetView>
  </sheetViews>
  <sheetFormatPr defaultRowHeight="14.4" x14ac:dyDescent="0.3"/>
  <cols>
    <col min="1" max="1" width="17.109375" customWidth="1"/>
    <col min="2" max="2" width="10.109375" customWidth="1"/>
    <col min="3" max="3" width="15.88671875" bestFit="1" customWidth="1"/>
    <col min="4" max="4" width="10.44140625" bestFit="1" customWidth="1"/>
    <col min="5" max="5" width="10.109375" customWidth="1"/>
    <col min="6" max="6" width="15.5546875" bestFit="1" customWidth="1"/>
    <col min="7" max="7" width="15.44140625" bestFit="1" customWidth="1"/>
    <col min="8" max="8" width="18.33203125" bestFit="1" customWidth="1"/>
    <col min="9" max="9" width="17.88671875" bestFit="1" customWidth="1"/>
    <col min="10" max="10" width="12.88671875" customWidth="1"/>
    <col min="11" max="11" width="12.44140625" bestFit="1" customWidth="1"/>
    <col min="13" max="13" width="14.109375" customWidth="1"/>
    <col min="14" max="14" width="12.33203125" bestFit="1" customWidth="1"/>
  </cols>
  <sheetData>
    <row r="1" spans="1:16" ht="24.9" customHeight="1" thickBot="1" x14ac:dyDescent="0.35">
      <c r="A1" s="223" t="s">
        <v>260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  <c r="L1" s="70"/>
    </row>
    <row r="2" spans="1:16" x14ac:dyDescent="0.3">
      <c r="A2" s="85"/>
      <c r="B2" s="83"/>
      <c r="C2" s="86" t="s">
        <v>1</v>
      </c>
      <c r="D2" s="86" t="s">
        <v>2</v>
      </c>
      <c r="E2" s="86" t="s">
        <v>3</v>
      </c>
      <c r="F2" s="86" t="s">
        <v>4</v>
      </c>
      <c r="G2" s="86" t="s">
        <v>5</v>
      </c>
      <c r="H2" s="86" t="s">
        <v>6</v>
      </c>
      <c r="I2" s="86" t="s">
        <v>7</v>
      </c>
      <c r="J2" s="86" t="s">
        <v>8</v>
      </c>
      <c r="K2" s="87" t="s">
        <v>9</v>
      </c>
      <c r="M2" s="128" t="s">
        <v>34</v>
      </c>
    </row>
    <row r="3" spans="1:16" ht="28.5" customHeight="1" thickBot="1" x14ac:dyDescent="0.35">
      <c r="A3" s="259" t="s">
        <v>10</v>
      </c>
      <c r="B3" s="260"/>
      <c r="C3" s="72">
        <v>11575663.300000001</v>
      </c>
      <c r="D3" s="72">
        <v>4344659</v>
      </c>
      <c r="E3" s="72">
        <v>430616.7</v>
      </c>
      <c r="F3" s="72">
        <v>3936982</v>
      </c>
      <c r="G3" s="72">
        <v>663764.69999999995</v>
      </c>
      <c r="H3" s="72">
        <v>1525854</v>
      </c>
      <c r="I3" s="72">
        <v>144434.70000000001</v>
      </c>
      <c r="J3" s="72">
        <v>642589.69999999995</v>
      </c>
      <c r="K3" s="80">
        <f>SUM(C3:J3)</f>
        <v>23264564.099999998</v>
      </c>
      <c r="M3">
        <f>K3*1000/42/7500</f>
        <v>73855.759047619038</v>
      </c>
      <c r="N3">
        <f>M3/8760</f>
        <v>8.4310227223309404</v>
      </c>
    </row>
    <row r="4" spans="1:16" ht="14.4" customHeight="1" x14ac:dyDescent="0.3">
      <c r="A4" s="254" t="s">
        <v>246</v>
      </c>
      <c r="B4" s="88" t="s">
        <v>12</v>
      </c>
      <c r="C4" s="74">
        <f>C3*'Loading Loss'!H20/2000</f>
        <v>5342.1030326613809</v>
      </c>
      <c r="D4" s="74">
        <f>D3*'Loading Loss'!B24/2000</f>
        <v>3910.1931</v>
      </c>
      <c r="E4" s="74">
        <f>E3*'Loading Loss'!H4/2000</f>
        <v>1.3178055215925002</v>
      </c>
      <c r="F4" s="74">
        <f>F3*'Loading Loss'!H5/2000</f>
        <v>10.486446830649999</v>
      </c>
      <c r="G4" s="74">
        <f>G3*'Loading Loss'!H6/2000</f>
        <v>1.2131395104255001</v>
      </c>
      <c r="H4" s="74">
        <f>H3*'Loading Loss'!H3/2000</f>
        <v>4710.3900320663997</v>
      </c>
      <c r="I4" s="74">
        <f>I3*(AVERAGE('Loading Loss'!H7:H8))/2000</f>
        <v>33.433494845055748</v>
      </c>
      <c r="J4" s="74">
        <f>J3*(AVERAGE('Loading Loss'!H9:H10))/2000</f>
        <v>45.163983316452487</v>
      </c>
      <c r="K4" s="75">
        <f>SUM(C4:J4)</f>
        <v>14054.301034751956</v>
      </c>
    </row>
    <row r="5" spans="1:16" x14ac:dyDescent="0.3">
      <c r="A5" s="255"/>
      <c r="B5" s="89" t="s">
        <v>13</v>
      </c>
      <c r="C5" s="71">
        <f>C3*'Loading Loss'!H20/2000</f>
        <v>5342.1030326613809</v>
      </c>
      <c r="D5" s="71">
        <f>D3*'Loading Loss'!C24/2000</f>
        <v>7385.9202999999998</v>
      </c>
      <c r="E5" s="71">
        <f>'Loading Loss'!I4*'25000000MP'!E3/2000</f>
        <v>3.2945148805230002</v>
      </c>
      <c r="F5" s="71">
        <f>F3*'Loading Loss'!I5/2000</f>
        <v>26.216107234170003</v>
      </c>
      <c r="G5" s="71">
        <f>G3*'Loading Loss'!I6/2000</f>
        <v>3.0328504354754999</v>
      </c>
      <c r="H5" s="71">
        <f>H3*'Loading Loss'!I3/2000</f>
        <v>11775.975080165999</v>
      </c>
      <c r="I5" s="71">
        <f>I3*(AVERAGE('Loading Loss'!I7:I8))/2000</f>
        <v>83.583737654269513</v>
      </c>
      <c r="J5" s="71">
        <f>J3*(AVERAGE('Loading Loss'!I9:I10))/2000</f>
        <v>112.90995829113125</v>
      </c>
      <c r="K5" s="76">
        <f>SUM(C5:J5)</f>
        <v>24733.035581322947</v>
      </c>
      <c r="M5" t="s">
        <v>247</v>
      </c>
    </row>
    <row r="6" spans="1:16" ht="15" thickBot="1" x14ac:dyDescent="0.35">
      <c r="A6" s="256"/>
      <c r="B6" s="90" t="s">
        <v>14</v>
      </c>
      <c r="C6" s="78">
        <f>AVERAGE(C4:C5)</f>
        <v>5342.1030326613809</v>
      </c>
      <c r="D6" s="78">
        <f t="shared" ref="D6:J6" si="0">AVERAGE(D4:D5)</f>
        <v>5648.0567000000001</v>
      </c>
      <c r="E6" s="78">
        <f t="shared" si="0"/>
        <v>2.3061602010577502</v>
      </c>
      <c r="F6" s="78">
        <f t="shared" si="0"/>
        <v>18.351277032410003</v>
      </c>
      <c r="G6" s="78">
        <f t="shared" si="0"/>
        <v>2.1229949729505</v>
      </c>
      <c r="H6" s="78">
        <f t="shared" si="0"/>
        <v>8243.1825561162004</v>
      </c>
      <c r="I6" s="78">
        <f t="shared" si="0"/>
        <v>58.50861624966263</v>
      </c>
      <c r="J6" s="78">
        <f t="shared" si="0"/>
        <v>79.03697080379186</v>
      </c>
      <c r="K6" s="79">
        <f>SUM(C6:J6)</f>
        <v>19393.668308037453</v>
      </c>
      <c r="M6">
        <f>K6*2000/8760</f>
        <v>4427.7781525199662</v>
      </c>
    </row>
    <row r="7" spans="1:16" ht="15" thickBot="1" x14ac:dyDescent="0.35">
      <c r="A7" s="257" t="s">
        <v>15</v>
      </c>
      <c r="B7" s="258"/>
      <c r="C7" s="81">
        <f>C6/$K$6</f>
        <v>0.27545603790941481</v>
      </c>
      <c r="D7" s="81">
        <f t="shared" ref="D7:J7" si="1">D6/$K$6</f>
        <v>0.29123199439578107</v>
      </c>
      <c r="E7" s="81">
        <f t="shared" si="1"/>
        <v>1.1891304751778146E-4</v>
      </c>
      <c r="F7" s="81">
        <f t="shared" si="1"/>
        <v>9.4625094855337684E-4</v>
      </c>
      <c r="G7" s="81">
        <f t="shared" si="1"/>
        <v>1.0946845842829293E-4</v>
      </c>
      <c r="H7" s="81">
        <f t="shared" si="1"/>
        <v>0.42504504177272751</v>
      </c>
      <c r="I7" s="81">
        <f t="shared" si="1"/>
        <v>3.0168926950975279E-3</v>
      </c>
      <c r="J7" s="81">
        <f t="shared" si="1"/>
        <v>4.0754007724797484E-3</v>
      </c>
      <c r="K7" s="82">
        <f>SUM(C7:J7)</f>
        <v>1.0000000000000002</v>
      </c>
    </row>
    <row r="8" spans="1:16" ht="15" thickBot="1" x14ac:dyDescent="0.35">
      <c r="A8" s="91"/>
      <c r="B8" s="91"/>
      <c r="C8" s="53"/>
      <c r="D8" s="53"/>
      <c r="E8" s="53"/>
      <c r="F8" s="53"/>
      <c r="G8" s="53"/>
      <c r="H8" s="53"/>
      <c r="I8" s="53"/>
      <c r="J8" s="53"/>
      <c r="K8" s="53"/>
    </row>
    <row r="9" spans="1:16" ht="15" thickBot="1" x14ac:dyDescent="0.35">
      <c r="A9" s="242" t="s">
        <v>261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4"/>
    </row>
    <row r="10" spans="1:16" ht="57.6" customHeight="1" thickBot="1" x14ac:dyDescent="0.35">
      <c r="A10" s="103"/>
      <c r="B10" s="104" t="s">
        <v>17</v>
      </c>
      <c r="C10" s="104" t="s">
        <v>18</v>
      </c>
      <c r="D10" s="104" t="s">
        <v>19</v>
      </c>
      <c r="E10" s="104" t="s">
        <v>20</v>
      </c>
      <c r="F10" s="104" t="s">
        <v>21</v>
      </c>
      <c r="G10" s="104" t="s">
        <v>22</v>
      </c>
      <c r="H10" s="104" t="s">
        <v>23</v>
      </c>
      <c r="I10" s="104" t="s">
        <v>24</v>
      </c>
      <c r="J10" s="104" t="s">
        <v>25</v>
      </c>
      <c r="K10" s="104" t="s">
        <v>26</v>
      </c>
      <c r="L10" s="104" t="s">
        <v>27</v>
      </c>
      <c r="M10" s="104" t="s">
        <v>28</v>
      </c>
      <c r="N10" s="104" t="s">
        <v>29</v>
      </c>
      <c r="O10" s="104" t="s">
        <v>30</v>
      </c>
      <c r="P10" s="105" t="s">
        <v>31</v>
      </c>
    </row>
    <row r="11" spans="1:16" x14ac:dyDescent="0.3">
      <c r="A11" s="99" t="s">
        <v>12</v>
      </c>
      <c r="B11" s="93">
        <f>(C4*'Fuel Composition'!$J$32/100)+(D4*'Fuel Composition'!$J$6/100)+(E4*'Fuel Composition'!$J$87/100)+(F4*'Fuel Composition'!$J$110/100)+(G4*'Fuel Composition'!$J$135/100)+(H4*'Fuel Composition'!$J$64/100)+(I4*('Loading Loss'!H9/('Loading Loss'!H9+'Loading Loss'!H10)))</f>
        <v>124.23374916007219</v>
      </c>
      <c r="C11" s="93">
        <f>(C4*'Fuel Composition'!$J$33/100)+(E4*'Fuel Composition'!$J$88/100)+(F4*'Fuel Composition'!$J$111/100)</f>
        <v>5.3552810878773061E-3</v>
      </c>
      <c r="D11" s="93">
        <f>G4*'Fuel Composition'!$J$137/100</f>
        <v>0.20829605394005837</v>
      </c>
      <c r="E11" s="93">
        <f>D4*'Fuel Composition'!$J$12/100</f>
        <v>0.16422811019999997</v>
      </c>
      <c r="F11" s="93">
        <f>(D4*'Fuel Composition'!$J$10/100)+(C4*'Fuel Composition'!$J$35/100)+(E4*'Fuel Composition'!$J$89/100)+(F4*'Fuel Composition'!$J$112/100)+(G4*'Fuel Composition'!$J$136/100)+(H4*'Fuel Composition'!$J$74/100)</f>
        <v>8.0505677694006739</v>
      </c>
      <c r="G11" s="93">
        <f>J4*('Loading Loss'!H10/('Loading Loss'!H10+'Loading Loss'!H9))</f>
        <v>4.8056070714499986E-2</v>
      </c>
      <c r="H11" s="93">
        <f>(D4*'Fuel Composition'!$J$7/100)+(C4*'Fuel Composition'!$J$36/100)+(E4*'Fuel Composition'!$J$90/100)+(F4*'Fuel Composition'!$J$113/100)+(H4*'Fuel Composition'!$J$66/100)</f>
        <v>507.17581220481679</v>
      </c>
      <c r="I11" s="93">
        <f>J4*('Loading Loss'!H9/('Loading Loss'!H9+'Loading Loss'!H10))</f>
        <v>45.115927245737993</v>
      </c>
      <c r="J11" s="93">
        <f>(D4*'Fuel Composition'!$J$13/100)+(C4*'Fuel Composition'!$J$37/100)+(E4*'Fuel Composition'!$J$91/100)+(F4*'Fuel Composition'!$J$114/100)+(G4*'Fuel Composition'!$J$138/100)</f>
        <v>4.2626925074506779E-2</v>
      </c>
      <c r="K11" s="93">
        <f>(C4*'Fuel Composition'!$J$39/100)+(E4*'Fuel Composition'!$J$92/100)+(F4*'Fuel Composition'!$J$115/100)</f>
        <v>5.4343494191728556E-2</v>
      </c>
      <c r="L11" s="93">
        <f>(D4*'Fuel Composition'!$J$8/100)+(C4*'Fuel Composition'!$J$40/100)+(E4*'Fuel Composition'!$J$93/100)+(F4*'Fuel Composition'!$J$117/100)+(G4*'Fuel Composition'!$J$139/100)+(H4*'Fuel Composition'!$J$68/100)+(I4*('Loading Loss'!H8/('Loading Loss'!H8+'Loading Loss'!H7)))</f>
        <v>79.749648074465085</v>
      </c>
      <c r="M11" s="93">
        <f>D4*'Fuel Composition'!$J$11/100</f>
        <v>10.948540680000001</v>
      </c>
      <c r="N11" s="94">
        <f>F4*'Fuel Composition'!$J$116/100</f>
        <v>1.048644683065E-3</v>
      </c>
      <c r="O11" s="93">
        <f>(C4*'Fuel Composition'!$J$42/100)+(D4*'Fuel Composition'!$J$9/100)+(E4*'Fuel Composition'!$J$94/100)+(F4*'Fuel Composition'!$J$118/100)+(G4*'Fuel Composition'!$J$140/100)+(H4*'Fuel Composition'!$J$69/100)</f>
        <v>22.594709958763719</v>
      </c>
      <c r="P11" s="100">
        <f>SUM(B11:O11)</f>
        <v>798.3929096731481</v>
      </c>
    </row>
    <row r="12" spans="1:16" x14ac:dyDescent="0.3">
      <c r="A12" s="101" t="s">
        <v>13</v>
      </c>
      <c r="B12" s="61">
        <f>(C5*'Fuel Composition'!$J$32/100)+(D5*'Fuel Composition'!$J$6/100)+(E5*'Fuel Composition'!$J$87/100)+(F5*'Fuel Composition'!$J$110/100)+(G5*'Fuel Composition'!$J$135/100)+(H5*'Fuel Composition'!$J$64/100)+(I5*('Loading Loss'!I9/('Loading Loss'!I9+'Loading Loss'!I10)))</f>
        <v>265.02446264097694</v>
      </c>
      <c r="C12" s="61">
        <f>(C5*'Fuel Composition'!$J$33/100)+(E5*'Fuel Composition'!$J$88/100)+(F5*'Fuel Composition'!$J$111/100)</f>
        <v>5.3750481814666112E-3</v>
      </c>
      <c r="D12" s="61">
        <f>G5*'Fuel Composition'!$J$137/100</f>
        <v>0.52074041977114338</v>
      </c>
      <c r="E12" s="61">
        <f>D5*'Fuel Composition'!$J$12/100</f>
        <v>0.31020865259999997</v>
      </c>
      <c r="F12" s="61">
        <f>(D5*'Fuel Composition'!$J$10/100)+(C5*'Fuel Composition'!$J$35/100)+(E5*'Fuel Composition'!$J$89/100)+(F5*'Fuel Composition'!$J$112/100)+(G5*'Fuel Composition'!$J$136/100)+(H5*'Fuel Composition'!$J$74/100)</f>
        <v>16.851094801486923</v>
      </c>
      <c r="G12" s="61">
        <f>J5*('Loading Loss'!I10/('Loading Loss'!I10+'Loading Loss'!I9))</f>
        <v>0.1201417832605</v>
      </c>
      <c r="H12" s="61">
        <f>(D5*'Fuel Composition'!$J$7/100)+(C5*'Fuel Composition'!$J$36/100)+(E5*'Fuel Composition'!$J$90/100)+(F5*'Fuel Composition'!$J$113/100)+(H5*'Fuel Composition'!$J$66/100)</f>
        <v>1016.4415479289017</v>
      </c>
      <c r="I12" s="61">
        <f>J5*('Loading Loss'!I9/('Loading Loss'!I10+'Loading Loss'!I9))</f>
        <v>112.78981650787074</v>
      </c>
      <c r="J12" s="61">
        <f>(D5*'Fuel Composition'!$J$13/100)+(C5*'Fuel Composition'!$J$37/100)+(E5*'Fuel Composition'!$J$91/100)+(F5*'Fuel Composition'!$J$114/100)+(G5*'Fuel Composition'!$J$138/100)</f>
        <v>6.2566881794324028E-2</v>
      </c>
      <c r="K12" s="61">
        <f>(C5*'Fuel Composition'!$J$39/100)+(E5*'Fuel Composition'!$J$92/100)+(F5*'Fuel Composition'!$J$115/100)</f>
        <v>5.572719074297991E-2</v>
      </c>
      <c r="L12" s="61">
        <f>(D5*'Fuel Composition'!$J$8/100)+(C5*'Fuel Composition'!$J$40/100)+(E5*'Fuel Composition'!$J$93/100)+(F5*'Fuel Composition'!$J$117/100)+(G5*'Fuel Composition'!$J$139/100)+(H5*'Fuel Composition'!$J$68/100)+(I5*('Loading Loss'!I8/('Loading Loss'!I8+'Loading Loss'!I7)))</f>
        <v>159.2976772501631</v>
      </c>
      <c r="M12" s="61">
        <f>D5*'Fuel Composition'!$J$11/100</f>
        <v>20.680576840000004</v>
      </c>
      <c r="N12" s="92">
        <f>F5*'Fuel Composition'!$J$116/100</f>
        <v>2.6216107234170007E-3</v>
      </c>
      <c r="O12" s="61">
        <f>(C5*'Fuel Composition'!$J$42/100)+(D5*'Fuel Composition'!$J$9/100)+(E5*'Fuel Composition'!$J$94/100)+(F5*'Fuel Composition'!$J$118/100)+(G5*'Fuel Composition'!$J$140/100)+(H5*'Fuel Composition'!$J$69/100)</f>
        <v>41.867292214684497</v>
      </c>
      <c r="P12" s="102">
        <f>SUM(B12:O12)</f>
        <v>1634.0298497711578</v>
      </c>
    </row>
    <row r="13" spans="1:16" ht="15" thickBot="1" x14ac:dyDescent="0.35">
      <c r="A13" s="95" t="s">
        <v>14</v>
      </c>
      <c r="B13" s="77">
        <f>AVERAGE(B11:B12)</f>
        <v>194.62910590052456</v>
      </c>
      <c r="C13" s="77">
        <f t="shared" ref="C13:O13" si="2">AVERAGE(C11:C12)</f>
        <v>5.3651646346719586E-3</v>
      </c>
      <c r="D13" s="77">
        <f t="shared" si="2"/>
        <v>0.36451823685560086</v>
      </c>
      <c r="E13" s="77">
        <f t="shared" si="2"/>
        <v>0.23721838139999996</v>
      </c>
      <c r="F13" s="77">
        <f t="shared" si="2"/>
        <v>12.450831285443797</v>
      </c>
      <c r="G13" s="77">
        <f t="shared" si="2"/>
        <v>8.4098926987499989E-2</v>
      </c>
      <c r="H13" s="77">
        <f t="shared" si="2"/>
        <v>761.80868006685932</v>
      </c>
      <c r="I13" s="77">
        <f t="shared" si="2"/>
        <v>78.952871876804366</v>
      </c>
      <c r="J13" s="77">
        <f t="shared" si="2"/>
        <v>5.2596903434415407E-2</v>
      </c>
      <c r="K13" s="77">
        <f t="shared" si="2"/>
        <v>5.5035342467354233E-2</v>
      </c>
      <c r="L13" s="77">
        <f t="shared" si="2"/>
        <v>119.52366266231409</v>
      </c>
      <c r="M13" s="77">
        <f t="shared" si="2"/>
        <v>15.814558760000002</v>
      </c>
      <c r="N13" s="77">
        <f t="shared" si="2"/>
        <v>1.8351277032410004E-3</v>
      </c>
      <c r="O13" s="77">
        <f t="shared" si="2"/>
        <v>32.231001086724106</v>
      </c>
      <c r="P13" s="96">
        <f>SUM(B13:O13)</f>
        <v>1216.2113797221532</v>
      </c>
    </row>
    <row r="21" spans="1:17" x14ac:dyDescent="0.3">
      <c r="B21" s="245" t="s">
        <v>40</v>
      </c>
      <c r="C21" s="245"/>
      <c r="D21" s="245"/>
      <c r="E21" s="245"/>
      <c r="F21" s="245"/>
      <c r="I21" s="248" t="s">
        <v>249</v>
      </c>
      <c r="J21" s="249"/>
      <c r="K21" s="250"/>
      <c r="L21" s="56"/>
    </row>
    <row r="22" spans="1:17" x14ac:dyDescent="0.3">
      <c r="B22" s="245" t="s">
        <v>250</v>
      </c>
      <c r="C22" s="245"/>
      <c r="D22" s="245"/>
      <c r="E22" s="245"/>
      <c r="F22" s="246" t="s">
        <v>251</v>
      </c>
      <c r="I22" s="248" t="s">
        <v>250</v>
      </c>
      <c r="J22" s="249"/>
      <c r="K22" s="250"/>
      <c r="L22" s="246" t="s">
        <v>251</v>
      </c>
    </row>
    <row r="23" spans="1:17" ht="43.2" x14ac:dyDescent="0.3">
      <c r="B23" s="59" t="s">
        <v>252</v>
      </c>
      <c r="C23" s="59" t="s">
        <v>253</v>
      </c>
      <c r="D23" s="59" t="s">
        <v>50</v>
      </c>
      <c r="E23" s="59" t="s">
        <v>254</v>
      </c>
      <c r="F23" s="247"/>
      <c r="I23" s="55" t="s">
        <v>252</v>
      </c>
      <c r="J23" s="55" t="s">
        <v>253</v>
      </c>
      <c r="K23" s="55" t="s">
        <v>254</v>
      </c>
      <c r="L23" s="251"/>
    </row>
    <row r="24" spans="1:17" x14ac:dyDescent="0.3">
      <c r="A24" s="60" t="s">
        <v>52</v>
      </c>
      <c r="B24" s="61"/>
      <c r="C24" s="61"/>
      <c r="D24" s="61"/>
      <c r="E24" s="61"/>
      <c r="F24" s="61"/>
      <c r="H24" s="56" t="s">
        <v>52</v>
      </c>
      <c r="I24" s="57"/>
      <c r="J24" s="58"/>
      <c r="K24" s="58"/>
      <c r="L24" s="58"/>
      <c r="O24" t="s">
        <v>101</v>
      </c>
    </row>
    <row r="25" spans="1:17" x14ac:dyDescent="0.3">
      <c r="A25" s="61" t="s">
        <v>262</v>
      </c>
      <c r="B25" s="61">
        <v>3456350</v>
      </c>
      <c r="C25" s="61">
        <f>172141+458537</f>
        <v>630678</v>
      </c>
      <c r="D25" s="61">
        <v>392413</v>
      </c>
      <c r="E25" s="61">
        <v>238266</v>
      </c>
      <c r="F25" s="65">
        <f>E25/(P13*0.97)</f>
        <v>201.9674010964342</v>
      </c>
      <c r="H25" s="62" t="s">
        <v>262</v>
      </c>
      <c r="I25" s="57">
        <v>1163987</v>
      </c>
      <c r="J25" s="58">
        <f>278778+172016</f>
        <v>450794</v>
      </c>
      <c r="K25" s="58">
        <v>450793</v>
      </c>
      <c r="L25" s="64">
        <f>K25/(P13*0.97)</f>
        <v>382.11700638137569</v>
      </c>
      <c r="O25" t="s">
        <v>109</v>
      </c>
    </row>
    <row r="26" spans="1:17" x14ac:dyDescent="0.3">
      <c r="A26" s="67"/>
      <c r="B26" s="67"/>
      <c r="C26" s="67"/>
      <c r="D26" s="67"/>
      <c r="E26" s="67"/>
      <c r="F26" s="116"/>
      <c r="H26" s="117"/>
      <c r="I26" s="67"/>
      <c r="J26" s="67"/>
      <c r="K26" s="67"/>
      <c r="L26" s="116"/>
    </row>
    <row r="27" spans="1:17" x14ac:dyDescent="0.3">
      <c r="A27" s="67"/>
      <c r="B27" s="67"/>
      <c r="C27" s="67"/>
      <c r="D27" s="67"/>
      <c r="E27" s="67"/>
      <c r="F27" s="116"/>
      <c r="H27" s="117"/>
      <c r="I27" s="67"/>
      <c r="J27" s="67"/>
      <c r="K27" s="67"/>
      <c r="L27" s="116"/>
    </row>
    <row r="28" spans="1:17" x14ac:dyDescent="0.3">
      <c r="A28" s="67"/>
      <c r="B28" s="67"/>
      <c r="C28" s="67"/>
      <c r="D28" s="67"/>
      <c r="E28" s="67"/>
      <c r="F28" s="116"/>
      <c r="H28" s="117"/>
      <c r="I28" s="67"/>
      <c r="J28" s="67"/>
      <c r="K28" s="67"/>
      <c r="L28" s="116"/>
    </row>
    <row r="29" spans="1:17" x14ac:dyDescent="0.3">
      <c r="N29" s="53" t="s">
        <v>110</v>
      </c>
      <c r="O29">
        <v>1286.2715029999999</v>
      </c>
      <c r="P29">
        <f>H7</f>
        <v>0.42504504177272751</v>
      </c>
      <c r="Q29">
        <f>P29*O29</f>
        <v>546.72332472370397</v>
      </c>
    </row>
    <row r="30" spans="1:17" x14ac:dyDescent="0.3">
      <c r="N30" s="53" t="s">
        <v>3</v>
      </c>
      <c r="O30">
        <v>1.2751151300000001</v>
      </c>
      <c r="P30">
        <f>E7</f>
        <v>1.1891304751778146E-4</v>
      </c>
      <c r="Q30">
        <f t="shared" ref="Q30:Q38" si="3">P30*O30</f>
        <v>1.516278260443321E-4</v>
      </c>
    </row>
    <row r="31" spans="1:17" x14ac:dyDescent="0.3">
      <c r="A31" s="84" t="s">
        <v>55</v>
      </c>
      <c r="N31" s="53" t="s">
        <v>111</v>
      </c>
      <c r="O31">
        <v>1.1098224249999999</v>
      </c>
      <c r="P31">
        <f>F7</f>
        <v>9.4625094855337684E-4</v>
      </c>
      <c r="Q31">
        <f t="shared" si="3"/>
        <v>1.0501705223820588E-3</v>
      </c>
    </row>
    <row r="32" spans="1:17" x14ac:dyDescent="0.3">
      <c r="A32" t="s">
        <v>263</v>
      </c>
      <c r="N32" s="53" t="s">
        <v>112</v>
      </c>
      <c r="O32">
        <v>0.76152708999999996</v>
      </c>
      <c r="P32">
        <f>G7</f>
        <v>1.0946845842829293E-4</v>
      </c>
      <c r="Q32">
        <f t="shared" si="3"/>
        <v>8.3363196593683886E-5</v>
      </c>
    </row>
    <row r="33" spans="1:18" ht="18" x14ac:dyDescent="0.35">
      <c r="A33" t="s">
        <v>57</v>
      </c>
      <c r="C33" s="68"/>
      <c r="D33" s="69"/>
      <c r="N33" s="53" t="s">
        <v>113</v>
      </c>
      <c r="O33">
        <v>142.94701755</v>
      </c>
      <c r="P33">
        <f>I7/2</f>
        <v>1.5084463475487639E-3</v>
      </c>
      <c r="Q33">
        <f t="shared" si="3"/>
        <v>0.21562790651628655</v>
      </c>
    </row>
    <row r="34" spans="1:18" ht="18" x14ac:dyDescent="0.35">
      <c r="A34" t="s">
        <v>264</v>
      </c>
      <c r="C34" s="68"/>
      <c r="D34" s="69"/>
      <c r="N34" s="53" t="s">
        <v>114</v>
      </c>
      <c r="O34">
        <v>49.951544050000003</v>
      </c>
      <c r="P34">
        <f>P33</f>
        <v>1.5084463475487639E-3</v>
      </c>
      <c r="Q34">
        <f t="shared" si="3"/>
        <v>7.5349224176643692E-2</v>
      </c>
    </row>
    <row r="35" spans="1:18" ht="18" x14ac:dyDescent="0.35">
      <c r="C35" s="68"/>
      <c r="D35" s="69"/>
      <c r="N35" s="53" t="s">
        <v>115</v>
      </c>
      <c r="O35">
        <v>58.507949300000007</v>
      </c>
      <c r="P35">
        <f>J7/2</f>
        <v>2.0377003862398742E-3</v>
      </c>
      <c r="Q35">
        <f t="shared" si="3"/>
        <v>0.119221670886713</v>
      </c>
    </row>
    <row r="36" spans="1:18" ht="18" x14ac:dyDescent="0.35">
      <c r="C36" s="68"/>
      <c r="D36" s="69"/>
      <c r="N36" s="53" t="s">
        <v>116</v>
      </c>
      <c r="O36">
        <v>6.2321250000000002E-2</v>
      </c>
      <c r="P36">
        <f>P35</f>
        <v>2.0377003862398742E-3</v>
      </c>
      <c r="Q36">
        <f t="shared" si="3"/>
        <v>1.2699203519595176E-4</v>
      </c>
    </row>
    <row r="37" spans="1:18" ht="18" x14ac:dyDescent="0.35">
      <c r="C37" s="68"/>
      <c r="D37" s="69"/>
      <c r="N37" s="53" t="s">
        <v>258</v>
      </c>
      <c r="O37" s="53">
        <v>240.15727999999999</v>
      </c>
      <c r="P37">
        <f>C7</f>
        <v>0.27545603790941481</v>
      </c>
      <c r="Q37">
        <f t="shared" si="3"/>
        <v>66.152772823901941</v>
      </c>
    </row>
    <row r="38" spans="1:18" ht="18" x14ac:dyDescent="0.35">
      <c r="C38" s="68"/>
      <c r="D38" s="69"/>
      <c r="N38" s="53" t="s">
        <v>2</v>
      </c>
      <c r="O38">
        <v>309.52380950000003</v>
      </c>
      <c r="P38">
        <f>D7</f>
        <v>0.29123199439578107</v>
      </c>
      <c r="Q38">
        <f t="shared" si="3"/>
        <v>90.143236353664818</v>
      </c>
    </row>
    <row r="39" spans="1:18" ht="18" x14ac:dyDescent="0.35">
      <c r="C39" s="68"/>
      <c r="D39" s="69"/>
      <c r="P39">
        <f>SUM(P29:P38)</f>
        <v>1</v>
      </c>
      <c r="Q39">
        <f>SUM(Q29:Q38)</f>
        <v>703.43094485643076</v>
      </c>
      <c r="R39" t="s">
        <v>259</v>
      </c>
    </row>
    <row r="40" spans="1:18" ht="18" x14ac:dyDescent="0.35">
      <c r="C40" s="68"/>
      <c r="D40" s="69"/>
    </row>
  </sheetData>
  <mergeCells count="11">
    <mergeCell ref="L22:L23"/>
    <mergeCell ref="A1:K1"/>
    <mergeCell ref="A4:A6"/>
    <mergeCell ref="A3:B3"/>
    <mergeCell ref="A7:B7"/>
    <mergeCell ref="A9:P9"/>
    <mergeCell ref="B21:F21"/>
    <mergeCell ref="B22:E22"/>
    <mergeCell ref="F22:F23"/>
    <mergeCell ref="I21:K21"/>
    <mergeCell ref="I22:K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3914-4AB7-4788-BAD3-A04E55A25B41}">
  <dimension ref="A1:D27"/>
  <sheetViews>
    <sheetView workbookViewId="0">
      <selection activeCell="J26" sqref="J26"/>
    </sheetView>
  </sheetViews>
  <sheetFormatPr defaultRowHeight="14.4" x14ac:dyDescent="0.3"/>
  <cols>
    <col min="1" max="1" width="28.88671875" customWidth="1"/>
    <col min="4" max="4" width="8.88671875" bestFit="1" customWidth="1"/>
  </cols>
  <sheetData>
    <row r="1" spans="1:4" x14ac:dyDescent="0.3">
      <c r="A1" s="261" t="s">
        <v>265</v>
      </c>
      <c r="B1" s="262"/>
      <c r="C1" s="262"/>
      <c r="D1" s="263"/>
    </row>
    <row r="2" spans="1:4" ht="15" thickBot="1" x14ac:dyDescent="0.35">
      <c r="A2" s="123" t="s">
        <v>266</v>
      </c>
      <c r="B2" s="124">
        <v>100000</v>
      </c>
      <c r="C2" s="124">
        <v>500000</v>
      </c>
      <c r="D2" s="125">
        <v>5000000</v>
      </c>
    </row>
    <row r="3" spans="1:4" ht="28.8" x14ac:dyDescent="0.3">
      <c r="A3" s="126" t="s">
        <v>267</v>
      </c>
      <c r="B3" s="93">
        <v>5000</v>
      </c>
      <c r="C3" s="93">
        <v>5000</v>
      </c>
      <c r="D3" s="100">
        <v>5000</v>
      </c>
    </row>
    <row r="4" spans="1:4" ht="15" thickBot="1" x14ac:dyDescent="0.35">
      <c r="A4" s="113" t="s">
        <v>268</v>
      </c>
      <c r="B4" s="77">
        <v>1</v>
      </c>
      <c r="C4" s="77">
        <v>1</v>
      </c>
      <c r="D4" s="96">
        <v>2</v>
      </c>
    </row>
    <row r="5" spans="1:4" ht="15" thickBot="1" x14ac:dyDescent="0.35">
      <c r="A5" s="127"/>
      <c r="B5" s="67"/>
      <c r="C5" s="67"/>
      <c r="D5" s="67"/>
    </row>
    <row r="6" spans="1:4" x14ac:dyDescent="0.3">
      <c r="A6" s="261" t="s">
        <v>40</v>
      </c>
      <c r="B6" s="262"/>
      <c r="C6" s="262"/>
      <c r="D6" s="263"/>
    </row>
    <row r="7" spans="1:4" ht="15" thickBot="1" x14ac:dyDescent="0.35">
      <c r="A7" s="123" t="s">
        <v>266</v>
      </c>
      <c r="B7" s="124">
        <v>100000</v>
      </c>
      <c r="C7" s="124">
        <v>500000</v>
      </c>
      <c r="D7" s="125">
        <v>5000000</v>
      </c>
    </row>
    <row r="8" spans="1:4" x14ac:dyDescent="0.3">
      <c r="A8" s="101" t="s">
        <v>269</v>
      </c>
      <c r="B8" s="61">
        <v>2023</v>
      </c>
      <c r="C8" s="61">
        <v>2023</v>
      </c>
      <c r="D8" s="102">
        <v>2023</v>
      </c>
    </row>
    <row r="9" spans="1:4" x14ac:dyDescent="0.3">
      <c r="A9" s="101" t="s">
        <v>270</v>
      </c>
      <c r="B9" s="61">
        <v>7.5</v>
      </c>
      <c r="C9" s="61">
        <v>7.5</v>
      </c>
      <c r="D9" s="102">
        <v>7.5</v>
      </c>
    </row>
    <row r="10" spans="1:4" x14ac:dyDescent="0.3">
      <c r="A10" s="129" t="s">
        <v>271</v>
      </c>
      <c r="B10" s="61" t="s">
        <v>113</v>
      </c>
      <c r="C10" s="61" t="s">
        <v>113</v>
      </c>
      <c r="D10" s="102" t="s">
        <v>113</v>
      </c>
    </row>
    <row r="11" spans="1:4" x14ac:dyDescent="0.3">
      <c r="A11" s="129" t="s">
        <v>272</v>
      </c>
      <c r="B11" s="61">
        <v>520</v>
      </c>
      <c r="C11" s="61">
        <v>2400</v>
      </c>
      <c r="D11" s="102">
        <v>8760</v>
      </c>
    </row>
    <row r="12" spans="1:4" x14ac:dyDescent="0.3">
      <c r="A12" s="129" t="s">
        <v>273</v>
      </c>
      <c r="B12" s="61">
        <v>110</v>
      </c>
      <c r="C12" s="61">
        <v>1080</v>
      </c>
      <c r="D12" s="102">
        <v>8760</v>
      </c>
    </row>
    <row r="13" spans="1:4" x14ac:dyDescent="0.3">
      <c r="A13" s="101" t="s">
        <v>274</v>
      </c>
      <c r="B13" s="61">
        <v>546</v>
      </c>
      <c r="C13" s="61">
        <v>546</v>
      </c>
      <c r="D13" s="102">
        <v>1092</v>
      </c>
    </row>
    <row r="14" spans="1:4" x14ac:dyDescent="0.3">
      <c r="A14" s="130" t="s">
        <v>275</v>
      </c>
      <c r="B14" s="131">
        <v>97</v>
      </c>
      <c r="C14" s="131">
        <v>97</v>
      </c>
      <c r="D14" s="132">
        <v>97</v>
      </c>
    </row>
    <row r="15" spans="1:4" ht="15" thickBot="1" x14ac:dyDescent="0.35">
      <c r="A15" s="113" t="s">
        <v>276</v>
      </c>
      <c r="B15" s="77">
        <v>672</v>
      </c>
      <c r="C15" s="77">
        <v>672</v>
      </c>
      <c r="D15" s="96">
        <v>672</v>
      </c>
    </row>
    <row r="17" spans="1:4" ht="15" thickBot="1" x14ac:dyDescent="0.35"/>
    <row r="18" spans="1:4" x14ac:dyDescent="0.3">
      <c r="A18" s="261" t="s">
        <v>41</v>
      </c>
      <c r="B18" s="262"/>
      <c r="C18" s="262"/>
      <c r="D18" s="263"/>
    </row>
    <row r="19" spans="1:4" ht="15" thickBot="1" x14ac:dyDescent="0.35">
      <c r="A19" s="123" t="s">
        <v>266</v>
      </c>
      <c r="B19" s="124">
        <v>100000</v>
      </c>
      <c r="C19" s="124">
        <v>500000</v>
      </c>
      <c r="D19" s="125">
        <v>5000000</v>
      </c>
    </row>
    <row r="20" spans="1:4" x14ac:dyDescent="0.3">
      <c r="A20" s="101" t="s">
        <v>269</v>
      </c>
      <c r="B20" s="61">
        <v>2021</v>
      </c>
      <c r="C20" s="61">
        <v>2021</v>
      </c>
      <c r="D20" s="102">
        <v>2021</v>
      </c>
    </row>
    <row r="21" spans="1:4" x14ac:dyDescent="0.3">
      <c r="A21" s="101" t="s">
        <v>270</v>
      </c>
      <c r="B21" s="61">
        <v>5.5</v>
      </c>
      <c r="C21" s="61">
        <v>5.5</v>
      </c>
      <c r="D21" s="102">
        <v>5.5</v>
      </c>
    </row>
    <row r="22" spans="1:4" x14ac:dyDescent="0.3">
      <c r="A22" s="129" t="s">
        <v>272</v>
      </c>
      <c r="B22" s="61">
        <v>520</v>
      </c>
      <c r="C22" s="61">
        <v>2400</v>
      </c>
      <c r="D22" s="102">
        <v>8760</v>
      </c>
    </row>
    <row r="23" spans="1:4" x14ac:dyDescent="0.3">
      <c r="A23" s="129" t="s">
        <v>273</v>
      </c>
      <c r="B23" s="61">
        <v>110</v>
      </c>
      <c r="C23" s="61">
        <v>1080</v>
      </c>
      <c r="D23" s="102">
        <v>8760</v>
      </c>
    </row>
    <row r="24" spans="1:4" x14ac:dyDescent="0.3">
      <c r="A24" s="101" t="s">
        <v>277</v>
      </c>
      <c r="B24" s="61" t="s">
        <v>2</v>
      </c>
      <c r="C24" s="61" t="s">
        <v>2</v>
      </c>
      <c r="D24" s="102" t="s">
        <v>2</v>
      </c>
    </row>
    <row r="25" spans="1:4" x14ac:dyDescent="0.3">
      <c r="A25" s="130" t="s">
        <v>278</v>
      </c>
      <c r="B25" s="131">
        <v>0</v>
      </c>
      <c r="C25" s="131">
        <v>0</v>
      </c>
      <c r="D25" s="132">
        <v>0</v>
      </c>
    </row>
    <row r="26" spans="1:4" x14ac:dyDescent="0.3">
      <c r="A26" s="130" t="s">
        <v>279</v>
      </c>
      <c r="B26" s="131">
        <v>3.5100000000000001E-3</v>
      </c>
      <c r="C26" s="131">
        <v>3.5100000000000001E-3</v>
      </c>
      <c r="D26" s="132">
        <v>3.5100000000000001E-3</v>
      </c>
    </row>
    <row r="27" spans="1:4" ht="15" thickBot="1" x14ac:dyDescent="0.35">
      <c r="A27" s="113" t="s">
        <v>280</v>
      </c>
      <c r="B27" s="77">
        <v>6.4100000000000004E-2</v>
      </c>
      <c r="C27" s="77">
        <v>6.4100000000000004E-2</v>
      </c>
      <c r="D27" s="96">
        <v>6.4100000000000004E-2</v>
      </c>
    </row>
  </sheetData>
  <mergeCells count="3">
    <mergeCell ref="A1:D1"/>
    <mergeCell ref="A6:D6"/>
    <mergeCell ref="A18:D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FDC5-8848-4E5D-B4FD-ED9429FE3B2A}">
  <dimension ref="A1:Q55"/>
  <sheetViews>
    <sheetView workbookViewId="0">
      <selection activeCell="N16" sqref="N16"/>
    </sheetView>
  </sheetViews>
  <sheetFormatPr defaultRowHeight="14.4" x14ac:dyDescent="0.3"/>
  <cols>
    <col min="1" max="1" width="39.33203125" customWidth="1"/>
    <col min="9" max="9" width="8.6640625" customWidth="1"/>
  </cols>
  <sheetData>
    <row r="1" spans="1:17" x14ac:dyDescent="0.3">
      <c r="B1" t="s">
        <v>2</v>
      </c>
      <c r="C1" t="s">
        <v>258</v>
      </c>
      <c r="D1" t="s">
        <v>281</v>
      </c>
      <c r="E1" t="s">
        <v>3</v>
      </c>
      <c r="F1" t="s">
        <v>282</v>
      </c>
      <c r="G1" t="s">
        <v>283</v>
      </c>
      <c r="H1" s="53" t="s">
        <v>113</v>
      </c>
      <c r="I1" s="53" t="s">
        <v>114</v>
      </c>
      <c r="J1" t="s">
        <v>115</v>
      </c>
      <c r="K1" t="s">
        <v>284</v>
      </c>
      <c r="L1" s="53"/>
      <c r="N1">
        <v>50000</v>
      </c>
      <c r="O1">
        <v>500000</v>
      </c>
      <c r="P1">
        <v>5000000</v>
      </c>
      <c r="Q1">
        <v>25000000</v>
      </c>
    </row>
    <row r="2" spans="1:17" x14ac:dyDescent="0.3">
      <c r="A2" s="2" t="s">
        <v>113</v>
      </c>
      <c r="B2">
        <v>3.31</v>
      </c>
      <c r="C2">
        <v>0.91106609999999999</v>
      </c>
      <c r="D2">
        <v>17.338290300000001</v>
      </c>
      <c r="E2">
        <v>1.84425E-3</v>
      </c>
      <c r="F2">
        <v>7.1400000000000001E-5</v>
      </c>
      <c r="G2">
        <v>1.5042499999999998E-4</v>
      </c>
      <c r="H2">
        <v>1.6471260000000001</v>
      </c>
      <c r="I2" s="2"/>
      <c r="L2" s="53"/>
      <c r="N2" s="63">
        <f>($B2*$D$38)+($C$38*$C2)+($H$38*$D2)+($E$38*$E2)+($F2*$F$38)+($G2*$G$38)+($H2*$I$38/2)+($I2*$I$38/2)+($J2*$J$38/2)+($K2*$J$38/2)</f>
        <v>4.2584066655383097</v>
      </c>
      <c r="O2" s="63">
        <f>($B2*$D$39)+($C$39*$C2)+($H$39*$D2)+($E$39*$E2)+($F2*$F$39)+($G2*$G$39)+($H2*$I$39/2)+($I2*$I$39/2)+($J2*$J$39/2)+($K2*$J$39/2)</f>
        <v>7.5915730354286746</v>
      </c>
      <c r="P2" s="63">
        <f>($B2*$D$40)+($C$40*$C2)+($H$40*$D2)+($E$40*$E2)+($F2*$F$40)+($G2*$G$40)+($H2*$I$40/2)+($I2*$I$40/2)+($J2*$J$40/2)+($K2*$J$40/2)</f>
        <v>8.6407319459113765</v>
      </c>
      <c r="Q2" s="63">
        <f>($B2*$D$41)+($C$41*$C2)+($H$41*$D2)+($E$41*$E2)+($F2*$F$41)+($G2*$G$41)+($H2*$I$41/2)+($I2*$I$41/2)+($J2*$J$41/2)+($K2*$J$41/2)</f>
        <v>6.6972543982366357</v>
      </c>
    </row>
    <row r="3" spans="1:17" x14ac:dyDescent="0.3">
      <c r="A3" s="2" t="s">
        <v>181</v>
      </c>
      <c r="C3">
        <v>3.0489999999999998E-4</v>
      </c>
      <c r="E3">
        <v>1.3763E-5</v>
      </c>
      <c r="F3">
        <v>2.2205000000000002E-6</v>
      </c>
      <c r="I3" s="2"/>
      <c r="L3" s="53"/>
      <c r="N3">
        <f t="shared" ref="N3:N29" si="0">(B3*$D$38)+($C$38*C3)+($H$38*D3)+($E$38*E3)+(F3*$F$38)+(G3*$G$38)+(H3*$I$38/2)+(I3*$I$38/2)+(J3*$J$38/2)+(K3*$J$38/2)</f>
        <v>5.8965347049868473E-5</v>
      </c>
      <c r="O3">
        <f t="shared" ref="O3:O29" si="1">($B3*$D$39)+($C$39*$C3)+($H$39*$D3)+($E$39*$E3)+($F3*$F$39)+($G3*$G$39)+($H3*$I$39/2)+($I3*$I$39/2)+($J3*$J$39/2)+($K3*$J$39/2)</f>
        <v>7.5987794413381394E-5</v>
      </c>
      <c r="P3">
        <f t="shared" ref="P3:P29" si="2">($B3*$D$40)+($C$40*$C3)+($H$40*$D3)+($E$40*$E3)+($F3*$F$40)+($G3*$G$40)+($H3*$I$40/2)+($I3*$I$40/2)+($J3*$J$40/2)+($K3*$J$40/2)</f>
        <v>9.4405992892855375E-6</v>
      </c>
      <c r="Q3">
        <f t="shared" ref="Q3:Q29" si="3">($B3*$D$41)+($C$41*$C3)+($H$41*$D3)+($E$41*$E3)+($F3*$F$41)+($G3*$G$41)+($H3*$I$41/2)+($I3*$I$41/2)+($J3*$J$41/2)+($K3*$J$41/2)</f>
        <v>1.3837573549464196E-4</v>
      </c>
    </row>
    <row r="4" spans="1:17" x14ac:dyDescent="0.3">
      <c r="A4" s="2" t="s">
        <v>152</v>
      </c>
      <c r="B4">
        <v>3.32</v>
      </c>
      <c r="C4">
        <v>8.1213815</v>
      </c>
      <c r="D4">
        <v>132.16095200000001</v>
      </c>
      <c r="E4">
        <v>3.7212E-3</v>
      </c>
      <c r="F4">
        <v>0.14407704999999998</v>
      </c>
      <c r="I4" s="2"/>
      <c r="L4" s="53"/>
      <c r="N4" s="63">
        <f t="shared" si="0"/>
        <v>18.874113344674928</v>
      </c>
      <c r="O4" s="63">
        <f t="shared" si="1"/>
        <v>50.306184575570661</v>
      </c>
      <c r="P4" s="63">
        <f t="shared" si="2"/>
        <v>53.496403170071979</v>
      </c>
      <c r="Q4" s="63">
        <f t="shared" si="3"/>
        <v>46.759558045133119</v>
      </c>
    </row>
    <row r="5" spans="1:17" x14ac:dyDescent="0.3">
      <c r="A5" s="2" t="s">
        <v>153</v>
      </c>
      <c r="B5">
        <v>4.3049999999999997</v>
      </c>
      <c r="C5">
        <v>0.52073290000000005</v>
      </c>
      <c r="D5">
        <v>8.3899709999999992</v>
      </c>
      <c r="E5">
        <v>1.740235E-2</v>
      </c>
      <c r="F5">
        <v>8.2929999999999994E-4</v>
      </c>
      <c r="G5">
        <v>2.6199999999999997E-4</v>
      </c>
      <c r="I5">
        <v>0.58276799999999995</v>
      </c>
      <c r="L5" s="53"/>
      <c r="N5" s="63">
        <f t="shared" si="0"/>
        <v>3.7647601482221749</v>
      </c>
      <c r="O5" s="63">
        <f t="shared" si="1"/>
        <v>4.6578524827171321</v>
      </c>
      <c r="P5" s="63">
        <f t="shared" si="2"/>
        <v>5.7072742864295014</v>
      </c>
      <c r="Q5" s="63">
        <f t="shared" si="3"/>
        <v>3.870261774997255</v>
      </c>
    </row>
    <row r="6" spans="1:17" x14ac:dyDescent="0.3">
      <c r="A6" s="2" t="s">
        <v>154</v>
      </c>
      <c r="B6">
        <v>1.2749999999999999</v>
      </c>
      <c r="C6">
        <v>0.25126300000000001</v>
      </c>
      <c r="D6">
        <v>2.3362370000000001</v>
      </c>
      <c r="E6">
        <v>1.23807E-2</v>
      </c>
      <c r="F6">
        <v>2.2419999999999997E-4</v>
      </c>
      <c r="G6">
        <v>1.69395E-4</v>
      </c>
      <c r="I6" s="2"/>
      <c r="N6">
        <f t="shared" si="0"/>
        <v>1.1151135085030348</v>
      </c>
      <c r="O6">
        <f t="shared" si="1"/>
        <v>1.3502785135046058</v>
      </c>
      <c r="P6">
        <f t="shared" si="2"/>
        <v>1.6348803196487189</v>
      </c>
      <c r="Q6">
        <f t="shared" si="3"/>
        <v>1.142477162214832</v>
      </c>
    </row>
    <row r="7" spans="1:17" x14ac:dyDescent="0.3">
      <c r="A7" s="2" t="s">
        <v>155</v>
      </c>
      <c r="B7">
        <v>0.315</v>
      </c>
      <c r="C7">
        <v>6.6537799999999994E-2</v>
      </c>
      <c r="D7">
        <v>1.8135994</v>
      </c>
      <c r="E7">
        <v>5.5123500000000001E-3</v>
      </c>
      <c r="F7">
        <v>1.0925999999999999E-4</v>
      </c>
      <c r="G7">
        <v>3.1149999999999998E-5</v>
      </c>
      <c r="I7" s="2"/>
      <c r="N7">
        <f t="shared" si="0"/>
        <v>0.41881575648565811</v>
      </c>
      <c r="O7">
        <f t="shared" si="1"/>
        <v>0.77531844803468664</v>
      </c>
      <c r="P7">
        <f t="shared" si="2"/>
        <v>0.88466300824487487</v>
      </c>
      <c r="Q7">
        <f t="shared" si="3"/>
        <v>0.68043481012270712</v>
      </c>
    </row>
    <row r="8" spans="1:17" x14ac:dyDescent="0.3">
      <c r="A8" s="2" t="s">
        <v>156</v>
      </c>
      <c r="B8">
        <v>1.1600000000000001</v>
      </c>
      <c r="I8" s="2"/>
      <c r="N8">
        <f t="shared" si="0"/>
        <v>0.72543537333076291</v>
      </c>
      <c r="O8">
        <f t="shared" si="1"/>
        <v>0.4140690704614341</v>
      </c>
      <c r="P8">
        <f t="shared" si="2"/>
        <v>0.65412358214151656</v>
      </c>
      <c r="Q8">
        <f t="shared" si="3"/>
        <v>0.25465944005763641</v>
      </c>
    </row>
    <row r="9" spans="1:17" x14ac:dyDescent="0.3">
      <c r="A9" s="2" t="s">
        <v>185</v>
      </c>
      <c r="C9">
        <v>1.931E-3</v>
      </c>
      <c r="E9">
        <v>1.039E-3</v>
      </c>
      <c r="F9">
        <v>1.6716499999999998E-5</v>
      </c>
      <c r="I9" s="2"/>
      <c r="N9">
        <f t="shared" si="0"/>
        <v>3.7349549103825861E-4</v>
      </c>
      <c r="O9">
        <f t="shared" si="1"/>
        <v>4.8138147713052678E-4</v>
      </c>
      <c r="P9">
        <f t="shared" si="2"/>
        <v>6.050416550297965E-5</v>
      </c>
      <c r="Q9">
        <f t="shared" si="3"/>
        <v>8.7645174359562939E-4</v>
      </c>
    </row>
    <row r="10" spans="1:17" x14ac:dyDescent="0.3">
      <c r="A10" s="2" t="s">
        <v>285</v>
      </c>
      <c r="G10">
        <v>0.13236565</v>
      </c>
      <c r="I10" s="2"/>
      <c r="N10">
        <f t="shared" si="0"/>
        <v>2.405653736170656E-4</v>
      </c>
      <c r="O10">
        <f t="shared" si="1"/>
        <v>8.3346827133224757E-5</v>
      </c>
      <c r="P10">
        <f t="shared" si="2"/>
        <v>1.8161642498729507E-5</v>
      </c>
      <c r="Q10">
        <f t="shared" si="3"/>
        <v>1.0922624537924311E-5</v>
      </c>
    </row>
    <row r="11" spans="1:17" x14ac:dyDescent="0.3">
      <c r="A11" s="2" t="s">
        <v>157</v>
      </c>
      <c r="B11">
        <v>1.4999999999999999E-2</v>
      </c>
      <c r="I11" s="2"/>
      <c r="N11">
        <f t="shared" si="0"/>
        <v>9.3806298275529668E-3</v>
      </c>
      <c r="O11">
        <f t="shared" si="1"/>
        <v>5.3543414283806125E-3</v>
      </c>
      <c r="P11">
        <f t="shared" si="2"/>
        <v>8.4584945966575398E-3</v>
      </c>
      <c r="Q11">
        <f t="shared" si="3"/>
        <v>3.2930100007452973E-3</v>
      </c>
    </row>
    <row r="12" spans="1:17" x14ac:dyDescent="0.3">
      <c r="A12" s="2" t="s">
        <v>217</v>
      </c>
      <c r="F12">
        <v>1.7227E-4</v>
      </c>
      <c r="I12" s="2"/>
      <c r="N12">
        <f t="shared" si="0"/>
        <v>4.6783228806251523E-7</v>
      </c>
      <c r="O12">
        <f t="shared" si="1"/>
        <v>3.6607257529956736E-7</v>
      </c>
      <c r="P12">
        <f t="shared" si="2"/>
        <v>2.6970389307085772E-7</v>
      </c>
      <c r="Q12">
        <f t="shared" si="3"/>
        <v>1.2287928844709002E-7</v>
      </c>
    </row>
    <row r="13" spans="1:17" x14ac:dyDescent="0.3">
      <c r="A13" s="2" t="s">
        <v>115</v>
      </c>
      <c r="I13" s="2"/>
      <c r="J13">
        <v>0.74464649999999999</v>
      </c>
      <c r="N13">
        <f t="shared" si="0"/>
        <v>1.6283426697353474E-2</v>
      </c>
      <c r="O13">
        <f t="shared" si="1"/>
        <v>1.0922765230317467E-2</v>
      </c>
      <c r="P13">
        <f t="shared" si="2"/>
        <v>2.3248388358251123E-3</v>
      </c>
      <c r="Q13">
        <f t="shared" si="3"/>
        <v>1.1438081497244564E-3</v>
      </c>
    </row>
    <row r="14" spans="1:17" x14ac:dyDescent="0.3">
      <c r="A14" s="2" t="s">
        <v>284</v>
      </c>
      <c r="I14" s="2"/>
      <c r="K14">
        <v>5.7200000000000003E-4</v>
      </c>
      <c r="N14">
        <f t="shared" si="0"/>
        <v>1.2508109647847921E-5</v>
      </c>
      <c r="O14" s="66">
        <f t="shared" si="1"/>
        <v>8.390319046341576E-6</v>
      </c>
      <c r="P14">
        <f t="shared" si="2"/>
        <v>1.7858242993043873E-6</v>
      </c>
      <c r="Q14">
        <f t="shared" si="3"/>
        <v>8.7861590921650623E-7</v>
      </c>
    </row>
    <row r="15" spans="1:17" x14ac:dyDescent="0.3">
      <c r="A15" s="11" t="s">
        <v>158</v>
      </c>
      <c r="B15">
        <v>0</v>
      </c>
      <c r="C15">
        <v>1.0744000000000001E-3</v>
      </c>
      <c r="E15">
        <v>8.1164999999999991E-4</v>
      </c>
      <c r="F15">
        <v>1.17885E-4</v>
      </c>
      <c r="G15">
        <v>3.6124999999999997E-5</v>
      </c>
      <c r="I15" s="2"/>
      <c r="N15">
        <f t="shared" si="0"/>
        <v>2.0818346527010664E-4</v>
      </c>
      <c r="O15">
        <f t="shared" si="1"/>
        <v>2.6812348281568847E-4</v>
      </c>
      <c r="P15">
        <f t="shared" si="2"/>
        <v>3.4013566464981206E-5</v>
      </c>
      <c r="Q15">
        <f t="shared" si="3"/>
        <v>4.8775530629251401E-4</v>
      </c>
    </row>
    <row r="16" spans="1:17" x14ac:dyDescent="0.3">
      <c r="A16" s="2" t="s">
        <v>182</v>
      </c>
      <c r="C16">
        <v>1.4743936</v>
      </c>
      <c r="D16">
        <v>74.489554999999996</v>
      </c>
      <c r="I16" s="2"/>
      <c r="N16" s="63">
        <f t="shared" si="0"/>
        <v>8.8674841294011664</v>
      </c>
      <c r="O16" s="63">
        <f t="shared" si="1"/>
        <v>26.912548246572861</v>
      </c>
      <c r="P16" s="63">
        <f t="shared" si="2"/>
        <v>29.000785680598945</v>
      </c>
      <c r="Q16" s="63">
        <f t="shared" si="3"/>
        <v>24.535861396680403</v>
      </c>
    </row>
    <row r="17" spans="1:17" x14ac:dyDescent="0.3">
      <c r="A17" s="2" t="s">
        <v>199</v>
      </c>
      <c r="D17">
        <v>49.894182000000001</v>
      </c>
      <c r="I17" s="2"/>
      <c r="N17" s="63">
        <f t="shared" si="0"/>
        <v>5.7486023842280938</v>
      </c>
      <c r="O17" s="63">
        <f t="shared" si="1"/>
        <v>17.780311360086912</v>
      </c>
      <c r="P17" s="63">
        <f t="shared" si="2"/>
        <v>19.394612434022747</v>
      </c>
      <c r="Q17" s="63">
        <f t="shared" si="3"/>
        <v>15.986285602462482</v>
      </c>
    </row>
    <row r="18" spans="1:17" x14ac:dyDescent="0.3">
      <c r="A18" s="2" t="s">
        <v>186</v>
      </c>
      <c r="C18">
        <v>1.2816299999999999E-2</v>
      </c>
      <c r="I18" s="2"/>
      <c r="N18">
        <f t="shared" si="0"/>
        <v>2.4782928302404662E-3</v>
      </c>
      <c r="O18">
        <f t="shared" si="1"/>
        <v>3.1938279879525247E-3</v>
      </c>
      <c r="P18">
        <f t="shared" si="2"/>
        <v>3.9625226615979574E-4</v>
      </c>
      <c r="Q18">
        <f t="shared" si="3"/>
        <v>5.8164277734958957E-3</v>
      </c>
    </row>
    <row r="19" spans="1:17" x14ac:dyDescent="0.3">
      <c r="A19" s="2" t="s">
        <v>286</v>
      </c>
      <c r="C19">
        <v>6.801E-4</v>
      </c>
      <c r="G19">
        <v>0.14148035</v>
      </c>
      <c r="I19" s="2"/>
      <c r="N19">
        <f t="shared" si="0"/>
        <v>3.8864190466086874E-4</v>
      </c>
      <c r="O19">
        <f t="shared" si="1"/>
        <v>2.5856733036873835E-4</v>
      </c>
      <c r="P19">
        <f t="shared" si="2"/>
        <v>4.043947389463913E-5</v>
      </c>
      <c r="Q19">
        <f t="shared" si="3"/>
        <v>3.2032487624644306E-4</v>
      </c>
    </row>
    <row r="20" spans="1:17" x14ac:dyDescent="0.3">
      <c r="A20" s="2" t="s">
        <v>159</v>
      </c>
      <c r="B20">
        <v>10.154999999999999</v>
      </c>
      <c r="I20" s="2"/>
      <c r="N20" s="63">
        <f t="shared" si="0"/>
        <v>6.3506863932533584</v>
      </c>
      <c r="O20" s="63">
        <f t="shared" si="1"/>
        <v>3.6248891470136746</v>
      </c>
      <c r="P20" s="63">
        <f t="shared" si="2"/>
        <v>5.7264008419371546</v>
      </c>
      <c r="Q20" s="63">
        <f t="shared" si="3"/>
        <v>2.2293677705045662</v>
      </c>
    </row>
    <row r="21" spans="1:17" x14ac:dyDescent="0.3">
      <c r="A21" s="2" t="s">
        <v>160</v>
      </c>
      <c r="B21">
        <v>200.04</v>
      </c>
      <c r="C21">
        <v>105.62115</v>
      </c>
      <c r="D21">
        <v>298.82771500000001</v>
      </c>
      <c r="I21" s="2"/>
      <c r="N21" s="63">
        <f t="shared" si="0"/>
        <v>179.95378146936977</v>
      </c>
      <c r="O21" s="63">
        <f t="shared" si="1"/>
        <v>204.2167058164502</v>
      </c>
      <c r="P21" s="63">
        <f t="shared" si="2"/>
        <v>232.2268495253237</v>
      </c>
      <c r="Q21" s="63">
        <f t="shared" si="3"/>
        <v>187.59521614138467</v>
      </c>
    </row>
    <row r="22" spans="1:17" x14ac:dyDescent="0.3">
      <c r="A22" s="2" t="s">
        <v>161</v>
      </c>
      <c r="B22">
        <v>26.71</v>
      </c>
      <c r="I22" s="2"/>
      <c r="N22" s="63">
        <f t="shared" si="0"/>
        <v>16.70377484626265</v>
      </c>
      <c r="O22" s="63">
        <f t="shared" si="1"/>
        <v>9.5342973034697458</v>
      </c>
      <c r="P22" s="63">
        <f t="shared" si="2"/>
        <v>15.061759378448196</v>
      </c>
      <c r="Q22" s="63">
        <f t="shared" si="3"/>
        <v>5.8637531413271269</v>
      </c>
    </row>
    <row r="23" spans="1:17" x14ac:dyDescent="0.3">
      <c r="A23" s="2" t="s">
        <v>162</v>
      </c>
      <c r="B23">
        <v>47.045000000000002</v>
      </c>
      <c r="C23">
        <v>70.648886000000005</v>
      </c>
      <c r="D23">
        <v>824.37515999999994</v>
      </c>
      <c r="I23" s="2"/>
      <c r="N23" s="63">
        <f t="shared" si="0"/>
        <v>138.06329854516628</v>
      </c>
      <c r="O23" s="63">
        <f t="shared" si="1"/>
        <v>328.17340853396712</v>
      </c>
      <c r="P23" s="63">
        <f t="shared" si="2"/>
        <v>349.15988485280207</v>
      </c>
      <c r="Q23" s="63">
        <f t="shared" si="3"/>
        <v>306.5235313451617</v>
      </c>
    </row>
    <row r="24" spans="1:17" x14ac:dyDescent="0.3">
      <c r="A24" s="2" t="s">
        <v>163</v>
      </c>
      <c r="B24">
        <v>33.164999999999999</v>
      </c>
      <c r="N24" s="63">
        <f t="shared" si="0"/>
        <v>20.740572548719612</v>
      </c>
      <c r="O24" s="63">
        <f t="shared" si="1"/>
        <v>11.838448898149535</v>
      </c>
      <c r="P24" s="63">
        <f t="shared" si="2"/>
        <v>18.701731553209822</v>
      </c>
      <c r="Q24" s="63">
        <f t="shared" si="3"/>
        <v>7.280845111647853</v>
      </c>
    </row>
    <row r="25" spans="1:17" x14ac:dyDescent="0.3">
      <c r="A25" s="2" t="s">
        <v>287</v>
      </c>
      <c r="B25">
        <v>47.305</v>
      </c>
      <c r="C25">
        <v>14.441898999999999</v>
      </c>
      <c r="D25">
        <f>327.31628+142.789</f>
        <v>470.10527999999999</v>
      </c>
      <c r="F25">
        <v>0.75317115000000001</v>
      </c>
      <c r="G25">
        <v>0.17152175</v>
      </c>
      <c r="N25" s="63">
        <f t="shared" si="0"/>
        <v>86.54196857729562</v>
      </c>
      <c r="O25" s="63">
        <f t="shared" si="1"/>
        <v>188.01335685827189</v>
      </c>
      <c r="P25" s="63">
        <f t="shared" si="2"/>
        <v>209.85991872749059</v>
      </c>
      <c r="Q25" s="63">
        <f t="shared" si="3"/>
        <v>167.56330040824082</v>
      </c>
    </row>
    <row r="26" spans="1:17" x14ac:dyDescent="0.3">
      <c r="A26" s="2" t="s">
        <v>288</v>
      </c>
      <c r="B26">
        <f>10.2+24.89</f>
        <v>35.090000000000003</v>
      </c>
      <c r="C26">
        <v>77.720770999999999</v>
      </c>
      <c r="D26">
        <v>19.962374000000001</v>
      </c>
      <c r="E26">
        <v>1.7373E-2</v>
      </c>
      <c r="F26">
        <v>0.30675359999999996</v>
      </c>
      <c r="G26">
        <v>5.1694799999999999E-2</v>
      </c>
      <c r="N26" s="63">
        <f t="shared" si="0"/>
        <v>39.2742257158108</v>
      </c>
      <c r="O26" s="63">
        <f t="shared" si="1"/>
        <v>39.008128673446762</v>
      </c>
      <c r="P26" s="63">
        <f t="shared" si="2"/>
        <v>29.950369151970389</v>
      </c>
      <c r="Q26" s="63">
        <f t="shared" si="3"/>
        <v>49.371749191183213</v>
      </c>
    </row>
    <row r="27" spans="1:17" ht="28.8" x14ac:dyDescent="0.3">
      <c r="A27" s="2" t="s">
        <v>166</v>
      </c>
      <c r="B27">
        <v>1.8250000000000002</v>
      </c>
      <c r="D27">
        <v>44.698105999999996</v>
      </c>
      <c r="E27">
        <v>0.77684560000000002</v>
      </c>
      <c r="G27">
        <v>4.31058E-2</v>
      </c>
      <c r="N27" s="63">
        <f t="shared" si="0"/>
        <v>6.2913589828720298</v>
      </c>
      <c r="O27" s="63">
        <f t="shared" si="1"/>
        <v>16.580212142374787</v>
      </c>
      <c r="P27" s="63">
        <f t="shared" si="2"/>
        <v>18.404522923957838</v>
      </c>
      <c r="Q27" s="63">
        <f t="shared" si="3"/>
        <v>14.722165839431401</v>
      </c>
    </row>
    <row r="28" spans="1:17" ht="28.8" x14ac:dyDescent="0.3">
      <c r="A28" s="2" t="s">
        <v>167</v>
      </c>
      <c r="B28">
        <v>0.29000000000000004</v>
      </c>
      <c r="D28">
        <v>1.33473515</v>
      </c>
      <c r="E28">
        <v>0.37356810000000001</v>
      </c>
      <c r="F28">
        <v>1.7178E-3</v>
      </c>
      <c r="G28">
        <v>3.0034500000000004E-3</v>
      </c>
      <c r="N28">
        <f t="shared" si="0"/>
        <v>0.33517031516139434</v>
      </c>
      <c r="O28">
        <f t="shared" si="1"/>
        <v>0.57921986113042312</v>
      </c>
      <c r="P28">
        <f t="shared" si="2"/>
        <v>0.6826443324092798</v>
      </c>
      <c r="Q28">
        <f t="shared" si="3"/>
        <v>0.49135403556291279</v>
      </c>
    </row>
    <row r="29" spans="1:17" x14ac:dyDescent="0.3">
      <c r="A29" s="2" t="s">
        <v>201</v>
      </c>
      <c r="D29">
        <v>1.0631623000000001</v>
      </c>
      <c r="E29">
        <v>0.36001115</v>
      </c>
      <c r="F29">
        <v>0.12452405</v>
      </c>
      <c r="G29">
        <v>0.22688120000000001</v>
      </c>
      <c r="N29">
        <f t="shared" si="0"/>
        <v>0.12326167452427703</v>
      </c>
      <c r="O29">
        <f t="shared" si="1"/>
        <v>0.37932488729353075</v>
      </c>
      <c r="P29">
        <f t="shared" si="2"/>
        <v>0.41376188220182336</v>
      </c>
      <c r="Q29">
        <f t="shared" si="3"/>
        <v>0.34078105784127521</v>
      </c>
    </row>
    <row r="33" spans="1:14" x14ac:dyDescent="0.3">
      <c r="N33">
        <f>N22+N21</f>
        <v>196.65755631563243</v>
      </c>
    </row>
    <row r="34" spans="1:14" x14ac:dyDescent="0.3">
      <c r="N34">
        <f>N4+N25</f>
        <v>105.41608192197054</v>
      </c>
    </row>
    <row r="37" spans="1:14" x14ac:dyDescent="0.3">
      <c r="C37" s="53" t="s">
        <v>1</v>
      </c>
      <c r="D37" s="53" t="s">
        <v>2</v>
      </c>
      <c r="E37" s="53" t="s">
        <v>3</v>
      </c>
      <c r="F37" s="53" t="s">
        <v>4</v>
      </c>
      <c r="G37" s="53" t="s">
        <v>5</v>
      </c>
      <c r="H37" s="53" t="s">
        <v>6</v>
      </c>
      <c r="I37" s="53" t="s">
        <v>7</v>
      </c>
      <c r="J37" s="53" t="s">
        <v>8</v>
      </c>
      <c r="K37" s="53" t="s">
        <v>9</v>
      </c>
    </row>
    <row r="38" spans="1:14" x14ac:dyDescent="0.3">
      <c r="A38" t="s">
        <v>289</v>
      </c>
      <c r="B38">
        <v>50000</v>
      </c>
      <c r="C38">
        <v>0.1933703822663691</v>
      </c>
      <c r="D38">
        <v>0.62537532183686451</v>
      </c>
      <c r="E38">
        <v>4.9938415726970978E-5</v>
      </c>
      <c r="F38">
        <v>2.7156921580223791E-3</v>
      </c>
      <c r="G38">
        <v>1.8174305313883594E-3</v>
      </c>
      <c r="H38">
        <v>0.11521588597700817</v>
      </c>
      <c r="I38">
        <v>1.7720699696271096E-2</v>
      </c>
      <c r="J38">
        <v>4.3734649118349372E-2</v>
      </c>
      <c r="K38">
        <v>0.99999999999999989</v>
      </c>
    </row>
    <row r="39" spans="1:14" x14ac:dyDescent="0.3">
      <c r="A39" t="s">
        <v>289</v>
      </c>
      <c r="B39">
        <v>500000</v>
      </c>
      <c r="C39">
        <v>0.24920047033484896</v>
      </c>
      <c r="D39">
        <v>0.35695609522537419</v>
      </c>
      <c r="E39">
        <v>1.345971755749612E-4</v>
      </c>
      <c r="F39">
        <v>2.1249931810504866E-3</v>
      </c>
      <c r="G39">
        <v>6.2967112036411835E-4</v>
      </c>
      <c r="H39">
        <v>0.35636041412778169</v>
      </c>
      <c r="I39">
        <v>5.2569789526923736E-3</v>
      </c>
      <c r="J39">
        <v>2.9336779882313199E-2</v>
      </c>
      <c r="K39">
        <v>1</v>
      </c>
    </row>
    <row r="40" spans="1:14" x14ac:dyDescent="0.3">
      <c r="A40" t="s">
        <v>289</v>
      </c>
      <c r="B40">
        <v>5000000</v>
      </c>
      <c r="C40">
        <v>3.0917836361492455E-2</v>
      </c>
      <c r="D40">
        <v>0.56389963977716939</v>
      </c>
      <c r="E40">
        <v>7.4653737482944778E-4</v>
      </c>
      <c r="F40">
        <v>1.565588280436859E-3</v>
      </c>
      <c r="G40">
        <v>1.3720812385033056E-4</v>
      </c>
      <c r="H40">
        <v>0.38871490936604086</v>
      </c>
      <c r="I40">
        <v>7.7741398095218153E-3</v>
      </c>
      <c r="J40">
        <v>6.2441409066586965E-3</v>
      </c>
      <c r="K40">
        <v>1</v>
      </c>
    </row>
    <row r="41" spans="1:14" x14ac:dyDescent="0.3">
      <c r="A41" t="s">
        <v>289</v>
      </c>
      <c r="B41">
        <v>25000000</v>
      </c>
      <c r="C41">
        <v>0.45383049503334782</v>
      </c>
      <c r="D41">
        <v>0.21953400004968651</v>
      </c>
      <c r="E41">
        <v>8.9638011901261035E-5</v>
      </c>
      <c r="F41">
        <v>7.1329476082364904E-4</v>
      </c>
      <c r="G41">
        <v>8.2518572892017759E-5</v>
      </c>
      <c r="H41">
        <v>0.32040380183931028</v>
      </c>
      <c r="I41">
        <v>2.2741681333794902E-3</v>
      </c>
      <c r="J41">
        <v>3.0720835986591125E-3</v>
      </c>
      <c r="K41">
        <v>1</v>
      </c>
    </row>
    <row r="48" spans="1:14" ht="18" x14ac:dyDescent="0.35">
      <c r="D48" s="68"/>
      <c r="E48" s="69"/>
    </row>
    <row r="49" spans="4:5" ht="18" x14ac:dyDescent="0.35">
      <c r="D49" s="68"/>
      <c r="E49" s="69"/>
    </row>
    <row r="50" spans="4:5" ht="18" x14ac:dyDescent="0.35">
      <c r="D50" s="68"/>
      <c r="E50" s="69"/>
    </row>
    <row r="51" spans="4:5" ht="18" x14ac:dyDescent="0.35">
      <c r="D51" s="68"/>
      <c r="E51" s="69"/>
    </row>
    <row r="52" spans="4:5" ht="18" x14ac:dyDescent="0.35">
      <c r="D52" s="68"/>
      <c r="E52" s="69"/>
    </row>
    <row r="53" spans="4:5" ht="18" x14ac:dyDescent="0.35">
      <c r="D53" s="68"/>
      <c r="E53" s="69"/>
    </row>
    <row r="54" spans="4:5" ht="18" x14ac:dyDescent="0.35">
      <c r="D54" s="68"/>
      <c r="E54" s="69"/>
    </row>
    <row r="55" spans="4:5" ht="18" x14ac:dyDescent="0.35">
      <c r="D55" s="68"/>
      <c r="E55" s="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CEB5CD14E544C890619B1F504DD44" ma:contentTypeVersion="12" ma:contentTypeDescription="Create a new document." ma:contentTypeScope="" ma:versionID="7885eb2a9d71f4f3de64996143593645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bd6563f2-84fd-49bb-ba49-e16e67e66c70" xmlns:ns6="88ca8544-bb20-4614-9b73-bf8401c81147" targetNamespace="http://schemas.microsoft.com/office/2006/metadata/properties" ma:root="true" ma:fieldsID="ec2196ef3727cc2b6ab09906bcc1f93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bd6563f2-84fd-49bb-ba49-e16e67e66c70"/>
    <xsd:import namespace="88ca8544-bb20-4614-9b73-bf8401c81147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MediaServiceSearchProperties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2416a9ae-61a2-4525-842e-f75ab01c9399}" ma:internalName="TaxCatchAllLabel" ma:readOnly="true" ma:showField="CatchAllDataLabel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2416a9ae-61a2-4525-842e-f75ab01c9399}" ma:internalName="TaxCatchAll" ma:showField="CatchAllData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563f2-84fd-49bb-ba49-e16e67e66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8544-bb20-4614-9b73-bf8401c81147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2025-07-09T14:36:43+00:00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89C0F9D-E285-4A5D-9E05-6A090FD16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bd6563f2-84fd-49bb-ba49-e16e67e66c70"/>
    <ds:schemaRef ds:uri="88ca8544-bb20-4614-9b73-bf8401c81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A30DC6-A6F6-4A6B-88A6-B65F8F0BDCC9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03816915-A5F9-4BD4-A6BB-D34EAB90EE7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29D1B3-5F10-4DE4-8C4A-1A94B2B4CAF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100000MP</vt:lpstr>
      <vt:lpstr>500000MP</vt:lpstr>
      <vt:lpstr>5000000MP </vt:lpstr>
      <vt:lpstr>Loading Loss</vt:lpstr>
      <vt:lpstr>Fuel Composition</vt:lpstr>
      <vt:lpstr>50000MP</vt:lpstr>
      <vt:lpstr>25000000MP</vt:lpstr>
      <vt:lpstr>Assumptions</vt:lpstr>
      <vt:lpstr>Sheet1</vt:lpstr>
      <vt:lpstr>'100000MP'!Average_CE</vt:lpstr>
      <vt:lpstr>'5000000MP '!Average_CE</vt:lpstr>
      <vt:lpstr>Average_CE</vt:lpstr>
      <vt:lpstr>'5000000MP '!VOC_Credit</vt:lpstr>
      <vt:lpstr>VOC_Credit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Tyropolis, Allison</dc:creator>
  <cp:keywords/>
  <dc:description/>
  <cp:lastModifiedBy>Clemens, Fallon</cp:lastModifiedBy>
  <cp:revision/>
  <dcterms:created xsi:type="dcterms:W3CDTF">2025-02-03T23:57:57Z</dcterms:created>
  <dcterms:modified xsi:type="dcterms:W3CDTF">2026-01-12T17:11:50Z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0x01010089ACEB5CD14E544C890619B1F504DD44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EPA Subject">
    <vt:lpwstr/>
  </property>
  <property fmtid="{D5CDD505-2E9C-101B-9397-08002B2CF9AE}" pid="9" name="Document Type">
    <vt:lpwstr/>
  </property>
</Properties>
</file>