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filterPrivacy="1" codeName="ThisWorkbook"/>
  <xr:revisionPtr revIDLastSave="0" documentId="8_{FB71A56A-F6ED-4729-9EDC-75332C2F2637}" xr6:coauthVersionLast="47" xr6:coauthVersionMax="47" xr10:uidLastSave="{00000000-0000-0000-0000-000000000000}"/>
  <bookViews>
    <workbookView xWindow="-57720" yWindow="-120" windowWidth="29040" windowHeight="15720" xr2:uid="{00000000-000D-0000-FFFF-FFFF00000000}"/>
  </bookViews>
  <sheets>
    <sheet name="Read Me" sheetId="4" r:id="rId1"/>
    <sheet name="Data Inputs" sheetId="1" r:id="rId2"/>
    <sheet name="Design Parameters" sheetId="2" r:id="rId3"/>
    <sheet name="Cost Estimate" sheetId="3"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8" i="1" l="1"/>
  <c r="X17" i="1"/>
  <c r="X16" i="1"/>
  <c r="X15" i="1"/>
  <c r="X14" i="1"/>
  <c r="X13" i="1"/>
  <c r="X12" i="1"/>
  <c r="X11" i="1"/>
  <c r="X10" i="1"/>
  <c r="X9" i="1"/>
  <c r="G43" i="1"/>
  <c r="G42" i="1"/>
  <c r="C42" i="1"/>
  <c r="C41" i="1"/>
  <c r="C9" i="3" l="1"/>
  <c r="G44" i="1" l="1"/>
  <c r="D34" i="1"/>
  <c r="D24" i="1" l="1"/>
  <c r="C27" i="1" l="1"/>
  <c r="G47" i="1" l="1"/>
  <c r="D9" i="3" l="1"/>
  <c r="D7" i="3"/>
  <c r="D6" i="3"/>
  <c r="D30" i="3"/>
  <c r="D8" i="3"/>
  <c r="D15" i="3"/>
  <c r="B9" i="3"/>
  <c r="B6" i="3"/>
  <c r="B7" i="3"/>
  <c r="B8" i="3"/>
  <c r="G46" i="1"/>
  <c r="G45" i="1"/>
  <c r="D27" i="1" l="1"/>
  <c r="D30" i="1"/>
  <c r="B45" i="2"/>
  <c r="C26" i="1" l="1"/>
  <c r="D66" i="2"/>
  <c r="D26" i="1"/>
  <c r="H21" i="1" l="1"/>
  <c r="A8" i="3"/>
  <c r="B5" i="3"/>
  <c r="C30" i="1"/>
  <c r="X19" i="1" l="1"/>
  <c r="D28" i="1"/>
  <c r="B8" i="2" l="1"/>
  <c r="B9" i="2"/>
  <c r="P40" i="2"/>
  <c r="H4" i="3" l="1"/>
  <c r="H2" i="3"/>
  <c r="G4" i="3"/>
  <c r="I4" i="3"/>
  <c r="D30" i="2" l="1"/>
  <c r="C29" i="1" l="1"/>
  <c r="C28" i="1"/>
  <c r="C25" i="1"/>
  <c r="C24" i="1"/>
  <c r="C23" i="1"/>
  <c r="D60" i="2" l="1"/>
  <c r="D29" i="1" l="1"/>
  <c r="D33" i="1"/>
  <c r="B17" i="2"/>
  <c r="B16" i="2"/>
  <c r="B15" i="2"/>
  <c r="B14" i="2"/>
  <c r="B13" i="2"/>
  <c r="B12" i="2"/>
  <c r="B11" i="2"/>
  <c r="B10" i="2"/>
  <c r="A17" i="2"/>
  <c r="A16" i="2"/>
  <c r="A15" i="2"/>
  <c r="A14" i="2"/>
  <c r="A13" i="2"/>
  <c r="A12" i="2"/>
  <c r="A11" i="2"/>
  <c r="A10" i="2"/>
  <c r="A9" i="2"/>
  <c r="A8" i="2"/>
  <c r="Q9" i="2"/>
  <c r="P10" i="2" s="1"/>
  <c r="B63" i="3"/>
  <c r="P12" i="2" l="1"/>
  <c r="B18" i="2"/>
  <c r="P17" i="2"/>
  <c r="P13" i="2"/>
  <c r="P16" i="2"/>
  <c r="P9" i="2"/>
  <c r="P15" i="2"/>
  <c r="P11" i="2"/>
  <c r="P18" i="2"/>
  <c r="P14" i="2"/>
  <c r="P28" i="2" l="1"/>
  <c r="D25" i="1"/>
  <c r="D23" i="1"/>
  <c r="D35" i="1"/>
  <c r="C52" i="3"/>
  <c r="C50" i="3"/>
  <c r="D31" i="2" l="1"/>
  <c r="D33" i="2" s="1"/>
  <c r="R9" i="2"/>
  <c r="A36" i="2" l="1"/>
  <c r="E34" i="2"/>
  <c r="E35" i="2"/>
  <c r="D34" i="2"/>
  <c r="B36" i="2" s="1"/>
  <c r="F33" i="2"/>
  <c r="E33" i="2"/>
  <c r="C14" i="2"/>
  <c r="W14" i="2" s="1"/>
  <c r="C10" i="2"/>
  <c r="W10" i="2" s="1"/>
  <c r="C17" i="2"/>
  <c r="W17" i="2" s="1"/>
  <c r="C13" i="2"/>
  <c r="W13" i="2" s="1"/>
  <c r="C9" i="2"/>
  <c r="W9" i="2" s="1"/>
  <c r="C15" i="2"/>
  <c r="W15" i="2" s="1"/>
  <c r="C11" i="2"/>
  <c r="W11" i="2" s="1"/>
  <c r="C16" i="2"/>
  <c r="W16" i="2" s="1"/>
  <c r="C12" i="2"/>
  <c r="W12" i="2" s="1"/>
  <c r="C8" i="2"/>
  <c r="W8" i="2" s="1"/>
  <c r="D44" i="2" l="1"/>
  <c r="C18" i="2"/>
  <c r="C76" i="3"/>
  <c r="B75" i="3"/>
  <c r="G14" i="3"/>
  <c r="D40" i="2"/>
  <c r="D37" i="2" l="1"/>
  <c r="F37" i="2" s="1"/>
  <c r="D43" i="2"/>
  <c r="S16" i="2"/>
  <c r="S17" i="2"/>
  <c r="S11" i="2"/>
  <c r="S14" i="2"/>
  <c r="S12" i="2"/>
  <c r="S10" i="2"/>
  <c r="S9" i="2"/>
  <c r="S13" i="2"/>
  <c r="S15" i="2"/>
  <c r="S18" i="2"/>
  <c r="D41" i="2"/>
  <c r="D42" i="2" s="1"/>
  <c r="F44" i="2"/>
  <c r="V47" i="2" l="1"/>
  <c r="S28" i="2"/>
  <c r="D35" i="2" s="1"/>
  <c r="D36" i="2" s="1"/>
  <c r="D68" i="3"/>
  <c r="D66" i="3"/>
  <c r="D55" i="3"/>
  <c r="D38" i="2" l="1"/>
  <c r="C48" i="3" s="1"/>
  <c r="C53" i="3"/>
  <c r="C51" i="3"/>
  <c r="A32" i="3"/>
  <c r="A20" i="3"/>
  <c r="A4" i="3"/>
  <c r="C74" i="3"/>
  <c r="D43" i="3"/>
  <c r="A41" i="1"/>
  <c r="D39" i="2" l="1"/>
  <c r="V48" i="2" s="1"/>
  <c r="V49" i="2" s="1"/>
  <c r="T45" i="2" s="1"/>
  <c r="C59" i="3"/>
  <c r="P45" i="2" l="1"/>
  <c r="D45" i="2" l="1"/>
  <c r="D46" i="2" s="1"/>
  <c r="E45" i="2"/>
  <c r="E50" i="2"/>
  <c r="F45" i="2" l="1"/>
  <c r="D47" i="2"/>
  <c r="V45" i="2" s="1"/>
  <c r="R45" i="2" l="1"/>
  <c r="D48" i="2"/>
  <c r="A49" i="2" s="1"/>
  <c r="I3" i="3"/>
  <c r="G3" i="3"/>
  <c r="D49" i="2" l="1"/>
  <c r="D55" i="2" s="1"/>
  <c r="G2" i="3"/>
  <c r="H3" i="3"/>
  <c r="F48" i="2"/>
  <c r="D50" i="2" l="1"/>
  <c r="I2" i="3" s="1"/>
  <c r="C49" i="3"/>
  <c r="H5" i="3" l="1"/>
  <c r="G11" i="3"/>
  <c r="G5" i="3"/>
  <c r="D53" i="2"/>
  <c r="I5" i="3"/>
  <c r="G12" i="3" l="1"/>
  <c r="D54" i="2"/>
  <c r="C47" i="3" s="1"/>
  <c r="C55" i="3" s="1"/>
  <c r="I14" i="3" l="1"/>
  <c r="C8" i="3" s="1"/>
  <c r="C6" i="3" l="1"/>
  <c r="C7" i="3"/>
  <c r="C13" i="3"/>
  <c r="C11" i="3"/>
  <c r="C12" i="3"/>
  <c r="C15" i="3" l="1"/>
  <c r="C26" i="3" s="1"/>
  <c r="C22" i="3" l="1"/>
  <c r="C35" i="3"/>
  <c r="C21" i="3"/>
  <c r="C34" i="3"/>
  <c r="C24" i="3"/>
  <c r="C38" i="3"/>
  <c r="C37" i="3"/>
  <c r="C23" i="3"/>
  <c r="C36" i="3"/>
  <c r="C25" i="3"/>
  <c r="C40" i="3" l="1"/>
  <c r="C29" i="3"/>
  <c r="C30" i="3"/>
  <c r="C42" i="3" l="1"/>
  <c r="C43" i="3" s="1"/>
  <c r="C63" i="3" s="1"/>
  <c r="C62" i="3" l="1"/>
  <c r="C60" i="3"/>
  <c r="C61" i="3"/>
  <c r="C66" i="3" l="1"/>
  <c r="C68" i="3" s="1"/>
  <c r="B74" i="3" s="1"/>
  <c r="B76" i="3" s="1"/>
</calcChain>
</file>

<file path=xl/sharedStrings.xml><?xml version="1.0" encoding="utf-8"?>
<sst xmlns="http://schemas.openxmlformats.org/spreadsheetml/2006/main" count="349" uniqueCount="307">
  <si>
    <t>Air Pollution Control Cost Estimation Spreadsheet</t>
  </si>
  <si>
    <t>For Thermal and Catalytic Oxidizers</t>
  </si>
  <si>
    <t xml:space="preserve">U.S. Environmental Protection Agency </t>
  </si>
  <si>
    <t>Air Economics Group</t>
  </si>
  <si>
    <t>Health and Environmental Impacts Division</t>
  </si>
  <si>
    <t>Office of Air Quality Planning and Standards</t>
  </si>
  <si>
    <t>(September 2022)</t>
  </si>
  <si>
    <r>
      <t>This spreadsheet allows users to estimate the capital and annualized costs for installing and operating oxidizers. Oxidizers control volatile organic compounds (VOCs) and hazardous air pollutants (HAP) from industrial waste gas streams by oxidizing organic compounds to carbon dioxide and water. If the waste gas contains chlorinated or sulfonated organic compounds, HCl and SO</t>
    </r>
    <r>
      <rPr>
        <vertAlign val="subscript"/>
        <sz val="12"/>
        <color theme="8" tint="-0.499984740745262"/>
        <rFont val="Calibri"/>
        <family val="2"/>
        <scheme val="minor"/>
      </rPr>
      <t>2</t>
    </r>
    <r>
      <rPr>
        <sz val="12"/>
        <color theme="8" tint="-0.499984740745262"/>
        <rFont val="Calibri"/>
        <family val="2"/>
        <scheme val="minor"/>
      </rPr>
      <t xml:space="preserve"> will be generated, which may require acid gas controls, such as a wet scrubber.  There are two major types of oxidizers: thermal and catalytic oxidizers. </t>
    </r>
  </si>
  <si>
    <t>The calculation methodologies used in this spreadsheet are those presented in the U.S. EPA's Air Pollution Control Cost Manual.  This spreadsheet is intended to be used in combination with the Control Cost Manual. For a detailed description of the oxidizer control technology and cost methodology, see Section 3.2, Chapter 2 (Incinerators and Oxidizers) of the Air Pollution Control Cost Manual (as updated in 2016). Additional controls may be necessary for some industrial waste gas streams (e.g., chlorinated and sulfur-containing organic compounds that produce acid gases when oxidized).  Costs for additional control technologies can be estimated using the methods provided in other chapters of the cost manual.  A copy of the Control Cost Manual is available on the U.S. EPA's "Technology Transfer Network" website at: http://www3.epa.gov/ttn/catc/products.html#cccinfo.</t>
  </si>
  <si>
    <t>The spreadsheet can be used to estimate capital and annualized costs for the following types of oxidizers:</t>
  </si>
  <si>
    <t>Incinerator Type</t>
  </si>
  <si>
    <t>Total Waste Gas Flowrate (scfm)</t>
  </si>
  <si>
    <t>Thermal Recuperative</t>
  </si>
  <si>
    <t>500 - 50,000</t>
  </si>
  <si>
    <t>Thermal Regenerative</t>
  </si>
  <si>
    <t>10,000 - 100,000</t>
  </si>
  <si>
    <t>Fixed-Bed/Monolith Catalytic</t>
  </si>
  <si>
    <t>2,000 - 50,000</t>
  </si>
  <si>
    <t>Fluid-Bed Catalytic</t>
  </si>
  <si>
    <t>2,000 - 25,000</t>
  </si>
  <si>
    <t xml:space="preserve">Installation costs for a given incinerator could deviate significantly from costs generated using this spreadsheet depending on the site conditions. </t>
  </si>
  <si>
    <r>
      <rPr>
        <u/>
        <sz val="12"/>
        <color theme="8" tint="-0.499984740745262"/>
        <rFont val="Calibri"/>
        <family val="2"/>
        <scheme val="minor"/>
      </rPr>
      <t>Note</t>
    </r>
    <r>
      <rPr>
        <sz val="12"/>
        <color theme="8" tint="-0.499984740745262"/>
        <rFont val="Calibri"/>
        <family val="2"/>
        <scheme val="minor"/>
      </rPr>
      <t xml:space="preserve">: This spreadsheet is designed to calculate the design parameters and costs for thermal and catalytic oxidizers used to control waste gas streams that have an oxygen content of at least 20%. If the oxygen content is less than 20%, the waste stream parameters should be adjusted to include auxiliary air sufficient to increase the oxygen content of the waste gas stream above 20%.   </t>
    </r>
  </si>
  <si>
    <t xml:space="preserve">Instructions </t>
  </si>
  <si>
    <r>
      <rPr>
        <b/>
        <u/>
        <sz val="12"/>
        <color theme="8" tint="-0.499984740745262"/>
        <rFont val="Calibri"/>
        <family val="2"/>
        <scheme val="minor"/>
      </rPr>
      <t>Step 1</t>
    </r>
    <r>
      <rPr>
        <b/>
        <sz val="12"/>
        <color theme="8" tint="-0.499984740745262"/>
        <rFont val="Calibri"/>
        <family val="2"/>
        <scheme val="minor"/>
      </rPr>
      <t xml:space="preserve">: </t>
    </r>
    <r>
      <rPr>
        <sz val="12"/>
        <color theme="8" tint="-0.499984740745262"/>
        <rFont val="Calibri"/>
        <family val="2"/>
        <scheme val="minor"/>
      </rPr>
      <t xml:space="preserve">Please select on the </t>
    </r>
    <r>
      <rPr>
        <b/>
        <i/>
        <sz val="12"/>
        <color theme="8" tint="-0.499984740745262"/>
        <rFont val="Calibri"/>
        <family val="2"/>
        <scheme val="minor"/>
      </rPr>
      <t>Data Inputs</t>
    </r>
    <r>
      <rPr>
        <sz val="12"/>
        <color theme="8" tint="-0.499984740745262"/>
        <rFont val="Calibri"/>
        <family val="2"/>
        <scheme val="minor"/>
      </rPr>
      <t xml:space="preserve"> tab and click on the </t>
    </r>
    <r>
      <rPr>
        <b/>
        <i/>
        <sz val="12"/>
        <color theme="8" tint="-0.499984740745262"/>
        <rFont val="Calibri"/>
        <family val="2"/>
        <scheme val="minor"/>
      </rPr>
      <t>Reset Form</t>
    </r>
    <r>
      <rPr>
        <sz val="12"/>
        <color theme="8" tint="-0.499984740745262"/>
        <rFont val="Calibri"/>
        <family val="2"/>
        <scheme val="minor"/>
      </rPr>
      <t xml:space="preserve"> button. This will reset the inlet flow rate, pressure drop, fan efficiency, inlet temperature, control efficiency, interest rate, labor rates, electricity and natural gas prices, and the contingency factor to default factors. All other data entry fields will be blank.  </t>
    </r>
  </si>
  <si>
    <r>
      <rPr>
        <b/>
        <u/>
        <sz val="12"/>
        <color theme="8" tint="-0.499984740745262"/>
        <rFont val="Calibri"/>
        <family val="2"/>
        <scheme val="minor"/>
      </rPr>
      <t>Step 2</t>
    </r>
    <r>
      <rPr>
        <b/>
        <sz val="12"/>
        <color theme="8" tint="-0.499984740745262"/>
        <rFont val="Calibri"/>
        <family val="2"/>
        <scheme val="minor"/>
      </rPr>
      <t xml:space="preserve">: </t>
    </r>
    <r>
      <rPr>
        <sz val="12"/>
        <color theme="8" tint="-0.499984740745262"/>
        <rFont val="Calibri"/>
        <family val="2"/>
        <scheme val="minor"/>
      </rPr>
      <t xml:space="preserve"> Select the type of oxidizer from the options provided in the pull down menu. The operating temperature will be set to a default value of 2000</t>
    </r>
    <r>
      <rPr>
        <vertAlign val="superscript"/>
        <sz val="12"/>
        <color theme="8" tint="-0.499984740745262"/>
        <rFont val="Calibri"/>
        <family val="2"/>
        <scheme val="minor"/>
      </rPr>
      <t>o</t>
    </r>
    <r>
      <rPr>
        <sz val="12"/>
        <color theme="8" tint="-0.499984740745262"/>
        <rFont val="Calibri"/>
        <family val="2"/>
        <scheme val="minor"/>
      </rPr>
      <t>F for a regenerative thermal oxidizer, 1600</t>
    </r>
    <r>
      <rPr>
        <vertAlign val="superscript"/>
        <sz val="12"/>
        <color theme="8" tint="-0.499984740745262"/>
        <rFont val="Calibri"/>
        <family val="2"/>
        <scheme val="minor"/>
      </rPr>
      <t>o</t>
    </r>
    <r>
      <rPr>
        <sz val="12"/>
        <color theme="8" tint="-0.499984740745262"/>
        <rFont val="Calibri"/>
        <family val="2"/>
        <scheme val="minor"/>
      </rPr>
      <t>F for a recuperative thermal oxidizer and 900</t>
    </r>
    <r>
      <rPr>
        <vertAlign val="superscript"/>
        <sz val="12"/>
        <color theme="8" tint="-0.499984740745262"/>
        <rFont val="Calibri"/>
        <family val="2"/>
        <scheme val="minor"/>
      </rPr>
      <t>o</t>
    </r>
    <r>
      <rPr>
        <sz val="12"/>
        <color theme="8" tint="-0.499984740745262"/>
        <rFont val="Calibri"/>
        <family val="2"/>
        <scheme val="minor"/>
      </rPr>
      <t xml:space="preserve">F for a catalytic oxidizer. If you select a catalytic oxidizer, the catalyst life, catalyst unit cost, and space velocity factor will be set to default values. You may use site-specific values instead of the default values; however, you should document the source of each value you use. </t>
    </r>
  </si>
  <si>
    <r>
      <rPr>
        <b/>
        <u/>
        <sz val="12"/>
        <color theme="8" tint="-0.499984740745262"/>
        <rFont val="Calibri"/>
        <family val="2"/>
        <scheme val="minor"/>
      </rPr>
      <t>Step 3</t>
    </r>
    <r>
      <rPr>
        <b/>
        <sz val="12"/>
        <color theme="8" tint="-0.499984740745262"/>
        <rFont val="Calibri"/>
        <family val="2"/>
        <scheme val="minor"/>
      </rPr>
      <t xml:space="preserve">:  </t>
    </r>
    <r>
      <rPr>
        <sz val="12"/>
        <color theme="8" tint="-0.499984740745262"/>
        <rFont val="Calibri"/>
        <family val="2"/>
        <scheme val="minor"/>
      </rPr>
      <t xml:space="preserve">Complete all of the cells highlighted in yellow. As noted above, some of the highlighted cells are pre-populated with default values based on 2016 data. Users should document the source of all values entered in accordance with the recommendations provided in the Control Cost Manual. Use of actual values other than the default values in this spreadsheet, if appropriately documented, is acceptable.  </t>
    </r>
  </si>
  <si>
    <r>
      <rPr>
        <b/>
        <u/>
        <sz val="12"/>
        <color theme="8" tint="-0.499984740745262"/>
        <rFont val="Calibri"/>
        <family val="2"/>
        <scheme val="minor"/>
      </rPr>
      <t>Step 4</t>
    </r>
    <r>
      <rPr>
        <b/>
        <sz val="12"/>
        <color theme="8" tint="-0.499984740745262"/>
        <rFont val="Calibri"/>
        <family val="2"/>
        <scheme val="minor"/>
      </rPr>
      <t>:</t>
    </r>
    <r>
      <rPr>
        <sz val="12"/>
        <color theme="8" tint="-0.499984740745262"/>
        <rFont val="Calibri"/>
        <family val="2"/>
        <scheme val="minor"/>
      </rPr>
      <t xml:space="preserve"> Once all of the data fields are complete, select the Design Parameters tab to see the calculated design parameters and the Cost Estimate tab to view the calculated cost data for the installation and operation of the oxidizer. If the %LEL for the waste gas exceeds 25%, the spreadsheet adjusts the concentrations and waste gas flow rate to account for the dilution air needed to reduce the %LEL of the waste gas below the 25% threshold. If the oxygen content is less than 20%, auxiliary air must be added.</t>
    </r>
  </si>
  <si>
    <t>Data Inputs</t>
  </si>
  <si>
    <t>Type of Oxidizer:</t>
  </si>
  <si>
    <t xml:space="preserve">Select the type of oxidizer </t>
  </si>
  <si>
    <t>Click to select oxidizer type</t>
  </si>
  <si>
    <t>Recuperative Thermal Oxidizer</t>
  </si>
  <si>
    <t>Enter the following information for your emission source:</t>
  </si>
  <si>
    <t>Catalytic Oxidizer - Fixed Bed</t>
  </si>
  <si>
    <t>Catalytic Oxidizer - Monolith</t>
  </si>
  <si>
    <t>Composition of Inlet Gas Stream</t>
  </si>
  <si>
    <t>Catalytic Oxidizer - Fluid Bed</t>
  </si>
  <si>
    <t>Pollutant Name</t>
  </si>
  <si>
    <t>Concentration (ppmv)</t>
  </si>
  <si>
    <t>Lower Explosive Limit (LEL) (ppmv)*</t>
  </si>
  <si>
    <t>Heat of Combustion (Btu/scf)</t>
  </si>
  <si>
    <t>Molecular Weight</t>
  </si>
  <si>
    <t>Note: The lower explosion limit (LEL), heat of combustion and molecular weight for some commonly used VOC/HAP are provided in the table below.  In addition, the heat of combustion to be entered in column D is a lower heating value (LHV), not a higher heating value (HHV).</t>
  </si>
  <si>
    <t>Regenerative Thermal Oxidizer</t>
  </si>
  <si>
    <t>Butane</t>
  </si>
  <si>
    <t>Calculation of Mass of constituent Controlled</t>
  </si>
  <si>
    <t>Hexane</t>
  </si>
  <si>
    <t>Pentane</t>
  </si>
  <si>
    <t>Heptane</t>
  </si>
  <si>
    <t>Octane</t>
  </si>
  <si>
    <t>Ethanol</t>
  </si>
  <si>
    <t>Benzene</t>
  </si>
  <si>
    <t>Toluene</t>
  </si>
  <si>
    <t>Total Mass of VOC/HAP controlled =</t>
  </si>
  <si>
    <t>tons/year</t>
  </si>
  <si>
    <t>Enter the design data for the proposed oxidizer:</t>
  </si>
  <si>
    <t>Heat Recovery:</t>
  </si>
  <si>
    <t>0 percent</t>
  </si>
  <si>
    <t>Number of operating hours/year</t>
  </si>
  <si>
    <t>hours/year</t>
  </si>
  <si>
    <t xml:space="preserve">Percent Energy Recovery (HR) = </t>
  </si>
  <si>
    <t>35 percent</t>
  </si>
  <si>
    <r>
      <t>Inlet volumetric flow rate(Q</t>
    </r>
    <r>
      <rPr>
        <vertAlign val="subscript"/>
        <sz val="14"/>
        <color theme="1"/>
        <rFont val="Calibri"/>
        <family val="2"/>
        <scheme val="minor"/>
      </rPr>
      <t>wi</t>
    </r>
    <r>
      <rPr>
        <sz val="14"/>
        <color theme="1"/>
        <rFont val="Calibri"/>
        <family val="2"/>
        <scheme val="minor"/>
      </rPr>
      <t>) at 77</t>
    </r>
    <r>
      <rPr>
        <vertAlign val="superscript"/>
        <sz val="14"/>
        <color theme="1"/>
        <rFont val="Calibri"/>
        <family val="2"/>
        <scheme val="minor"/>
      </rPr>
      <t>o</t>
    </r>
    <r>
      <rPr>
        <sz val="14"/>
        <color theme="1"/>
        <rFont val="Calibri"/>
        <family val="2"/>
        <scheme val="minor"/>
      </rPr>
      <t>F and 1 atm.</t>
    </r>
  </si>
  <si>
    <t>50 percent</t>
  </si>
  <si>
    <r>
      <t>Pressure drop (</t>
    </r>
    <r>
      <rPr>
        <sz val="14"/>
        <color theme="1"/>
        <rFont val="Calibri"/>
        <family val="2"/>
      </rPr>
      <t>Δ</t>
    </r>
    <r>
      <rPr>
        <sz val="14"/>
        <color theme="1"/>
        <rFont val="Calibri"/>
        <family val="2"/>
        <scheme val="minor"/>
      </rPr>
      <t>P)</t>
    </r>
  </si>
  <si>
    <t>70 percent</t>
  </si>
  <si>
    <r>
      <t>Motor/Fan Efficiency (</t>
    </r>
    <r>
      <rPr>
        <sz val="14"/>
        <color theme="1"/>
        <rFont val="Calibri"/>
        <family val="2"/>
      </rPr>
      <t>ε)</t>
    </r>
  </si>
  <si>
    <t>Not Applicable</t>
  </si>
  <si>
    <r>
      <t>Inlet Waste Gas Temperature (T</t>
    </r>
    <r>
      <rPr>
        <vertAlign val="subscript"/>
        <sz val="14"/>
        <color theme="1"/>
        <rFont val="Calibri"/>
        <family val="2"/>
        <scheme val="minor"/>
      </rPr>
      <t>wi</t>
    </r>
    <r>
      <rPr>
        <sz val="14"/>
        <color theme="1"/>
        <rFont val="Calibri"/>
        <family val="2"/>
        <scheme val="minor"/>
      </rPr>
      <t>)</t>
    </r>
  </si>
  <si>
    <r>
      <t>Operating Temperature (T</t>
    </r>
    <r>
      <rPr>
        <vertAlign val="subscript"/>
        <sz val="14"/>
        <color theme="1"/>
        <rFont val="Calibri"/>
        <family val="2"/>
        <scheme val="minor"/>
      </rPr>
      <t>fi</t>
    </r>
    <r>
      <rPr>
        <sz val="14"/>
        <color theme="1"/>
        <rFont val="Calibri"/>
        <family val="2"/>
        <scheme val="minor"/>
      </rPr>
      <t>)</t>
    </r>
  </si>
  <si>
    <t>Destruction and Removal Efficiency (DRE)</t>
  </si>
  <si>
    <t>Estimated Equipment Life</t>
  </si>
  <si>
    <r>
      <t>Heat Loss (</t>
    </r>
    <r>
      <rPr>
        <sz val="14"/>
        <color theme="1"/>
        <rFont val="Calibri"/>
        <family val="2"/>
      </rPr>
      <t>η</t>
    </r>
    <r>
      <rPr>
        <sz val="12.6"/>
        <color theme="1"/>
        <rFont val="Calibri"/>
        <family val="2"/>
      </rPr>
      <t>)</t>
    </r>
  </si>
  <si>
    <t>Catalyst Data:</t>
  </si>
  <si>
    <t>Estimated catalyst life (y)</t>
  </si>
  <si>
    <t>years</t>
  </si>
  <si>
    <t>Catalyst Unit Cost (CC)</t>
  </si>
  <si>
    <r>
      <t>$/ft</t>
    </r>
    <r>
      <rPr>
        <vertAlign val="superscript"/>
        <sz val="14"/>
        <color theme="1"/>
        <rFont val="Calibri"/>
        <family val="2"/>
        <scheme val="minor"/>
      </rPr>
      <t>3</t>
    </r>
  </si>
  <si>
    <r>
      <t>Space velocity for catalyst (</t>
    </r>
    <r>
      <rPr>
        <sz val="14"/>
        <color theme="1"/>
        <rFont val="Calibri"/>
        <family val="2"/>
      </rPr>
      <t>Φ)</t>
    </r>
  </si>
  <si>
    <t>/hour</t>
  </si>
  <si>
    <t>Enter the cost data:</t>
  </si>
  <si>
    <t>Desired dollar-year</t>
  </si>
  <si>
    <t>1999 CEPCI</t>
  </si>
  <si>
    <t>*Enter dollar year first.</t>
  </si>
  <si>
    <t>Annual Interest Rate (i)</t>
  </si>
  <si>
    <r>
      <t>Electricity (Cost</t>
    </r>
    <r>
      <rPr>
        <vertAlign val="subscript"/>
        <sz val="14"/>
        <color theme="1"/>
        <rFont val="Calibri"/>
        <family val="2"/>
        <scheme val="minor"/>
      </rPr>
      <t>elect</t>
    </r>
    <r>
      <rPr>
        <sz val="14"/>
        <color theme="1"/>
        <rFont val="Calibri"/>
        <family val="2"/>
        <scheme val="minor"/>
      </rPr>
      <t>)</t>
    </r>
  </si>
  <si>
    <t>$/kWh</t>
  </si>
  <si>
    <r>
      <t>Natural Gas Fuel Cost (Cost</t>
    </r>
    <r>
      <rPr>
        <vertAlign val="subscript"/>
        <sz val="14"/>
        <color theme="1"/>
        <rFont val="Calibri"/>
        <family val="2"/>
        <scheme val="minor"/>
      </rPr>
      <t>fuel</t>
    </r>
    <r>
      <rPr>
        <sz val="14"/>
        <color theme="1"/>
        <rFont val="Calibri"/>
        <family val="2"/>
        <scheme val="minor"/>
      </rPr>
      <t>)</t>
    </r>
  </si>
  <si>
    <t>$/scf</t>
  </si>
  <si>
    <t>Operator Labor Rate</t>
  </si>
  <si>
    <t>per hour</t>
  </si>
  <si>
    <t>Maintenance Labor rate</t>
  </si>
  <si>
    <t>Contingency Factor (CF)</t>
  </si>
  <si>
    <t>Percent</t>
  </si>
  <si>
    <t>* CEPCI is the Chemical Engineering Plant Cost Escalation/De-escalation Index. The use of CEPCI in this spreadsheet is not an endorsement of the index for purposes of cost escalation or de-escalation, but is there merely to allow for availability of a well-known cost index to spreadsheet users. Use of other well-known cost indexes (e.g., M&amp;S) is acceptable.</t>
  </si>
  <si>
    <t xml:space="preserve">Data Sources for Default Values Used in Calculations: </t>
  </si>
  <si>
    <t>Parameters for Common Compounds:</t>
  </si>
  <si>
    <t>Compound</t>
  </si>
  <si>
    <t>LEL (ppmv)</t>
  </si>
  <si>
    <t>Methane*</t>
  </si>
  <si>
    <t>Ethane</t>
  </si>
  <si>
    <t>Propane</t>
  </si>
  <si>
    <t>Nonane</t>
  </si>
  <si>
    <t>Decane</t>
  </si>
  <si>
    <t>Ethylene**</t>
  </si>
  <si>
    <t>Propylene</t>
  </si>
  <si>
    <t>Cyclohexane</t>
  </si>
  <si>
    <t>Benzene**</t>
  </si>
  <si>
    <t>Toluene**</t>
  </si>
  <si>
    <t>Methyl Chloride (Chloromethane)**</t>
  </si>
  <si>
    <t>Footnotes</t>
  </si>
  <si>
    <t>* Greenhouse gas.</t>
  </si>
  <si>
    <t>** Hazardous air pollutant.</t>
  </si>
  <si>
    <t>Data Element</t>
  </si>
  <si>
    <t>Default Value</t>
  </si>
  <si>
    <t xml:space="preserve">Sources for Default Values used in the calculation . . . </t>
  </si>
  <si>
    <t xml:space="preserve">If you used your own site-specific values, please enter the  value used and the reference  source . . . </t>
  </si>
  <si>
    <t>Recommended data sources for site-specific information</t>
  </si>
  <si>
    <r>
      <t>Catalyst Cost ($/ft</t>
    </r>
    <r>
      <rPr>
        <vertAlign val="superscript"/>
        <sz val="11"/>
        <color theme="1"/>
        <rFont val="Calibri"/>
        <family val="2"/>
        <scheme val="minor"/>
      </rPr>
      <t>3</t>
    </r>
    <r>
      <rPr>
        <sz val="11"/>
        <color theme="1"/>
        <rFont val="Calibri"/>
        <family val="2"/>
        <scheme val="minor"/>
      </rPr>
      <t>)</t>
    </r>
  </si>
  <si>
    <t xml:space="preserve">Based on 2014 vendor data for base metal oxide catalyst. </t>
  </si>
  <si>
    <t xml:space="preserve"> </t>
  </si>
  <si>
    <t>Check with catalyst vendor.</t>
  </si>
  <si>
    <t>Electricity Cost ($/kWh)</t>
  </si>
  <si>
    <t>Average annual electricity cost for industrial plants is based on 2016 price data compiled by the U.S. Energy Information Administration from data reported on Form EIA-861 and 861S, (https://www.eia.gov/electricity/annual/html/epa_02_04.html).  </t>
  </si>
  <si>
    <t xml:space="preserve">Plant's utility bill or use U.S. Energy Information Administration (EIA) data for most recent year. Available at http://www.eia.gov/electricity/data.cfm#sales. </t>
  </si>
  <si>
    <t>Fuel Cost ($/Mscf)</t>
  </si>
  <si>
    <t>Annual average price paid for natural gas by industrial facilities in 2016 from the U.S. Energy Information Administration. Available at http://www.eia.gov/dnav/ng/hist/n3035us3A.htm.</t>
  </si>
  <si>
    <t>Check with fuel supplier or use  U.S. Energy Information Administration (EIA) data for most recent year." Available at http://www.eia.gov/dnav/ng/hist/n3035us3A.htm.</t>
  </si>
  <si>
    <t>Operator Labor ($/hour)</t>
  </si>
  <si>
    <t>Bureau of Labor Statistics, May 2016 National Occupational Employment and Wage Estimates – United States, May 2016 (https://www.bls.gov/oes/current/oes_nat.htm). Hourly rates for operators based on data for plant and System Operators – other (51-8099).</t>
  </si>
  <si>
    <t>Use plant-specific labor rate.</t>
  </si>
  <si>
    <t>Maintenance Labor ($/hour)</t>
  </si>
  <si>
    <t>Bureau of Labor Statistics, May 2016 National Occupational Employment and Wage Estimates – United States, May 2016 (https://www.bls.gov/oes/current/oes_nat.htm). Hourly rates for maintenance workers based on electrical and electronics commercial and industrial equipment repairers (49-2094).</t>
  </si>
  <si>
    <t>Design Parameters</t>
  </si>
  <si>
    <r>
      <t xml:space="preserve">The following design parameters for the oxidizer were calculated based on the values entered on the </t>
    </r>
    <r>
      <rPr>
        <b/>
        <i/>
        <sz val="12"/>
        <color theme="8" tint="-0.249977111117893"/>
        <rFont val="Calibri"/>
        <family val="2"/>
        <scheme val="minor"/>
      </rPr>
      <t xml:space="preserve">Data Inputs </t>
    </r>
    <r>
      <rPr>
        <b/>
        <sz val="12"/>
        <color theme="8" tint="-0.249977111117893"/>
        <rFont val="Calibri"/>
        <family val="2"/>
        <scheme val="minor"/>
      </rPr>
      <t xml:space="preserve">tab. These values were used to prepare the costs shown on the </t>
    </r>
    <r>
      <rPr>
        <b/>
        <i/>
        <sz val="12"/>
        <color theme="8" tint="-0.249977111117893"/>
        <rFont val="Calibri"/>
        <family val="2"/>
        <scheme val="minor"/>
      </rPr>
      <t>Cost Estimate</t>
    </r>
    <r>
      <rPr>
        <b/>
        <sz val="12"/>
        <color theme="8" tint="-0.249977111117893"/>
        <rFont val="Calibri"/>
        <family val="2"/>
        <scheme val="minor"/>
      </rPr>
      <t xml:space="preserve"> tab.</t>
    </r>
  </si>
  <si>
    <t>Concentration in Waste Stream (ppmv) From Data Inputs Tab</t>
  </si>
  <si>
    <t>Adjusted Concentration with Dilution Air (ppmv)</t>
  </si>
  <si>
    <t>Dilution Air Factor</t>
  </si>
  <si>
    <t xml:space="preserve">Total </t>
  </si>
  <si>
    <t>Constants used in calculations:</t>
  </si>
  <si>
    <r>
      <t>Temperature of auxiliary fuel (T</t>
    </r>
    <r>
      <rPr>
        <vertAlign val="subscript"/>
        <sz val="12"/>
        <color theme="1"/>
        <rFont val="Calibri"/>
        <family val="2"/>
        <scheme val="minor"/>
      </rPr>
      <t>af</t>
    </r>
    <r>
      <rPr>
        <sz val="12"/>
        <color theme="1"/>
        <rFont val="Calibri"/>
        <family val="2"/>
        <scheme val="minor"/>
      </rPr>
      <t>) =</t>
    </r>
  </si>
  <si>
    <r>
      <t>Reference Temperature (T</t>
    </r>
    <r>
      <rPr>
        <vertAlign val="subscript"/>
        <sz val="12"/>
        <color theme="1"/>
        <rFont val="Calibri"/>
        <family val="2"/>
        <scheme val="minor"/>
      </rPr>
      <t>ref</t>
    </r>
    <r>
      <rPr>
        <sz val="12"/>
        <color theme="1"/>
        <rFont val="Calibri"/>
        <family val="2"/>
        <scheme val="minor"/>
      </rPr>
      <t>) =</t>
    </r>
  </si>
  <si>
    <t>°F</t>
  </si>
  <si>
    <r>
      <t>Density of auxiliary Fuel at 77 °F (ρ</t>
    </r>
    <r>
      <rPr>
        <vertAlign val="subscript"/>
        <sz val="12"/>
        <color theme="1"/>
        <rFont val="Calibri"/>
        <family val="2"/>
      </rPr>
      <t>af</t>
    </r>
    <r>
      <rPr>
        <sz val="12"/>
        <color theme="1"/>
        <rFont val="Calibri"/>
        <family val="2"/>
        <scheme val="minor"/>
      </rPr>
      <t>) =</t>
    </r>
  </si>
  <si>
    <r>
      <t>lb/ft</t>
    </r>
    <r>
      <rPr>
        <vertAlign val="superscript"/>
        <sz val="12"/>
        <color theme="1"/>
        <rFont val="Calibri"/>
        <family val="2"/>
        <scheme val="minor"/>
      </rPr>
      <t>3</t>
    </r>
  </si>
  <si>
    <r>
      <t>Heat Input of auxiliary fuel (-Δh</t>
    </r>
    <r>
      <rPr>
        <vertAlign val="subscript"/>
        <sz val="12"/>
        <color theme="1"/>
        <rFont val="Calibri"/>
        <family val="2"/>
        <scheme val="minor"/>
      </rPr>
      <t>caf</t>
    </r>
    <r>
      <rPr>
        <sz val="12"/>
        <color theme="1"/>
        <rFont val="Calibri"/>
        <family val="2"/>
        <scheme val="minor"/>
      </rPr>
      <t>) =</t>
    </r>
  </si>
  <si>
    <t>Btu/lb</t>
  </si>
  <si>
    <r>
      <t>Density of waste gas at 77 °F (ρ</t>
    </r>
    <r>
      <rPr>
        <vertAlign val="subscript"/>
        <sz val="12"/>
        <color theme="1"/>
        <rFont val="Calibri"/>
        <family val="2"/>
      </rPr>
      <t>wi</t>
    </r>
    <r>
      <rPr>
        <sz val="12"/>
        <color theme="1"/>
        <rFont val="Calibri"/>
        <family val="2"/>
        <scheme val="minor"/>
      </rPr>
      <t>) =</t>
    </r>
  </si>
  <si>
    <r>
      <t>Mean Heat Capacity of Air (C</t>
    </r>
    <r>
      <rPr>
        <vertAlign val="subscript"/>
        <sz val="12"/>
        <color theme="1"/>
        <rFont val="Calibri"/>
        <family val="2"/>
        <scheme val="minor"/>
      </rPr>
      <t>pmair</t>
    </r>
    <r>
      <rPr>
        <sz val="12"/>
        <color theme="1"/>
        <rFont val="Calibri"/>
        <family val="2"/>
        <scheme val="minor"/>
      </rPr>
      <t>) =</t>
    </r>
  </si>
  <si>
    <t>(For catalytic oxidizers)</t>
  </si>
  <si>
    <t>Btu/lb °F</t>
  </si>
  <si>
    <r>
      <t>Mean Heat Capacity of Air (C</t>
    </r>
    <r>
      <rPr>
        <vertAlign val="subscript"/>
        <sz val="12"/>
        <color theme="1"/>
        <rFont val="Calibri"/>
        <family val="2"/>
        <scheme val="minor"/>
      </rPr>
      <t>pmair</t>
    </r>
    <r>
      <rPr>
        <sz val="12"/>
        <color theme="1"/>
        <rFont val="Calibri"/>
        <family val="2"/>
        <scheme val="minor"/>
      </rPr>
      <t>)</t>
    </r>
  </si>
  <si>
    <t>(For thermal oxidizers)</t>
  </si>
  <si>
    <t>LEL of Mix</t>
  </si>
  <si>
    <t>Parameter</t>
  </si>
  <si>
    <t>Equation</t>
  </si>
  <si>
    <t>Calculated Value</t>
  </si>
  <si>
    <t>Units</t>
  </si>
  <si>
    <t>Sum of volume fraction of combustible components =</t>
  </si>
  <si>
    <r>
      <t xml:space="preserve"> = (∑x</t>
    </r>
    <r>
      <rPr>
        <vertAlign val="subscript"/>
        <sz val="12"/>
        <rFont val="Calibri"/>
        <family val="2"/>
        <scheme val="minor"/>
      </rPr>
      <t>i</t>
    </r>
    <r>
      <rPr>
        <sz val="12"/>
        <rFont val="Calibri"/>
        <family val="2"/>
        <scheme val="minor"/>
      </rPr>
      <t>) =</t>
    </r>
  </si>
  <si>
    <t>ppmv</t>
  </si>
  <si>
    <r>
      <t>Lower Explosive Limit of waste gas (LEL</t>
    </r>
    <r>
      <rPr>
        <vertAlign val="subscript"/>
        <sz val="12"/>
        <color theme="1"/>
        <rFont val="Calibri"/>
        <family val="2"/>
        <scheme val="minor"/>
      </rPr>
      <t>mix</t>
    </r>
    <r>
      <rPr>
        <sz val="12"/>
        <color theme="1"/>
        <rFont val="Calibri"/>
        <family val="2"/>
        <scheme val="minor"/>
      </rPr>
      <t>)</t>
    </r>
  </si>
  <si>
    <r>
      <t>= [</t>
    </r>
    <r>
      <rPr>
        <sz val="12"/>
        <color theme="1"/>
        <rFont val="Calibri"/>
        <family val="2"/>
      </rPr>
      <t>∑((x</t>
    </r>
    <r>
      <rPr>
        <vertAlign val="subscript"/>
        <sz val="12"/>
        <color theme="1"/>
        <rFont val="Calibri"/>
        <family val="2"/>
      </rPr>
      <t>j</t>
    </r>
    <r>
      <rPr>
        <sz val="12"/>
        <color theme="1"/>
        <rFont val="Calibri"/>
        <family val="2"/>
      </rPr>
      <t>)/((∑x</t>
    </r>
    <r>
      <rPr>
        <vertAlign val="subscript"/>
        <sz val="12"/>
        <color theme="1"/>
        <rFont val="Calibri"/>
        <family val="2"/>
      </rPr>
      <t>i</t>
    </r>
    <r>
      <rPr>
        <sz val="12"/>
        <color theme="1"/>
        <rFont val="Calibri"/>
        <family val="2"/>
      </rPr>
      <t>) × LEL</t>
    </r>
    <r>
      <rPr>
        <vertAlign val="subscript"/>
        <sz val="12"/>
        <color theme="1"/>
        <rFont val="Calibri"/>
        <family val="2"/>
      </rPr>
      <t>j</t>
    </r>
    <r>
      <rPr>
        <sz val="12"/>
        <color theme="1"/>
        <rFont val="Calibri"/>
        <family val="2"/>
      </rPr>
      <t>))]</t>
    </r>
    <r>
      <rPr>
        <vertAlign val="superscript"/>
        <sz val="12"/>
        <color theme="1"/>
        <rFont val="Calibri"/>
        <family val="2"/>
      </rPr>
      <t>-1</t>
    </r>
    <r>
      <rPr>
        <sz val="12"/>
        <color theme="1"/>
        <rFont val="Calibri"/>
        <family val="2"/>
      </rPr>
      <t xml:space="preserve"> =</t>
    </r>
  </si>
  <si>
    <r>
      <t>Where x</t>
    </r>
    <r>
      <rPr>
        <vertAlign val="subscript"/>
        <sz val="12"/>
        <color theme="1"/>
        <rFont val="Calibri"/>
        <family val="2"/>
        <scheme val="minor"/>
      </rPr>
      <t>j</t>
    </r>
    <r>
      <rPr>
        <sz val="12"/>
        <color theme="1"/>
        <rFont val="Calibri"/>
        <family val="2"/>
        <scheme val="minor"/>
      </rPr>
      <t xml:space="preserve"> is the volume fraction and LEL</t>
    </r>
    <r>
      <rPr>
        <vertAlign val="subscript"/>
        <sz val="12"/>
        <color theme="1"/>
        <rFont val="Calibri"/>
        <family val="2"/>
        <scheme val="minor"/>
      </rPr>
      <t>j</t>
    </r>
    <r>
      <rPr>
        <sz val="12"/>
        <color theme="1"/>
        <rFont val="Calibri"/>
        <family val="2"/>
        <scheme val="minor"/>
      </rPr>
      <t xml:space="preserve"> the lower explosive limit for each combustible component in the waste gas.</t>
    </r>
  </si>
  <si>
    <r>
      <t>% LEL</t>
    </r>
    <r>
      <rPr>
        <vertAlign val="subscript"/>
        <sz val="12"/>
        <color theme="1"/>
        <rFont val="Calibri"/>
        <family val="2"/>
        <scheme val="minor"/>
      </rPr>
      <t xml:space="preserve">mix </t>
    </r>
  </si>
  <si>
    <r>
      <t>= (Total Combustible Conc. In Mixture/LEL</t>
    </r>
    <r>
      <rPr>
        <vertAlign val="subscript"/>
        <sz val="12"/>
        <color theme="1"/>
        <rFont val="Calibri"/>
        <family val="2"/>
        <scheme val="minor"/>
      </rPr>
      <t>mix</t>
    </r>
    <r>
      <rPr>
        <sz val="12"/>
        <color theme="1"/>
        <rFont val="Calibri"/>
        <family val="2"/>
        <scheme val="minor"/>
      </rPr>
      <t>) × 100 =</t>
    </r>
  </si>
  <si>
    <t xml:space="preserve">Dilution Factor </t>
  </si>
  <si>
    <r>
      <t xml:space="preserve"> = (LEL</t>
    </r>
    <r>
      <rPr>
        <vertAlign val="subscript"/>
        <sz val="12"/>
        <rFont val="Calibri"/>
        <family val="2"/>
        <scheme val="minor"/>
      </rPr>
      <t>mix</t>
    </r>
    <r>
      <rPr>
        <sz val="12"/>
        <rFont val="Calibri"/>
        <family val="2"/>
        <scheme val="minor"/>
      </rPr>
      <t xml:space="preserve"> x 0.249)/(∑x</t>
    </r>
    <r>
      <rPr>
        <vertAlign val="subscript"/>
        <sz val="12"/>
        <rFont val="Calibri"/>
        <family val="2"/>
        <scheme val="minor"/>
      </rPr>
      <t>i</t>
    </r>
    <r>
      <rPr>
        <sz val="12"/>
        <rFont val="Calibri"/>
        <family val="2"/>
        <scheme val="minor"/>
      </rPr>
      <t>) =</t>
    </r>
  </si>
  <si>
    <t>Lower Explosive Limit (LEL) of waste gas after addition of dilution air</t>
  </si>
  <si>
    <r>
      <t>= (Total Adjusted Conc. With Dilution Air/LEL</t>
    </r>
    <r>
      <rPr>
        <vertAlign val="subscript"/>
        <sz val="12"/>
        <color theme="1"/>
        <rFont val="Calibri"/>
        <family val="2"/>
        <scheme val="minor"/>
      </rPr>
      <t>mix</t>
    </r>
    <r>
      <rPr>
        <sz val="12"/>
        <color theme="1"/>
        <rFont val="Calibri"/>
        <family val="2"/>
        <scheme val="minor"/>
      </rPr>
      <t>) × 100 =</t>
    </r>
  </si>
  <si>
    <t>scfm</t>
  </si>
  <si>
    <t>Oxygen Content of gas stream</t>
  </si>
  <si>
    <r>
      <t>=  100 - (</t>
    </r>
    <r>
      <rPr>
        <sz val="12"/>
        <color theme="1"/>
        <rFont val="Calibri"/>
        <family val="2"/>
      </rPr>
      <t>∑x</t>
    </r>
    <r>
      <rPr>
        <vertAlign val="subscript"/>
        <sz val="12"/>
        <color theme="1"/>
        <rFont val="Calibri"/>
        <family val="2"/>
      </rPr>
      <t>j</t>
    </r>
    <r>
      <rPr>
        <sz val="12"/>
        <color theme="1"/>
        <rFont val="Calibri"/>
        <family val="2"/>
      </rPr>
      <t xml:space="preserve"> × 100/10</t>
    </r>
    <r>
      <rPr>
        <vertAlign val="superscript"/>
        <sz val="12"/>
        <color theme="1"/>
        <rFont val="Calibri"/>
        <family val="2"/>
      </rPr>
      <t>6</t>
    </r>
    <r>
      <rPr>
        <sz val="12"/>
        <color theme="1"/>
        <rFont val="Calibri"/>
        <family val="2"/>
      </rPr>
      <t>) =</t>
    </r>
  </si>
  <si>
    <t>percent</t>
  </si>
  <si>
    <t>Fan Power Consumption (FP)</t>
  </si>
  <si>
    <r>
      <t>= [(1.17 × 10</t>
    </r>
    <r>
      <rPr>
        <vertAlign val="superscript"/>
        <sz val="12"/>
        <color theme="1"/>
        <rFont val="Calibri"/>
        <family val="2"/>
        <scheme val="minor"/>
      </rPr>
      <t>-4</t>
    </r>
    <r>
      <rPr>
        <sz val="12"/>
        <color theme="1"/>
        <rFont val="Calibri"/>
        <family val="2"/>
        <scheme val="minor"/>
      </rPr>
      <t>) × Q</t>
    </r>
    <r>
      <rPr>
        <vertAlign val="subscript"/>
        <sz val="12"/>
        <color theme="1"/>
        <rFont val="Calibri"/>
        <family val="2"/>
        <scheme val="minor"/>
      </rPr>
      <t xml:space="preserve">wi </t>
    </r>
    <r>
      <rPr>
        <sz val="12"/>
        <color theme="1"/>
        <rFont val="Calibri"/>
        <family val="2"/>
        <scheme val="minor"/>
      </rPr>
      <t xml:space="preserve">× </t>
    </r>
    <r>
      <rPr>
        <sz val="12"/>
        <color theme="1"/>
        <rFont val="Calibri"/>
        <family val="2"/>
      </rPr>
      <t>Δ</t>
    </r>
    <r>
      <rPr>
        <sz val="12"/>
        <color theme="1"/>
        <rFont val="Calibri"/>
        <family val="2"/>
        <scheme val="minor"/>
      </rPr>
      <t>P]/</t>
    </r>
    <r>
      <rPr>
        <sz val="12"/>
        <color theme="1"/>
        <rFont val="Calibri"/>
        <family val="2"/>
      </rPr>
      <t>ε</t>
    </r>
  </si>
  <si>
    <t>kW</t>
  </si>
  <si>
    <r>
      <t>Q</t>
    </r>
    <r>
      <rPr>
        <vertAlign val="subscript"/>
        <sz val="12"/>
        <color theme="1"/>
        <rFont val="Calibri"/>
        <family val="2"/>
        <scheme val="minor"/>
      </rPr>
      <t>wo</t>
    </r>
  </si>
  <si>
    <r>
      <rPr>
        <sz val="12"/>
        <color theme="1"/>
        <rFont val="Calibri"/>
        <family val="2"/>
      </rPr>
      <t>≈</t>
    </r>
    <r>
      <rPr>
        <sz val="12"/>
        <color theme="1"/>
        <rFont val="Calibri"/>
        <family val="2"/>
        <scheme val="minor"/>
      </rPr>
      <t xml:space="preserve"> Q</t>
    </r>
    <r>
      <rPr>
        <vertAlign val="subscript"/>
        <sz val="12"/>
        <color theme="1"/>
        <rFont val="Calibri"/>
        <family val="2"/>
        <scheme val="minor"/>
      </rPr>
      <t xml:space="preserve">wi </t>
    </r>
    <r>
      <rPr>
        <sz val="12"/>
        <color theme="1"/>
        <rFont val="Calibri"/>
        <family val="2"/>
        <scheme val="minor"/>
      </rPr>
      <t>=</t>
    </r>
  </si>
  <si>
    <r>
      <t>Operating temperature of oxidizer (T</t>
    </r>
    <r>
      <rPr>
        <vertAlign val="subscript"/>
        <sz val="12"/>
        <color theme="1"/>
        <rFont val="Calibri"/>
        <family val="2"/>
        <scheme val="minor"/>
      </rPr>
      <t>fi</t>
    </r>
    <r>
      <rPr>
        <sz val="12"/>
        <color theme="1"/>
        <rFont val="Calibri"/>
        <family val="2"/>
        <scheme val="minor"/>
      </rPr>
      <t xml:space="preserve">) </t>
    </r>
  </si>
  <si>
    <t>(From Data Entry Tab)</t>
  </si>
  <si>
    <t>HR =</t>
  </si>
  <si>
    <r>
      <t>Temperature of waste gas at outlet to preheater (T</t>
    </r>
    <r>
      <rPr>
        <vertAlign val="subscript"/>
        <sz val="12"/>
        <color theme="1"/>
        <rFont val="Calibri"/>
        <family val="2"/>
        <scheme val="minor"/>
      </rPr>
      <t>wo</t>
    </r>
    <r>
      <rPr>
        <sz val="12"/>
        <color theme="1"/>
        <rFont val="Calibri"/>
        <family val="2"/>
        <scheme val="minor"/>
      </rPr>
      <t>)</t>
    </r>
  </si>
  <si>
    <r>
      <t xml:space="preserve"> = Heat Recovery × (T</t>
    </r>
    <r>
      <rPr>
        <vertAlign val="subscript"/>
        <sz val="12"/>
        <color theme="1"/>
        <rFont val="Calibri"/>
        <family val="2"/>
        <scheme val="minor"/>
      </rPr>
      <t>fi</t>
    </r>
    <r>
      <rPr>
        <sz val="12"/>
        <color theme="1"/>
        <rFont val="Calibri"/>
        <family val="2"/>
        <scheme val="minor"/>
      </rPr>
      <t xml:space="preserve"> - T</t>
    </r>
    <r>
      <rPr>
        <vertAlign val="subscript"/>
        <sz val="12"/>
        <color theme="1"/>
        <rFont val="Calibri"/>
        <family val="2"/>
        <scheme val="minor"/>
      </rPr>
      <t>wi</t>
    </r>
    <r>
      <rPr>
        <sz val="12"/>
        <color theme="1"/>
        <rFont val="Calibri"/>
        <family val="2"/>
        <scheme val="minor"/>
      </rPr>
      <t>) + T</t>
    </r>
    <r>
      <rPr>
        <vertAlign val="subscript"/>
        <sz val="12"/>
        <color theme="1"/>
        <rFont val="Calibri"/>
        <family val="2"/>
        <scheme val="minor"/>
      </rPr>
      <t xml:space="preserve">wi </t>
    </r>
    <r>
      <rPr>
        <sz val="12"/>
        <color theme="1"/>
        <rFont val="Calibri"/>
        <family val="2"/>
        <scheme val="minor"/>
      </rPr>
      <t>=</t>
    </r>
  </si>
  <si>
    <t>Note:  this temperature is relevant for incinerators, but not for the RTOs (both regenerative and recuperative).</t>
  </si>
  <si>
    <r>
      <t>Temperature of flue gas exiting the oxidizer (T</t>
    </r>
    <r>
      <rPr>
        <vertAlign val="subscript"/>
        <sz val="12"/>
        <color theme="1"/>
        <rFont val="Calibri"/>
        <family val="2"/>
        <scheme val="minor"/>
      </rPr>
      <t>fo</t>
    </r>
    <r>
      <rPr>
        <sz val="12"/>
        <color theme="1"/>
        <rFont val="Calibri"/>
        <family val="2"/>
        <scheme val="minor"/>
      </rPr>
      <t xml:space="preserve">) </t>
    </r>
  </si>
  <si>
    <r>
      <t xml:space="preserve"> = T</t>
    </r>
    <r>
      <rPr>
        <vertAlign val="subscript"/>
        <sz val="12"/>
        <color theme="1"/>
        <rFont val="Calibri"/>
        <family val="2"/>
        <scheme val="minor"/>
      </rPr>
      <t>fi</t>
    </r>
    <r>
      <rPr>
        <sz val="12"/>
        <color theme="1"/>
        <rFont val="Calibri"/>
        <family val="2"/>
        <scheme val="minor"/>
      </rPr>
      <t xml:space="preserve"> - T</t>
    </r>
    <r>
      <rPr>
        <vertAlign val="subscript"/>
        <sz val="12"/>
        <color theme="1"/>
        <rFont val="Calibri"/>
        <family val="2"/>
        <scheme val="minor"/>
      </rPr>
      <t>wo</t>
    </r>
    <r>
      <rPr>
        <sz val="12"/>
        <color theme="1"/>
        <rFont val="Calibri"/>
        <family val="2"/>
        <scheme val="minor"/>
      </rPr>
      <t xml:space="preserve"> + T</t>
    </r>
    <r>
      <rPr>
        <vertAlign val="subscript"/>
        <sz val="12"/>
        <color theme="1"/>
        <rFont val="Calibri"/>
        <family val="2"/>
        <scheme val="minor"/>
      </rPr>
      <t>wi</t>
    </r>
    <r>
      <rPr>
        <sz val="12"/>
        <color theme="1"/>
        <rFont val="Calibri"/>
        <family val="2"/>
        <scheme val="minor"/>
      </rPr>
      <t xml:space="preserve"> =</t>
    </r>
  </si>
  <si>
    <t>Recuperative/catalytic oxidizer</t>
  </si>
  <si>
    <r>
      <t>Temperature of flue gas exiting the regenerative oxidizer (T</t>
    </r>
    <r>
      <rPr>
        <vertAlign val="subscript"/>
        <sz val="12"/>
        <color theme="1"/>
        <rFont val="Calibri"/>
        <family val="2"/>
        <scheme val="minor"/>
      </rPr>
      <t>fo</t>
    </r>
    <r>
      <rPr>
        <sz val="12"/>
        <color theme="1"/>
        <rFont val="Calibri"/>
        <family val="2"/>
        <scheme val="minor"/>
      </rPr>
      <t xml:space="preserve">) </t>
    </r>
  </si>
  <si>
    <r>
      <t xml:space="preserve"> = T</t>
    </r>
    <r>
      <rPr>
        <vertAlign val="subscript"/>
        <sz val="12"/>
        <color theme="1"/>
        <rFont val="Calibri"/>
        <family val="2"/>
        <scheme val="minor"/>
      </rPr>
      <t>fi</t>
    </r>
    <r>
      <rPr>
        <sz val="12"/>
        <color theme="1"/>
        <rFont val="Calibri"/>
        <family val="2"/>
        <scheme val="minor"/>
      </rPr>
      <t xml:space="preserve"> - 0.95(T</t>
    </r>
    <r>
      <rPr>
        <vertAlign val="subscript"/>
        <sz val="12"/>
        <color theme="1"/>
        <rFont val="Calibri"/>
        <family val="2"/>
        <scheme val="minor"/>
      </rPr>
      <t>fi</t>
    </r>
    <r>
      <rPr>
        <sz val="12"/>
        <color theme="1"/>
        <rFont val="Calibri"/>
        <family val="2"/>
        <scheme val="minor"/>
      </rPr>
      <t xml:space="preserve"> - T</t>
    </r>
    <r>
      <rPr>
        <vertAlign val="subscript"/>
        <sz val="12"/>
        <color theme="1"/>
        <rFont val="Calibri"/>
        <family val="2"/>
        <scheme val="minor"/>
      </rPr>
      <t>wi</t>
    </r>
    <r>
      <rPr>
        <sz val="12"/>
        <color theme="1"/>
        <rFont val="Calibri"/>
        <family val="2"/>
        <scheme val="minor"/>
      </rPr>
      <t>) =</t>
    </r>
  </si>
  <si>
    <t>Regenerative oxidizer</t>
  </si>
  <si>
    <r>
      <t>Heat Input of waste gas (-Δh</t>
    </r>
    <r>
      <rPr>
        <vertAlign val="subscript"/>
        <sz val="12"/>
        <color theme="1"/>
        <rFont val="Calibri"/>
        <family val="2"/>
        <scheme val="minor"/>
      </rPr>
      <t>cwi</t>
    </r>
    <r>
      <rPr>
        <sz val="12"/>
        <color theme="1"/>
        <rFont val="Calibri"/>
        <family val="2"/>
        <scheme val="minor"/>
      </rPr>
      <t>)</t>
    </r>
  </si>
  <si>
    <r>
      <t>= ∑ (-∆h</t>
    </r>
    <r>
      <rPr>
        <vertAlign val="subscript"/>
        <sz val="12"/>
        <color theme="1"/>
        <rFont val="Calibri"/>
        <family val="2"/>
      </rPr>
      <t>ci</t>
    </r>
    <r>
      <rPr>
        <sz val="12"/>
        <color theme="1"/>
        <rFont val="Calibri"/>
        <family val="2"/>
      </rPr>
      <t>) x</t>
    </r>
    <r>
      <rPr>
        <vertAlign val="subscript"/>
        <sz val="12"/>
        <color theme="1"/>
        <rFont val="Calibri"/>
        <family val="2"/>
      </rPr>
      <t>i</t>
    </r>
    <r>
      <rPr>
        <sz val="12"/>
        <color theme="1"/>
        <rFont val="Calibri"/>
        <family val="2"/>
      </rPr>
      <t xml:space="preserve"> 
Where (-∆h</t>
    </r>
    <r>
      <rPr>
        <vertAlign val="subscript"/>
        <sz val="12"/>
        <color theme="1"/>
        <rFont val="Calibri"/>
        <family val="2"/>
      </rPr>
      <t>ci</t>
    </r>
    <r>
      <rPr>
        <sz val="12"/>
        <color theme="1"/>
        <rFont val="Calibri"/>
        <family val="2"/>
      </rPr>
      <t>) is the heat of combustion and x</t>
    </r>
    <r>
      <rPr>
        <vertAlign val="subscript"/>
        <sz val="12"/>
        <color theme="1"/>
        <rFont val="Calibri"/>
        <family val="2"/>
      </rPr>
      <t>i</t>
    </r>
    <r>
      <rPr>
        <sz val="12"/>
        <color theme="1"/>
        <rFont val="Calibri"/>
        <family val="2"/>
      </rPr>
      <t xml:space="preserve"> the fraction of component "i" at 77 °F. </t>
    </r>
  </si>
  <si>
    <t>Btu/scf</t>
  </si>
  <si>
    <r>
      <t>Estimated Auxiliary Fuel Flow (Q</t>
    </r>
    <r>
      <rPr>
        <vertAlign val="subscript"/>
        <sz val="12"/>
        <color theme="1"/>
        <rFont val="Calibri"/>
        <family val="2"/>
      </rPr>
      <t>af</t>
    </r>
    <r>
      <rPr>
        <sz val="12"/>
        <color theme="1"/>
        <rFont val="Calibri"/>
        <family val="2"/>
        <scheme val="minor"/>
      </rPr>
      <t>) at 77 °F and 1 atm.</t>
    </r>
  </si>
  <si>
    <t>Calculated Qaf =</t>
  </si>
  <si>
    <t>Recuperative Ox</t>
  </si>
  <si>
    <t>Calculated Qaf for Regen. =</t>
  </si>
  <si>
    <t>Regenerative Ox</t>
  </si>
  <si>
    <t>Auxiliary fuel Energy Input =</t>
  </si>
  <si>
    <t>Btu/min</t>
  </si>
  <si>
    <t>Qaf calc. for Regenerative oxidizers:</t>
  </si>
  <si>
    <t>Minimum Energy required for combustion stabilization =</t>
  </si>
  <si>
    <r>
      <t>= 5% × Total Energy Input = 0.05 × ρ</t>
    </r>
    <r>
      <rPr>
        <vertAlign val="subscript"/>
        <sz val="12"/>
        <color theme="1"/>
        <rFont val="Calibri"/>
        <family val="2"/>
        <scheme val="minor"/>
      </rPr>
      <t>fi</t>
    </r>
    <r>
      <rPr>
        <sz val="12"/>
        <color theme="1"/>
        <rFont val="Calibri"/>
        <family val="2"/>
        <scheme val="minor"/>
      </rPr>
      <t xml:space="preserve"> × Q</t>
    </r>
    <r>
      <rPr>
        <vertAlign val="subscript"/>
        <sz val="12"/>
        <color theme="1"/>
        <rFont val="Calibri"/>
        <family val="2"/>
        <scheme val="minor"/>
      </rPr>
      <t>fi</t>
    </r>
    <r>
      <rPr>
        <sz val="12"/>
        <color theme="1"/>
        <rFont val="Calibri"/>
        <family val="2"/>
        <scheme val="minor"/>
      </rPr>
      <t xml:space="preserve"> × C</t>
    </r>
    <r>
      <rPr>
        <vertAlign val="subscript"/>
        <sz val="12"/>
        <color theme="1"/>
        <rFont val="Calibri"/>
        <family val="2"/>
        <scheme val="minor"/>
      </rPr>
      <t>pmfi</t>
    </r>
    <r>
      <rPr>
        <sz val="12"/>
        <color theme="1"/>
        <rFont val="Calibri"/>
        <family val="2"/>
        <scheme val="minor"/>
      </rPr>
      <t xml:space="preserve"> × (T</t>
    </r>
    <r>
      <rPr>
        <vertAlign val="subscript"/>
        <sz val="12"/>
        <color theme="1"/>
        <rFont val="Calibri"/>
        <family val="2"/>
        <scheme val="minor"/>
      </rPr>
      <t>fi</t>
    </r>
    <r>
      <rPr>
        <sz val="12"/>
        <color theme="1"/>
        <rFont val="Calibri"/>
        <family val="2"/>
        <scheme val="minor"/>
      </rPr>
      <t xml:space="preserve"> - T</t>
    </r>
    <r>
      <rPr>
        <vertAlign val="subscript"/>
        <sz val="12"/>
        <color theme="1"/>
        <rFont val="Calibri"/>
        <family val="2"/>
        <scheme val="minor"/>
      </rPr>
      <t>ref</t>
    </r>
    <r>
      <rPr>
        <sz val="12"/>
        <color theme="1"/>
        <rFont val="Calibri"/>
        <family val="2"/>
        <scheme val="minor"/>
      </rPr>
      <t>) =</t>
    </r>
  </si>
  <si>
    <t>Denominator for Eq.2.45 =</t>
  </si>
  <si>
    <t xml:space="preserve">Is the calculated auxiliary fuel sufficient to stabilize combustion?                                                                 (Note: If the auxiliary fuel energy input &gt; 5% of Total Energy Input, then the auxilary fuel is sufficient.) </t>
  </si>
  <si>
    <t>Numerator for Eq.2.45 =</t>
  </si>
  <si>
    <t>Qaf =</t>
  </si>
  <si>
    <r>
      <t>Total Volumetric Throughput (Q</t>
    </r>
    <r>
      <rPr>
        <vertAlign val="subscript"/>
        <sz val="12"/>
        <color theme="1"/>
        <rFont val="Calibri"/>
        <family val="2"/>
      </rPr>
      <t>tot</t>
    </r>
    <r>
      <rPr>
        <sz val="12"/>
        <color theme="1"/>
        <rFont val="Calibri"/>
        <family val="2"/>
        <scheme val="minor"/>
      </rPr>
      <t>) at 77 °F and 1 atm.</t>
    </r>
  </si>
  <si>
    <r>
      <t xml:space="preserve"> = Q</t>
    </r>
    <r>
      <rPr>
        <vertAlign val="subscript"/>
        <sz val="12"/>
        <color theme="1"/>
        <rFont val="Calibri"/>
        <family val="2"/>
        <scheme val="minor"/>
      </rPr>
      <t>fi</t>
    </r>
    <r>
      <rPr>
        <sz val="12"/>
        <color theme="1"/>
        <rFont val="Calibri"/>
        <family val="2"/>
        <scheme val="minor"/>
      </rPr>
      <t xml:space="preserve"> = Q</t>
    </r>
    <r>
      <rPr>
        <vertAlign val="subscript"/>
        <sz val="12"/>
        <color theme="1"/>
        <rFont val="Calibri"/>
        <family val="2"/>
        <scheme val="minor"/>
      </rPr>
      <t>wo</t>
    </r>
    <r>
      <rPr>
        <sz val="12"/>
        <color theme="1"/>
        <rFont val="Calibri"/>
        <family val="2"/>
        <scheme val="minor"/>
      </rPr>
      <t xml:space="preserve"> + Q</t>
    </r>
    <r>
      <rPr>
        <vertAlign val="subscript"/>
        <sz val="12"/>
        <color theme="1"/>
        <rFont val="Calibri"/>
        <family val="2"/>
        <scheme val="minor"/>
      </rPr>
      <t>a</t>
    </r>
    <r>
      <rPr>
        <sz val="12"/>
        <color theme="1"/>
        <rFont val="Calibri"/>
        <family val="2"/>
        <scheme val="minor"/>
      </rPr>
      <t xml:space="preserve"> + Q</t>
    </r>
    <r>
      <rPr>
        <vertAlign val="subscript"/>
        <sz val="12"/>
        <color theme="1"/>
        <rFont val="Calibri"/>
        <family val="2"/>
        <scheme val="minor"/>
      </rPr>
      <t>af</t>
    </r>
    <r>
      <rPr>
        <sz val="12"/>
        <color theme="1"/>
        <rFont val="Calibri"/>
        <family val="2"/>
        <scheme val="minor"/>
      </rPr>
      <t xml:space="preserve"> = Q</t>
    </r>
    <r>
      <rPr>
        <vertAlign val="subscript"/>
        <sz val="12"/>
        <color theme="1"/>
        <rFont val="Calibri"/>
        <family val="2"/>
        <scheme val="minor"/>
      </rPr>
      <t>wi</t>
    </r>
    <r>
      <rPr>
        <sz val="12"/>
        <color theme="1"/>
        <rFont val="Calibri"/>
        <family val="2"/>
        <scheme val="minor"/>
      </rPr>
      <t xml:space="preserve"> + Q</t>
    </r>
    <r>
      <rPr>
        <vertAlign val="subscript"/>
        <sz val="12"/>
        <color theme="1"/>
        <rFont val="Calibri"/>
        <family val="2"/>
        <scheme val="minor"/>
      </rPr>
      <t xml:space="preserve">af </t>
    </r>
    <r>
      <rPr>
        <sz val="12"/>
        <color theme="1"/>
        <rFont val="Calibri"/>
        <family val="2"/>
        <scheme val="minor"/>
      </rPr>
      <t>=</t>
    </r>
  </si>
  <si>
    <t>Calculation of Catalyst Volume and Estimated Temperature of Waste Gas Entering the Catalyst Bed</t>
  </si>
  <si>
    <r>
      <t>Volumetric Flow Rate at 60 °F and 1 atm (Q</t>
    </r>
    <r>
      <rPr>
        <vertAlign val="subscript"/>
        <sz val="12"/>
        <color theme="1"/>
        <rFont val="Calibri"/>
        <family val="2"/>
      </rPr>
      <t>ft</t>
    </r>
    <r>
      <rPr>
        <sz val="12"/>
        <color theme="1"/>
        <rFont val="Calibri"/>
        <family val="2"/>
        <scheme val="minor"/>
      </rPr>
      <t>)</t>
    </r>
  </si>
  <si>
    <r>
      <t>= Q</t>
    </r>
    <r>
      <rPr>
        <vertAlign val="subscript"/>
        <sz val="12"/>
        <color theme="1"/>
        <rFont val="Calibri"/>
        <family val="2"/>
      </rPr>
      <t>tot</t>
    </r>
    <r>
      <rPr>
        <sz val="12"/>
        <color theme="1"/>
        <rFont val="Calibri"/>
        <family val="2"/>
        <scheme val="minor"/>
      </rPr>
      <t xml:space="preserve"> × (519)/(77 °F + 460) =</t>
    </r>
  </si>
  <si>
    <r>
      <t>Catalyst Volume (Vol</t>
    </r>
    <r>
      <rPr>
        <vertAlign val="subscript"/>
        <sz val="12"/>
        <color theme="1"/>
        <rFont val="Calibri"/>
        <family val="2"/>
        <scheme val="minor"/>
      </rPr>
      <t>cat</t>
    </r>
    <r>
      <rPr>
        <sz val="12"/>
        <color theme="1"/>
        <rFont val="Calibri"/>
        <family val="2"/>
        <scheme val="minor"/>
      </rPr>
      <t>)</t>
    </r>
  </si>
  <si>
    <r>
      <t>= Q</t>
    </r>
    <r>
      <rPr>
        <vertAlign val="subscript"/>
        <sz val="12"/>
        <color theme="1"/>
        <rFont val="Calibri"/>
        <family val="2"/>
      </rPr>
      <t>ft</t>
    </r>
    <r>
      <rPr>
        <sz val="12"/>
        <color theme="1"/>
        <rFont val="Calibri"/>
        <family val="2"/>
        <scheme val="minor"/>
      </rPr>
      <t>/Φ 
Where Q</t>
    </r>
    <r>
      <rPr>
        <vertAlign val="subscript"/>
        <sz val="12"/>
        <color theme="1"/>
        <rFont val="Calibri"/>
        <family val="2"/>
        <scheme val="minor"/>
      </rPr>
      <t>ft</t>
    </r>
    <r>
      <rPr>
        <sz val="12"/>
        <color theme="1"/>
        <rFont val="Calibri"/>
        <family val="2"/>
        <scheme val="minor"/>
      </rPr>
      <t xml:space="preserve"> is the volumetric flow rate of the waste gas (Q</t>
    </r>
    <r>
      <rPr>
        <vertAlign val="subscript"/>
        <sz val="12"/>
        <color theme="1"/>
        <rFont val="Calibri"/>
        <family val="2"/>
        <scheme val="minor"/>
      </rPr>
      <t>fi</t>
    </r>
    <r>
      <rPr>
        <sz val="12"/>
        <color theme="1"/>
        <rFont val="Calibri"/>
        <family val="2"/>
        <scheme val="minor"/>
      </rPr>
      <t>) corrected to 60 °F and 1 atm and Φ is the space velocity for the catalyst.</t>
    </r>
  </si>
  <si>
    <r>
      <t>ft</t>
    </r>
    <r>
      <rPr>
        <vertAlign val="superscript"/>
        <sz val="12"/>
        <color theme="1"/>
        <rFont val="Calibri"/>
        <family val="2"/>
        <scheme val="minor"/>
      </rPr>
      <t>3</t>
    </r>
  </si>
  <si>
    <r>
      <t>Estimated inlet temperature to the catalyst bed (T</t>
    </r>
    <r>
      <rPr>
        <vertAlign val="subscript"/>
        <sz val="12"/>
        <color theme="1"/>
        <rFont val="Calibri"/>
        <family val="2"/>
        <scheme val="minor"/>
      </rPr>
      <t>ri</t>
    </r>
    <r>
      <rPr>
        <sz val="12"/>
        <color theme="1"/>
        <rFont val="Calibri"/>
        <family val="2"/>
        <scheme val="minor"/>
      </rPr>
      <t>) =</t>
    </r>
  </si>
  <si>
    <t>(Calculated using Equation 2.28 in Chapter 2 of the Cost Manual)</t>
  </si>
  <si>
    <t>Capital Recovery Factor:</t>
  </si>
  <si>
    <t xml:space="preserve">Capital Recovery Factor (CRF) = </t>
  </si>
  <si>
    <r>
      <t>i (1+ i)</t>
    </r>
    <r>
      <rPr>
        <vertAlign val="superscript"/>
        <sz val="12"/>
        <color theme="1"/>
        <rFont val="Calibri"/>
        <family val="2"/>
        <scheme val="minor"/>
      </rPr>
      <t>n</t>
    </r>
    <r>
      <rPr>
        <sz val="12"/>
        <color theme="1"/>
        <rFont val="Calibri"/>
        <family val="2"/>
        <scheme val="minor"/>
      </rPr>
      <t>/(1+ i)</t>
    </r>
    <r>
      <rPr>
        <vertAlign val="superscript"/>
        <sz val="12"/>
        <color theme="1"/>
        <rFont val="Calibri"/>
        <family val="2"/>
        <scheme val="minor"/>
      </rPr>
      <t>n</t>
    </r>
    <r>
      <rPr>
        <sz val="12"/>
        <color theme="1"/>
        <rFont val="Calibri"/>
        <family val="2"/>
        <scheme val="minor"/>
      </rPr>
      <t xml:space="preserve"> - 1 =</t>
    </r>
  </si>
  <si>
    <t>Where n = Equipment Life and i= Interest Rate</t>
  </si>
  <si>
    <t>Future Worth Factor</t>
  </si>
  <si>
    <t xml:space="preserve">Future Worth Factor (FWF) = </t>
  </si>
  <si>
    <r>
      <t>i [1/(1+ i)</t>
    </r>
    <r>
      <rPr>
        <vertAlign val="superscript"/>
        <sz val="12"/>
        <color theme="1"/>
        <rFont val="Calibri"/>
        <family val="2"/>
        <scheme val="minor"/>
      </rPr>
      <t>y</t>
    </r>
    <r>
      <rPr>
        <sz val="12"/>
        <color theme="1"/>
        <rFont val="Calibri"/>
        <family val="2"/>
        <scheme val="minor"/>
      </rPr>
      <t xml:space="preserve"> - 1] =</t>
    </r>
  </si>
  <si>
    <t>Where y = Catalyst Life and i= Interest Rate</t>
  </si>
  <si>
    <t>Cost Estimate</t>
  </si>
  <si>
    <t>Catalytic - Fixed and Monolith</t>
  </si>
  <si>
    <t>Catalytic - Fluid-Bed</t>
  </si>
  <si>
    <t>Thermal - Recuperative</t>
  </si>
  <si>
    <t>Direct Costs</t>
  </si>
  <si>
    <r>
      <t>Incinerator + auxiliary equipment</t>
    </r>
    <r>
      <rPr>
        <vertAlign val="superscript"/>
        <sz val="11"/>
        <color theme="1"/>
        <rFont val="Calibri"/>
        <family val="2"/>
        <scheme val="minor"/>
      </rPr>
      <t>a</t>
    </r>
    <r>
      <rPr>
        <sz val="11"/>
        <color theme="1"/>
        <rFont val="Calibri"/>
        <family val="2"/>
        <scheme val="minor"/>
      </rPr>
      <t xml:space="preserve"> (A) =</t>
    </r>
  </si>
  <si>
    <t xml:space="preserve">Equipment Costs  (EC) for Regenerative Oxidizer </t>
  </si>
  <si>
    <t xml:space="preserve">Equipment Costs  (EC) for Recuperative Thermal Oxidizer </t>
  </si>
  <si>
    <t xml:space="preserve">Equipment Costs  (EC) for Fluid Bed Catalytic Oxidizer </t>
  </si>
  <si>
    <r>
      <t>Instrumentation</t>
    </r>
    <r>
      <rPr>
        <vertAlign val="superscript"/>
        <sz val="11"/>
        <color theme="1"/>
        <rFont val="Calibri"/>
        <family val="2"/>
        <scheme val="minor"/>
      </rPr>
      <t>b</t>
    </r>
    <r>
      <rPr>
        <sz val="11"/>
        <color theme="1"/>
        <rFont val="Calibri"/>
        <family val="2"/>
        <scheme val="minor"/>
      </rPr>
      <t xml:space="preserve"> =</t>
    </r>
  </si>
  <si>
    <t>0.10 × A =</t>
  </si>
  <si>
    <t>Regenerative TO</t>
  </si>
  <si>
    <t>Sales taxes =</t>
  </si>
  <si>
    <t>0.03 × A =</t>
  </si>
  <si>
    <t>EC</t>
  </si>
  <si>
    <t>Freight =</t>
  </si>
  <si>
    <t>0.05 × A =</t>
  </si>
  <si>
    <t>Escalation Factor</t>
  </si>
  <si>
    <t>A scaled to cost year =</t>
  </si>
  <si>
    <t xml:space="preserve">Total Purchased equipment costs (B) = </t>
  </si>
  <si>
    <t>a - Auxiliary equipment includes equipment (e.g., duct work) normally not included with unit furnished by incinerator vendor.</t>
  </si>
  <si>
    <t>b - Includes the instrumentation and controls furnished by the incinerator vendor.</t>
  </si>
  <si>
    <t>Foundations and Supports =</t>
  </si>
  <si>
    <t>0.08 × B =</t>
  </si>
  <si>
    <t>Handling and Erection =</t>
  </si>
  <si>
    <t>0.14 × B =</t>
  </si>
  <si>
    <t>Electrical =</t>
  </si>
  <si>
    <t>0.04 × B =</t>
  </si>
  <si>
    <t>Piping =</t>
  </si>
  <si>
    <t>0.02 × B =</t>
  </si>
  <si>
    <r>
      <t>Insulation for Ductwork</t>
    </r>
    <r>
      <rPr>
        <sz val="11"/>
        <color theme="1"/>
        <rFont val="Calibri"/>
        <family val="2"/>
        <scheme val="minor"/>
      </rPr>
      <t xml:space="preserve"> =</t>
    </r>
  </si>
  <si>
    <t>0.01 × B =</t>
  </si>
  <si>
    <t>Painting =</t>
  </si>
  <si>
    <t>Site Preparation (SP) =</t>
  </si>
  <si>
    <t>Buildings (Bldg) =</t>
  </si>
  <si>
    <t xml:space="preserve">Total Direct Installaton Costs = </t>
  </si>
  <si>
    <t xml:space="preserve">Total Direct Costs (DC) = </t>
  </si>
  <si>
    <t xml:space="preserve">B + C + SP + Bldg = </t>
  </si>
  <si>
    <t xml:space="preserve">Engineering = </t>
  </si>
  <si>
    <t>0.10 × B =</t>
  </si>
  <si>
    <t xml:space="preserve">Construction and field expenses = </t>
  </si>
  <si>
    <t>0.05 × B =</t>
  </si>
  <si>
    <t>Contractor fees =</t>
  </si>
  <si>
    <t>Start-up =</t>
  </si>
  <si>
    <t>Performance test =</t>
  </si>
  <si>
    <t>Total Indirect Costs (IC) =</t>
  </si>
  <si>
    <t>Continency Cost (C ) =</t>
  </si>
  <si>
    <t>CF(IC+DC)=</t>
  </si>
  <si>
    <t>Total Capital Investment =</t>
  </si>
  <si>
    <t>DC + IC +C =</t>
  </si>
  <si>
    <t>Direct Annual Costs</t>
  </si>
  <si>
    <t>Catalyst Replacement Cost</t>
  </si>
  <si>
    <r>
      <t>= 1.08 × CC × Vol</t>
    </r>
    <r>
      <rPr>
        <vertAlign val="subscript"/>
        <sz val="11"/>
        <color theme="1"/>
        <rFont val="Calibri"/>
        <family val="2"/>
        <scheme val="minor"/>
      </rPr>
      <t>cat</t>
    </r>
    <r>
      <rPr>
        <sz val="11"/>
        <color theme="1"/>
        <rFont val="Calibri"/>
        <family val="2"/>
        <scheme val="minor"/>
      </rPr>
      <t xml:space="preserve"> × FWF
Where CC is the $/ft</t>
    </r>
    <r>
      <rPr>
        <vertAlign val="superscript"/>
        <sz val="11"/>
        <color theme="1"/>
        <rFont val="Calibri"/>
        <family val="2"/>
        <scheme val="minor"/>
      </rPr>
      <t>3</t>
    </r>
    <r>
      <rPr>
        <sz val="11"/>
        <color theme="1"/>
        <rFont val="Calibri"/>
        <family val="2"/>
        <scheme val="minor"/>
      </rPr>
      <t xml:space="preserve"> cost for the replacement catalyst; Vol</t>
    </r>
    <r>
      <rPr>
        <vertAlign val="subscript"/>
        <sz val="11"/>
        <color theme="1"/>
        <rFont val="Calibri"/>
        <family val="2"/>
        <scheme val="minor"/>
      </rPr>
      <t>cat</t>
    </r>
    <r>
      <rPr>
        <sz val="11"/>
        <color theme="1"/>
        <rFont val="Calibri"/>
        <family val="2"/>
        <scheme val="minor"/>
      </rPr>
      <t xml:space="preserve"> is the volume of catalyst required based on the waste gas flow rate (Q</t>
    </r>
    <r>
      <rPr>
        <vertAlign val="subscript"/>
        <sz val="11"/>
        <color theme="1"/>
        <rFont val="Calibri"/>
        <family val="2"/>
        <scheme val="minor"/>
      </rPr>
      <t>ft</t>
    </r>
    <r>
      <rPr>
        <sz val="11"/>
        <color theme="1"/>
        <rFont val="Calibri"/>
        <family val="2"/>
        <scheme val="minor"/>
      </rPr>
      <t>) and the catalyst space velocity (</t>
    </r>
    <r>
      <rPr>
        <sz val="11"/>
        <color theme="1"/>
        <rFont val="Calibri"/>
        <family val="2"/>
      </rPr>
      <t>Φ)</t>
    </r>
    <r>
      <rPr>
        <sz val="11"/>
        <color theme="1"/>
        <rFont val="Calibri"/>
        <family val="2"/>
        <scheme val="minor"/>
      </rPr>
      <t>; and FWF is the future worth factor.</t>
    </r>
  </si>
  <si>
    <t xml:space="preserve">Annual Electricity Cost </t>
  </si>
  <si>
    <t>= Annual Electricity Usage × Operating Hours/year × Electricity Price =</t>
  </si>
  <si>
    <t>Annual Fuel Costs for Natural Gas</t>
  </si>
  <si>
    <r>
      <t>= Cost</t>
    </r>
    <r>
      <rPr>
        <vertAlign val="subscript"/>
        <sz val="11"/>
        <color theme="1"/>
        <rFont val="Calibri"/>
        <family val="2"/>
        <scheme val="minor"/>
      </rPr>
      <t>fuel</t>
    </r>
    <r>
      <rPr>
        <sz val="11"/>
        <color theme="1"/>
        <rFont val="Calibri"/>
        <family val="2"/>
        <scheme val="minor"/>
      </rPr>
      <t xml:space="preserve"> × Fuel Usage Rate × 60 min/hr × Operating hours/year</t>
    </r>
  </si>
  <si>
    <t>Operating Labor</t>
  </si>
  <si>
    <t>Operator = 0.5hours/shift × Labor Rate × (Operating hours/8 hours/shift)</t>
  </si>
  <si>
    <t>Supervisor = 15% of Operator</t>
  </si>
  <si>
    <t>Maintenance Costs</t>
  </si>
  <si>
    <t>Labor = 0.5 hours/shift × Labor Rate × (Operating Hours/8 hours/shift)</t>
  </si>
  <si>
    <t>Materials = 100% of maintenance labor</t>
  </si>
  <si>
    <t>Direct Annual Costs (DC) =</t>
  </si>
  <si>
    <t>Indirect Annual Costs</t>
  </si>
  <si>
    <t>Overhead</t>
  </si>
  <si>
    <t>= 60% of sum of operating, supervisor, maintenance labor and maintenance materials</t>
  </si>
  <si>
    <t>Administrative Charges</t>
  </si>
  <si>
    <t>= 2% of TCI</t>
  </si>
  <si>
    <t>Property Taxes</t>
  </si>
  <si>
    <t>= 1% of TCI</t>
  </si>
  <si>
    <t>Insurance</t>
  </si>
  <si>
    <t>Capital Recovery</t>
  </si>
  <si>
    <t>Indirect Annual Costs (IC) =</t>
  </si>
  <si>
    <t>Total Annual Cost =</t>
  </si>
  <si>
    <t>DC + IC =</t>
  </si>
  <si>
    <t>Cost Effectiveness</t>
  </si>
  <si>
    <t>Cost Effectiveness = (Total Annual Cost)/(Annual Quantity of VOC/HAP Pollutants Destroyed)</t>
  </si>
  <si>
    <t>Total Annual Cost (TAC) =</t>
  </si>
  <si>
    <t>VOC/HAP Pollutants Destroyed =</t>
  </si>
  <si>
    <t xml:space="preserve">Cost Effectiveness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</si>
</sst>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43" formatCode="_(* #,##0.00_);_(* \(#,##0.00\);_(* &quot;-&quot;??_);_(@_)"/>
    <numFmt numFmtId="164" formatCode="0.0"/>
    <numFmt numFmtId="165" formatCode="&quot;$&quot;#,##0"/>
    <numFmt numFmtId="166" formatCode="0.0000"/>
    <numFmt numFmtId="167" formatCode="&quot;$&quot;#,##0.00"/>
    <numFmt numFmtId="168" formatCode="#,##0.0000"/>
    <numFmt numFmtId="169" formatCode="#,##0.0"/>
    <numFmt numFmtId="170" formatCode="#,##0.000"/>
    <numFmt numFmtId="171" formatCode="0.000"/>
    <numFmt numFmtId="172" formatCode="_(* #,##0_);_(* \(#,##0\);_(* &quot;-&quot;??_);_(@_)"/>
  </numFmts>
  <fonts count="59"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vertAlign val="superscript"/>
      <sz val="11"/>
      <color theme="1"/>
      <name val="Calibri"/>
      <family val="2"/>
      <scheme val="minor"/>
    </font>
    <font>
      <vertAlign val="subscript"/>
      <sz val="11"/>
      <color theme="1"/>
      <name val="Calibri"/>
      <family val="2"/>
      <scheme val="minor"/>
    </font>
    <font>
      <sz val="11"/>
      <name val="Calibri"/>
      <family val="2"/>
      <scheme val="minor"/>
    </font>
    <font>
      <b/>
      <sz val="11"/>
      <name val="Calibri"/>
      <family val="2"/>
      <scheme val="minor"/>
    </font>
    <font>
      <sz val="11"/>
      <color theme="0"/>
      <name val="Calibri"/>
      <family val="2"/>
      <scheme val="minor"/>
    </font>
    <font>
      <u/>
      <sz val="11"/>
      <color theme="1"/>
      <name val="Calibri"/>
      <family val="2"/>
      <scheme val="minor"/>
    </font>
    <font>
      <sz val="18"/>
      <color theme="0"/>
      <name val="Calibri"/>
      <family val="2"/>
      <scheme val="minor"/>
    </font>
    <font>
      <sz val="12"/>
      <color theme="8" tint="-0.249977111117893"/>
      <name val="Calibri"/>
      <family val="2"/>
      <scheme val="minor"/>
    </font>
    <font>
      <sz val="12"/>
      <color theme="1"/>
      <name val="Calibri"/>
      <family val="2"/>
      <scheme val="minor"/>
    </font>
    <font>
      <sz val="12"/>
      <color theme="8" tint="-0.499984740745262"/>
      <name val="Calibri"/>
      <family val="2"/>
      <scheme val="minor"/>
    </font>
    <font>
      <b/>
      <sz val="16"/>
      <color theme="0"/>
      <name val="Calibri"/>
      <family val="2"/>
      <scheme val="minor"/>
    </font>
    <font>
      <b/>
      <u/>
      <sz val="12"/>
      <color theme="8" tint="-0.499984740745262"/>
      <name val="Calibri"/>
      <family val="2"/>
      <scheme val="minor"/>
    </font>
    <font>
      <b/>
      <sz val="12"/>
      <color theme="8" tint="-0.499984740745262"/>
      <name val="Calibri"/>
      <family val="2"/>
      <scheme val="minor"/>
    </font>
    <font>
      <b/>
      <i/>
      <sz val="12"/>
      <color theme="8" tint="-0.499984740745262"/>
      <name val="Calibri"/>
      <family val="2"/>
      <scheme val="minor"/>
    </font>
    <font>
      <sz val="12"/>
      <color theme="8" tint="-0.499984740745262"/>
      <name val="Times New Roman"/>
      <family val="1"/>
    </font>
    <font>
      <b/>
      <sz val="18"/>
      <color theme="0"/>
      <name val="Calibri"/>
      <family val="2"/>
      <scheme val="minor"/>
    </font>
    <font>
      <b/>
      <sz val="14"/>
      <color theme="0"/>
      <name val="Calibri"/>
      <family val="2"/>
      <scheme val="minor"/>
    </font>
    <font>
      <sz val="14"/>
      <name val="Calibri"/>
      <family val="2"/>
      <scheme val="minor"/>
    </font>
    <font>
      <sz val="14"/>
      <color theme="1"/>
      <name val="Calibri"/>
      <family val="2"/>
      <scheme val="minor"/>
    </font>
    <font>
      <sz val="12"/>
      <name val="Calibri"/>
      <family val="2"/>
      <scheme val="minor"/>
    </font>
    <font>
      <sz val="14"/>
      <color rgb="FFFF0000"/>
      <name val="Calibri"/>
      <family val="2"/>
      <scheme val="minor"/>
    </font>
    <font>
      <sz val="12"/>
      <color rgb="FFFF0000"/>
      <name val="Calibri"/>
      <family val="2"/>
      <scheme val="minor"/>
    </font>
    <font>
      <b/>
      <sz val="11"/>
      <color theme="8" tint="-0.249977111117893"/>
      <name val="Calibri"/>
      <family val="2"/>
      <scheme val="minor"/>
    </font>
    <font>
      <sz val="11"/>
      <color theme="8" tint="-0.249977111117893"/>
      <name val="Calibri"/>
      <family val="2"/>
      <scheme val="minor"/>
    </font>
    <font>
      <b/>
      <sz val="12"/>
      <color theme="8" tint="-0.249977111117893"/>
      <name val="Calibri"/>
      <family val="2"/>
      <scheme val="minor"/>
    </font>
    <font>
      <b/>
      <i/>
      <sz val="12"/>
      <color theme="8" tint="-0.249977111117893"/>
      <name val="Calibri"/>
      <family val="2"/>
      <scheme val="minor"/>
    </font>
    <font>
      <sz val="12"/>
      <color theme="0"/>
      <name val="Calibri"/>
      <family val="2"/>
      <scheme val="minor"/>
    </font>
    <font>
      <sz val="9"/>
      <color rgb="FFC00000"/>
      <name val="Calibri"/>
      <family val="2"/>
      <scheme val="minor"/>
    </font>
    <font>
      <vertAlign val="subscript"/>
      <sz val="12"/>
      <color theme="8" tint="-0.499984740745262"/>
      <name val="Calibri"/>
      <family val="2"/>
      <scheme val="minor"/>
    </font>
    <font>
      <b/>
      <sz val="14"/>
      <color theme="4" tint="-0.249977111117893"/>
      <name val="Calibri"/>
      <family val="2"/>
      <scheme val="minor"/>
    </font>
    <font>
      <b/>
      <sz val="14"/>
      <color theme="8"/>
      <name val="Calibri"/>
      <family val="2"/>
      <scheme val="minor"/>
    </font>
    <font>
      <b/>
      <sz val="12"/>
      <color theme="0"/>
      <name val="Calibri"/>
      <family val="2"/>
      <scheme val="minor"/>
    </font>
    <font>
      <sz val="14"/>
      <color theme="0"/>
      <name val="Calibri"/>
      <family val="2"/>
      <scheme val="minor"/>
    </font>
    <font>
      <sz val="14"/>
      <color theme="1"/>
      <name val="Calibri"/>
      <family val="2"/>
    </font>
    <font>
      <vertAlign val="subscript"/>
      <sz val="14"/>
      <color theme="1"/>
      <name val="Calibri"/>
      <family val="2"/>
      <scheme val="minor"/>
    </font>
    <font>
      <vertAlign val="superscript"/>
      <sz val="14"/>
      <color theme="1"/>
      <name val="Calibri"/>
      <family val="2"/>
      <scheme val="minor"/>
    </font>
    <font>
      <b/>
      <sz val="14"/>
      <color theme="1"/>
      <name val="Calibri"/>
      <family val="2"/>
      <scheme val="minor"/>
    </font>
    <font>
      <b/>
      <sz val="14"/>
      <color theme="8" tint="-0.249977111117893"/>
      <name val="Calibri"/>
      <family val="2"/>
      <scheme val="minor"/>
    </font>
    <font>
      <sz val="11"/>
      <color rgb="FFC00000"/>
      <name val="Calibri"/>
      <family val="2"/>
      <scheme val="minor"/>
    </font>
    <font>
      <sz val="12"/>
      <color rgb="FFC00000"/>
      <name val="Calibri"/>
      <family val="2"/>
      <scheme val="minor"/>
    </font>
    <font>
      <vertAlign val="superscript"/>
      <sz val="12"/>
      <color theme="1"/>
      <name val="Calibri"/>
      <family val="2"/>
      <scheme val="minor"/>
    </font>
    <font>
      <vertAlign val="subscript"/>
      <sz val="12"/>
      <color theme="1"/>
      <name val="Calibri"/>
      <family val="2"/>
      <scheme val="minor"/>
    </font>
    <font>
      <sz val="12"/>
      <color theme="1"/>
      <name val="Calibri"/>
      <family val="2"/>
    </font>
    <font>
      <vertAlign val="subscript"/>
      <sz val="12"/>
      <color theme="1"/>
      <name val="Calibri"/>
      <family val="2"/>
    </font>
    <font>
      <vertAlign val="superscript"/>
      <sz val="12"/>
      <color theme="1"/>
      <name val="Calibri"/>
      <family val="2"/>
    </font>
    <font>
      <b/>
      <sz val="18"/>
      <color rgb="FFFF0000"/>
      <name val="Calibri"/>
      <family val="2"/>
      <scheme val="minor"/>
    </font>
    <font>
      <b/>
      <sz val="14"/>
      <color rgb="FFFF0000"/>
      <name val="Calibri"/>
      <family val="2"/>
      <scheme val="minor"/>
    </font>
    <font>
      <sz val="12.6"/>
      <color theme="1"/>
      <name val="Calibri"/>
      <family val="2"/>
    </font>
    <font>
      <vertAlign val="subscript"/>
      <sz val="12"/>
      <name val="Calibri"/>
      <family val="2"/>
      <scheme val="minor"/>
    </font>
    <font>
      <vertAlign val="superscript"/>
      <sz val="12"/>
      <color theme="8" tint="-0.499984740745262"/>
      <name val="Calibri"/>
      <family val="2"/>
      <scheme val="minor"/>
    </font>
    <font>
      <sz val="11"/>
      <color theme="1"/>
      <name val="Calibri"/>
      <family val="2"/>
    </font>
    <font>
      <u/>
      <sz val="12"/>
      <color theme="8" tint="-0.499984740745262"/>
      <name val="Calibri"/>
      <family val="2"/>
      <scheme val="minor"/>
    </font>
    <font>
      <sz val="11"/>
      <color theme="1"/>
      <name val="Calibri"/>
      <family val="2"/>
      <scheme val="minor"/>
    </font>
    <font>
      <sz val="9"/>
      <color rgb="FFFF0000"/>
      <name val="Calibri"/>
      <family val="2"/>
      <scheme val="minor"/>
    </font>
    <font>
      <sz val="11"/>
      <color rgb="FF000000"/>
      <name val="Calibri"/>
      <family val="2"/>
    </font>
  </fonts>
  <fills count="13">
    <fill>
      <patternFill patternType="none"/>
    </fill>
    <fill>
      <patternFill patternType="gray125"/>
    </fill>
    <fill>
      <patternFill patternType="solid">
        <fgColor theme="8" tint="-0.249977111117893"/>
        <bgColor indexed="64"/>
      </patternFill>
    </fill>
    <fill>
      <patternFill patternType="solid">
        <fgColor theme="2"/>
        <bgColor indexed="64"/>
      </patternFill>
    </fill>
    <fill>
      <patternFill patternType="solid">
        <fgColor theme="2" tint="-9.9978637043366805E-2"/>
        <bgColor indexed="64"/>
      </patternFill>
    </fill>
    <fill>
      <patternFill patternType="solid">
        <fgColor theme="0"/>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8"/>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7" tint="0.39997558519241921"/>
        <bgColor indexed="64"/>
      </patternFill>
    </fill>
  </fills>
  <borders count="1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theme="8"/>
      </bottom>
      <diagonal/>
    </border>
    <border>
      <left/>
      <right/>
      <top style="thin">
        <color theme="8"/>
      </top>
      <bottom/>
      <diagonal/>
    </border>
    <border>
      <left/>
      <right/>
      <top/>
      <bottom style="thin">
        <color theme="8" tint="-0.249977111117893"/>
      </bottom>
      <diagonal/>
    </border>
  </borders>
  <cellStyleXfs count="2">
    <xf numFmtId="0" fontId="0" fillId="0" borderId="0"/>
    <xf numFmtId="43" fontId="56" fillId="0" borderId="0" applyFont="0" applyFill="0" applyBorder="0" applyAlignment="0" applyProtection="0"/>
  </cellStyleXfs>
  <cellXfs count="379">
    <xf numFmtId="0" fontId="0" fillId="0" borderId="0" xfId="0"/>
    <xf numFmtId="3" fontId="0" fillId="0" borderId="0" xfId="0" applyNumberFormat="1"/>
    <xf numFmtId="165" fontId="0" fillId="0" borderId="0" xfId="0" applyNumberFormat="1"/>
    <xf numFmtId="0" fontId="2" fillId="0" borderId="0" xfId="0" applyFont="1"/>
    <xf numFmtId="165" fontId="2" fillId="0" borderId="0" xfId="0" applyNumberFormat="1" applyFont="1"/>
    <xf numFmtId="0" fontId="0" fillId="0" borderId="0" xfId="0" applyAlignment="1"/>
    <xf numFmtId="0" fontId="0" fillId="0" borderId="0" xfId="0" applyAlignment="1">
      <alignment horizontal="right"/>
    </xf>
    <xf numFmtId="167" fontId="0" fillId="0" borderId="0" xfId="0" applyNumberFormat="1"/>
    <xf numFmtId="0" fontId="0" fillId="0" borderId="0" xfId="0" applyAlignment="1">
      <alignment horizontal="left"/>
    </xf>
    <xf numFmtId="0" fontId="1" fillId="0" borderId="0" xfId="0" applyFont="1" applyFill="1" applyAlignment="1">
      <alignment horizontal="left"/>
    </xf>
    <xf numFmtId="0" fontId="1" fillId="0" borderId="0" xfId="0" applyFont="1" applyFill="1" applyAlignment="1"/>
    <xf numFmtId="167" fontId="1" fillId="0" borderId="0" xfId="0" applyNumberFormat="1" applyFont="1" applyFill="1"/>
    <xf numFmtId="0" fontId="0" fillId="0" borderId="0" xfId="0" applyFill="1"/>
    <xf numFmtId="0" fontId="12" fillId="0" borderId="0" xfId="0" applyFont="1"/>
    <xf numFmtId="0" fontId="12" fillId="0" borderId="0" xfId="0" applyFont="1" applyAlignment="1">
      <alignment wrapText="1"/>
    </xf>
    <xf numFmtId="0" fontId="13" fillId="0" borderId="0" xfId="0" applyFont="1" applyAlignment="1">
      <alignment horizontal="left" wrapText="1"/>
    </xf>
    <xf numFmtId="0" fontId="0" fillId="0" borderId="0" xfId="0" applyAlignment="1">
      <alignment vertical="center"/>
    </xf>
    <xf numFmtId="0" fontId="18" fillId="0" borderId="0" xfId="0" applyFont="1" applyAlignment="1">
      <alignment horizontal="left" wrapText="1"/>
    </xf>
    <xf numFmtId="0" fontId="20" fillId="0" borderId="0" xfId="0" applyFont="1" applyFill="1" applyAlignment="1">
      <alignment horizontal="left"/>
    </xf>
    <xf numFmtId="0" fontId="21" fillId="5" borderId="0" xfId="0" applyFont="1" applyFill="1"/>
    <xf numFmtId="0" fontId="21" fillId="0" borderId="0" xfId="0" applyFont="1"/>
    <xf numFmtId="0" fontId="22" fillId="0" borderId="0" xfId="0" applyFont="1"/>
    <xf numFmtId="0" fontId="23" fillId="5" borderId="0" xfId="0" applyFont="1" applyFill="1"/>
    <xf numFmtId="0" fontId="23" fillId="0" borderId="0" xfId="0" applyFont="1"/>
    <xf numFmtId="0" fontId="12" fillId="0" borderId="1" xfId="0" applyFont="1" applyBorder="1"/>
    <xf numFmtId="0" fontId="24" fillId="5" borderId="0" xfId="0" applyFont="1" applyFill="1"/>
    <xf numFmtId="0" fontId="2" fillId="5" borderId="0" xfId="0" applyFont="1" applyFill="1"/>
    <xf numFmtId="0" fontId="0" fillId="0" borderId="0" xfId="0" applyBorder="1"/>
    <xf numFmtId="0" fontId="0" fillId="0" borderId="9" xfId="0" applyBorder="1"/>
    <xf numFmtId="0" fontId="25" fillId="5" borderId="0" xfId="0" applyFont="1" applyFill="1"/>
    <xf numFmtId="0" fontId="27" fillId="4" borderId="9" xfId="0" applyFont="1" applyFill="1" applyBorder="1" applyAlignment="1">
      <alignment horizontal="left" vertical="top" wrapText="1"/>
    </xf>
    <xf numFmtId="0" fontId="1" fillId="0" borderId="0" xfId="0" applyFont="1" applyFill="1" applyBorder="1" applyAlignment="1" applyProtection="1">
      <alignment horizontal="left" wrapText="1"/>
      <protection hidden="1"/>
    </xf>
    <xf numFmtId="0" fontId="0" fillId="6" borderId="0" xfId="0" applyFill="1"/>
    <xf numFmtId="0" fontId="1" fillId="2" borderId="0" xfId="0" applyFont="1" applyFill="1" applyAlignment="1">
      <alignment horizontal="left"/>
    </xf>
    <xf numFmtId="0" fontId="1" fillId="2" borderId="0" xfId="0" applyFont="1" applyFill="1" applyAlignment="1"/>
    <xf numFmtId="0" fontId="1" fillId="2" borderId="0" xfId="0" applyFont="1" applyFill="1"/>
    <xf numFmtId="0" fontId="12" fillId="0" borderId="4" xfId="0" applyFont="1" applyBorder="1"/>
    <xf numFmtId="0" fontId="6" fillId="6" borderId="0" xfId="0" applyFont="1" applyFill="1" applyAlignment="1">
      <alignment horizontal="left"/>
    </xf>
    <xf numFmtId="165" fontId="6" fillId="6" borderId="0" xfId="0" applyNumberFormat="1" applyFont="1" applyFill="1"/>
    <xf numFmtId="9" fontId="0" fillId="0" borderId="0" xfId="0" applyNumberFormat="1"/>
    <xf numFmtId="0" fontId="2" fillId="5" borderId="0" xfId="0" applyFont="1" applyFill="1" applyBorder="1" applyProtection="1">
      <protection hidden="1"/>
    </xf>
    <xf numFmtId="0" fontId="8" fillId="5" borderId="0" xfId="0" applyFont="1" applyFill="1" applyBorder="1" applyProtection="1">
      <protection hidden="1"/>
    </xf>
    <xf numFmtId="0" fontId="0" fillId="5" borderId="0" xfId="0" applyFill="1" applyBorder="1" applyProtection="1">
      <protection hidden="1"/>
    </xf>
    <xf numFmtId="0" fontId="0" fillId="0" borderId="0" xfId="0" applyBorder="1" applyProtection="1">
      <protection hidden="1"/>
    </xf>
    <xf numFmtId="0" fontId="0" fillId="0" borderId="0" xfId="0" applyBorder="1" applyAlignment="1" applyProtection="1">
      <alignment wrapText="1"/>
      <protection hidden="1"/>
    </xf>
    <xf numFmtId="0" fontId="26" fillId="0" borderId="0" xfId="0" applyFont="1" applyFill="1" applyBorder="1" applyAlignment="1" applyProtection="1">
      <alignment horizontal="left" wrapText="1"/>
      <protection hidden="1"/>
    </xf>
    <xf numFmtId="0" fontId="12" fillId="0" borderId="0" xfId="0" applyFont="1" applyBorder="1" applyProtection="1">
      <protection hidden="1"/>
    </xf>
    <xf numFmtId="0" fontId="25" fillId="5" borderId="0" xfId="0" applyFont="1" applyFill="1" applyBorder="1" applyProtection="1">
      <protection hidden="1"/>
    </xf>
    <xf numFmtId="0" fontId="30" fillId="5" borderId="0" xfId="0" applyFont="1" applyFill="1" applyBorder="1" applyProtection="1">
      <protection hidden="1"/>
    </xf>
    <xf numFmtId="0" fontId="12" fillId="5" borderId="0" xfId="0" applyFont="1" applyFill="1" applyBorder="1" applyProtection="1">
      <protection hidden="1"/>
    </xf>
    <xf numFmtId="0" fontId="0" fillId="0" borderId="0" xfId="0" quotePrefix="1" applyAlignment="1">
      <alignment wrapText="1"/>
    </xf>
    <xf numFmtId="0" fontId="7" fillId="0" borderId="0" xfId="0" applyFont="1" applyFill="1" applyAlignment="1">
      <alignment horizontal="center"/>
    </xf>
    <xf numFmtId="0" fontId="6" fillId="0" borderId="0" xfId="0" applyFont="1" applyFill="1"/>
    <xf numFmtId="165" fontId="6" fillId="0" borderId="0" xfId="0" applyNumberFormat="1" applyFont="1" applyFill="1"/>
    <xf numFmtId="0" fontId="6" fillId="0" borderId="0" xfId="0" applyFont="1" applyFill="1" applyAlignment="1">
      <alignment horizontal="left"/>
    </xf>
    <xf numFmtId="165" fontId="6" fillId="0" borderId="0" xfId="0" applyNumberFormat="1" applyFont="1" applyFill="1" applyAlignment="1">
      <alignment horizontal="left"/>
    </xf>
    <xf numFmtId="0" fontId="6" fillId="0" borderId="0" xfId="0" quotePrefix="1" applyFont="1" applyFill="1" applyAlignment="1">
      <alignment horizontal="left" wrapText="1"/>
    </xf>
    <xf numFmtId="0" fontId="1" fillId="0" borderId="0" xfId="0" applyFont="1" applyFill="1"/>
    <xf numFmtId="0" fontId="2" fillId="0" borderId="0" xfId="0" applyFont="1" applyFill="1"/>
    <xf numFmtId="165" fontId="2" fillId="0" borderId="0" xfId="0" applyNumberFormat="1" applyFont="1" applyFill="1"/>
    <xf numFmtId="165" fontId="0" fillId="6" borderId="0" xfId="0" applyNumberFormat="1" applyFill="1"/>
    <xf numFmtId="165" fontId="0" fillId="0" borderId="0" xfId="0" applyNumberFormat="1" applyFill="1"/>
    <xf numFmtId="165" fontId="12" fillId="6" borderId="2" xfId="0" applyNumberFormat="1" applyFont="1" applyFill="1" applyBorder="1" applyProtection="1">
      <protection hidden="1"/>
    </xf>
    <xf numFmtId="0" fontId="12" fillId="6" borderId="0" xfId="0" applyFont="1" applyFill="1" applyBorder="1"/>
    <xf numFmtId="0" fontId="12" fillId="6" borderId="5" xfId="0" applyFont="1" applyFill="1" applyBorder="1"/>
    <xf numFmtId="165" fontId="1" fillId="2" borderId="0" xfId="0" applyNumberFormat="1" applyFont="1" applyFill="1"/>
    <xf numFmtId="2" fontId="0" fillId="0" borderId="0" xfId="0" applyNumberFormat="1"/>
    <xf numFmtId="0" fontId="0" fillId="0" borderId="0" xfId="0" applyFill="1" applyAlignment="1">
      <alignment horizontal="left"/>
    </xf>
    <xf numFmtId="0" fontId="0" fillId="0" borderId="0" xfId="0" applyFill="1" applyAlignment="1"/>
    <xf numFmtId="165" fontId="6" fillId="6" borderId="0" xfId="0" applyNumberFormat="1" applyFont="1" applyFill="1" applyAlignment="1">
      <alignment horizontal="right"/>
    </xf>
    <xf numFmtId="0" fontId="12" fillId="0" borderId="6" xfId="0" applyFont="1" applyFill="1" applyBorder="1"/>
    <xf numFmtId="165" fontId="12" fillId="6" borderId="7" xfId="0" applyNumberFormat="1" applyFont="1" applyFill="1" applyBorder="1" applyProtection="1">
      <protection hidden="1"/>
    </xf>
    <xf numFmtId="0" fontId="12" fillId="6" borderId="7" xfId="0" applyFont="1" applyFill="1" applyBorder="1"/>
    <xf numFmtId="7" fontId="12" fillId="6" borderId="8" xfId="0" applyNumberFormat="1" applyFont="1" applyFill="1" applyBorder="1"/>
    <xf numFmtId="169" fontId="12" fillId="6" borderId="0" xfId="0" applyNumberFormat="1" applyFont="1" applyFill="1" applyBorder="1" applyProtection="1">
      <protection hidden="1"/>
    </xf>
    <xf numFmtId="0" fontId="13" fillId="0" borderId="0" xfId="0" quotePrefix="1" applyFont="1" applyAlignment="1">
      <alignment horizontal="right" vertical="top" wrapText="1"/>
    </xf>
    <xf numFmtId="0" fontId="0" fillId="8" borderId="0" xfId="0" applyFill="1"/>
    <xf numFmtId="0" fontId="6" fillId="0" borderId="9" xfId="0" applyFont="1" applyFill="1" applyBorder="1"/>
    <xf numFmtId="0" fontId="6" fillId="0" borderId="9" xfId="0" applyFont="1" applyFill="1" applyBorder="1" applyAlignment="1">
      <alignment horizontal="center" vertical="center" wrapText="1"/>
    </xf>
    <xf numFmtId="3" fontId="0" fillId="0" borderId="9" xfId="0" applyNumberFormat="1" applyBorder="1" applyAlignment="1">
      <alignment horizontal="center" vertical="center"/>
    </xf>
    <xf numFmtId="0" fontId="0" fillId="0" borderId="9" xfId="0" applyFill="1" applyBorder="1" applyAlignment="1">
      <alignment horizontal="center" vertical="center"/>
    </xf>
    <xf numFmtId="3" fontId="6" fillId="0" borderId="9" xfId="0" applyNumberFormat="1" applyFont="1" applyFill="1" applyBorder="1" applyAlignment="1">
      <alignment horizontal="center" vertical="center"/>
    </xf>
    <xf numFmtId="3" fontId="6" fillId="0" borderId="9" xfId="0" applyNumberFormat="1" applyFont="1" applyFill="1" applyBorder="1" applyAlignment="1">
      <alignment horizontal="center" vertical="center" wrapText="1"/>
    </xf>
    <xf numFmtId="0" fontId="20" fillId="2" borderId="0" xfId="0" applyFont="1" applyFill="1" applyAlignment="1"/>
    <xf numFmtId="0" fontId="33" fillId="7" borderId="9" xfId="0" applyFont="1" applyFill="1" applyBorder="1"/>
    <xf numFmtId="0" fontId="33" fillId="7" borderId="9" xfId="0" applyFont="1" applyFill="1" applyBorder="1" applyAlignment="1">
      <alignment horizontal="center"/>
    </xf>
    <xf numFmtId="0" fontId="34" fillId="7" borderId="9" xfId="0" applyFont="1" applyFill="1" applyBorder="1" applyAlignment="1">
      <alignment horizontal="center" wrapText="1"/>
    </xf>
    <xf numFmtId="0" fontId="22" fillId="0" borderId="0" xfId="0" applyFont="1" applyFill="1"/>
    <xf numFmtId="0" fontId="20" fillId="2" borderId="4" xfId="0" applyFont="1" applyFill="1" applyBorder="1"/>
    <xf numFmtId="0" fontId="20" fillId="2" borderId="14" xfId="0" applyFont="1" applyFill="1" applyBorder="1" applyAlignment="1">
      <alignment horizontal="center" wrapText="1"/>
    </xf>
    <xf numFmtId="0" fontId="20" fillId="2" borderId="5" xfId="0" applyFont="1" applyFill="1" applyBorder="1" applyAlignment="1">
      <alignment horizontal="center" wrapText="1"/>
    </xf>
    <xf numFmtId="0" fontId="24" fillId="0" borderId="0" xfId="0" applyFont="1"/>
    <xf numFmtId="0" fontId="22" fillId="0" borderId="0" xfId="0" applyFont="1" applyBorder="1"/>
    <xf numFmtId="0" fontId="22" fillId="8" borderId="4" xfId="0" applyFont="1" applyFill="1" applyBorder="1"/>
    <xf numFmtId="0" fontId="22" fillId="8" borderId="6" xfId="0" applyFont="1" applyFill="1" applyBorder="1"/>
    <xf numFmtId="0" fontId="22" fillId="0" borderId="12" xfId="0" applyFont="1" applyBorder="1"/>
    <xf numFmtId="0" fontId="22" fillId="0" borderId="8" xfId="0" applyFont="1" applyBorder="1"/>
    <xf numFmtId="0" fontId="22" fillId="0" borderId="0" xfId="0" applyFont="1" applyFill="1" applyBorder="1"/>
    <xf numFmtId="0" fontId="40" fillId="0" borderId="0" xfId="0" applyFont="1"/>
    <xf numFmtId="0" fontId="22" fillId="0" borderId="11" xfId="0" applyFont="1" applyBorder="1"/>
    <xf numFmtId="0" fontId="24" fillId="0" borderId="0" xfId="0" applyFont="1" applyFill="1"/>
    <xf numFmtId="0" fontId="22" fillId="0" borderId="5" xfId="0" applyFont="1" applyBorder="1"/>
    <xf numFmtId="0" fontId="41" fillId="0" borderId="0" xfId="0" applyFont="1"/>
    <xf numFmtId="0" fontId="41" fillId="4" borderId="9" xfId="0" applyFont="1" applyFill="1" applyBorder="1"/>
    <xf numFmtId="0" fontId="41" fillId="4" borderId="9" xfId="0" applyFont="1" applyFill="1" applyBorder="1" applyAlignment="1">
      <alignment horizontal="center"/>
    </xf>
    <xf numFmtId="0" fontId="41" fillId="4" borderId="9" xfId="0" applyFont="1" applyFill="1" applyBorder="1" applyAlignment="1">
      <alignment horizontal="left" wrapText="1"/>
    </xf>
    <xf numFmtId="0" fontId="2" fillId="0" borderId="0" xfId="0" applyFont="1" applyFill="1" applyBorder="1" applyProtection="1">
      <protection hidden="1"/>
    </xf>
    <xf numFmtId="0" fontId="8" fillId="0" borderId="0" xfId="0" applyFont="1" applyFill="1" applyBorder="1" applyProtection="1">
      <protection hidden="1"/>
    </xf>
    <xf numFmtId="0" fontId="0" fillId="0" borderId="0" xfId="0" applyFill="1" applyBorder="1" applyProtection="1">
      <protection hidden="1"/>
    </xf>
    <xf numFmtId="0" fontId="35" fillId="9" borderId="1" xfId="0" applyFont="1" applyFill="1" applyBorder="1" applyAlignment="1">
      <alignment horizontal="center" vertical="top" wrapText="1"/>
    </xf>
    <xf numFmtId="0" fontId="35" fillId="9" borderId="3" xfId="0" applyFont="1" applyFill="1" applyBorder="1" applyAlignment="1">
      <alignment horizontal="center" vertical="top" wrapText="1"/>
    </xf>
    <xf numFmtId="0" fontId="13" fillId="0" borderId="4" xfId="0" applyFont="1" applyBorder="1" applyAlignment="1">
      <alignment horizontal="center" vertical="top" wrapText="1"/>
    </xf>
    <xf numFmtId="0" fontId="13" fillId="0" borderId="5" xfId="0" applyFont="1" applyBorder="1" applyAlignment="1">
      <alignment horizontal="center" vertical="top" wrapText="1"/>
    </xf>
    <xf numFmtId="0" fontId="13" fillId="0" borderId="6" xfId="0" applyFont="1" applyBorder="1" applyAlignment="1">
      <alignment horizontal="center" vertical="top" wrapText="1"/>
    </xf>
    <xf numFmtId="0" fontId="13" fillId="0" borderId="8" xfId="0" applyFont="1" applyBorder="1" applyAlignment="1">
      <alignment horizontal="center" vertical="top" wrapText="1"/>
    </xf>
    <xf numFmtId="0" fontId="42" fillId="0" borderId="0" xfId="0" applyFont="1"/>
    <xf numFmtId="0" fontId="22" fillId="8" borderId="0" xfId="0" applyFont="1" applyFill="1" applyAlignment="1"/>
    <xf numFmtId="0" fontId="22" fillId="0" borderId="0" xfId="0" applyFont="1" applyFill="1" applyAlignment="1"/>
    <xf numFmtId="0" fontId="35" fillId="0" borderId="0" xfId="0" applyFont="1" applyFill="1" applyBorder="1" applyAlignment="1"/>
    <xf numFmtId="0" fontId="35" fillId="0" borderId="0" xfId="0" applyFont="1" applyFill="1" applyBorder="1" applyAlignment="1" applyProtection="1">
      <alignment horizontal="left" wrapText="1"/>
      <protection hidden="1"/>
    </xf>
    <xf numFmtId="0" fontId="25" fillId="0" borderId="0" xfId="0" applyFont="1" applyFill="1" applyBorder="1" applyProtection="1">
      <protection hidden="1"/>
    </xf>
    <xf numFmtId="0" fontId="30" fillId="0" borderId="0" xfId="0" applyFont="1" applyFill="1" applyBorder="1" applyProtection="1">
      <protection hidden="1"/>
    </xf>
    <xf numFmtId="0" fontId="12" fillId="0" borderId="0" xfId="0" applyFont="1" applyFill="1" applyBorder="1" applyProtection="1">
      <protection hidden="1"/>
    </xf>
    <xf numFmtId="0" fontId="35" fillId="2" borderId="4" xfId="0" applyFont="1" applyFill="1" applyBorder="1"/>
    <xf numFmtId="0" fontId="35" fillId="2" borderId="14" xfId="0" applyFont="1" applyFill="1" applyBorder="1" applyAlignment="1">
      <alignment horizontal="center" wrapText="1"/>
    </xf>
    <xf numFmtId="0" fontId="35" fillId="0" borderId="0" xfId="0" applyFont="1" applyFill="1" applyBorder="1" applyAlignment="1">
      <alignment horizontal="center" wrapText="1"/>
    </xf>
    <xf numFmtId="0" fontId="12" fillId="3" borderId="4" xfId="0" applyFont="1" applyFill="1" applyBorder="1"/>
    <xf numFmtId="3" fontId="12" fillId="3" borderId="15" xfId="0" applyNumberFormat="1" applyFont="1" applyFill="1" applyBorder="1"/>
    <xf numFmtId="3" fontId="12" fillId="0" borderId="0" xfId="0" applyNumberFormat="1" applyFont="1" applyFill="1" applyBorder="1"/>
    <xf numFmtId="0" fontId="12" fillId="0" borderId="0" xfId="0" applyFont="1" applyFill="1" applyBorder="1"/>
    <xf numFmtId="0" fontId="12" fillId="0" borderId="0" xfId="0" applyFont="1" applyBorder="1"/>
    <xf numFmtId="11" fontId="12" fillId="0" borderId="0" xfId="0" applyNumberFormat="1" applyFont="1" applyBorder="1"/>
    <xf numFmtId="3" fontId="12" fillId="0" borderId="0" xfId="0" applyNumberFormat="1" applyFont="1" applyBorder="1"/>
    <xf numFmtId="2" fontId="25" fillId="0" borderId="0" xfId="0" applyNumberFormat="1" applyFont="1" applyFill="1" applyBorder="1" applyProtection="1">
      <protection hidden="1"/>
    </xf>
    <xf numFmtId="11" fontId="12" fillId="0" borderId="0" xfId="0" applyNumberFormat="1" applyFont="1" applyFill="1" applyBorder="1" applyProtection="1">
      <protection hidden="1"/>
    </xf>
    <xf numFmtId="0" fontId="12" fillId="0" borderId="0" xfId="0" applyFont="1" applyBorder="1" applyAlignment="1">
      <alignment wrapText="1"/>
    </xf>
    <xf numFmtId="2" fontId="12" fillId="3" borderId="0" xfId="0" applyNumberFormat="1" applyFont="1" applyFill="1" applyBorder="1"/>
    <xf numFmtId="0" fontId="12" fillId="3" borderId="0" xfId="0" applyFont="1" applyFill="1" applyBorder="1"/>
    <xf numFmtId="3" fontId="12" fillId="3" borderId="0" xfId="0" applyNumberFormat="1" applyFont="1" applyFill="1" applyBorder="1"/>
    <xf numFmtId="4" fontId="12" fillId="3" borderId="0" xfId="0" applyNumberFormat="1" applyFont="1" applyFill="1" applyBorder="1"/>
    <xf numFmtId="0" fontId="43" fillId="0" borderId="0" xfId="0" applyFont="1" applyBorder="1" applyAlignment="1">
      <alignment horizontal="left" wrapText="1"/>
    </xf>
    <xf numFmtId="164" fontId="12" fillId="3" borderId="0" xfId="0" applyNumberFormat="1" applyFont="1" applyFill="1" applyBorder="1"/>
    <xf numFmtId="0" fontId="12" fillId="0" borderId="0" xfId="0" quotePrefix="1" applyFont="1" applyBorder="1"/>
    <xf numFmtId="0" fontId="12" fillId="3" borderId="0" xfId="0" applyFont="1" applyFill="1" applyBorder="1" applyAlignment="1">
      <alignment vertical="center"/>
    </xf>
    <xf numFmtId="168" fontId="12" fillId="3" borderId="0" xfId="0" applyNumberFormat="1" applyFont="1" applyFill="1" applyBorder="1"/>
    <xf numFmtId="0" fontId="12" fillId="0" borderId="0" xfId="0" applyFont="1" applyBorder="1" applyAlignment="1" applyProtection="1">
      <alignment wrapText="1"/>
      <protection hidden="1"/>
    </xf>
    <xf numFmtId="3" fontId="12" fillId="3" borderId="0" xfId="0" applyNumberFormat="1" applyFont="1" applyFill="1" applyBorder="1" applyAlignment="1" applyProtection="1">
      <alignment vertical="center"/>
      <protection hidden="1"/>
    </xf>
    <xf numFmtId="0" fontId="12" fillId="3" borderId="0" xfId="0" applyFont="1" applyFill="1" applyBorder="1" applyAlignment="1" applyProtection="1">
      <alignment vertical="center"/>
      <protection hidden="1"/>
    </xf>
    <xf numFmtId="170" fontId="12" fillId="3" borderId="0" xfId="0" applyNumberFormat="1" applyFont="1" applyFill="1" applyBorder="1"/>
    <xf numFmtId="0" fontId="12" fillId="3" borderId="0" xfId="0" applyFont="1" applyFill="1" applyBorder="1" applyAlignment="1" applyProtection="1">
      <protection hidden="1"/>
    </xf>
    <xf numFmtId="166" fontId="12" fillId="3" borderId="0" xfId="0" applyNumberFormat="1" applyFont="1" applyFill="1" applyBorder="1" applyAlignment="1">
      <alignment horizontal="center"/>
    </xf>
    <xf numFmtId="3" fontId="12" fillId="3" borderId="15" xfId="0" applyNumberFormat="1" applyFont="1" applyFill="1" applyBorder="1" applyAlignment="1">
      <alignment horizontal="right"/>
    </xf>
    <xf numFmtId="0" fontId="23" fillId="10" borderId="6" xfId="0" applyFont="1" applyFill="1" applyBorder="1" applyAlignment="1" applyProtection="1">
      <alignment horizontal="left" wrapText="1"/>
      <protection hidden="1"/>
    </xf>
    <xf numFmtId="3" fontId="23" fillId="10" borderId="8" xfId="0" applyNumberFormat="1" applyFont="1" applyFill="1" applyBorder="1" applyAlignment="1" applyProtection="1">
      <alignment horizontal="right" wrapText="1"/>
      <protection hidden="1"/>
    </xf>
    <xf numFmtId="0" fontId="0" fillId="0" borderId="0" xfId="0" applyFont="1" applyFill="1" applyBorder="1" applyAlignment="1">
      <alignment vertical="center" wrapText="1"/>
    </xf>
    <xf numFmtId="0" fontId="36" fillId="0" borderId="0" xfId="0" applyFont="1"/>
    <xf numFmtId="0" fontId="49" fillId="0" borderId="0" xfId="0" applyFont="1" applyFill="1" applyAlignment="1"/>
    <xf numFmtId="0" fontId="2" fillId="0" borderId="0" xfId="0" applyFont="1" applyFill="1" applyAlignment="1"/>
    <xf numFmtId="0" fontId="24" fillId="0" borderId="0" xfId="0" applyFont="1" applyFill="1" applyAlignment="1"/>
    <xf numFmtId="0" fontId="50" fillId="0" borderId="0" xfId="0" applyFont="1" applyFill="1" applyAlignment="1"/>
    <xf numFmtId="0" fontId="50" fillId="0" borderId="0" xfId="0" applyFont="1" applyFill="1" applyAlignment="1">
      <alignment horizontal="left"/>
    </xf>
    <xf numFmtId="0" fontId="24" fillId="0" borderId="0" xfId="0" applyFont="1" applyFill="1" applyBorder="1" applyAlignment="1">
      <alignment wrapText="1"/>
    </xf>
    <xf numFmtId="0" fontId="24" fillId="0" borderId="0" xfId="0" applyFont="1" applyFill="1" applyBorder="1" applyAlignment="1">
      <alignment horizontal="left" wrapText="1"/>
    </xf>
    <xf numFmtId="0" fontId="25" fillId="0" borderId="0" xfId="0" applyFont="1"/>
    <xf numFmtId="0" fontId="50" fillId="0" borderId="0" xfId="0" applyFont="1" applyFill="1" applyBorder="1" applyAlignment="1">
      <alignment horizontal="left" wrapText="1"/>
    </xf>
    <xf numFmtId="0" fontId="50" fillId="0" borderId="0" xfId="0" applyFont="1" applyFill="1" applyBorder="1" applyAlignment="1">
      <alignment wrapText="1"/>
    </xf>
    <xf numFmtId="0" fontId="2" fillId="0" borderId="0" xfId="0" applyFont="1" applyFill="1" applyBorder="1" applyAlignment="1" applyProtection="1">
      <alignment horizontal="left" vertical="top" wrapText="1"/>
      <protection locked="0"/>
    </xf>
    <xf numFmtId="0" fontId="2" fillId="0" borderId="0" xfId="0" applyFont="1" applyFill="1" applyBorder="1" applyAlignment="1">
      <alignment vertical="top" wrapText="1"/>
    </xf>
    <xf numFmtId="0" fontId="42" fillId="0" borderId="0" xfId="0" applyFont="1" applyFill="1" applyBorder="1" applyAlignment="1">
      <alignment horizontal="left" wrapText="1"/>
    </xf>
    <xf numFmtId="0" fontId="9" fillId="11" borderId="0" xfId="0" applyFont="1" applyFill="1" applyBorder="1"/>
    <xf numFmtId="0" fontId="6" fillId="11" borderId="0" xfId="0" applyFont="1" applyFill="1" applyBorder="1" applyAlignment="1">
      <alignment horizontal="right"/>
    </xf>
    <xf numFmtId="165" fontId="6" fillId="11" borderId="0" xfId="0" applyNumberFormat="1" applyFont="1" applyFill="1" applyBorder="1"/>
    <xf numFmtId="0" fontId="0" fillId="11" borderId="0" xfId="0" applyFill="1" applyBorder="1"/>
    <xf numFmtId="0" fontId="28" fillId="12" borderId="0" xfId="0" applyFont="1" applyFill="1" applyBorder="1" applyAlignment="1" applyProtection="1">
      <alignment wrapText="1"/>
      <protection hidden="1"/>
    </xf>
    <xf numFmtId="0" fontId="12" fillId="12" borderId="0" xfId="0" applyFont="1" applyFill="1" applyBorder="1"/>
    <xf numFmtId="0" fontId="28" fillId="2" borderId="0" xfId="0" applyFont="1" applyFill="1" applyBorder="1" applyAlignment="1" applyProtection="1">
      <alignment horizontal="left" wrapText="1"/>
      <protection hidden="1"/>
    </xf>
    <xf numFmtId="0" fontId="25" fillId="2" borderId="0" xfId="0" applyFont="1" applyFill="1" applyBorder="1" applyProtection="1">
      <protection hidden="1"/>
    </xf>
    <xf numFmtId="2" fontId="12" fillId="3" borderId="0" xfId="0" applyNumberFormat="1" applyFont="1" applyFill="1" applyBorder="1" applyAlignment="1">
      <alignment horizontal="right" wrapText="1"/>
    </xf>
    <xf numFmtId="0" fontId="0" fillId="0" borderId="14" xfId="0" applyBorder="1"/>
    <xf numFmtId="3" fontId="0" fillId="0" borderId="14" xfId="0" applyNumberFormat="1" applyBorder="1" applyAlignment="1">
      <alignment horizontal="center" vertical="center"/>
    </xf>
    <xf numFmtId="0" fontId="0" fillId="0" borderId="14" xfId="0" applyFill="1" applyBorder="1" applyAlignment="1">
      <alignment horizontal="center" vertical="center"/>
    </xf>
    <xf numFmtId="0" fontId="0" fillId="7" borderId="0" xfId="0" applyFill="1" applyBorder="1"/>
    <xf numFmtId="0" fontId="0" fillId="0" borderId="0" xfId="0" applyFill="1" applyBorder="1"/>
    <xf numFmtId="0" fontId="9" fillId="7" borderId="1" xfId="0" applyFont="1" applyFill="1" applyBorder="1"/>
    <xf numFmtId="3" fontId="0" fillId="7" borderId="2" xfId="0" applyNumberFormat="1" applyFill="1" applyBorder="1" applyAlignment="1">
      <alignment horizontal="center" vertical="center"/>
    </xf>
    <xf numFmtId="0" fontId="0" fillId="7" borderId="3" xfId="0" applyFill="1" applyBorder="1" applyAlignment="1">
      <alignment horizontal="center" vertical="center"/>
    </xf>
    <xf numFmtId="0" fontId="0" fillId="7" borderId="4" xfId="0" applyFill="1" applyBorder="1"/>
    <xf numFmtId="0" fontId="0" fillId="7" borderId="5" xfId="0" applyFill="1" applyBorder="1"/>
    <xf numFmtId="0" fontId="0" fillId="7" borderId="6" xfId="0" applyFill="1" applyBorder="1"/>
    <xf numFmtId="0" fontId="0" fillId="7" borderId="7" xfId="0" applyFill="1" applyBorder="1"/>
    <xf numFmtId="0" fontId="0" fillId="7" borderId="8" xfId="0" applyFill="1" applyBorder="1"/>
    <xf numFmtId="3" fontId="22" fillId="8" borderId="10" xfId="0" applyNumberFormat="1" applyFont="1" applyFill="1" applyBorder="1"/>
    <xf numFmtId="0" fontId="22" fillId="8" borderId="10" xfId="0" applyFont="1" applyFill="1" applyBorder="1"/>
    <xf numFmtId="3" fontId="22" fillId="8" borderId="6" xfId="0" applyNumberFormat="1" applyFont="1" applyFill="1" applyBorder="1"/>
    <xf numFmtId="0" fontId="22" fillId="8" borderId="9" xfId="0" applyFont="1" applyFill="1" applyBorder="1"/>
    <xf numFmtId="3" fontId="22" fillId="8" borderId="9" xfId="0" applyNumberFormat="1" applyFont="1" applyFill="1" applyBorder="1"/>
    <xf numFmtId="0" fontId="23" fillId="0" borderId="0" xfId="0" applyFont="1" applyFill="1" applyBorder="1" applyAlignment="1" applyProtection="1">
      <alignment horizontal="left" wrapText="1"/>
      <protection hidden="1"/>
    </xf>
    <xf numFmtId="3" fontId="23" fillId="3" borderId="0" xfId="0" applyNumberFormat="1" applyFont="1" applyFill="1" applyBorder="1" applyAlignment="1" applyProtection="1">
      <alignment horizontal="right" wrapText="1"/>
      <protection hidden="1"/>
    </xf>
    <xf numFmtId="0" fontId="23" fillId="3" borderId="0" xfId="0" applyFont="1" applyFill="1" applyBorder="1" applyAlignment="1" applyProtection="1">
      <alignment horizontal="left" wrapText="1"/>
      <protection hidden="1"/>
    </xf>
    <xf numFmtId="0" fontId="12" fillId="3" borderId="0" xfId="0" applyFont="1" applyFill="1" applyBorder="1" applyProtection="1">
      <protection hidden="1"/>
    </xf>
    <xf numFmtId="3" fontId="22" fillId="0" borderId="0" xfId="0" applyNumberFormat="1" applyFont="1" applyFill="1" applyBorder="1"/>
    <xf numFmtId="3" fontId="12" fillId="3" borderId="0" xfId="0" applyNumberFormat="1" applyFont="1" applyFill="1" applyBorder="1" applyProtection="1">
      <protection hidden="1"/>
    </xf>
    <xf numFmtId="2" fontId="12" fillId="3" borderId="0" xfId="0" applyNumberFormat="1" applyFont="1" applyFill="1" applyBorder="1" applyAlignment="1">
      <alignment horizontal="right"/>
    </xf>
    <xf numFmtId="0" fontId="12" fillId="0" borderId="17" xfId="0" applyFont="1" applyBorder="1"/>
    <xf numFmtId="0" fontId="12" fillId="0" borderId="16" xfId="0" applyFont="1" applyBorder="1" applyAlignment="1" applyProtection="1">
      <alignment wrapText="1"/>
      <protection hidden="1"/>
    </xf>
    <xf numFmtId="0" fontId="12" fillId="3" borderId="16" xfId="0" applyFont="1" applyFill="1" applyBorder="1" applyAlignment="1" applyProtection="1">
      <protection hidden="1"/>
    </xf>
    <xf numFmtId="0" fontId="12" fillId="0" borderId="0" xfId="0" applyFont="1" applyFill="1" applyBorder="1" applyAlignment="1">
      <alignment vertical="top"/>
    </xf>
    <xf numFmtId="167" fontId="22" fillId="8" borderId="10" xfId="0" applyNumberFormat="1" applyFont="1" applyFill="1" applyBorder="1"/>
    <xf numFmtId="0" fontId="12" fillId="0" borderId="0" xfId="0" applyFont="1" applyFill="1" applyBorder="1" applyAlignment="1">
      <alignment horizontal="left"/>
    </xf>
    <xf numFmtId="0" fontId="12" fillId="0" borderId="0" xfId="0" quotePrefix="1" applyFont="1" applyBorder="1" applyProtection="1">
      <protection hidden="1"/>
    </xf>
    <xf numFmtId="0" fontId="22" fillId="8" borderId="9" xfId="0" applyFont="1" applyFill="1" applyBorder="1" applyProtection="1">
      <protection locked="0"/>
    </xf>
    <xf numFmtId="0" fontId="43" fillId="0" borderId="0" xfId="0" applyFont="1" applyBorder="1" applyAlignment="1" applyProtection="1">
      <alignment vertical="top" wrapText="1"/>
      <protection hidden="1"/>
    </xf>
    <xf numFmtId="0" fontId="25" fillId="5" borderId="0" xfId="0" quotePrefix="1" applyFont="1" applyFill="1" applyBorder="1" applyProtection="1">
      <protection hidden="1"/>
    </xf>
    <xf numFmtId="4" fontId="12" fillId="3" borderId="0" xfId="0" applyNumberFormat="1" applyFont="1" applyFill="1" applyBorder="1" applyProtection="1">
      <protection hidden="1"/>
    </xf>
    <xf numFmtId="0" fontId="12" fillId="0" borderId="0" xfId="0" applyFont="1" applyBorder="1" applyAlignment="1" applyProtection="1">
      <alignment vertical="top" wrapText="1"/>
      <protection hidden="1"/>
    </xf>
    <xf numFmtId="0" fontId="12" fillId="3" borderId="0" xfId="0" applyFont="1" applyFill="1" applyBorder="1" applyAlignment="1" applyProtection="1">
      <alignment horizontal="right" vertical="center"/>
      <protection hidden="1"/>
    </xf>
    <xf numFmtId="3" fontId="23" fillId="0" borderId="0" xfId="0" applyNumberFormat="1" applyFont="1" applyFill="1" applyBorder="1" applyAlignment="1" applyProtection="1">
      <alignment horizontal="right" wrapText="1"/>
      <protection hidden="1"/>
    </xf>
    <xf numFmtId="11" fontId="12" fillId="0" borderId="0" xfId="0" applyNumberFormat="1" applyFont="1" applyFill="1" applyBorder="1"/>
    <xf numFmtId="3" fontId="23" fillId="3" borderId="0" xfId="0" applyNumberFormat="1" applyFont="1" applyFill="1" applyBorder="1" applyProtection="1">
      <protection hidden="1"/>
    </xf>
    <xf numFmtId="0" fontId="12" fillId="5" borderId="0" xfId="0" applyFont="1" applyFill="1" applyBorder="1" applyAlignment="1" applyProtection="1">
      <alignment wrapText="1"/>
      <protection hidden="1"/>
    </xf>
    <xf numFmtId="0" fontId="21" fillId="0" borderId="1" xfId="0" applyFont="1" applyBorder="1" applyAlignment="1">
      <alignment wrapText="1"/>
    </xf>
    <xf numFmtId="2" fontId="21" fillId="0" borderId="2" xfId="0" applyNumberFormat="1" applyFont="1" applyBorder="1"/>
    <xf numFmtId="0" fontId="24" fillId="0" borderId="3" xfId="0" applyFont="1" applyBorder="1"/>
    <xf numFmtId="0" fontId="24" fillId="0" borderId="4" xfId="0" applyFont="1" applyBorder="1"/>
    <xf numFmtId="2" fontId="21" fillId="0" borderId="0" xfId="0" applyNumberFormat="1" applyFont="1" applyBorder="1"/>
    <xf numFmtId="0" fontId="24" fillId="0" borderId="5" xfId="0" applyFont="1" applyBorder="1"/>
    <xf numFmtId="0" fontId="24" fillId="0" borderId="6" xfId="0" applyFont="1" applyBorder="1"/>
    <xf numFmtId="164" fontId="21" fillId="0" borderId="7" xfId="0" applyNumberFormat="1" applyFont="1" applyBorder="1"/>
    <xf numFmtId="0" fontId="2" fillId="0" borderId="8" xfId="0" applyFont="1" applyBorder="1"/>
    <xf numFmtId="0" fontId="24" fillId="0" borderId="0" xfId="0" applyFont="1" applyFill="1" applyBorder="1" applyAlignment="1"/>
    <xf numFmtId="0" fontId="24" fillId="0" borderId="0" xfId="0" applyFont="1" applyBorder="1"/>
    <xf numFmtId="0" fontId="24" fillId="0" borderId="0" xfId="0" applyFont="1" applyFill="1" applyBorder="1"/>
    <xf numFmtId="0" fontId="24" fillId="0" borderId="7" xfId="0" applyFont="1" applyBorder="1"/>
    <xf numFmtId="0" fontId="24" fillId="0" borderId="8" xfId="0" applyFont="1" applyBorder="1"/>
    <xf numFmtId="0" fontId="24" fillId="5" borderId="1" xfId="0" applyFont="1" applyFill="1" applyBorder="1"/>
    <xf numFmtId="0" fontId="24" fillId="5" borderId="2" xfId="0" applyFont="1" applyFill="1" applyBorder="1"/>
    <xf numFmtId="0" fontId="24" fillId="5" borderId="3" xfId="0" applyFont="1" applyFill="1" applyBorder="1"/>
    <xf numFmtId="0" fontId="24" fillId="0" borderId="4" xfId="0" applyFont="1" applyFill="1" applyBorder="1" applyAlignment="1">
      <alignment horizontal="right"/>
    </xf>
    <xf numFmtId="0" fontId="24" fillId="0" borderId="5" xfId="0" applyFont="1" applyFill="1" applyBorder="1"/>
    <xf numFmtId="0" fontId="24" fillId="0" borderId="4" xfId="0" applyFont="1" applyBorder="1" applyAlignment="1">
      <alignment horizontal="right"/>
    </xf>
    <xf numFmtId="0" fontId="30" fillId="0" borderId="0" xfId="0" applyFont="1" applyBorder="1" applyProtection="1">
      <protection hidden="1"/>
    </xf>
    <xf numFmtId="1" fontId="12" fillId="0" borderId="0" xfId="0" applyNumberFormat="1" applyFont="1" applyFill="1" applyBorder="1"/>
    <xf numFmtId="1" fontId="12" fillId="0" borderId="0" xfId="0" applyNumberFormat="1" applyFont="1" applyFill="1" applyBorder="1" applyProtection="1">
      <protection hidden="1"/>
    </xf>
    <xf numFmtId="171" fontId="12" fillId="0" borderId="0" xfId="0" applyNumberFormat="1" applyFont="1" applyFill="1" applyBorder="1"/>
    <xf numFmtId="0" fontId="25" fillId="0" borderId="0" xfId="0" applyFont="1" applyFill="1" applyBorder="1"/>
    <xf numFmtId="0" fontId="23" fillId="0" borderId="0" xfId="0" applyFont="1" applyFill="1" applyBorder="1" applyProtection="1">
      <protection hidden="1"/>
    </xf>
    <xf numFmtId="3" fontId="23" fillId="0" borderId="0" xfId="0" applyNumberFormat="1" applyFont="1" applyFill="1" applyBorder="1" applyProtection="1">
      <protection hidden="1"/>
    </xf>
    <xf numFmtId="0" fontId="2" fillId="0" borderId="0" xfId="0" applyFont="1" applyFill="1" applyBorder="1" applyAlignment="1"/>
    <xf numFmtId="0" fontId="2" fillId="0" borderId="0" xfId="0" applyFont="1" applyBorder="1"/>
    <xf numFmtId="0" fontId="12" fillId="2" borderId="0" xfId="0" applyFont="1" applyFill="1" applyBorder="1" applyProtection="1">
      <protection hidden="1"/>
    </xf>
    <xf numFmtId="0" fontId="12" fillId="3" borderId="18" xfId="0" applyFont="1" applyFill="1" applyBorder="1" applyAlignment="1" applyProtection="1">
      <protection hidden="1"/>
    </xf>
    <xf numFmtId="3" fontId="28" fillId="12" borderId="0" xfId="0" applyNumberFormat="1" applyFont="1" applyFill="1" applyBorder="1" applyAlignment="1" applyProtection="1">
      <alignment vertical="center"/>
      <protection hidden="1"/>
    </xf>
    <xf numFmtId="0" fontId="28" fillId="12" borderId="0" xfId="0" applyFont="1" applyFill="1" applyBorder="1" applyAlignment="1" applyProtection="1">
      <alignment vertical="center"/>
      <protection hidden="1"/>
    </xf>
    <xf numFmtId="0" fontId="12" fillId="0" borderId="0" xfId="0" applyFont="1" applyBorder="1" applyAlignment="1">
      <alignment horizontal="left" vertical="center"/>
    </xf>
    <xf numFmtId="2" fontId="12" fillId="3" borderId="0" xfId="0" applyNumberFormat="1" applyFont="1" applyFill="1" applyBorder="1" applyAlignment="1">
      <alignment vertical="center"/>
    </xf>
    <xf numFmtId="0" fontId="0" fillId="0" borderId="0" xfId="0" quotePrefix="1" applyAlignment="1">
      <alignment vertical="center" wrapText="1"/>
    </xf>
    <xf numFmtId="165" fontId="0" fillId="6" borderId="0" xfId="0" applyNumberFormat="1" applyFill="1" applyAlignment="1">
      <alignment vertical="center"/>
    </xf>
    <xf numFmtId="0" fontId="22" fillId="0" borderId="12" xfId="0" applyFont="1" applyFill="1" applyBorder="1"/>
    <xf numFmtId="3" fontId="23" fillId="10" borderId="13" xfId="0" applyNumberFormat="1" applyFont="1" applyFill="1" applyBorder="1" applyAlignment="1" applyProtection="1">
      <alignment horizontal="right" wrapText="1"/>
      <protection hidden="1"/>
    </xf>
    <xf numFmtId="0" fontId="0" fillId="0" borderId="9" xfId="0" applyFont="1" applyBorder="1" applyAlignment="1" applyProtection="1">
      <alignment vertical="top"/>
      <protection hidden="1"/>
    </xf>
    <xf numFmtId="0" fontId="0" fillId="0" borderId="10" xfId="0" applyFont="1" applyFill="1" applyBorder="1" applyAlignment="1">
      <alignment horizontal="center" vertical="top"/>
    </xf>
    <xf numFmtId="0" fontId="0" fillId="0" borderId="9" xfId="0" applyFont="1" applyBorder="1" applyAlignment="1" applyProtection="1">
      <alignment horizontal="left" vertical="top"/>
      <protection hidden="1"/>
    </xf>
    <xf numFmtId="2" fontId="0" fillId="0" borderId="9" xfId="0" applyNumberFormat="1" applyFont="1" applyBorder="1" applyAlignment="1" applyProtection="1">
      <alignment horizontal="center" vertical="top" wrapText="1"/>
      <protection locked="0" hidden="1"/>
    </xf>
    <xf numFmtId="0" fontId="0" fillId="0" borderId="9" xfId="0" applyFont="1" applyBorder="1" applyAlignment="1">
      <alignment vertical="top"/>
    </xf>
    <xf numFmtId="2" fontId="0" fillId="0" borderId="9" xfId="0" applyNumberFormat="1" applyFont="1" applyBorder="1" applyAlignment="1">
      <alignment horizontal="center" vertical="top"/>
    </xf>
    <xf numFmtId="0" fontId="0" fillId="6" borderId="0" xfId="0" applyFill="1" applyAlignment="1">
      <alignment horizontal="right"/>
    </xf>
    <xf numFmtId="0" fontId="0" fillId="0" borderId="0" xfId="0" quotePrefix="1"/>
    <xf numFmtId="165" fontId="0" fillId="6" borderId="0" xfId="0" quotePrefix="1" applyNumberFormat="1" applyFill="1"/>
    <xf numFmtId="0" fontId="6" fillId="6" borderId="0" xfId="0" applyFont="1" applyFill="1"/>
    <xf numFmtId="0" fontId="22" fillId="3" borderId="9" xfId="0" applyFont="1" applyFill="1" applyBorder="1" applyAlignment="1">
      <alignment horizontal="right"/>
    </xf>
    <xf numFmtId="0" fontId="21" fillId="3" borderId="9" xfId="0" applyFont="1" applyFill="1" applyBorder="1"/>
    <xf numFmtId="167" fontId="22" fillId="8" borderId="1" xfId="0" applyNumberFormat="1" applyFont="1" applyFill="1" applyBorder="1"/>
    <xf numFmtId="0" fontId="22" fillId="0" borderId="2" xfId="0" applyFont="1" applyBorder="1"/>
    <xf numFmtId="0" fontId="22" fillId="0" borderId="3" xfId="0" applyFont="1" applyBorder="1"/>
    <xf numFmtId="164" fontId="22" fillId="8" borderId="10" xfId="0" applyNumberFormat="1" applyFont="1" applyFill="1" applyBorder="1"/>
    <xf numFmtId="0" fontId="6" fillId="0" borderId="0" xfId="0" applyFont="1" applyFill="1" applyAlignment="1">
      <alignment horizontal="right"/>
    </xf>
    <xf numFmtId="0" fontId="22" fillId="0" borderId="7" xfId="0" applyFont="1" applyBorder="1"/>
    <xf numFmtId="0" fontId="22" fillId="0" borderId="9" xfId="0" applyFont="1" applyBorder="1"/>
    <xf numFmtId="0" fontId="22" fillId="5" borderId="11" xfId="0" applyFont="1" applyFill="1" applyBorder="1"/>
    <xf numFmtId="169" fontId="23" fillId="0" borderId="0" xfId="0" applyNumberFormat="1" applyFont="1" applyFill="1" applyBorder="1" applyProtection="1">
      <protection hidden="1"/>
    </xf>
    <xf numFmtId="4" fontId="23" fillId="0" borderId="0" xfId="0" applyNumberFormat="1" applyFont="1" applyFill="1" applyBorder="1" applyProtection="1">
      <protection hidden="1"/>
    </xf>
    <xf numFmtId="168" fontId="23" fillId="0" borderId="0" xfId="0" applyNumberFormat="1" applyFont="1" applyFill="1" applyBorder="1" applyProtection="1">
      <protection hidden="1"/>
    </xf>
    <xf numFmtId="4" fontId="12" fillId="0" borderId="0" xfId="0" applyNumberFormat="1" applyFont="1" applyBorder="1" applyProtection="1">
      <protection hidden="1"/>
    </xf>
    <xf numFmtId="3" fontId="12" fillId="0" borderId="0" xfId="0" applyNumberFormat="1" applyFont="1" applyBorder="1" applyProtection="1">
      <protection hidden="1"/>
    </xf>
    <xf numFmtId="172" fontId="12" fillId="0" borderId="0" xfId="1" applyNumberFormat="1" applyFont="1" applyFill="1" applyBorder="1" applyProtection="1">
      <protection hidden="1"/>
    </xf>
    <xf numFmtId="0" fontId="0" fillId="0" borderId="9" xfId="0" applyFont="1" applyFill="1" applyBorder="1" applyAlignment="1">
      <alignment horizontal="center" vertical="top"/>
    </xf>
    <xf numFmtId="0" fontId="24" fillId="0" borderId="10" xfId="0" applyFont="1" applyBorder="1"/>
    <xf numFmtId="2" fontId="22" fillId="8" borderId="10" xfId="0" applyNumberFormat="1" applyFont="1" applyFill="1" applyBorder="1"/>
    <xf numFmtId="0" fontId="57" fillId="0" borderId="0" xfId="0" applyFont="1"/>
    <xf numFmtId="0" fontId="13" fillId="0" borderId="0" xfId="0" applyFont="1" applyAlignment="1">
      <alignment horizontal="left" vertical="top" wrapText="1"/>
    </xf>
    <xf numFmtId="0" fontId="28" fillId="0" borderId="0" xfId="0" applyFont="1" applyFill="1" applyBorder="1" applyAlignment="1" applyProtection="1">
      <alignment horizontal="left" wrapText="1"/>
      <protection hidden="1"/>
    </xf>
    <xf numFmtId="0" fontId="12" fillId="0" borderId="0" xfId="0" quotePrefix="1" applyFont="1" applyBorder="1" applyAlignment="1" applyProtection="1">
      <alignment horizontal="left" wrapText="1"/>
      <protection hidden="1"/>
    </xf>
    <xf numFmtId="0" fontId="35" fillId="2" borderId="0" xfId="0" applyFont="1" applyFill="1" applyBorder="1" applyAlignment="1" applyProtection="1">
      <alignment horizontal="left" wrapText="1"/>
      <protection hidden="1"/>
    </xf>
    <xf numFmtId="0" fontId="12" fillId="0" borderId="0" xfId="0" quotePrefix="1" applyFont="1" applyBorder="1" applyAlignment="1">
      <alignment horizontal="left"/>
    </xf>
    <xf numFmtId="0" fontId="13" fillId="0" borderId="0" xfId="0" applyFont="1" applyAlignment="1">
      <alignment horizontal="left" vertical="top" wrapText="1"/>
    </xf>
    <xf numFmtId="0" fontId="16" fillId="4" borderId="4" xfId="0" applyFont="1" applyFill="1" applyBorder="1" applyAlignment="1">
      <alignment horizontal="left" vertical="center" wrapText="1"/>
    </xf>
    <xf numFmtId="0" fontId="13" fillId="4" borderId="0" xfId="0" applyFont="1" applyFill="1" applyBorder="1" applyAlignment="1">
      <alignment horizontal="left" vertical="center" wrapText="1"/>
    </xf>
    <xf numFmtId="0" fontId="13" fillId="4" borderId="5" xfId="0" applyFont="1" applyFill="1" applyBorder="1" applyAlignment="1">
      <alignment horizontal="left" vertical="center" wrapText="1"/>
    </xf>
    <xf numFmtId="0" fontId="13" fillId="4" borderId="6" xfId="0" applyFont="1" applyFill="1" applyBorder="1" applyAlignment="1">
      <alignment horizontal="left" vertical="center" wrapText="1"/>
    </xf>
    <xf numFmtId="0" fontId="13" fillId="4" borderId="7" xfId="0" applyFont="1" applyFill="1" applyBorder="1" applyAlignment="1">
      <alignment horizontal="left" vertical="center" wrapText="1"/>
    </xf>
    <xf numFmtId="0" fontId="13" fillId="4" borderId="8" xfId="0" applyFont="1" applyFill="1" applyBorder="1" applyAlignment="1">
      <alignment horizontal="left" vertical="center" wrapText="1"/>
    </xf>
    <xf numFmtId="0" fontId="14" fillId="2" borderId="9" xfId="0" applyFont="1" applyFill="1" applyBorder="1" applyAlignment="1">
      <alignment horizontal="center" vertical="top" wrapText="1"/>
    </xf>
    <xf numFmtId="0" fontId="13" fillId="4" borderId="4" xfId="0" applyFont="1" applyFill="1" applyBorder="1" applyAlignment="1">
      <alignment horizontal="left" vertical="center" wrapText="1"/>
    </xf>
    <xf numFmtId="0" fontId="10" fillId="2" borderId="1" xfId="0" applyFont="1" applyFill="1" applyBorder="1" applyAlignment="1">
      <alignment horizontal="center"/>
    </xf>
    <xf numFmtId="0" fontId="10" fillId="2" borderId="2"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10" fillId="2" borderId="0" xfId="0" applyFont="1" applyFill="1" applyBorder="1" applyAlignment="1">
      <alignment horizontal="center"/>
    </xf>
    <xf numFmtId="0" fontId="10" fillId="2" borderId="5" xfId="0" applyFont="1" applyFill="1" applyBorder="1" applyAlignment="1">
      <alignment horizontal="center"/>
    </xf>
    <xf numFmtId="0" fontId="11" fillId="3" borderId="4" xfId="0" applyFont="1" applyFill="1" applyBorder="1" applyAlignment="1">
      <alignment horizontal="center" wrapText="1"/>
    </xf>
    <xf numFmtId="0" fontId="11" fillId="3" borderId="0" xfId="0" applyFont="1" applyFill="1" applyBorder="1" applyAlignment="1">
      <alignment horizontal="center" wrapText="1"/>
    </xf>
    <xf numFmtId="0" fontId="11" fillId="3" borderId="5" xfId="0" applyFont="1" applyFill="1" applyBorder="1" applyAlignment="1">
      <alignment horizontal="center" wrapText="1"/>
    </xf>
    <xf numFmtId="0" fontId="11" fillId="3" borderId="4" xfId="0" applyFont="1" applyFill="1" applyBorder="1" applyAlignment="1">
      <alignment horizontal="center"/>
    </xf>
    <xf numFmtId="0" fontId="11" fillId="3" borderId="0" xfId="0" applyFont="1" applyFill="1" applyBorder="1" applyAlignment="1">
      <alignment horizontal="center"/>
    </xf>
    <xf numFmtId="0" fontId="11" fillId="3" borderId="5" xfId="0" applyFont="1" applyFill="1" applyBorder="1" applyAlignment="1">
      <alignment horizontal="center"/>
    </xf>
    <xf numFmtId="0" fontId="11" fillId="3" borderId="4" xfId="0" applyFont="1" applyFill="1" applyBorder="1" applyAlignment="1">
      <alignment horizontal="center" vertical="top" wrapText="1"/>
    </xf>
    <xf numFmtId="0" fontId="11" fillId="3" borderId="0" xfId="0" applyFont="1" applyFill="1" applyBorder="1" applyAlignment="1">
      <alignment horizontal="center" vertical="top" wrapText="1"/>
    </xf>
    <xf numFmtId="0" fontId="11" fillId="3" borderId="5" xfId="0" applyFont="1" applyFill="1" applyBorder="1" applyAlignment="1">
      <alignment horizontal="center" vertical="top" wrapText="1"/>
    </xf>
    <xf numFmtId="0" fontId="11" fillId="3" borderId="6" xfId="0" applyFont="1" applyFill="1" applyBorder="1" applyAlignment="1">
      <alignment horizontal="center" wrapText="1"/>
    </xf>
    <xf numFmtId="0" fontId="11" fillId="3" borderId="7" xfId="0" applyFont="1" applyFill="1" applyBorder="1" applyAlignment="1">
      <alignment horizontal="center" wrapText="1"/>
    </xf>
    <xf numFmtId="0" fontId="11" fillId="3" borderId="8" xfId="0" applyFont="1" applyFill="1" applyBorder="1" applyAlignment="1">
      <alignment horizontal="center" wrapText="1"/>
    </xf>
    <xf numFmtId="0" fontId="13" fillId="0" borderId="0" xfId="0" applyFont="1" applyFill="1" applyAlignment="1">
      <alignment horizontal="left" wrapText="1"/>
    </xf>
    <xf numFmtId="0" fontId="0" fillId="0" borderId="9" xfId="0" applyFont="1" applyBorder="1" applyAlignment="1">
      <alignment horizontal="left" vertical="top" wrapText="1"/>
    </xf>
    <xf numFmtId="0" fontId="0" fillId="0" borderId="9" xfId="0" applyFont="1" applyBorder="1" applyAlignment="1">
      <alignment horizontal="left" vertical="top"/>
    </xf>
    <xf numFmtId="0" fontId="20" fillId="2" borderId="0" xfId="0" applyFont="1" applyFill="1" applyAlignment="1">
      <alignment horizontal="left"/>
    </xf>
    <xf numFmtId="0" fontId="31" fillId="0" borderId="4" xfId="0" applyFont="1" applyBorder="1" applyAlignment="1">
      <alignment horizontal="left" wrapText="1"/>
    </xf>
    <xf numFmtId="0" fontId="31" fillId="0" borderId="0" xfId="0" applyFont="1" applyBorder="1" applyAlignment="1">
      <alignment horizontal="left" wrapText="1"/>
    </xf>
    <xf numFmtId="0" fontId="0" fillId="0" borderId="10" xfId="0" applyFont="1" applyBorder="1" applyAlignment="1">
      <alignment horizontal="left" vertical="top" wrapText="1"/>
    </xf>
    <xf numFmtId="0" fontId="0" fillId="0" borderId="11" xfId="0" applyFont="1" applyBorder="1" applyAlignment="1">
      <alignment horizontal="left" vertical="top" wrapText="1"/>
    </xf>
    <xf numFmtId="0" fontId="0" fillId="0" borderId="12" xfId="0" applyFont="1" applyBorder="1" applyAlignment="1">
      <alignment horizontal="left" vertical="top" wrapText="1"/>
    </xf>
    <xf numFmtId="0" fontId="41" fillId="4" borderId="11" xfId="0" applyFont="1" applyFill="1" applyBorder="1" applyAlignment="1">
      <alignment horizontal="left" wrapText="1"/>
    </xf>
    <xf numFmtId="0" fontId="41" fillId="4" borderId="12" xfId="0" applyFont="1" applyFill="1" applyBorder="1" applyAlignment="1">
      <alignment horizontal="left" wrapText="1"/>
    </xf>
    <xf numFmtId="0" fontId="0" fillId="0" borderId="10" xfId="0" applyFont="1" applyBorder="1" applyAlignment="1" applyProtection="1">
      <alignment horizontal="left" vertical="top" wrapText="1"/>
      <protection hidden="1"/>
    </xf>
    <xf numFmtId="0" fontId="0" fillId="0" borderId="11" xfId="0" applyFont="1" applyBorder="1" applyAlignment="1" applyProtection="1">
      <alignment horizontal="left" vertical="top" wrapText="1"/>
      <protection hidden="1"/>
    </xf>
    <xf numFmtId="0" fontId="0" fillId="0" borderId="12" xfId="0" applyFont="1" applyBorder="1" applyAlignment="1" applyProtection="1">
      <alignment horizontal="left" vertical="top" wrapText="1"/>
      <protection hidden="1"/>
    </xf>
    <xf numFmtId="0" fontId="0" fillId="0" borderId="10" xfId="0" applyFont="1" applyFill="1" applyBorder="1" applyAlignment="1" applyProtection="1">
      <alignment horizontal="left" vertical="top" wrapText="1"/>
      <protection hidden="1"/>
    </xf>
    <xf numFmtId="0" fontId="0" fillId="0" borderId="11" xfId="0" applyFont="1" applyFill="1" applyBorder="1" applyAlignment="1" applyProtection="1">
      <alignment horizontal="left" vertical="top" wrapText="1"/>
      <protection hidden="1"/>
    </xf>
    <xf numFmtId="0" fontId="0" fillId="0" borderId="12" xfId="0" applyFont="1" applyFill="1" applyBorder="1" applyAlignment="1" applyProtection="1">
      <alignment horizontal="left" vertical="top" wrapText="1"/>
      <protection hidden="1"/>
    </xf>
    <xf numFmtId="0" fontId="0" fillId="0" borderId="10" xfId="0" applyFont="1" applyBorder="1" applyAlignment="1" applyProtection="1">
      <alignment horizontal="left" vertical="top" wrapText="1"/>
      <protection locked="0" hidden="1"/>
    </xf>
    <xf numFmtId="0" fontId="0" fillId="0" borderId="11" xfId="0" applyFont="1" applyBorder="1" applyAlignment="1" applyProtection="1">
      <alignment horizontal="left" vertical="top" wrapText="1"/>
      <protection locked="0" hidden="1"/>
    </xf>
    <xf numFmtId="0" fontId="0" fillId="0" borderId="12" xfId="0" applyFont="1" applyBorder="1" applyAlignment="1" applyProtection="1">
      <alignment horizontal="left" vertical="top" wrapText="1"/>
      <protection locked="0" hidden="1"/>
    </xf>
    <xf numFmtId="0" fontId="41" fillId="4" borderId="10" xfId="0" applyFont="1" applyFill="1" applyBorder="1" applyAlignment="1">
      <alignment horizontal="left"/>
    </xf>
    <xf numFmtId="0" fontId="41" fillId="4" borderId="11" xfId="0" applyFont="1" applyFill="1" applyBorder="1" applyAlignment="1">
      <alignment horizontal="left"/>
    </xf>
    <xf numFmtId="0" fontId="41" fillId="4" borderId="12" xfId="0" applyFont="1" applyFill="1" applyBorder="1" applyAlignment="1">
      <alignment horizontal="left"/>
    </xf>
    <xf numFmtId="0" fontId="42" fillId="0" borderId="4" xfId="0" applyFont="1" applyBorder="1" applyAlignment="1">
      <alignment horizontal="left" wrapText="1"/>
    </xf>
    <xf numFmtId="0" fontId="42" fillId="0" borderId="0" xfId="0" applyFont="1" applyBorder="1" applyAlignment="1">
      <alignment horizontal="left" wrapText="1"/>
    </xf>
    <xf numFmtId="0" fontId="20" fillId="2" borderId="0" xfId="0" applyFont="1" applyFill="1" applyAlignment="1">
      <alignment horizontal="center"/>
    </xf>
    <xf numFmtId="0" fontId="0" fillId="0" borderId="0" xfId="0" applyFont="1" applyFill="1" applyBorder="1" applyAlignment="1">
      <alignment horizontal="left" vertical="center" wrapText="1"/>
    </xf>
    <xf numFmtId="0" fontId="19" fillId="2" borderId="0" xfId="0" applyFont="1" applyFill="1" applyAlignment="1">
      <alignment horizontal="center"/>
    </xf>
    <xf numFmtId="0" fontId="0" fillId="8" borderId="0" xfId="0" applyFill="1" applyAlignment="1"/>
    <xf numFmtId="0" fontId="20" fillId="2" borderId="10" xfId="0" applyFont="1" applyFill="1" applyBorder="1" applyAlignment="1">
      <alignment horizontal="center"/>
    </xf>
    <xf numFmtId="0" fontId="20" fillId="2" borderId="11" xfId="0" applyFont="1" applyFill="1" applyBorder="1" applyAlignment="1">
      <alignment horizontal="center"/>
    </xf>
    <xf numFmtId="0" fontId="20" fillId="2" borderId="12" xfId="0" applyFont="1" applyFill="1" applyBorder="1" applyAlignment="1">
      <alignment horizontal="center"/>
    </xf>
    <xf numFmtId="0" fontId="22" fillId="0" borderId="0" xfId="0" applyFont="1" applyAlignment="1">
      <alignment horizontal="center" wrapText="1"/>
    </xf>
    <xf numFmtId="0" fontId="43" fillId="0" borderId="0" xfId="0" applyFont="1" applyAlignment="1">
      <alignment horizontal="center" wrapText="1"/>
    </xf>
    <xf numFmtId="0" fontId="12" fillId="0" borderId="16" xfId="0" applyFont="1" applyBorder="1" applyAlignment="1" applyProtection="1">
      <alignment horizontal="left" wrapText="1"/>
      <protection hidden="1"/>
    </xf>
    <xf numFmtId="0" fontId="12" fillId="0" borderId="0" xfId="0" applyFont="1" applyBorder="1" applyAlignment="1" applyProtection="1">
      <alignment horizontal="left" wrapText="1"/>
      <protection hidden="1"/>
    </xf>
    <xf numFmtId="0" fontId="35" fillId="2" borderId="0" xfId="0" applyFont="1" applyFill="1" applyBorder="1" applyAlignment="1" applyProtection="1">
      <alignment horizontal="left" wrapText="1"/>
      <protection hidden="1"/>
    </xf>
    <xf numFmtId="0" fontId="35" fillId="2" borderId="10" xfId="0" applyFont="1" applyFill="1" applyBorder="1" applyAlignment="1">
      <alignment horizontal="center"/>
    </xf>
    <xf numFmtId="0" fontId="35" fillId="2" borderId="11" xfId="0" applyFont="1" applyFill="1" applyBorder="1" applyAlignment="1">
      <alignment horizontal="center"/>
    </xf>
    <xf numFmtId="0" fontId="35" fillId="2" borderId="12" xfId="0" applyFont="1" applyFill="1" applyBorder="1" applyAlignment="1">
      <alignment horizontal="center"/>
    </xf>
    <xf numFmtId="0" fontId="12" fillId="0" borderId="0" xfId="0" quotePrefix="1" applyFont="1" applyBorder="1" applyAlignment="1">
      <alignment horizontal="left"/>
    </xf>
    <xf numFmtId="0" fontId="46" fillId="0" borderId="0" xfId="0" quotePrefix="1" applyFont="1" applyBorder="1" applyAlignment="1">
      <alignment horizontal="left" wrapText="1"/>
    </xf>
    <xf numFmtId="0" fontId="28" fillId="0" borderId="0" xfId="0" applyFont="1" applyFill="1" applyBorder="1" applyAlignment="1" applyProtection="1">
      <alignment horizontal="left" wrapText="1"/>
      <protection hidden="1"/>
    </xf>
    <xf numFmtId="0" fontId="19" fillId="2" borderId="0" xfId="0" applyFont="1" applyFill="1" applyBorder="1" applyAlignment="1" applyProtection="1">
      <alignment horizontal="center"/>
      <protection hidden="1"/>
    </xf>
    <xf numFmtId="0" fontId="12" fillId="0" borderId="0" xfId="0" quotePrefix="1" applyFont="1" applyBorder="1" applyAlignment="1" applyProtection="1">
      <alignment horizontal="left" wrapText="1"/>
      <protection hidden="1"/>
    </xf>
    <xf numFmtId="0" fontId="12" fillId="0" borderId="0" xfId="0" quotePrefix="1" applyFont="1" applyBorder="1" applyAlignment="1">
      <alignment horizontal="left" wrapText="1"/>
    </xf>
    <xf numFmtId="0" fontId="43" fillId="0" borderId="0" xfId="0" applyFont="1" applyBorder="1" applyAlignment="1">
      <alignment horizontal="center" vertical="center" wrapText="1"/>
    </xf>
    <xf numFmtId="0" fontId="12" fillId="0" borderId="0" xfId="0" applyFont="1" applyBorder="1" applyAlignment="1" applyProtection="1">
      <alignment horizontal="left" vertical="top" wrapText="1"/>
      <protection hidden="1"/>
    </xf>
    <xf numFmtId="0" fontId="28" fillId="12" borderId="0" xfId="0" applyFont="1" applyFill="1" applyBorder="1" applyAlignment="1" applyProtection="1">
      <alignment horizontal="left" wrapText="1"/>
      <protection hidden="1"/>
    </xf>
    <xf numFmtId="0" fontId="43" fillId="0" borderId="0" xfId="0" applyFont="1" applyBorder="1" applyAlignment="1" applyProtection="1">
      <alignment horizontal="left" vertical="top" wrapText="1"/>
      <protection hidden="1"/>
    </xf>
    <xf numFmtId="0" fontId="43" fillId="0" borderId="0" xfId="0" applyFont="1" applyBorder="1" applyAlignment="1" applyProtection="1">
      <alignment horizontal="left" wrapText="1"/>
      <protection hidden="1"/>
    </xf>
    <xf numFmtId="7" fontId="12" fillId="6" borderId="2" xfId="0" applyNumberFormat="1" applyFont="1" applyFill="1" applyBorder="1" applyAlignment="1">
      <alignment horizontal="left"/>
    </xf>
    <xf numFmtId="7" fontId="12" fillId="6" borderId="3" xfId="0" applyNumberFormat="1" applyFont="1" applyFill="1" applyBorder="1" applyAlignment="1">
      <alignment horizontal="left"/>
    </xf>
    <xf numFmtId="0" fontId="1" fillId="2" borderId="0" xfId="0" applyFont="1" applyFill="1" applyAlignment="1">
      <alignment horizontal="center"/>
    </xf>
    <xf numFmtId="0" fontId="3" fillId="6" borderId="0" xfId="0" applyFont="1" applyFill="1" applyAlignment="1">
      <alignment horizontal="center"/>
    </xf>
    <xf numFmtId="0" fontId="7" fillId="6" borderId="0" xfId="0" applyFont="1" applyFill="1" applyAlignment="1">
      <alignment horizontal="center"/>
    </xf>
    <xf numFmtId="0" fontId="6" fillId="6" borderId="0" xfId="0" applyFont="1" applyFill="1" applyAlignment="1">
      <alignment horizontal="right"/>
    </xf>
    <xf numFmtId="0" fontId="12" fillId="6" borderId="0" xfId="0" applyFont="1" applyFill="1" applyBorder="1" applyAlignment="1">
      <alignment horizontal="center"/>
    </xf>
  </cellXfs>
  <cellStyles count="2">
    <cellStyle name="Comma" xfId="1" builtinId="3"/>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Drop" dropLines="6" dropStyle="combo" dx="16" fmlaLink="$V$3" fmlaRange="$W$3:$W$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5" dropStyle="combo" dx="16" fmlaLink="$X$21" fmlaRange="$W$21:$W$25" noThreeD="1"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2621280</xdr:colOff>
          <xdr:row>2</xdr:row>
          <xdr:rowOff>0</xdr:rowOff>
        </xdr:from>
        <xdr:to>
          <xdr:col>1</xdr:col>
          <xdr:colOff>632460</xdr:colOff>
          <xdr:row>3</xdr:row>
          <xdr:rowOff>68580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xdr:row>
          <xdr:rowOff>114300</xdr:rowOff>
        </xdr:from>
        <xdr:to>
          <xdr:col>6</xdr:col>
          <xdr:colOff>251460</xdr:colOff>
          <xdr:row>2</xdr:row>
          <xdr:rowOff>220980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327660</xdr:colOff>
          <xdr:row>21</xdr:row>
          <xdr:rowOff>0</xdr:rowOff>
        </xdr:from>
        <xdr:to>
          <xdr:col>6</xdr:col>
          <xdr:colOff>1653540</xdr:colOff>
          <xdr:row>22</xdr:row>
          <xdr:rowOff>68580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O30"/>
  <sheetViews>
    <sheetView showGridLines="0" tabSelected="1" zoomScale="110" zoomScaleNormal="110" workbookViewId="0">
      <selection sqref="A1:O1"/>
    </sheetView>
  </sheetViews>
  <sheetFormatPr defaultRowHeight="14.4" x14ac:dyDescent="0.3"/>
  <cols>
    <col min="3" max="3" width="3.77734375" customWidth="1"/>
    <col min="4" max="4" width="35.21875" customWidth="1"/>
    <col min="5" max="5" width="37.77734375" customWidth="1"/>
    <col min="13" max="13" width="34.77734375" customWidth="1"/>
  </cols>
  <sheetData>
    <row r="1" spans="1:15" ht="23.4" x14ac:dyDescent="0.45">
      <c r="A1" s="303" t="s">
        <v>0</v>
      </c>
      <c r="B1" s="304"/>
      <c r="C1" s="304"/>
      <c r="D1" s="304"/>
      <c r="E1" s="304"/>
      <c r="F1" s="304"/>
      <c r="G1" s="304"/>
      <c r="H1" s="304"/>
      <c r="I1" s="304"/>
      <c r="J1" s="304"/>
      <c r="K1" s="304"/>
      <c r="L1" s="304"/>
      <c r="M1" s="304"/>
      <c r="N1" s="304"/>
      <c r="O1" s="305"/>
    </row>
    <row r="2" spans="1:15" ht="23.4" x14ac:dyDescent="0.45">
      <c r="A2" s="306" t="s">
        <v>1</v>
      </c>
      <c r="B2" s="307"/>
      <c r="C2" s="307"/>
      <c r="D2" s="307"/>
      <c r="E2" s="307"/>
      <c r="F2" s="307"/>
      <c r="G2" s="307"/>
      <c r="H2" s="307"/>
      <c r="I2" s="307"/>
      <c r="J2" s="307"/>
      <c r="K2" s="307"/>
      <c r="L2" s="307"/>
      <c r="M2" s="307"/>
      <c r="N2" s="307"/>
      <c r="O2" s="308"/>
    </row>
    <row r="3" spans="1:15" ht="15.6" x14ac:dyDescent="0.3">
      <c r="A3" s="309" t="s">
        <v>2</v>
      </c>
      <c r="B3" s="310"/>
      <c r="C3" s="310"/>
      <c r="D3" s="310"/>
      <c r="E3" s="310"/>
      <c r="F3" s="310"/>
      <c r="G3" s="310"/>
      <c r="H3" s="310"/>
      <c r="I3" s="310"/>
      <c r="J3" s="310"/>
      <c r="K3" s="310"/>
      <c r="L3" s="310"/>
      <c r="M3" s="310"/>
      <c r="N3" s="310"/>
      <c r="O3" s="311"/>
    </row>
    <row r="4" spans="1:15" ht="15.6" x14ac:dyDescent="0.3">
      <c r="A4" s="312" t="s">
        <v>3</v>
      </c>
      <c r="B4" s="313"/>
      <c r="C4" s="313"/>
      <c r="D4" s="313"/>
      <c r="E4" s="313"/>
      <c r="F4" s="313"/>
      <c r="G4" s="313"/>
      <c r="H4" s="313"/>
      <c r="I4" s="313"/>
      <c r="J4" s="313"/>
      <c r="K4" s="313"/>
      <c r="L4" s="313"/>
      <c r="M4" s="313"/>
      <c r="N4" s="313"/>
      <c r="O4" s="314"/>
    </row>
    <row r="5" spans="1:15" ht="15.6" x14ac:dyDescent="0.3">
      <c r="A5" s="315" t="s">
        <v>4</v>
      </c>
      <c r="B5" s="316"/>
      <c r="C5" s="316"/>
      <c r="D5" s="316"/>
      <c r="E5" s="316"/>
      <c r="F5" s="316"/>
      <c r="G5" s="316"/>
      <c r="H5" s="316"/>
      <c r="I5" s="316"/>
      <c r="J5" s="316"/>
      <c r="K5" s="316"/>
      <c r="L5" s="316"/>
      <c r="M5" s="316"/>
      <c r="N5" s="316"/>
      <c r="O5" s="317"/>
    </row>
    <row r="6" spans="1:15" ht="15.6" x14ac:dyDescent="0.3">
      <c r="A6" s="315" t="s">
        <v>5</v>
      </c>
      <c r="B6" s="316"/>
      <c r="C6" s="316"/>
      <c r="D6" s="316"/>
      <c r="E6" s="316"/>
      <c r="F6" s="316"/>
      <c r="G6" s="316"/>
      <c r="H6" s="316"/>
      <c r="I6" s="316"/>
      <c r="J6" s="316"/>
      <c r="K6" s="316"/>
      <c r="L6" s="316"/>
      <c r="M6" s="316"/>
      <c r="N6" s="316"/>
      <c r="O6" s="317"/>
    </row>
    <row r="7" spans="1:15" ht="15.6" x14ac:dyDescent="0.3">
      <c r="A7" s="318" t="s">
        <v>6</v>
      </c>
      <c r="B7" s="319"/>
      <c r="C7" s="319"/>
      <c r="D7" s="319"/>
      <c r="E7" s="319"/>
      <c r="F7" s="319"/>
      <c r="G7" s="319"/>
      <c r="H7" s="319"/>
      <c r="I7" s="319"/>
      <c r="J7" s="319"/>
      <c r="K7" s="319"/>
      <c r="L7" s="319"/>
      <c r="M7" s="319"/>
      <c r="N7" s="319"/>
      <c r="O7" s="320"/>
    </row>
    <row r="9" spans="1:15" ht="69.75" customHeight="1" x14ac:dyDescent="0.3">
      <c r="A9" s="13"/>
      <c r="B9" s="321" t="s">
        <v>7</v>
      </c>
      <c r="C9" s="321"/>
      <c r="D9" s="321"/>
      <c r="E9" s="321"/>
      <c r="F9" s="321"/>
      <c r="G9" s="321"/>
      <c r="H9" s="321"/>
      <c r="I9" s="321"/>
      <c r="J9" s="321"/>
      <c r="K9" s="321"/>
      <c r="L9" s="321"/>
      <c r="M9" s="321"/>
      <c r="N9" s="321"/>
      <c r="O9" s="14"/>
    </row>
    <row r="10" spans="1:15" ht="15.6" x14ac:dyDescent="0.3">
      <c r="A10" s="13"/>
      <c r="B10" s="13"/>
      <c r="C10" s="13"/>
      <c r="D10" s="13"/>
      <c r="E10" s="13"/>
      <c r="F10" s="13"/>
      <c r="G10" s="13"/>
      <c r="H10" s="13"/>
      <c r="I10" s="13"/>
      <c r="J10" s="13"/>
      <c r="K10" s="13"/>
      <c r="L10" s="13"/>
      <c r="M10" s="13"/>
      <c r="N10" s="13"/>
      <c r="O10" s="13"/>
    </row>
    <row r="11" spans="1:15" ht="86.25" customHeight="1" x14ac:dyDescent="0.3">
      <c r="A11" s="13"/>
      <c r="B11" s="294" t="s">
        <v>8</v>
      </c>
      <c r="C11" s="294"/>
      <c r="D11" s="294"/>
      <c r="E11" s="294"/>
      <c r="F11" s="294"/>
      <c r="G11" s="294"/>
      <c r="H11" s="294"/>
      <c r="I11" s="294"/>
      <c r="J11" s="294"/>
      <c r="K11" s="294"/>
      <c r="L11" s="294"/>
      <c r="M11" s="294"/>
      <c r="N11" s="294"/>
      <c r="O11" s="13"/>
    </row>
    <row r="12" spans="1:15" ht="15.6" x14ac:dyDescent="0.3">
      <c r="A12" s="13"/>
      <c r="B12" s="289"/>
      <c r="C12" s="289"/>
      <c r="D12" s="289"/>
      <c r="E12" s="289"/>
      <c r="F12" s="289"/>
      <c r="G12" s="289"/>
      <c r="H12" s="289"/>
      <c r="I12" s="289"/>
      <c r="J12" s="289"/>
      <c r="K12" s="289"/>
      <c r="L12" s="289"/>
      <c r="M12" s="289"/>
      <c r="N12" s="289"/>
      <c r="O12" s="13"/>
    </row>
    <row r="13" spans="1:15" ht="15.6" x14ac:dyDescent="0.3">
      <c r="A13" s="13"/>
      <c r="B13" s="294" t="s">
        <v>9</v>
      </c>
      <c r="C13" s="294"/>
      <c r="D13" s="294"/>
      <c r="E13" s="294"/>
      <c r="F13" s="294"/>
      <c r="G13" s="294"/>
      <c r="H13" s="294"/>
      <c r="I13" s="294"/>
      <c r="J13" s="294"/>
      <c r="K13" s="294"/>
      <c r="L13" s="294"/>
      <c r="M13" s="294"/>
      <c r="N13" s="294"/>
      <c r="O13" s="13"/>
    </row>
    <row r="14" spans="1:15" ht="15.6" x14ac:dyDescent="0.3">
      <c r="A14" s="13"/>
      <c r="B14" s="289"/>
      <c r="C14" s="289"/>
      <c r="D14" s="289"/>
      <c r="E14" s="289"/>
      <c r="F14" s="289"/>
      <c r="G14" s="289"/>
      <c r="H14" s="289"/>
      <c r="I14" s="289"/>
      <c r="J14" s="289"/>
      <c r="K14" s="289"/>
      <c r="L14" s="289"/>
      <c r="M14" s="289"/>
      <c r="N14" s="289"/>
      <c r="O14" s="13"/>
    </row>
    <row r="15" spans="1:15" ht="21" customHeight="1" x14ac:dyDescent="0.3">
      <c r="A15" s="13"/>
      <c r="B15" s="289"/>
      <c r="C15" s="289"/>
      <c r="D15" s="109" t="s">
        <v>10</v>
      </c>
      <c r="E15" s="110" t="s">
        <v>11</v>
      </c>
      <c r="F15" s="289"/>
      <c r="G15" s="289"/>
      <c r="H15" s="289"/>
      <c r="I15" s="289"/>
      <c r="J15" s="289"/>
      <c r="K15" s="289"/>
      <c r="L15" s="289"/>
      <c r="M15" s="289"/>
      <c r="N15" s="289"/>
      <c r="O15" s="13"/>
    </row>
    <row r="16" spans="1:15" ht="21" customHeight="1" x14ac:dyDescent="0.3">
      <c r="A16" s="13"/>
      <c r="B16" s="289"/>
      <c r="C16" s="289"/>
      <c r="D16" s="111" t="s">
        <v>12</v>
      </c>
      <c r="E16" s="112" t="s">
        <v>13</v>
      </c>
      <c r="F16" s="289"/>
      <c r="G16" s="289"/>
      <c r="H16" s="289"/>
      <c r="I16" s="289"/>
      <c r="J16" s="289"/>
      <c r="K16" s="289"/>
      <c r="L16" s="289"/>
      <c r="M16" s="289"/>
      <c r="N16" s="289"/>
      <c r="O16" s="13"/>
    </row>
    <row r="17" spans="1:15" ht="21" customHeight="1" x14ac:dyDescent="0.3">
      <c r="A17" s="13"/>
      <c r="B17" s="289"/>
      <c r="C17" s="289"/>
      <c r="D17" s="111" t="s">
        <v>14</v>
      </c>
      <c r="E17" s="112" t="s">
        <v>15</v>
      </c>
      <c r="F17" s="289"/>
      <c r="G17" s="289"/>
      <c r="H17" s="289"/>
      <c r="I17" s="289"/>
      <c r="J17" s="289"/>
      <c r="K17" s="289"/>
      <c r="L17" s="289"/>
      <c r="M17" s="289"/>
      <c r="N17" s="289"/>
      <c r="O17" s="13"/>
    </row>
    <row r="18" spans="1:15" ht="21" customHeight="1" x14ac:dyDescent="0.3">
      <c r="A18" s="13"/>
      <c r="B18" s="289"/>
      <c r="C18" s="289"/>
      <c r="D18" s="111" t="s">
        <v>16</v>
      </c>
      <c r="E18" s="112" t="s">
        <v>17</v>
      </c>
      <c r="F18" s="289"/>
      <c r="G18" s="289"/>
      <c r="H18" s="289"/>
      <c r="I18" s="289"/>
      <c r="J18" s="289"/>
      <c r="K18" s="289"/>
      <c r="L18" s="289"/>
      <c r="M18" s="289"/>
      <c r="N18" s="289"/>
      <c r="O18" s="13"/>
    </row>
    <row r="19" spans="1:15" ht="21" customHeight="1" x14ac:dyDescent="0.3">
      <c r="A19" s="13"/>
      <c r="B19" s="289"/>
      <c r="C19" s="289"/>
      <c r="D19" s="113" t="s">
        <v>18</v>
      </c>
      <c r="E19" s="114" t="s">
        <v>19</v>
      </c>
      <c r="F19" s="289"/>
      <c r="G19" s="289"/>
      <c r="H19" s="289"/>
      <c r="I19" s="289"/>
      <c r="J19" s="289"/>
      <c r="K19" s="289"/>
      <c r="L19" s="289"/>
      <c r="M19" s="289"/>
      <c r="N19" s="289"/>
      <c r="O19" s="13"/>
    </row>
    <row r="20" spans="1:15" ht="21" customHeight="1" x14ac:dyDescent="0.3">
      <c r="A20" s="13"/>
      <c r="B20" s="289"/>
      <c r="C20" s="75"/>
      <c r="D20" s="289"/>
      <c r="E20" s="289"/>
      <c r="F20" s="289"/>
      <c r="G20" s="289"/>
      <c r="H20" s="289"/>
      <c r="I20" s="289"/>
      <c r="J20" s="289"/>
      <c r="K20" s="289"/>
      <c r="L20" s="289"/>
      <c r="M20" s="289"/>
      <c r="N20" s="289"/>
      <c r="O20" s="13"/>
    </row>
    <row r="21" spans="1:15" ht="39.75" customHeight="1" x14ac:dyDescent="0.3">
      <c r="A21" s="13"/>
      <c r="B21" s="294" t="s">
        <v>20</v>
      </c>
      <c r="C21" s="294"/>
      <c r="D21" s="294"/>
      <c r="E21" s="294"/>
      <c r="F21" s="294"/>
      <c r="G21" s="294"/>
      <c r="H21" s="294"/>
      <c r="I21" s="294"/>
      <c r="J21" s="294"/>
      <c r="K21" s="294"/>
      <c r="L21" s="294"/>
      <c r="M21" s="294"/>
      <c r="N21" s="294"/>
      <c r="O21" s="13"/>
    </row>
    <row r="22" spans="1:15" ht="57" customHeight="1" x14ac:dyDescent="0.3">
      <c r="A22" s="13"/>
      <c r="B22" s="294" t="s">
        <v>21</v>
      </c>
      <c r="C22" s="294"/>
      <c r="D22" s="294"/>
      <c r="E22" s="294"/>
      <c r="F22" s="294"/>
      <c r="G22" s="294"/>
      <c r="H22" s="294"/>
      <c r="I22" s="294"/>
      <c r="J22" s="294"/>
      <c r="K22" s="294"/>
      <c r="L22" s="294"/>
      <c r="M22" s="294"/>
      <c r="N22" s="289"/>
      <c r="O22" s="13"/>
    </row>
    <row r="23" spans="1:15" ht="15.6" x14ac:dyDescent="0.3">
      <c r="A23" s="13"/>
      <c r="B23" s="15"/>
      <c r="C23" s="15"/>
      <c r="D23" s="15"/>
      <c r="E23" s="15"/>
      <c r="F23" s="15"/>
      <c r="G23" s="15"/>
      <c r="H23" s="15"/>
      <c r="I23" s="15"/>
      <c r="J23" s="15"/>
      <c r="K23" s="15"/>
      <c r="L23" s="15"/>
      <c r="M23" s="15"/>
      <c r="N23" s="15"/>
      <c r="O23" s="13"/>
    </row>
    <row r="24" spans="1:15" ht="23.25" customHeight="1" x14ac:dyDescent="0.3">
      <c r="A24" s="13"/>
      <c r="B24" s="301" t="s">
        <v>22</v>
      </c>
      <c r="C24" s="301"/>
      <c r="D24" s="301"/>
      <c r="E24" s="301"/>
      <c r="F24" s="301"/>
      <c r="G24" s="301"/>
      <c r="H24" s="301"/>
      <c r="I24" s="301"/>
      <c r="J24" s="301"/>
      <c r="K24" s="301"/>
      <c r="L24" s="301"/>
      <c r="M24" s="301"/>
      <c r="N24" s="301"/>
      <c r="O24" s="13"/>
    </row>
    <row r="25" spans="1:15" ht="56.25" customHeight="1" x14ac:dyDescent="0.3">
      <c r="B25" s="302" t="s">
        <v>23</v>
      </c>
      <c r="C25" s="296"/>
      <c r="D25" s="296"/>
      <c r="E25" s="296"/>
      <c r="F25" s="296"/>
      <c r="G25" s="296"/>
      <c r="H25" s="296"/>
      <c r="I25" s="296"/>
      <c r="J25" s="296"/>
      <c r="K25" s="296"/>
      <c r="L25" s="296"/>
      <c r="M25" s="296"/>
      <c r="N25" s="297"/>
    </row>
    <row r="26" spans="1:15" ht="75" customHeight="1" x14ac:dyDescent="0.3">
      <c r="B26" s="302" t="s">
        <v>24</v>
      </c>
      <c r="C26" s="296"/>
      <c r="D26" s="296"/>
      <c r="E26" s="296"/>
      <c r="F26" s="296"/>
      <c r="G26" s="296"/>
      <c r="H26" s="296"/>
      <c r="I26" s="296"/>
      <c r="J26" s="296"/>
      <c r="K26" s="296"/>
      <c r="L26" s="296"/>
      <c r="M26" s="296"/>
      <c r="N26" s="297"/>
    </row>
    <row r="27" spans="1:15" ht="80.25" customHeight="1" x14ac:dyDescent="0.3">
      <c r="B27" s="295" t="s">
        <v>25</v>
      </c>
      <c r="C27" s="296"/>
      <c r="D27" s="296"/>
      <c r="E27" s="296"/>
      <c r="F27" s="296"/>
      <c r="G27" s="296"/>
      <c r="H27" s="296"/>
      <c r="I27" s="296"/>
      <c r="J27" s="296"/>
      <c r="K27" s="296"/>
      <c r="L27" s="296"/>
      <c r="M27" s="296"/>
      <c r="N27" s="297"/>
    </row>
    <row r="28" spans="1:15" ht="75.75" customHeight="1" x14ac:dyDescent="0.3">
      <c r="A28" s="16"/>
      <c r="B28" s="298" t="s">
        <v>26</v>
      </c>
      <c r="C28" s="299"/>
      <c r="D28" s="299"/>
      <c r="E28" s="299"/>
      <c r="F28" s="299"/>
      <c r="G28" s="299"/>
      <c r="H28" s="299"/>
      <c r="I28" s="299"/>
      <c r="J28" s="299"/>
      <c r="K28" s="299"/>
      <c r="L28" s="299"/>
      <c r="M28" s="299"/>
      <c r="N28" s="300"/>
      <c r="O28" s="16"/>
    </row>
    <row r="29" spans="1:15" ht="15.6" x14ac:dyDescent="0.3">
      <c r="B29" s="17"/>
      <c r="C29" s="17"/>
      <c r="D29" s="17"/>
      <c r="E29" s="17"/>
      <c r="F29" s="17"/>
      <c r="G29" s="17"/>
      <c r="H29" s="17"/>
      <c r="I29" s="17"/>
      <c r="J29" s="17"/>
      <c r="K29" s="17"/>
      <c r="L29" s="17"/>
      <c r="M29" s="17"/>
      <c r="N29" s="17"/>
    </row>
    <row r="30" spans="1:15" ht="15.6" x14ac:dyDescent="0.3">
      <c r="C30" s="17"/>
      <c r="D30" s="17"/>
      <c r="E30" s="17"/>
      <c r="F30" s="17"/>
      <c r="G30" s="17"/>
      <c r="H30" s="17"/>
      <c r="I30" s="17"/>
      <c r="J30" s="17"/>
      <c r="K30" s="17"/>
      <c r="L30" s="17"/>
      <c r="M30" s="17"/>
      <c r="N30" s="17"/>
    </row>
  </sheetData>
  <mergeCells count="17">
    <mergeCell ref="A6:O6"/>
    <mergeCell ref="A7:O7"/>
    <mergeCell ref="B9:N9"/>
    <mergeCell ref="B11:N11"/>
    <mergeCell ref="B13:N13"/>
    <mergeCell ref="A1:O1"/>
    <mergeCell ref="A2:O2"/>
    <mergeCell ref="A3:O3"/>
    <mergeCell ref="A4:O4"/>
    <mergeCell ref="A5:O5"/>
    <mergeCell ref="B21:N21"/>
    <mergeCell ref="B27:N27"/>
    <mergeCell ref="B28:N28"/>
    <mergeCell ref="B24:N24"/>
    <mergeCell ref="B25:N25"/>
    <mergeCell ref="B26:N26"/>
    <mergeCell ref="B22:M2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C80"/>
  <sheetViews>
    <sheetView showGridLines="0" topLeftCell="A49" zoomScaleNormal="100" workbookViewId="0">
      <selection activeCell="B28" sqref="B28"/>
    </sheetView>
  </sheetViews>
  <sheetFormatPr defaultRowHeight="14.4" x14ac:dyDescent="0.3"/>
  <cols>
    <col min="1" max="1" width="59.5546875" customWidth="1"/>
    <col min="2" max="2" width="20.77734375" customWidth="1"/>
    <col min="3" max="3" width="23.77734375" customWidth="1"/>
    <col min="4" max="4" width="22.21875" customWidth="1"/>
    <col min="5" max="5" width="17.77734375" customWidth="1"/>
    <col min="6" max="6" width="14.44140625" customWidth="1"/>
    <col min="7" max="7" width="24.77734375" customWidth="1"/>
    <col min="8" max="8" width="28.5546875" customWidth="1"/>
    <col min="9" max="9" width="48.5546875" customWidth="1"/>
    <col min="10" max="10" width="9.21875" style="3"/>
    <col min="11" max="11" width="13.77734375" style="3" hidden="1" customWidth="1"/>
    <col min="12" max="14" width="9.21875" style="3" hidden="1" customWidth="1"/>
    <col min="15" max="15" width="51.21875" style="3" hidden="1" customWidth="1"/>
    <col min="16" max="16" width="20.21875" style="3" hidden="1" customWidth="1"/>
    <col min="17" max="22" width="9.21875" style="3" hidden="1" customWidth="1"/>
    <col min="23" max="23" width="8" style="3" customWidth="1"/>
    <col min="24" max="24" width="12.44140625" style="3" customWidth="1"/>
    <col min="25" max="25" width="7.44140625" style="3" customWidth="1"/>
    <col min="26" max="27" width="6.21875" style="3" customWidth="1"/>
    <col min="28" max="29" width="9.21875" style="3" customWidth="1"/>
    <col min="30" max="55" width="9.21875" style="3"/>
  </cols>
  <sheetData>
    <row r="1" spans="1:55" ht="23.4" x14ac:dyDescent="0.45">
      <c r="A1" s="348" t="s">
        <v>27</v>
      </c>
      <c r="B1" s="348"/>
      <c r="C1" s="348"/>
      <c r="D1" s="348"/>
      <c r="E1" s="348"/>
      <c r="F1" s="348"/>
      <c r="G1" s="348"/>
      <c r="H1" s="348"/>
      <c r="I1" s="348"/>
      <c r="J1" s="156"/>
      <c r="K1" s="156"/>
      <c r="L1" s="156"/>
      <c r="M1" s="156"/>
      <c r="N1" s="156"/>
      <c r="O1" s="58"/>
    </row>
    <row r="2" spans="1:55" s="68" customFormat="1" ht="18" x14ac:dyDescent="0.35">
      <c r="A2" s="349"/>
      <c r="B2" s="349"/>
      <c r="C2" s="349"/>
      <c r="D2" s="349"/>
      <c r="E2" s="349"/>
      <c r="F2" s="349"/>
      <c r="G2" s="349"/>
      <c r="H2" s="349"/>
      <c r="I2" s="349"/>
      <c r="J2" s="157"/>
      <c r="K2" s="157"/>
      <c r="L2" s="157"/>
      <c r="M2" s="157"/>
      <c r="N2" s="157"/>
      <c r="O2" s="157"/>
      <c r="P2" s="157"/>
      <c r="Q2" s="157"/>
      <c r="R2" s="157"/>
      <c r="S2" s="157"/>
      <c r="T2" s="157"/>
      <c r="U2" s="247"/>
      <c r="V2" s="247"/>
      <c r="W2" s="229" t="s">
        <v>28</v>
      </c>
      <c r="X2" s="157"/>
      <c r="Y2" s="157"/>
      <c r="Z2" s="157"/>
      <c r="AA2" s="157"/>
      <c r="AB2" s="157"/>
      <c r="AC2" s="157"/>
      <c r="AD2" s="157"/>
      <c r="AE2" s="157"/>
      <c r="AF2" s="157"/>
      <c r="AG2" s="157"/>
      <c r="AH2" s="157"/>
      <c r="AI2" s="157"/>
      <c r="AJ2" s="157"/>
      <c r="AK2" s="157"/>
      <c r="AL2" s="157"/>
      <c r="AM2" s="157"/>
      <c r="AN2" s="157"/>
      <c r="AO2" s="157"/>
      <c r="AP2" s="157"/>
      <c r="AQ2" s="157"/>
      <c r="AR2" s="157"/>
      <c r="AS2" s="157"/>
      <c r="AT2" s="157"/>
      <c r="AU2" s="157"/>
      <c r="AV2" s="157"/>
      <c r="AW2" s="157"/>
      <c r="AX2" s="157"/>
      <c r="AY2" s="157"/>
      <c r="AZ2" s="157"/>
      <c r="BA2" s="157"/>
      <c r="BB2" s="157"/>
      <c r="BC2" s="157"/>
    </row>
    <row r="3" spans="1:55" s="117" customFormat="1" ht="18" x14ac:dyDescent="0.35">
      <c r="A3" s="116" t="s">
        <v>29</v>
      </c>
      <c r="B3" s="116"/>
      <c r="C3" s="116"/>
      <c r="D3" s="116"/>
      <c r="E3" s="116"/>
      <c r="F3" s="116"/>
      <c r="G3" s="116"/>
      <c r="H3" s="116"/>
      <c r="I3" s="116"/>
      <c r="J3" s="158"/>
      <c r="K3" s="158"/>
      <c r="L3" s="158"/>
      <c r="M3" s="158"/>
      <c r="N3" s="158"/>
      <c r="O3" s="158"/>
      <c r="P3" s="158"/>
      <c r="Q3" s="158"/>
      <c r="R3" s="158"/>
      <c r="S3" s="158"/>
      <c r="T3" s="158"/>
      <c r="U3" s="229"/>
      <c r="V3" s="229">
        <v>2</v>
      </c>
      <c r="W3" s="229" t="s">
        <v>30</v>
      </c>
      <c r="X3" s="158"/>
      <c r="Y3" s="158"/>
      <c r="Z3" s="158"/>
      <c r="AA3" s="158"/>
      <c r="AB3" s="158"/>
      <c r="AC3" s="158"/>
      <c r="AD3" s="158"/>
      <c r="AE3" s="158"/>
      <c r="AF3" s="158"/>
      <c r="AG3" s="158"/>
      <c r="AH3" s="158"/>
      <c r="AI3" s="158"/>
      <c r="AJ3" s="158"/>
      <c r="AK3" s="158"/>
      <c r="AL3" s="158"/>
      <c r="AM3" s="158"/>
      <c r="AN3" s="158"/>
      <c r="AO3" s="158"/>
      <c r="AP3" s="158"/>
      <c r="AQ3" s="158"/>
      <c r="AR3" s="158"/>
      <c r="AS3" s="158"/>
      <c r="AT3" s="158"/>
      <c r="AU3" s="158"/>
      <c r="AV3" s="158"/>
      <c r="AW3" s="158"/>
      <c r="AX3" s="158"/>
      <c r="AY3" s="158"/>
      <c r="AZ3" s="158"/>
      <c r="BA3" s="158"/>
      <c r="BB3" s="158"/>
      <c r="BC3" s="158"/>
    </row>
    <row r="4" spans="1:55" ht="18" x14ac:dyDescent="0.35">
      <c r="A4" s="76"/>
      <c r="B4" s="76"/>
      <c r="C4" s="76"/>
      <c r="D4" s="76"/>
      <c r="E4" s="76"/>
      <c r="F4" s="76"/>
      <c r="G4" s="76"/>
      <c r="H4" s="76"/>
      <c r="I4" s="76"/>
      <c r="J4" s="58"/>
      <c r="K4" s="58"/>
      <c r="L4" s="58"/>
      <c r="M4" s="58"/>
      <c r="N4" s="58"/>
      <c r="O4" s="58"/>
      <c r="U4" s="248"/>
      <c r="V4" s="230"/>
      <c r="W4" s="230" t="s">
        <v>31</v>
      </c>
      <c r="X4" s="91"/>
      <c r="Y4" s="91"/>
      <c r="Z4" s="91"/>
    </row>
    <row r="5" spans="1:55" ht="18" x14ac:dyDescent="0.35">
      <c r="A5" s="324" t="s">
        <v>32</v>
      </c>
      <c r="B5" s="324"/>
      <c r="C5" s="324"/>
      <c r="D5" s="324"/>
      <c r="E5" s="324"/>
      <c r="F5" s="324"/>
      <c r="G5" s="324"/>
      <c r="H5" s="324"/>
      <c r="I5" s="324"/>
      <c r="J5" s="159"/>
      <c r="K5" s="159"/>
      <c r="L5" s="159"/>
      <c r="M5" s="159"/>
      <c r="N5" s="159"/>
      <c r="O5" s="58"/>
      <c r="U5" s="248"/>
      <c r="V5" s="230"/>
      <c r="W5" s="230" t="s">
        <v>33</v>
      </c>
      <c r="X5" s="91"/>
      <c r="Y5" s="91"/>
      <c r="Z5" s="91"/>
    </row>
    <row r="6" spans="1:55" s="87" customFormat="1" ht="18" x14ac:dyDescent="0.35">
      <c r="A6" s="18"/>
      <c r="B6" s="18"/>
      <c r="C6" s="18"/>
      <c r="D6" s="18"/>
      <c r="E6" s="18"/>
      <c r="F6" s="18"/>
      <c r="G6" s="18"/>
      <c r="H6" s="18"/>
      <c r="I6" s="18"/>
      <c r="J6" s="160"/>
      <c r="K6" s="160"/>
      <c r="L6" s="160"/>
      <c r="M6" s="160"/>
      <c r="N6" s="160"/>
      <c r="O6" s="100"/>
      <c r="P6" s="100"/>
      <c r="Q6" s="100"/>
      <c r="R6" s="100"/>
      <c r="S6" s="100"/>
      <c r="T6" s="100"/>
      <c r="U6" s="231"/>
      <c r="V6" s="231"/>
      <c r="W6" s="230" t="s">
        <v>34</v>
      </c>
      <c r="X6" s="100"/>
      <c r="Y6" s="100"/>
      <c r="Z6" s="100"/>
      <c r="AA6" s="100"/>
      <c r="AB6" s="100"/>
      <c r="AC6" s="100"/>
      <c r="AD6" s="100"/>
      <c r="AE6" s="100"/>
      <c r="AF6" s="100"/>
      <c r="AG6" s="100"/>
      <c r="AH6" s="100"/>
      <c r="AI6" s="100"/>
      <c r="AJ6" s="100"/>
      <c r="AK6" s="100"/>
      <c r="AL6" s="100"/>
      <c r="AM6" s="100"/>
      <c r="AN6" s="100"/>
      <c r="AO6" s="100"/>
      <c r="AP6" s="100"/>
      <c r="AQ6" s="100"/>
      <c r="AR6" s="100"/>
      <c r="AS6" s="100"/>
      <c r="AT6" s="100"/>
      <c r="AU6" s="100"/>
      <c r="AV6" s="100"/>
      <c r="AW6" s="100"/>
      <c r="AX6" s="100"/>
      <c r="AY6" s="100"/>
      <c r="AZ6" s="100"/>
      <c r="BA6" s="100"/>
      <c r="BB6" s="100"/>
      <c r="BC6" s="100"/>
    </row>
    <row r="7" spans="1:55" s="21" customFormat="1" ht="18" x14ac:dyDescent="0.35">
      <c r="A7" s="350" t="s">
        <v>35</v>
      </c>
      <c r="B7" s="351"/>
      <c r="C7" s="351"/>
      <c r="D7" s="351"/>
      <c r="E7" s="352"/>
      <c r="J7" s="91"/>
      <c r="K7" s="91"/>
      <c r="L7" s="91"/>
      <c r="M7" s="91"/>
      <c r="N7" s="91"/>
      <c r="O7" s="91"/>
      <c r="P7" s="91"/>
      <c r="Q7" s="91"/>
      <c r="R7" s="91"/>
      <c r="S7" s="91"/>
      <c r="T7" s="91"/>
      <c r="U7" s="230"/>
      <c r="V7" s="230"/>
      <c r="W7" s="230" t="s">
        <v>36</v>
      </c>
      <c r="X7" s="91"/>
      <c r="Y7" s="91"/>
      <c r="Z7" s="91"/>
      <c r="AA7" s="91"/>
      <c r="AB7" s="91"/>
      <c r="AC7" s="91"/>
      <c r="AD7" s="91"/>
      <c r="AE7" s="91"/>
      <c r="AF7" s="91"/>
      <c r="AG7" s="91"/>
      <c r="AH7" s="91"/>
      <c r="AI7" s="91"/>
      <c r="AJ7" s="91"/>
      <c r="AK7" s="91"/>
      <c r="AL7" s="91"/>
      <c r="AM7" s="91"/>
      <c r="AN7" s="91"/>
      <c r="AO7" s="91"/>
      <c r="AP7" s="91"/>
      <c r="AQ7" s="91"/>
      <c r="AR7" s="91"/>
      <c r="AS7" s="91"/>
      <c r="AT7" s="91"/>
      <c r="AU7" s="91"/>
      <c r="AV7" s="91"/>
      <c r="AW7" s="91"/>
      <c r="AX7" s="91"/>
      <c r="AY7" s="91"/>
      <c r="AZ7" s="91"/>
      <c r="BA7" s="91"/>
      <c r="BB7" s="91"/>
      <c r="BC7" s="91"/>
    </row>
    <row r="8" spans="1:55" s="21" customFormat="1" ht="58.5" customHeight="1" x14ac:dyDescent="0.35">
      <c r="A8" s="88" t="s">
        <v>37</v>
      </c>
      <c r="B8" s="89" t="s">
        <v>38</v>
      </c>
      <c r="C8" s="89" t="s">
        <v>39</v>
      </c>
      <c r="D8" s="89" t="s">
        <v>40</v>
      </c>
      <c r="E8" s="90" t="s">
        <v>41</v>
      </c>
      <c r="F8" s="155"/>
      <c r="G8" s="353" t="s">
        <v>42</v>
      </c>
      <c r="H8" s="353"/>
      <c r="I8" s="353"/>
      <c r="J8" s="91"/>
      <c r="K8" s="91"/>
      <c r="L8" s="91"/>
      <c r="M8" s="91"/>
      <c r="N8" s="91"/>
      <c r="O8" s="91"/>
      <c r="P8" s="91"/>
      <c r="Q8" s="91"/>
      <c r="R8" s="91"/>
      <c r="S8" s="91"/>
      <c r="T8" s="91"/>
      <c r="U8" s="91"/>
      <c r="V8" s="91"/>
      <c r="W8" s="91" t="s">
        <v>43</v>
      </c>
      <c r="X8" s="91"/>
      <c r="Y8" s="91"/>
      <c r="Z8" s="91"/>
      <c r="AA8" s="91"/>
      <c r="AB8" s="91"/>
      <c r="AC8" s="91"/>
      <c r="AD8" s="91"/>
      <c r="AE8" s="91"/>
      <c r="AF8" s="91"/>
      <c r="AG8" s="91"/>
      <c r="AH8" s="91"/>
      <c r="AI8" s="91"/>
      <c r="AJ8" s="91"/>
      <c r="AK8" s="91"/>
      <c r="AL8" s="91"/>
      <c r="AM8" s="91"/>
      <c r="AN8" s="91"/>
      <c r="AO8" s="91"/>
      <c r="AP8" s="91"/>
      <c r="AQ8" s="91"/>
      <c r="AR8" s="91"/>
      <c r="AS8" s="91"/>
      <c r="AT8" s="91"/>
      <c r="AU8" s="91"/>
      <c r="AV8" s="91"/>
      <c r="AW8" s="91"/>
      <c r="AX8" s="91"/>
      <c r="AY8" s="91"/>
      <c r="AZ8" s="91"/>
      <c r="BA8" s="91"/>
      <c r="BB8" s="91"/>
      <c r="BC8" s="91"/>
    </row>
    <row r="9" spans="1:55" s="21" customFormat="1" ht="22.5" customHeight="1" x14ac:dyDescent="0.35">
      <c r="A9" s="194" t="s">
        <v>44</v>
      </c>
      <c r="B9" s="195">
        <v>213.75</v>
      </c>
      <c r="C9" s="195">
        <v>19000</v>
      </c>
      <c r="D9" s="195">
        <v>3101</v>
      </c>
      <c r="E9" s="194">
        <v>58.12</v>
      </c>
      <c r="J9" s="91"/>
      <c r="K9" s="91"/>
      <c r="L9" s="91"/>
      <c r="M9" s="91"/>
      <c r="N9" s="91"/>
      <c r="O9" s="91"/>
      <c r="P9" s="91"/>
      <c r="Q9" s="91"/>
      <c r="R9" s="91"/>
      <c r="S9" s="91"/>
      <c r="T9" s="91"/>
      <c r="U9" s="91"/>
      <c r="V9" s="91"/>
      <c r="W9" s="220" t="s">
        <v>45</v>
      </c>
      <c r="X9" s="221">
        <f t="shared" ref="X9:X18" si="0">((B9*E9*60*$B$23)/(386.5*1000000))*($B$22/2000)*($B$28/100)</f>
        <v>44.89691053040103</v>
      </c>
      <c r="Y9" s="222"/>
      <c r="Z9" s="91"/>
      <c r="AA9" s="91"/>
      <c r="AB9" s="91"/>
      <c r="AC9" s="91"/>
      <c r="AD9" s="91"/>
      <c r="AE9" s="91"/>
      <c r="AF9" s="91"/>
      <c r="AG9" s="91"/>
      <c r="AH9" s="91"/>
      <c r="AI9" s="91"/>
      <c r="AJ9" s="91"/>
      <c r="AK9" s="91"/>
      <c r="AL9" s="91"/>
      <c r="AM9" s="91"/>
      <c r="AN9" s="91"/>
      <c r="AO9" s="91"/>
      <c r="AP9" s="91"/>
      <c r="AQ9" s="91"/>
      <c r="AR9" s="91"/>
      <c r="AS9" s="91"/>
      <c r="AT9" s="91"/>
      <c r="AU9" s="91"/>
      <c r="AV9" s="91"/>
      <c r="AW9" s="91"/>
      <c r="AX9" s="91"/>
      <c r="AY9" s="91"/>
      <c r="AZ9" s="91"/>
      <c r="BA9" s="91"/>
      <c r="BB9" s="91"/>
      <c r="BC9" s="91"/>
    </row>
    <row r="10" spans="1:55" s="21" customFormat="1" ht="18" x14ac:dyDescent="0.35">
      <c r="A10" s="194" t="s">
        <v>46</v>
      </c>
      <c r="B10" s="195">
        <v>265.23</v>
      </c>
      <c r="C10" s="195">
        <v>11000</v>
      </c>
      <c r="D10" s="195">
        <v>4404</v>
      </c>
      <c r="E10" s="194">
        <v>86.17</v>
      </c>
      <c r="J10" s="91"/>
      <c r="K10" s="91"/>
      <c r="L10" s="91"/>
      <c r="M10" s="91"/>
      <c r="N10" s="91"/>
      <c r="O10" s="91"/>
      <c r="P10" s="91"/>
      <c r="Q10" s="91"/>
      <c r="R10" s="91"/>
      <c r="S10" s="91"/>
      <c r="T10" s="91"/>
      <c r="U10" s="91"/>
      <c r="V10" s="91"/>
      <c r="W10" s="223"/>
      <c r="X10" s="224">
        <f t="shared" si="0"/>
        <v>82.596846465407523</v>
      </c>
      <c r="Y10" s="225"/>
      <c r="Z10" s="91"/>
      <c r="AA10" s="91"/>
      <c r="AB10" s="91"/>
      <c r="AC10" s="91"/>
      <c r="AD10" s="91"/>
      <c r="AE10" s="91"/>
      <c r="AF10" s="91"/>
      <c r="AG10" s="91"/>
      <c r="AH10" s="91"/>
      <c r="AI10" s="91"/>
      <c r="AJ10" s="91"/>
      <c r="AK10" s="91"/>
      <c r="AL10" s="91"/>
      <c r="AM10" s="91"/>
      <c r="AN10" s="91"/>
      <c r="AO10" s="91"/>
      <c r="AP10" s="91"/>
      <c r="AQ10" s="91"/>
      <c r="AR10" s="91"/>
      <c r="AS10" s="91"/>
      <c r="AT10" s="91"/>
      <c r="AU10" s="91"/>
      <c r="AV10" s="91"/>
      <c r="AW10" s="91"/>
      <c r="AX10" s="91"/>
      <c r="AY10" s="91"/>
      <c r="AZ10" s="91"/>
      <c r="BA10" s="91"/>
      <c r="BB10" s="91"/>
      <c r="BC10" s="91"/>
    </row>
    <row r="11" spans="1:55" s="21" customFormat="1" ht="18" x14ac:dyDescent="0.35">
      <c r="A11" s="194" t="s">
        <v>47</v>
      </c>
      <c r="B11" s="195">
        <v>357.79</v>
      </c>
      <c r="C11" s="195">
        <v>14000</v>
      </c>
      <c r="D11" s="195">
        <v>3709</v>
      </c>
      <c r="E11" s="194">
        <v>72.150000000000006</v>
      </c>
      <c r="J11" s="91"/>
      <c r="K11" s="91"/>
      <c r="L11" s="91"/>
      <c r="M11" s="91"/>
      <c r="N11" s="91"/>
      <c r="O11" s="91"/>
      <c r="P11" s="91"/>
      <c r="Q11" s="91"/>
      <c r="R11" s="91"/>
      <c r="S11" s="91"/>
      <c r="T11" s="91"/>
      <c r="U11" s="91"/>
      <c r="V11" s="91"/>
      <c r="W11" s="223"/>
      <c r="X11" s="224">
        <f t="shared" si="0"/>
        <v>93.293043582923687</v>
      </c>
      <c r="Y11" s="225"/>
      <c r="Z11" s="91"/>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91"/>
      <c r="AZ11" s="91"/>
      <c r="BA11" s="91"/>
      <c r="BB11" s="91"/>
      <c r="BC11" s="91"/>
    </row>
    <row r="12" spans="1:55" s="21" customFormat="1" ht="18" x14ac:dyDescent="0.35">
      <c r="A12" s="194" t="s">
        <v>48</v>
      </c>
      <c r="B12" s="195">
        <v>39</v>
      </c>
      <c r="C12" s="195">
        <v>8000</v>
      </c>
      <c r="D12" s="195">
        <v>6493</v>
      </c>
      <c r="E12" s="194">
        <v>128.25</v>
      </c>
      <c r="J12" s="91"/>
      <c r="K12" s="91"/>
      <c r="L12" s="91"/>
      <c r="M12" s="91"/>
      <c r="N12" s="91"/>
      <c r="O12" s="91"/>
      <c r="P12" s="91"/>
      <c r="Q12" s="91"/>
      <c r="R12" s="91"/>
      <c r="S12" s="91"/>
      <c r="T12" s="91"/>
      <c r="U12" s="91"/>
      <c r="V12" s="91"/>
      <c r="W12" s="223"/>
      <c r="X12" s="224">
        <f t="shared" si="0"/>
        <v>18.076182147477361</v>
      </c>
      <c r="Y12" s="225"/>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91"/>
      <c r="AZ12" s="91"/>
      <c r="BA12" s="91"/>
      <c r="BB12" s="91"/>
      <c r="BC12" s="91"/>
    </row>
    <row r="13" spans="1:55" s="21" customFormat="1" ht="18" x14ac:dyDescent="0.35">
      <c r="A13" s="194" t="s">
        <v>49</v>
      </c>
      <c r="B13" s="195">
        <v>16.579999999999998</v>
      </c>
      <c r="C13" s="195">
        <v>10000</v>
      </c>
      <c r="D13" s="195">
        <v>5796</v>
      </c>
      <c r="E13" s="194">
        <v>114.23</v>
      </c>
      <c r="J13" s="91"/>
      <c r="K13" s="91"/>
      <c r="L13" s="91"/>
      <c r="M13" s="91"/>
      <c r="N13" s="91"/>
      <c r="O13" s="91"/>
      <c r="P13" s="91"/>
      <c r="Q13" s="91"/>
      <c r="R13" s="91"/>
      <c r="S13" s="91"/>
      <c r="T13" s="91"/>
      <c r="U13" s="91"/>
      <c r="V13" s="91"/>
      <c r="W13" s="223"/>
      <c r="X13" s="224">
        <f t="shared" si="0"/>
        <v>6.8446214052263885</v>
      </c>
      <c r="Y13" s="225"/>
      <c r="Z13" s="91"/>
      <c r="AA13" s="91"/>
      <c r="AB13" s="91"/>
      <c r="AC13" s="91"/>
      <c r="AD13" s="91"/>
      <c r="AE13" s="91"/>
      <c r="AF13" s="91"/>
      <c r="AG13" s="91"/>
      <c r="AH13" s="91"/>
      <c r="AI13" s="91"/>
      <c r="AJ13" s="91"/>
      <c r="AK13" s="91"/>
      <c r="AL13" s="91"/>
      <c r="AM13" s="91"/>
      <c r="AN13" s="91"/>
      <c r="AO13" s="91"/>
      <c r="AP13" s="91"/>
      <c r="AQ13" s="91"/>
      <c r="AR13" s="91"/>
      <c r="AS13" s="91"/>
      <c r="AT13" s="91"/>
      <c r="AU13" s="91"/>
      <c r="AV13" s="91"/>
      <c r="AW13" s="91"/>
      <c r="AX13" s="91"/>
      <c r="AY13" s="91"/>
      <c r="AZ13" s="91"/>
      <c r="BA13" s="91"/>
      <c r="BB13" s="91"/>
      <c r="BC13" s="91"/>
    </row>
    <row r="14" spans="1:55" s="21" customFormat="1" ht="18" x14ac:dyDescent="0.35">
      <c r="A14" s="194" t="s">
        <v>50</v>
      </c>
      <c r="B14" s="195">
        <v>3.62</v>
      </c>
      <c r="C14" s="195">
        <v>30000</v>
      </c>
      <c r="D14" s="195">
        <v>1631</v>
      </c>
      <c r="E14" s="194">
        <v>30.07</v>
      </c>
      <c r="J14" s="91"/>
      <c r="K14" s="91"/>
      <c r="L14" s="91"/>
      <c r="M14" s="91"/>
      <c r="N14" s="91"/>
      <c r="O14" s="91"/>
      <c r="P14" s="91"/>
      <c r="Q14" s="91"/>
      <c r="R14" s="91"/>
      <c r="S14" s="91"/>
      <c r="T14" s="91"/>
      <c r="U14" s="91"/>
      <c r="V14" s="91"/>
      <c r="W14" s="223"/>
      <c r="X14" s="224">
        <f t="shared" si="0"/>
        <v>0.39339308957309188</v>
      </c>
      <c r="Y14" s="225"/>
      <c r="Z14" s="91"/>
      <c r="AA14" s="91"/>
      <c r="AB14" s="91"/>
      <c r="AC14" s="91"/>
      <c r="AD14" s="91"/>
      <c r="AE14" s="91"/>
      <c r="AF14" s="91"/>
      <c r="AG14" s="91"/>
      <c r="AH14" s="91"/>
      <c r="AI14" s="91"/>
      <c r="AJ14" s="91"/>
      <c r="AK14" s="91"/>
      <c r="AL14" s="91"/>
      <c r="AM14" s="91"/>
      <c r="AN14" s="91"/>
      <c r="AO14" s="91"/>
      <c r="AP14" s="91"/>
      <c r="AQ14" s="91"/>
      <c r="AR14" s="91"/>
      <c r="AS14" s="91"/>
      <c r="AT14" s="91"/>
      <c r="AU14" s="91"/>
      <c r="AV14" s="91"/>
      <c r="AW14" s="91"/>
      <c r="AX14" s="91"/>
      <c r="AY14" s="91"/>
      <c r="AZ14" s="91"/>
      <c r="BA14" s="91"/>
      <c r="BB14" s="91"/>
      <c r="BC14" s="91"/>
    </row>
    <row r="15" spans="1:55" s="21" customFormat="1" ht="18" x14ac:dyDescent="0.35">
      <c r="A15" s="194" t="s">
        <v>51</v>
      </c>
      <c r="B15" s="195">
        <v>7.59</v>
      </c>
      <c r="C15" s="195">
        <v>14000</v>
      </c>
      <c r="D15" s="195">
        <v>3475</v>
      </c>
      <c r="E15" s="194">
        <v>78.11</v>
      </c>
      <c r="J15" s="91"/>
      <c r="K15" s="91"/>
      <c r="L15" s="91"/>
      <c r="M15" s="91"/>
      <c r="N15" s="91"/>
      <c r="O15" s="91"/>
      <c r="P15" s="91"/>
      <c r="Q15" s="91"/>
      <c r="R15" s="91"/>
      <c r="S15" s="91"/>
      <c r="T15" s="91"/>
      <c r="U15" s="91"/>
      <c r="V15" s="91"/>
      <c r="W15" s="223"/>
      <c r="X15" s="224">
        <f t="shared" si="0"/>
        <v>2.1425607356274252</v>
      </c>
      <c r="Y15" s="225"/>
      <c r="Z15" s="91"/>
      <c r="AA15" s="91"/>
      <c r="AB15" s="91"/>
      <c r="AC15" s="91"/>
      <c r="AD15" s="91"/>
      <c r="AE15" s="91"/>
      <c r="AF15" s="91"/>
      <c r="AG15" s="91"/>
      <c r="AH15" s="91"/>
      <c r="AI15" s="91"/>
      <c r="AJ15" s="91"/>
      <c r="AK15" s="91"/>
      <c r="AL15" s="91"/>
      <c r="AM15" s="91"/>
      <c r="AN15" s="91"/>
      <c r="AO15" s="91"/>
      <c r="AP15" s="91"/>
      <c r="AQ15" s="91"/>
      <c r="AR15" s="91"/>
      <c r="AS15" s="91"/>
      <c r="AT15" s="91"/>
      <c r="AU15" s="91"/>
      <c r="AV15" s="91"/>
      <c r="AW15" s="91"/>
      <c r="AX15" s="91"/>
      <c r="AY15" s="91"/>
      <c r="AZ15" s="91"/>
      <c r="BA15" s="91"/>
      <c r="BB15" s="91"/>
      <c r="BC15" s="91"/>
    </row>
    <row r="16" spans="1:55" s="21" customFormat="1" ht="18" x14ac:dyDescent="0.35">
      <c r="A16" s="194" t="s">
        <v>52</v>
      </c>
      <c r="B16" s="195">
        <v>4.66</v>
      </c>
      <c r="C16" s="195">
        <v>11000</v>
      </c>
      <c r="D16" s="195">
        <v>4274</v>
      </c>
      <c r="E16" s="194">
        <v>92.14</v>
      </c>
      <c r="J16" s="91"/>
      <c r="K16" s="91"/>
      <c r="L16" s="91"/>
      <c r="M16" s="91"/>
      <c r="N16" s="91"/>
      <c r="O16" s="91"/>
      <c r="P16" s="91"/>
      <c r="Q16" s="91"/>
      <c r="R16" s="91"/>
      <c r="S16" s="91"/>
      <c r="T16" s="91"/>
      <c r="U16" s="91"/>
      <c r="V16" s="91"/>
      <c r="W16" s="223"/>
      <c r="X16" s="224">
        <f t="shared" si="0"/>
        <v>1.5517396334282019</v>
      </c>
      <c r="Y16" s="225"/>
      <c r="Z16" s="91"/>
      <c r="AA16" s="91"/>
      <c r="AB16" s="91"/>
      <c r="AC16" s="91"/>
      <c r="AD16" s="91"/>
      <c r="AE16" s="91"/>
      <c r="AF16" s="91"/>
      <c r="AG16" s="91"/>
      <c r="AH16" s="91"/>
      <c r="AI16" s="91"/>
      <c r="AJ16" s="91"/>
      <c r="AK16" s="91"/>
      <c r="AL16" s="91"/>
      <c r="AM16" s="91"/>
      <c r="AN16" s="91"/>
      <c r="AO16" s="91"/>
      <c r="AP16" s="91"/>
      <c r="AQ16" s="91"/>
      <c r="AR16" s="91"/>
      <c r="AS16" s="91"/>
      <c r="AT16" s="91"/>
      <c r="AU16" s="91"/>
      <c r="AV16" s="91"/>
      <c r="AW16" s="91"/>
      <c r="AX16" s="91"/>
      <c r="AY16" s="91"/>
      <c r="AZ16" s="91"/>
      <c r="BA16" s="91"/>
      <c r="BB16" s="91"/>
      <c r="BC16" s="91"/>
    </row>
    <row r="17" spans="1:55" s="21" customFormat="1" ht="18" x14ac:dyDescent="0.35">
      <c r="A17" s="194"/>
      <c r="B17" s="195"/>
      <c r="C17" s="195"/>
      <c r="D17" s="195"/>
      <c r="E17" s="194"/>
      <c r="J17" s="91"/>
      <c r="K17" s="91"/>
      <c r="L17" s="91"/>
      <c r="M17" s="91"/>
      <c r="N17" s="91"/>
      <c r="O17" s="91"/>
      <c r="P17" s="91"/>
      <c r="Q17" s="91"/>
      <c r="R17" s="91"/>
      <c r="S17" s="91"/>
      <c r="T17" s="91"/>
      <c r="U17" s="91"/>
      <c r="V17" s="91"/>
      <c r="W17" s="223"/>
      <c r="X17" s="224">
        <f t="shared" si="0"/>
        <v>0</v>
      </c>
      <c r="Y17" s="225"/>
      <c r="Z17" s="91"/>
      <c r="AA17" s="91"/>
      <c r="AB17" s="91"/>
      <c r="AC17" s="91"/>
      <c r="AD17" s="91"/>
      <c r="AE17" s="91"/>
      <c r="AF17" s="91"/>
      <c r="AG17" s="91"/>
      <c r="AH17" s="91"/>
      <c r="AI17" s="91"/>
      <c r="AJ17" s="91"/>
      <c r="AK17" s="91"/>
      <c r="AL17" s="91"/>
      <c r="AM17" s="91"/>
      <c r="AN17" s="91"/>
      <c r="AO17" s="91"/>
      <c r="AP17" s="91"/>
      <c r="AQ17" s="91"/>
      <c r="AR17" s="91"/>
      <c r="AS17" s="91"/>
      <c r="AT17" s="91"/>
      <c r="AU17" s="91"/>
      <c r="AV17" s="91"/>
      <c r="AW17" s="91"/>
      <c r="AX17" s="91"/>
      <c r="AY17" s="91"/>
      <c r="AZ17" s="91"/>
      <c r="BA17" s="91"/>
      <c r="BB17" s="91"/>
      <c r="BC17" s="91"/>
    </row>
    <row r="18" spans="1:55" s="21" customFormat="1" ht="18" x14ac:dyDescent="0.35">
      <c r="A18" s="194"/>
      <c r="B18" s="195"/>
      <c r="C18" s="195"/>
      <c r="D18" s="195"/>
      <c r="E18" s="194"/>
      <c r="J18" s="91"/>
      <c r="K18" s="91"/>
      <c r="L18" s="91"/>
      <c r="M18" s="91"/>
      <c r="N18" s="91"/>
      <c r="O18" s="91"/>
      <c r="P18" s="91"/>
      <c r="Q18" s="91"/>
      <c r="R18" s="91"/>
      <c r="S18" s="91"/>
      <c r="T18" s="91"/>
      <c r="U18" s="91"/>
      <c r="V18" s="91"/>
      <c r="W18" s="223"/>
      <c r="X18" s="224">
        <f t="shared" si="0"/>
        <v>0</v>
      </c>
      <c r="Y18" s="225"/>
      <c r="Z18" s="91"/>
      <c r="AA18" s="91"/>
      <c r="AB18" s="91"/>
      <c r="AC18" s="91"/>
      <c r="AD18" s="91"/>
      <c r="AE18" s="91"/>
      <c r="AF18" s="91"/>
      <c r="AG18" s="91"/>
      <c r="AH18" s="91"/>
      <c r="AI18" s="91"/>
      <c r="AJ18" s="91"/>
      <c r="AK18" s="91"/>
      <c r="AL18" s="91"/>
      <c r="AM18" s="91"/>
      <c r="AN18" s="91"/>
      <c r="AO18" s="91"/>
      <c r="AP18" s="91"/>
      <c r="AQ18" s="91"/>
      <c r="AR18" s="91"/>
      <c r="AS18" s="91"/>
      <c r="AT18" s="91"/>
      <c r="AU18" s="91"/>
      <c r="AV18" s="91"/>
      <c r="AW18" s="91"/>
      <c r="AX18" s="91"/>
      <c r="AY18" s="91"/>
      <c r="AZ18" s="91"/>
      <c r="BA18" s="91"/>
      <c r="BB18" s="91"/>
      <c r="BC18" s="91"/>
    </row>
    <row r="19" spans="1:55" ht="18" x14ac:dyDescent="0.35">
      <c r="A19" s="27"/>
      <c r="C19" s="27"/>
      <c r="V19" s="91"/>
      <c r="W19" s="226" t="s">
        <v>53</v>
      </c>
      <c r="X19" s="227">
        <f>SUM(X9:X18)</f>
        <v>249.79529759006473</v>
      </c>
      <c r="Y19" s="228" t="s">
        <v>54</v>
      </c>
      <c r="Z19" s="91"/>
    </row>
    <row r="20" spans="1:55" s="21" customFormat="1" ht="18" x14ac:dyDescent="0.35">
      <c r="A20" s="324" t="s">
        <v>55</v>
      </c>
      <c r="B20" s="324"/>
      <c r="C20" s="324"/>
      <c r="D20" s="324"/>
      <c r="E20" s="324"/>
      <c r="F20" s="324"/>
      <c r="G20" s="324"/>
      <c r="H20" s="324"/>
      <c r="I20" s="324"/>
      <c r="J20" s="159"/>
      <c r="K20" s="159"/>
      <c r="L20" s="159"/>
      <c r="M20" s="159"/>
      <c r="N20" s="159"/>
      <c r="O20" s="159"/>
      <c r="S20" s="25"/>
      <c r="T20" s="25"/>
      <c r="U20" s="25"/>
      <c r="V20" s="25"/>
      <c r="W20" s="234" t="s">
        <v>56</v>
      </c>
      <c r="X20" s="235"/>
      <c r="Y20" s="236"/>
      <c r="Z20" s="25"/>
      <c r="AA20" s="25"/>
      <c r="AB20" s="25"/>
      <c r="AC20" s="25"/>
      <c r="AD20" s="25"/>
      <c r="AE20" s="91"/>
      <c r="AF20" s="91"/>
      <c r="AG20" s="91"/>
      <c r="AH20" s="91"/>
      <c r="AI20" s="91"/>
      <c r="AJ20" s="91"/>
      <c r="AK20" s="91"/>
      <c r="AL20" s="91"/>
      <c r="AM20" s="91"/>
      <c r="AN20" s="91"/>
      <c r="AO20" s="91"/>
      <c r="AP20" s="91"/>
      <c r="AQ20" s="91"/>
      <c r="AR20" s="91"/>
      <c r="AS20" s="91"/>
      <c r="AT20" s="91"/>
      <c r="AU20" s="91"/>
      <c r="AV20" s="91"/>
      <c r="AW20" s="91"/>
      <c r="AX20" s="91"/>
      <c r="AY20" s="91"/>
      <c r="AZ20" s="91"/>
      <c r="BA20" s="91"/>
      <c r="BB20" s="91"/>
      <c r="BC20" s="91"/>
    </row>
    <row r="21" spans="1:55" s="87" customFormat="1" ht="28.5" customHeight="1" x14ac:dyDescent="0.35">
      <c r="A21" s="18"/>
      <c r="B21" s="18"/>
      <c r="C21" s="18"/>
      <c r="D21" s="18"/>
      <c r="E21" s="18"/>
      <c r="F21" s="18"/>
      <c r="G21" s="18"/>
      <c r="H21" s="354" t="str">
        <f>IF(AND(V3&gt;1,V3&lt;6,X21=5),"* The Heat Recovery value you selected is not valid for the type of oxidizer selected.  You must select a value between 0 and 70 percent for a "&amp;(IF(V3=2,"recuperative thermal ","catalytic "))&amp;"oxidizer.", " ")</f>
        <v xml:space="preserve"> </v>
      </c>
      <c r="I21" s="354"/>
      <c r="J21" s="160"/>
      <c r="K21" s="160"/>
      <c r="L21" s="160"/>
      <c r="M21" s="160"/>
      <c r="N21" s="160"/>
      <c r="O21" s="100"/>
      <c r="Q21" s="87">
        <v>4</v>
      </c>
      <c r="S21" s="100"/>
      <c r="T21" s="100"/>
      <c r="U21" s="100"/>
      <c r="V21" s="100"/>
      <c r="W21" s="237" t="s">
        <v>57</v>
      </c>
      <c r="X21" s="231">
        <v>1</v>
      </c>
      <c r="Y21" s="238"/>
      <c r="Z21" s="100"/>
      <c r="AA21" s="100"/>
      <c r="AB21" s="100"/>
      <c r="AC21" s="100"/>
      <c r="AD21" s="100"/>
      <c r="AE21" s="100"/>
      <c r="AF21" s="100"/>
      <c r="AG21" s="100"/>
      <c r="AH21" s="100"/>
      <c r="AI21" s="100"/>
      <c r="AJ21" s="100"/>
      <c r="AK21" s="100"/>
      <c r="AL21" s="100"/>
      <c r="AM21" s="100"/>
      <c r="AN21" s="100"/>
      <c r="AO21" s="100"/>
      <c r="AP21" s="100"/>
      <c r="AQ21" s="100"/>
      <c r="AR21" s="100"/>
      <c r="AS21" s="100"/>
      <c r="AT21" s="100"/>
      <c r="AU21" s="100"/>
      <c r="AV21" s="100"/>
      <c r="AW21" s="100"/>
      <c r="AX21" s="100"/>
      <c r="AY21" s="100"/>
      <c r="AZ21" s="100"/>
      <c r="BA21" s="100"/>
      <c r="BB21" s="100"/>
      <c r="BC21" s="100"/>
    </row>
    <row r="22" spans="1:55" s="21" customFormat="1" ht="20.25" customHeight="1" x14ac:dyDescent="0.35">
      <c r="A22" s="21" t="s">
        <v>58</v>
      </c>
      <c r="B22" s="191">
        <v>2400</v>
      </c>
      <c r="C22" s="95" t="s">
        <v>59</v>
      </c>
      <c r="E22" s="21" t="s">
        <v>60</v>
      </c>
      <c r="H22" s="354"/>
      <c r="I22" s="354"/>
      <c r="J22" s="91"/>
      <c r="K22" s="91"/>
      <c r="L22" s="91"/>
      <c r="M22" s="91"/>
      <c r="N22" s="91"/>
      <c r="O22" s="91"/>
      <c r="S22" s="91"/>
      <c r="T22" s="91"/>
      <c r="U22" s="91"/>
      <c r="V22" s="91"/>
      <c r="W22" s="239" t="s">
        <v>61</v>
      </c>
      <c r="X22" s="230"/>
      <c r="Y22" s="225"/>
      <c r="Z22" s="91"/>
      <c r="AA22" s="91"/>
      <c r="AB22" s="91"/>
      <c r="AC22" s="91"/>
      <c r="AD22" s="91"/>
      <c r="AE22" s="91"/>
      <c r="AF22" s="91"/>
      <c r="AG22" s="91"/>
      <c r="AH22" s="91"/>
      <c r="AI22" s="91"/>
      <c r="AJ22" s="91"/>
      <c r="AK22" s="91"/>
      <c r="AL22" s="91"/>
      <c r="AM22" s="91"/>
      <c r="AN22" s="91"/>
      <c r="AO22" s="91"/>
      <c r="AP22" s="91"/>
      <c r="AQ22" s="91"/>
      <c r="AR22" s="91"/>
      <c r="AS22" s="91"/>
      <c r="AT22" s="91"/>
      <c r="AU22" s="91"/>
      <c r="AV22" s="91"/>
      <c r="AW22" s="91"/>
      <c r="AX22" s="91"/>
      <c r="AY22" s="91"/>
      <c r="AZ22" s="91"/>
      <c r="BA22" s="91"/>
      <c r="BB22" s="91"/>
      <c r="BC22" s="91"/>
    </row>
    <row r="23" spans="1:55" s="21" customFormat="1" ht="21" x14ac:dyDescent="0.45">
      <c r="A23" s="21" t="s">
        <v>62</v>
      </c>
      <c r="B23" s="191">
        <v>20000</v>
      </c>
      <c r="C23" s="95" t="str">
        <f>IF(B23=20000, "scfm*", "scfm")</f>
        <v>scfm*</v>
      </c>
      <c r="D23" s="344" t="str">
        <f>IF(B23=20000,"* 20,000 scfm is a default volumetric flow rate. User should enter actual value, if known."," ")</f>
        <v>* 20,000 scfm is a default volumetric flow rate. User should enter actual value, if known.</v>
      </c>
      <c r="E23" s="345"/>
      <c r="F23" s="345"/>
      <c r="G23" s="345"/>
      <c r="H23" s="345"/>
      <c r="I23" s="345"/>
      <c r="J23" s="91"/>
      <c r="K23" s="91"/>
      <c r="L23" s="91"/>
      <c r="M23" s="91"/>
      <c r="N23" s="91"/>
      <c r="O23" s="91"/>
      <c r="S23" s="91"/>
      <c r="T23" s="91"/>
      <c r="U23" s="91"/>
      <c r="V23" s="91"/>
      <c r="W23" s="239" t="s">
        <v>63</v>
      </c>
      <c r="X23" s="230"/>
      <c r="Y23" s="225"/>
      <c r="Z23" s="91"/>
      <c r="AA23" s="91"/>
      <c r="AB23" s="91"/>
      <c r="AC23" s="91"/>
      <c r="AD23" s="91"/>
      <c r="AE23" s="91"/>
      <c r="AF23" s="91"/>
      <c r="AG23" s="91"/>
      <c r="AH23" s="91"/>
      <c r="AI23" s="91"/>
      <c r="AJ23" s="91"/>
      <c r="AK23" s="91"/>
      <c r="AL23" s="91"/>
      <c r="AM23" s="91"/>
      <c r="AN23" s="91"/>
      <c r="AO23" s="91"/>
      <c r="AP23" s="91"/>
      <c r="AQ23" s="91"/>
      <c r="AR23" s="91"/>
      <c r="AS23" s="91"/>
      <c r="AT23" s="91"/>
      <c r="AU23" s="91"/>
      <c r="AV23" s="91"/>
      <c r="AW23" s="91"/>
      <c r="AX23" s="91"/>
      <c r="AY23" s="91"/>
      <c r="AZ23" s="91"/>
      <c r="BA23" s="91"/>
      <c r="BB23" s="91"/>
      <c r="BC23" s="91"/>
    </row>
    <row r="24" spans="1:55" s="21" customFormat="1" ht="18" x14ac:dyDescent="0.35">
      <c r="A24" s="21" t="s">
        <v>64</v>
      </c>
      <c r="B24" s="192">
        <v>19</v>
      </c>
      <c r="C24" s="95" t="str">
        <f>IF(B24=23, "inches of water*", "inches of water")</f>
        <v>inches of water</v>
      </c>
      <c r="D24" s="344" t="str">
        <f>IF(B24=23,"* 23 inches of water is a default pressure drop for catalytic oxidizers. User should enter actual value, if known.",(IF(B24=19,"* 19 inches of water is a default pressure drop for thermal oxidizers. User should enter actual value, if known."," ")))</f>
        <v>* 19 inches of water is a default pressure drop for thermal oxidizers. User should enter actual value, if known.</v>
      </c>
      <c r="E24" s="345"/>
      <c r="F24" s="345"/>
      <c r="G24" s="345"/>
      <c r="H24" s="345"/>
      <c r="I24" s="345"/>
      <c r="J24" s="91"/>
      <c r="K24" s="91"/>
      <c r="L24" s="91"/>
      <c r="M24" s="91"/>
      <c r="N24" s="91"/>
      <c r="O24" s="91"/>
      <c r="S24" s="91"/>
      <c r="T24" s="91"/>
      <c r="U24" s="91"/>
      <c r="V24" s="91"/>
      <c r="W24" s="239" t="s">
        <v>65</v>
      </c>
      <c r="X24" s="230"/>
      <c r="Y24" s="225"/>
      <c r="Z24" s="91"/>
      <c r="AA24" s="91"/>
      <c r="AB24" s="91"/>
      <c r="AC24" s="91"/>
      <c r="AD24" s="91"/>
      <c r="AE24" s="91"/>
      <c r="AF24" s="91"/>
      <c r="AG24" s="91"/>
      <c r="AH24" s="91"/>
      <c r="AI24" s="91"/>
      <c r="AJ24" s="91"/>
      <c r="AK24" s="91"/>
      <c r="AL24" s="91"/>
      <c r="AM24" s="91"/>
      <c r="AN24" s="91"/>
      <c r="AO24" s="91"/>
      <c r="AP24" s="91"/>
      <c r="AQ24" s="91"/>
      <c r="AR24" s="91"/>
      <c r="AS24" s="91"/>
      <c r="AT24" s="91"/>
      <c r="AU24" s="91"/>
      <c r="AV24" s="91"/>
      <c r="AW24" s="91"/>
      <c r="AX24" s="91"/>
      <c r="AY24" s="91"/>
      <c r="AZ24" s="91"/>
      <c r="BA24" s="91"/>
      <c r="BB24" s="91"/>
      <c r="BC24" s="91"/>
    </row>
    <row r="25" spans="1:55" s="21" customFormat="1" ht="18" x14ac:dyDescent="0.35">
      <c r="A25" s="21" t="s">
        <v>66</v>
      </c>
      <c r="B25" s="192">
        <v>60</v>
      </c>
      <c r="C25" s="95" t="str">
        <f>IF(B25=60,"percent*","percent")</f>
        <v>percent*</v>
      </c>
      <c r="D25" s="344" t="str">
        <f>IF(B25=60,"* 60% is a default fan efficiency. User should enter actual value, if known."," ")</f>
        <v>* 60% is a default fan efficiency. User should enter actual value, if known.</v>
      </c>
      <c r="E25" s="345"/>
      <c r="F25" s="345"/>
      <c r="G25" s="345"/>
      <c r="H25" s="345"/>
      <c r="I25" s="345"/>
      <c r="J25" s="91"/>
      <c r="K25" s="91"/>
      <c r="L25" s="91"/>
      <c r="M25" s="91"/>
      <c r="N25" s="91"/>
      <c r="O25" s="91"/>
      <c r="S25" s="91"/>
      <c r="T25" s="91"/>
      <c r="U25" s="91"/>
      <c r="V25" s="91"/>
      <c r="W25" s="226" t="s">
        <v>67</v>
      </c>
      <c r="X25" s="232"/>
      <c r="Y25" s="233"/>
      <c r="Z25" s="91"/>
      <c r="AA25" s="91"/>
      <c r="AB25" s="91"/>
      <c r="AC25" s="91"/>
      <c r="AD25" s="91"/>
      <c r="AE25" s="91"/>
      <c r="AF25" s="91"/>
      <c r="AG25" s="91"/>
      <c r="AH25" s="91"/>
      <c r="AI25" s="91"/>
      <c r="AJ25" s="91"/>
      <c r="AK25" s="91"/>
      <c r="AL25" s="91"/>
      <c r="AM25" s="91"/>
      <c r="AN25" s="91"/>
      <c r="AO25" s="91"/>
      <c r="AP25" s="91"/>
      <c r="AQ25" s="91"/>
      <c r="AR25" s="91"/>
      <c r="AS25" s="91"/>
      <c r="AT25" s="91"/>
      <c r="AU25" s="91"/>
      <c r="AV25" s="91"/>
      <c r="AW25" s="91"/>
      <c r="AX25" s="91"/>
      <c r="AY25" s="91"/>
      <c r="AZ25" s="91"/>
      <c r="BA25" s="91"/>
      <c r="BB25" s="91"/>
      <c r="BC25" s="91"/>
    </row>
    <row r="26" spans="1:55" s="21" customFormat="1" ht="20.399999999999999" x14ac:dyDescent="0.45">
      <c r="A26" s="21" t="s">
        <v>68</v>
      </c>
      <c r="B26" s="192">
        <v>100</v>
      </c>
      <c r="C26" s="95" t="str">
        <f>IF(B26=100, " °F*", " °F")</f>
        <v xml:space="preserve"> °F*</v>
      </c>
      <c r="D26" s="344" t="str">
        <f>IF(B26=100,"* 100°F is a default temperature. User should enter actual value, if known."," ")</f>
        <v>* 100°F is a default temperature. User should enter actual value, if known.</v>
      </c>
      <c r="E26" s="345"/>
      <c r="F26" s="345"/>
      <c r="G26" s="345"/>
      <c r="H26" s="345"/>
      <c r="I26" s="345"/>
      <c r="J26" s="91"/>
      <c r="K26" s="91"/>
      <c r="L26" s="91"/>
      <c r="M26" s="91"/>
      <c r="N26" s="91"/>
      <c r="O26" s="91"/>
      <c r="P26" s="91"/>
      <c r="Q26" s="91"/>
      <c r="R26" s="91"/>
      <c r="S26" s="91"/>
      <c r="T26" s="91"/>
      <c r="U26" s="91"/>
      <c r="V26" s="91"/>
      <c r="W26" s="91"/>
      <c r="X26" s="91"/>
      <c r="Y26" s="91"/>
      <c r="Z26" s="91"/>
      <c r="AA26" s="91"/>
      <c r="AB26" s="91"/>
      <c r="AC26" s="91"/>
      <c r="AD26" s="91"/>
      <c r="AE26" s="91"/>
      <c r="AF26" s="91"/>
      <c r="AG26" s="91"/>
      <c r="AH26" s="91"/>
      <c r="AI26" s="91"/>
      <c r="AJ26" s="91"/>
      <c r="AK26" s="91"/>
      <c r="AL26" s="91"/>
      <c r="AM26" s="91"/>
      <c r="AN26" s="91"/>
      <c r="AO26" s="91"/>
      <c r="AP26" s="91"/>
      <c r="AQ26" s="91"/>
      <c r="AR26" s="91"/>
      <c r="AS26" s="91"/>
      <c r="AT26" s="91"/>
      <c r="AU26" s="91"/>
      <c r="AV26" s="91"/>
      <c r="AW26" s="91"/>
      <c r="AX26" s="91"/>
      <c r="AY26" s="91"/>
      <c r="AZ26" s="91"/>
      <c r="BA26" s="91"/>
      <c r="BB26" s="91"/>
      <c r="BC26" s="91"/>
    </row>
    <row r="27" spans="1:55" s="21" customFormat="1" ht="20.399999999999999" x14ac:dyDescent="0.45">
      <c r="A27" s="21" t="s">
        <v>69</v>
      </c>
      <c r="B27" s="193">
        <v>1625</v>
      </c>
      <c r="C27" s="96" t="str">
        <f>IF(OR(B27=2000, B27=1600), " °F*", " °F")</f>
        <v xml:space="preserve"> °F</v>
      </c>
      <c r="D27" s="115" t="str">
        <f>IF(V3=2,"* Note: Default value for Tfi is 1600°F for thermal recuperative oxidizers. Use actual value if known.",IF(OR(V3=3,V3=4,V3=5),"* Note: Default value for Tfi is 900°F for catalytic oxidizers. Use actual value if known. Tfi for catalytic oxidizers is typically between 300 and 900°F.",(IF(V3=6,"* Note: Default value for Tfi is 2000°F for thermal regenerative oxidizers. Use actual value if known. Tfi for regenerative oxidizers typically between 1800 and 2000°F."," "))))</f>
        <v>* Note: Default value for Tfi is 1600°F for thermal recuperative oxidizers. Use actual value if known.</v>
      </c>
      <c r="E27" s="115"/>
      <c r="F27" s="115"/>
      <c r="G27" s="115"/>
      <c r="H27" s="115"/>
      <c r="I27" s="115"/>
      <c r="J27" s="91"/>
      <c r="K27" s="91"/>
      <c r="L27" s="91"/>
      <c r="M27" s="91"/>
      <c r="N27" s="91"/>
      <c r="O27" s="91"/>
      <c r="P27" s="91"/>
      <c r="Q27" s="91"/>
      <c r="R27" s="91"/>
      <c r="S27" s="91"/>
      <c r="T27" s="91"/>
      <c r="U27" s="91"/>
      <c r="V27" s="91"/>
      <c r="W27" s="91"/>
      <c r="X27" s="91"/>
      <c r="Y27" s="91"/>
      <c r="Z27" s="91"/>
      <c r="AA27" s="91"/>
      <c r="AB27" s="91"/>
      <c r="AC27" s="91"/>
      <c r="AD27" s="91"/>
      <c r="AE27" s="91"/>
      <c r="AF27" s="91"/>
      <c r="AG27" s="91"/>
      <c r="AH27" s="91"/>
      <c r="AI27" s="91"/>
      <c r="AJ27" s="91"/>
      <c r="AK27" s="91"/>
      <c r="AL27" s="91"/>
      <c r="AM27" s="91"/>
      <c r="AN27" s="91"/>
      <c r="AO27" s="91"/>
      <c r="AP27" s="91"/>
      <c r="AQ27" s="91"/>
      <c r="AR27" s="91"/>
      <c r="AS27" s="91"/>
      <c r="AT27" s="91"/>
      <c r="AU27" s="91"/>
      <c r="AV27" s="91"/>
      <c r="AW27" s="91"/>
      <c r="AX27" s="91"/>
      <c r="AY27" s="91"/>
      <c r="AZ27" s="91"/>
      <c r="BA27" s="91"/>
      <c r="BB27" s="91"/>
      <c r="BC27" s="91"/>
    </row>
    <row r="28" spans="1:55" s="21" customFormat="1" ht="18" x14ac:dyDescent="0.35">
      <c r="A28" s="21" t="s">
        <v>70</v>
      </c>
      <c r="B28" s="94">
        <v>97</v>
      </c>
      <c r="C28" s="96" t="str">
        <f>IF(B28=99, "percent*", "percent")</f>
        <v>percent</v>
      </c>
      <c r="D28" s="344" t="str">
        <f>IF(B28=99,"* 99 percent is a default control efficiency. User should enter actual value, if known."," ")</f>
        <v xml:space="preserve"> </v>
      </c>
      <c r="E28" s="345"/>
      <c r="F28" s="345"/>
      <c r="G28" s="345"/>
      <c r="H28" s="345"/>
      <c r="I28" s="345"/>
      <c r="J28" s="91"/>
      <c r="K28" s="91"/>
      <c r="L28" s="91"/>
      <c r="M28" s="91"/>
      <c r="N28" s="91"/>
      <c r="O28" s="91"/>
      <c r="P28" s="91"/>
      <c r="Q28" s="91"/>
      <c r="R28" s="91"/>
      <c r="S28" s="91"/>
      <c r="T28" s="91"/>
      <c r="U28" s="91"/>
      <c r="V28" s="91"/>
      <c r="W28" s="91"/>
      <c r="X28" s="91"/>
      <c r="Y28" s="91"/>
      <c r="Z28" s="91"/>
      <c r="AA28" s="91"/>
      <c r="AB28" s="91"/>
      <c r="AC28" s="91"/>
      <c r="AD28" s="91"/>
      <c r="AE28" s="91"/>
      <c r="AF28" s="91"/>
      <c r="AG28" s="91"/>
      <c r="AH28" s="91"/>
      <c r="AI28" s="91"/>
      <c r="AJ28" s="91"/>
      <c r="AK28" s="91"/>
      <c r="AL28" s="91"/>
      <c r="AM28" s="91"/>
      <c r="AN28" s="91"/>
      <c r="AO28" s="91"/>
      <c r="AP28" s="91"/>
      <c r="AQ28" s="91"/>
      <c r="AR28" s="91"/>
      <c r="AS28" s="91"/>
      <c r="AT28" s="91"/>
      <c r="AU28" s="91"/>
      <c r="AV28" s="91"/>
      <c r="AW28" s="91"/>
      <c r="AX28" s="91"/>
      <c r="AY28" s="91"/>
      <c r="AZ28" s="91"/>
      <c r="BA28" s="91"/>
      <c r="BB28" s="91"/>
      <c r="BC28" s="91"/>
    </row>
    <row r="29" spans="1:55" s="21" customFormat="1" ht="18" x14ac:dyDescent="0.35">
      <c r="A29" s="21" t="s">
        <v>71</v>
      </c>
      <c r="B29" s="192">
        <v>20</v>
      </c>
      <c r="C29" s="95" t="str">
        <f>IF(B29=20, "Years*", "Years")</f>
        <v>Years*</v>
      </c>
      <c r="D29" s="344" t="str">
        <f>IF(B29=20,"* 20 years is the typical equipment life. User should enter actual value, if known."," ")</f>
        <v>* 20 years is the typical equipment life. User should enter actual value, if known.</v>
      </c>
      <c r="E29" s="345"/>
      <c r="F29" s="345"/>
      <c r="G29" s="345"/>
      <c r="H29" s="345"/>
      <c r="I29" s="345"/>
      <c r="J29" s="91"/>
      <c r="K29" s="91"/>
      <c r="L29" s="91"/>
      <c r="M29" s="91"/>
      <c r="N29" s="91"/>
      <c r="O29" s="91"/>
      <c r="P29" s="91"/>
      <c r="Q29" s="91"/>
      <c r="R29" s="91"/>
      <c r="S29" s="91"/>
      <c r="T29" s="91"/>
      <c r="U29" s="91"/>
      <c r="V29" s="91"/>
      <c r="W29" s="91"/>
      <c r="X29" s="91"/>
      <c r="Y29" s="91"/>
      <c r="Z29" s="91"/>
      <c r="AA29" s="91"/>
      <c r="AB29" s="91"/>
      <c r="AC29" s="91"/>
      <c r="AD29" s="91"/>
      <c r="AE29" s="91"/>
      <c r="AF29" s="91"/>
      <c r="AG29" s="91"/>
      <c r="AH29" s="91"/>
      <c r="AI29" s="91"/>
      <c r="AJ29" s="91"/>
      <c r="AK29" s="91"/>
      <c r="AL29" s="91"/>
      <c r="AM29" s="91"/>
      <c r="AN29" s="91"/>
      <c r="AO29" s="91"/>
      <c r="AP29" s="91"/>
      <c r="AQ29" s="91"/>
      <c r="AR29" s="91"/>
      <c r="AS29" s="91"/>
      <c r="AT29" s="91"/>
      <c r="AU29" s="91"/>
      <c r="AV29" s="91"/>
      <c r="AW29" s="91"/>
      <c r="AX29" s="91"/>
      <c r="AY29" s="91"/>
      <c r="AZ29" s="91"/>
      <c r="BA29" s="91"/>
      <c r="BB29" s="91"/>
      <c r="BC29" s="91"/>
    </row>
    <row r="30" spans="1:55" s="21" customFormat="1" ht="35.549999999999997" hidden="1" customHeight="1" x14ac:dyDescent="0.35">
      <c r="A30" s="97" t="s">
        <v>72</v>
      </c>
      <c r="B30" s="192">
        <v>0</v>
      </c>
      <c r="C30" s="96" t="str">
        <f>IF(B30=1, "percent*", "percent")</f>
        <v>percent</v>
      </c>
      <c r="D30" s="344" t="str">
        <f>IF(B30=1,"* 1 percent is a default value for the heat loss. User should enter actual value, if known. Heat loss is typically between 0.2 and 1.5%."," ")</f>
        <v xml:space="preserve"> </v>
      </c>
      <c r="E30" s="345"/>
      <c r="F30" s="345"/>
      <c r="G30" s="345"/>
      <c r="H30" s="345"/>
      <c r="I30" s="345"/>
      <c r="J30" s="91"/>
      <c r="K30" s="91"/>
      <c r="L30" s="91"/>
      <c r="M30" s="91"/>
      <c r="N30" s="91"/>
      <c r="O30" s="91"/>
      <c r="P30" s="91"/>
      <c r="Q30" s="91"/>
      <c r="R30" s="91"/>
      <c r="S30" s="91"/>
      <c r="T30" s="91"/>
      <c r="U30" s="91"/>
      <c r="V30" s="91"/>
      <c r="W30" s="91"/>
      <c r="X30" s="91"/>
      <c r="Y30" s="91"/>
      <c r="Z30" s="91"/>
      <c r="AA30" s="91"/>
      <c r="AB30" s="91"/>
      <c r="AC30" s="91"/>
      <c r="AD30" s="91"/>
      <c r="AE30" s="91"/>
      <c r="AF30" s="91"/>
      <c r="AG30" s="91"/>
      <c r="AH30" s="91"/>
      <c r="AI30" s="91"/>
      <c r="AJ30" s="91"/>
      <c r="AK30" s="91"/>
      <c r="AL30" s="91"/>
      <c r="AM30" s="91"/>
      <c r="AN30" s="91"/>
      <c r="AO30" s="91"/>
      <c r="AP30" s="91"/>
      <c r="AQ30" s="91"/>
      <c r="AR30" s="91"/>
      <c r="AS30" s="91"/>
      <c r="AT30" s="91"/>
      <c r="AU30" s="91"/>
      <c r="AV30" s="91"/>
      <c r="AW30" s="91"/>
      <c r="AX30" s="91"/>
      <c r="AY30" s="91"/>
      <c r="AZ30" s="91"/>
      <c r="BA30" s="91"/>
      <c r="BB30" s="91"/>
      <c r="BC30" s="91"/>
    </row>
    <row r="31" spans="1:55" s="87" customFormat="1" ht="16.5" hidden="1" customHeight="1" x14ac:dyDescent="0.35">
      <c r="A31" s="97"/>
      <c r="B31" s="97"/>
      <c r="C31" s="97"/>
      <c r="D31" s="168"/>
      <c r="E31" s="168"/>
      <c r="F31" s="168"/>
      <c r="G31" s="168"/>
      <c r="H31" s="168"/>
      <c r="I31" s="168"/>
      <c r="J31" s="100"/>
      <c r="K31" s="100"/>
      <c r="L31" s="100"/>
      <c r="M31" s="100"/>
      <c r="N31" s="100"/>
      <c r="O31" s="100"/>
      <c r="P31" s="100"/>
      <c r="Q31" s="100"/>
      <c r="R31" s="100"/>
      <c r="S31" s="100"/>
      <c r="T31" s="100"/>
      <c r="U31" s="100"/>
      <c r="V31" s="100"/>
      <c r="W31" s="100"/>
      <c r="X31" s="100"/>
      <c r="Y31" s="100"/>
      <c r="Z31" s="100"/>
      <c r="AA31" s="100"/>
      <c r="AB31" s="100"/>
      <c r="AC31" s="100"/>
      <c r="AD31" s="100"/>
      <c r="AE31" s="100"/>
      <c r="AF31" s="100"/>
      <c r="AG31" s="100"/>
      <c r="AH31" s="100"/>
      <c r="AI31" s="100"/>
      <c r="AJ31" s="100"/>
      <c r="AK31" s="100"/>
      <c r="AL31" s="100"/>
      <c r="AM31" s="100"/>
      <c r="AN31" s="100"/>
      <c r="AO31" s="100"/>
      <c r="AP31" s="100"/>
      <c r="AQ31" s="100"/>
      <c r="AR31" s="100"/>
      <c r="AS31" s="100"/>
      <c r="AT31" s="100"/>
      <c r="AU31" s="100"/>
      <c r="AV31" s="100"/>
      <c r="AW31" s="100"/>
      <c r="AX31" s="100"/>
      <c r="AY31" s="100"/>
      <c r="AZ31" s="100"/>
      <c r="BA31" s="100"/>
      <c r="BB31" s="100"/>
      <c r="BC31" s="100"/>
    </row>
    <row r="32" spans="1:55" s="21" customFormat="1" ht="16.5" hidden="1" customHeight="1" x14ac:dyDescent="0.35">
      <c r="A32" s="98" t="s">
        <v>73</v>
      </c>
      <c r="J32" s="91"/>
      <c r="K32" s="91"/>
      <c r="L32" s="91"/>
      <c r="M32" s="91"/>
      <c r="N32" s="91"/>
      <c r="O32" s="91"/>
      <c r="P32" s="91"/>
      <c r="Q32" s="91"/>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91"/>
      <c r="AQ32" s="91"/>
      <c r="AR32" s="91"/>
      <c r="AS32" s="91"/>
      <c r="AT32" s="91"/>
      <c r="AU32" s="91"/>
      <c r="AV32" s="91"/>
      <c r="AW32" s="91"/>
      <c r="AX32" s="91"/>
      <c r="AY32" s="91"/>
      <c r="AZ32" s="91"/>
      <c r="BA32" s="91"/>
      <c r="BB32" s="91"/>
      <c r="BC32" s="91"/>
    </row>
    <row r="33" spans="1:55" s="21" customFormat="1" ht="16.5" hidden="1" customHeight="1" x14ac:dyDescent="0.35">
      <c r="A33" s="21" t="s">
        <v>74</v>
      </c>
      <c r="B33" s="192">
        <v>0</v>
      </c>
      <c r="C33" s="95" t="s">
        <v>75</v>
      </c>
      <c r="D33" s="325" t="str">
        <f>IF(B33=4,"* 4 years is a default value. User should enter actual value, if known."," ")</f>
        <v xml:space="preserve"> </v>
      </c>
      <c r="E33" s="326"/>
      <c r="F33" s="326"/>
      <c r="G33" s="326"/>
      <c r="H33" s="326"/>
      <c r="I33" s="326"/>
      <c r="J33" s="91"/>
      <c r="K33" s="91"/>
      <c r="L33" s="91"/>
      <c r="M33" s="91"/>
      <c r="N33" s="91"/>
      <c r="O33" s="91"/>
      <c r="P33" s="91"/>
      <c r="Q33" s="91"/>
      <c r="R33" s="91"/>
      <c r="S33" s="91"/>
      <c r="T33" s="91"/>
      <c r="U33" s="91"/>
      <c r="V33" s="91"/>
      <c r="W33" s="91"/>
      <c r="X33" s="91"/>
      <c r="Y33" s="91"/>
      <c r="Z33" s="91"/>
      <c r="AA33" s="91"/>
      <c r="AB33" s="91"/>
      <c r="AC33" s="91"/>
      <c r="AD33" s="91"/>
      <c r="AE33" s="91"/>
      <c r="AF33" s="91"/>
      <c r="AG33" s="91"/>
      <c r="AH33" s="91"/>
      <c r="AI33" s="91"/>
      <c r="AJ33" s="91"/>
      <c r="AK33" s="91"/>
      <c r="AL33" s="91"/>
      <c r="AM33" s="91"/>
      <c r="AN33" s="91"/>
      <c r="AO33" s="91"/>
      <c r="AP33" s="91"/>
      <c r="AQ33" s="91"/>
      <c r="AR33" s="91"/>
      <c r="AS33" s="91"/>
      <c r="AT33" s="91"/>
      <c r="AU33" s="91"/>
      <c r="AV33" s="91"/>
      <c r="AW33" s="91"/>
      <c r="AX33" s="91"/>
      <c r="AY33" s="91"/>
      <c r="AZ33" s="91"/>
      <c r="BA33" s="91"/>
      <c r="BB33" s="91"/>
      <c r="BC33" s="91"/>
    </row>
    <row r="34" spans="1:55" s="21" customFormat="1" ht="15.6" hidden="1" customHeight="1" x14ac:dyDescent="0.35">
      <c r="A34" s="21" t="s">
        <v>76</v>
      </c>
      <c r="B34" s="192">
        <v>0</v>
      </c>
      <c r="C34" s="95" t="s">
        <v>77</v>
      </c>
      <c r="D34" s="325" t="str">
        <f>IF(B34=650,"* $650/cubic foot is a default value for a base metal catalyst. User should enter actual value, if known."," ")</f>
        <v xml:space="preserve"> </v>
      </c>
      <c r="E34" s="326"/>
      <c r="F34" s="326"/>
      <c r="G34" s="326"/>
      <c r="H34" s="326"/>
      <c r="I34" s="326"/>
      <c r="J34" s="91"/>
      <c r="K34" s="91"/>
      <c r="L34" s="91"/>
      <c r="M34" s="91"/>
      <c r="N34" s="91"/>
      <c r="O34" s="91"/>
      <c r="P34" s="91"/>
      <c r="Q34" s="91"/>
      <c r="R34" s="91"/>
      <c r="S34" s="91"/>
      <c r="T34" s="91"/>
      <c r="U34" s="91"/>
      <c r="V34" s="91"/>
      <c r="W34" s="91"/>
      <c r="X34" s="91"/>
      <c r="Y34" s="91"/>
      <c r="Z34" s="91"/>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91"/>
      <c r="BA34" s="91"/>
      <c r="BB34" s="91"/>
      <c r="BC34" s="91"/>
    </row>
    <row r="35" spans="1:55" s="21" customFormat="1" ht="15.6" hidden="1" customHeight="1" x14ac:dyDescent="0.35">
      <c r="A35" s="21" t="s">
        <v>78</v>
      </c>
      <c r="B35" s="191">
        <v>0</v>
      </c>
      <c r="C35" s="257" t="s">
        <v>79</v>
      </c>
      <c r="D35" s="325" t="str">
        <f>IF(B35=30000,"* 30,000 per hour is a default value. User should enter actual value, if known."," ")</f>
        <v xml:space="preserve"> </v>
      </c>
      <c r="E35" s="326"/>
      <c r="F35" s="326"/>
      <c r="G35" s="326"/>
      <c r="H35" s="326"/>
      <c r="I35" s="326"/>
      <c r="J35" s="91"/>
      <c r="K35" s="91"/>
      <c r="L35" s="91"/>
      <c r="M35" s="91"/>
      <c r="N35" s="91"/>
      <c r="O35" s="91"/>
      <c r="P35" s="91"/>
      <c r="Q35" s="91"/>
      <c r="R35" s="91"/>
      <c r="S35" s="91"/>
      <c r="T35" s="91"/>
      <c r="U35" s="91"/>
      <c r="V35" s="91"/>
      <c r="W35" s="91"/>
      <c r="X35" s="91"/>
      <c r="Y35" s="91"/>
      <c r="Z35" s="91"/>
      <c r="AA35" s="91"/>
      <c r="AB35" s="91"/>
      <c r="AC35" s="91"/>
      <c r="AD35" s="91"/>
      <c r="AE35" s="91"/>
      <c r="AF35" s="91"/>
      <c r="AG35" s="91"/>
      <c r="AH35" s="91"/>
      <c r="AI35" s="91"/>
      <c r="AJ35" s="91"/>
      <c r="AK35" s="91"/>
      <c r="AL35" s="91"/>
      <c r="AM35" s="91"/>
      <c r="AN35" s="91"/>
      <c r="AO35" s="91"/>
      <c r="AP35" s="91"/>
      <c r="AQ35" s="91"/>
      <c r="AR35" s="91"/>
      <c r="AS35" s="91"/>
      <c r="AT35" s="91"/>
      <c r="AU35" s="91"/>
      <c r="AV35" s="91"/>
      <c r="AW35" s="91"/>
      <c r="AX35" s="91"/>
      <c r="AY35" s="91"/>
      <c r="AZ35" s="91"/>
      <c r="BA35" s="91"/>
      <c r="BB35" s="91"/>
      <c r="BC35" s="91"/>
    </row>
    <row r="36" spans="1:55" s="21" customFormat="1" ht="18" x14ac:dyDescent="0.35">
      <c r="J36" s="91"/>
      <c r="K36" s="91"/>
      <c r="L36" s="91"/>
      <c r="M36" s="91"/>
      <c r="N36" s="91"/>
      <c r="O36" s="91"/>
      <c r="P36" s="91"/>
      <c r="Q36" s="91"/>
      <c r="R36" s="91"/>
      <c r="S36" s="91"/>
      <c r="T36" s="91"/>
      <c r="U36" s="91"/>
      <c r="V36" s="91"/>
      <c r="W36" s="91"/>
      <c r="X36" s="91"/>
      <c r="Y36" s="91"/>
      <c r="Z36" s="91"/>
      <c r="AA36" s="91"/>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91"/>
      <c r="AZ36" s="91"/>
      <c r="BA36" s="91"/>
      <c r="BB36" s="91"/>
      <c r="BC36" s="91"/>
    </row>
    <row r="38" spans="1:55" s="21" customFormat="1" ht="18" x14ac:dyDescent="0.35">
      <c r="A38" s="324" t="s">
        <v>80</v>
      </c>
      <c r="B38" s="324"/>
      <c r="C38" s="324"/>
      <c r="D38" s="324"/>
      <c r="E38" s="324"/>
      <c r="F38" s="324"/>
      <c r="G38" s="324"/>
      <c r="H38" s="324"/>
      <c r="I38" s="324"/>
      <c r="J38" s="159"/>
      <c r="K38" s="159"/>
      <c r="L38" s="159"/>
      <c r="M38" s="159"/>
      <c r="N38" s="159"/>
      <c r="O38" s="159"/>
      <c r="P38" s="25"/>
      <c r="Q38" s="25"/>
      <c r="R38" s="25"/>
      <c r="S38" s="25"/>
      <c r="T38" s="25"/>
      <c r="U38" s="25"/>
      <c r="V38" s="25"/>
      <c r="W38" s="25"/>
      <c r="X38" s="25"/>
      <c r="Y38" s="25"/>
      <c r="Z38" s="25"/>
      <c r="AA38" s="25"/>
      <c r="AB38" s="25"/>
      <c r="AC38" s="25"/>
      <c r="AD38" s="25"/>
      <c r="AE38" s="91"/>
      <c r="AF38" s="91"/>
      <c r="AG38" s="91"/>
      <c r="AH38" s="91"/>
      <c r="AI38" s="91"/>
      <c r="AJ38" s="91"/>
      <c r="AK38" s="91"/>
      <c r="AL38" s="91"/>
      <c r="AM38" s="91"/>
      <c r="AN38" s="91"/>
      <c r="AO38" s="91"/>
      <c r="AP38" s="91"/>
      <c r="AQ38" s="91"/>
      <c r="AR38" s="91"/>
      <c r="AS38" s="91"/>
      <c r="AT38" s="91"/>
      <c r="AU38" s="91"/>
      <c r="AV38" s="91"/>
      <c r="AW38" s="91"/>
      <c r="AX38" s="91"/>
      <c r="AY38" s="91"/>
      <c r="AZ38" s="91"/>
      <c r="BA38" s="91"/>
      <c r="BB38" s="91"/>
      <c r="BC38" s="91"/>
    </row>
    <row r="39" spans="1:55" x14ac:dyDescent="0.3">
      <c r="J39" s="58"/>
      <c r="K39" s="58"/>
      <c r="L39" s="58"/>
      <c r="M39" s="58"/>
      <c r="N39" s="58"/>
    </row>
    <row r="40" spans="1:55" s="21" customFormat="1" ht="18" x14ac:dyDescent="0.35">
      <c r="A40" s="21" t="s">
        <v>81</v>
      </c>
      <c r="B40" s="210">
        <v>2021</v>
      </c>
      <c r="C40" s="99"/>
      <c r="D40" s="99"/>
      <c r="E40" s="99"/>
      <c r="F40" s="95"/>
      <c r="G40" s="92"/>
      <c r="J40" s="100"/>
      <c r="K40" s="100"/>
      <c r="L40" s="100"/>
      <c r="M40" s="100"/>
      <c r="N40" s="100"/>
      <c r="O40" s="25"/>
      <c r="P40" s="25"/>
      <c r="Q40" s="25"/>
      <c r="R40" s="25"/>
      <c r="S40" s="25"/>
      <c r="T40" s="25"/>
      <c r="U40" s="25"/>
      <c r="V40" s="25"/>
      <c r="W40" s="25"/>
      <c r="X40" s="25"/>
      <c r="Y40" s="25"/>
      <c r="Z40" s="25"/>
      <c r="AA40" s="25"/>
      <c r="AB40" s="25"/>
      <c r="AC40" s="25"/>
      <c r="AD40" s="25"/>
      <c r="AE40" s="91"/>
      <c r="AF40" s="91"/>
      <c r="AG40" s="91"/>
      <c r="AH40" s="91"/>
      <c r="AI40" s="91"/>
      <c r="AJ40" s="91"/>
      <c r="AK40" s="91"/>
      <c r="AL40" s="91"/>
      <c r="AM40" s="91"/>
      <c r="AN40" s="91"/>
      <c r="AO40" s="91"/>
      <c r="AP40" s="91"/>
      <c r="AQ40" s="91"/>
      <c r="AR40" s="91"/>
      <c r="AS40" s="91"/>
      <c r="AT40" s="91"/>
      <c r="AU40" s="91"/>
      <c r="AV40" s="91"/>
      <c r="AW40" s="91"/>
      <c r="AX40" s="91"/>
      <c r="AY40" s="91"/>
      <c r="AZ40" s="91"/>
      <c r="BA40" s="91"/>
      <c r="BB40" s="91"/>
      <c r="BC40" s="91"/>
    </row>
    <row r="41" spans="1:55" s="21" customFormat="1" ht="18" x14ac:dyDescent="0.35">
      <c r="A41" s="92" t="str">
        <f>"CEPCI* for " &amp; B40</f>
        <v>CEPCI* for 2021</v>
      </c>
      <c r="B41" s="210">
        <v>708</v>
      </c>
      <c r="C41" s="286" t="str">
        <f>"Enter the CEPCI value for "&amp;B40</f>
        <v>Enter the CEPCI value for 2021</v>
      </c>
      <c r="D41" s="277"/>
      <c r="E41" s="269">
        <v>390.6</v>
      </c>
      <c r="F41" s="270" t="s">
        <v>82</v>
      </c>
      <c r="G41" s="288" t="s">
        <v>83</v>
      </c>
      <c r="J41" s="91"/>
      <c r="K41" s="91"/>
      <c r="L41" s="91"/>
      <c r="M41" s="91"/>
      <c r="N41" s="91"/>
      <c r="O41" s="25"/>
      <c r="P41" s="25"/>
      <c r="Q41" s="25"/>
      <c r="R41" s="25"/>
      <c r="S41" s="25"/>
      <c r="T41" s="25"/>
      <c r="U41" s="25"/>
      <c r="V41" s="25"/>
      <c r="W41" s="25"/>
      <c r="X41" s="25"/>
      <c r="Y41" s="25"/>
      <c r="Z41" s="25"/>
      <c r="AA41" s="25"/>
      <c r="AB41" s="25"/>
      <c r="AC41" s="25"/>
      <c r="AD41" s="25"/>
      <c r="AE41" s="91"/>
      <c r="AF41" s="91"/>
      <c r="AG41" s="91"/>
      <c r="AH41" s="91"/>
      <c r="AI41" s="91"/>
      <c r="AJ41" s="91"/>
      <c r="AK41" s="91"/>
      <c r="AL41" s="91"/>
      <c r="AM41" s="91"/>
      <c r="AN41" s="91"/>
      <c r="AO41" s="91"/>
      <c r="AP41" s="91"/>
      <c r="AQ41" s="91"/>
      <c r="AR41" s="91"/>
      <c r="AS41" s="91"/>
      <c r="AT41" s="91"/>
      <c r="AU41" s="91"/>
      <c r="AV41" s="91"/>
      <c r="AW41" s="91"/>
      <c r="AX41" s="91"/>
      <c r="AY41" s="91"/>
      <c r="AZ41" s="91"/>
      <c r="BA41" s="91"/>
      <c r="BB41" s="91"/>
      <c r="BC41" s="91"/>
    </row>
    <row r="42" spans="1:55" s="21" customFormat="1" ht="18" x14ac:dyDescent="0.35">
      <c r="A42" s="92" t="s">
        <v>84</v>
      </c>
      <c r="B42" s="287">
        <v>5.5</v>
      </c>
      <c r="C42" s="278" t="str">
        <f>(IF(B42=4.25,"% (Current bank prime rate)","% "))</f>
        <v xml:space="preserve">% </v>
      </c>
      <c r="D42" s="276"/>
      <c r="E42" s="99"/>
      <c r="F42" s="95"/>
      <c r="G42" s="325" t="str">
        <f>IF(B42=5.5, "* The default rate of 5.50% is the current bank prime rate, which is a nominal (or market) G45interest rate.", " ")</f>
        <v>* The default rate of 5.50% is the current bank prime rate, which is a nominal (or market) G45interest rate.</v>
      </c>
      <c r="H42" s="326"/>
      <c r="I42" s="326"/>
      <c r="J42" s="326"/>
      <c r="K42" s="326"/>
      <c r="L42" s="326"/>
      <c r="M42" s="91"/>
      <c r="N42" s="91"/>
      <c r="O42" s="25"/>
      <c r="P42" s="25"/>
      <c r="Q42" s="25"/>
      <c r="R42" s="25"/>
      <c r="S42" s="25"/>
      <c r="T42" s="25"/>
      <c r="U42" s="25"/>
      <c r="V42" s="25"/>
      <c r="W42" s="25"/>
      <c r="X42" s="25"/>
      <c r="Y42" s="25"/>
      <c r="Z42" s="25"/>
      <c r="AA42" s="25"/>
      <c r="AB42" s="25"/>
      <c r="AC42" s="25"/>
      <c r="AD42" s="25"/>
      <c r="AE42" s="91"/>
      <c r="AF42" s="91"/>
      <c r="AG42" s="91"/>
      <c r="AH42" s="91"/>
      <c r="AI42" s="91"/>
      <c r="AJ42" s="91"/>
      <c r="AK42" s="91"/>
      <c r="AL42" s="91"/>
      <c r="AM42" s="91"/>
      <c r="AN42" s="91"/>
      <c r="AO42" s="91"/>
      <c r="AP42" s="91"/>
      <c r="AQ42" s="91"/>
      <c r="AR42" s="91"/>
      <c r="AS42" s="91"/>
      <c r="AT42" s="91"/>
      <c r="AU42" s="91"/>
      <c r="AV42" s="91"/>
      <c r="AW42" s="91"/>
      <c r="AX42" s="91"/>
      <c r="AY42" s="91"/>
      <c r="AZ42" s="91"/>
      <c r="BA42" s="91"/>
      <c r="BB42" s="91"/>
      <c r="BC42" s="91"/>
    </row>
    <row r="43" spans="1:55" s="21" customFormat="1" ht="20.399999999999999" x14ac:dyDescent="0.45">
      <c r="A43" s="92" t="s">
        <v>85</v>
      </c>
      <c r="B43" s="192">
        <v>6.4100000000000004E-2</v>
      </c>
      <c r="C43" s="276" t="s">
        <v>86</v>
      </c>
      <c r="D43" s="99"/>
      <c r="E43" s="99"/>
      <c r="F43" s="95"/>
      <c r="G43" s="325" t="str">
        <f>IF(B43=0.0641,"* $0.0641/kWh is a default price for electicity. User should enter actual value, if known."," ")</f>
        <v>* $0.0641/kWh is a default price for electicity. User should enter actual value, if known.</v>
      </c>
      <c r="H43" s="326"/>
      <c r="I43" s="326"/>
      <c r="J43" s="326"/>
      <c r="K43" s="326"/>
      <c r="L43" s="326"/>
      <c r="M43" s="91"/>
      <c r="N43" s="91"/>
      <c r="O43" s="25"/>
      <c r="P43" s="25"/>
      <c r="Q43" s="25"/>
      <c r="R43" s="25"/>
      <c r="S43" s="25"/>
      <c r="T43" s="25"/>
      <c r="U43" s="25"/>
      <c r="V43" s="25"/>
      <c r="Y43" s="25"/>
      <c r="Z43" s="25"/>
      <c r="AA43" s="25"/>
      <c r="AB43" s="25"/>
      <c r="AC43" s="25"/>
      <c r="AD43" s="25"/>
      <c r="AE43" s="91"/>
      <c r="AF43" s="91"/>
      <c r="AG43" s="91"/>
      <c r="AH43" s="91"/>
      <c r="AI43" s="91"/>
      <c r="AJ43" s="91"/>
      <c r="AK43" s="91"/>
      <c r="AL43" s="91"/>
      <c r="AM43" s="91"/>
      <c r="AN43" s="91"/>
      <c r="AO43" s="91"/>
      <c r="AP43" s="91"/>
      <c r="AQ43" s="91"/>
      <c r="AR43" s="91"/>
      <c r="AS43" s="91"/>
      <c r="AT43" s="91"/>
      <c r="AU43" s="91"/>
      <c r="AV43" s="91"/>
      <c r="AW43" s="91"/>
      <c r="AX43" s="91"/>
      <c r="AY43" s="91"/>
      <c r="AZ43" s="91"/>
      <c r="BA43" s="91"/>
      <c r="BB43" s="91"/>
      <c r="BC43" s="91"/>
    </row>
    <row r="44" spans="1:55" s="21" customFormat="1" ht="16.5" customHeight="1" x14ac:dyDescent="0.45">
      <c r="A44" s="92" t="s">
        <v>87</v>
      </c>
      <c r="B44" s="93">
        <v>3.5100000000000001E-3</v>
      </c>
      <c r="C44" s="92" t="s">
        <v>88</v>
      </c>
      <c r="D44" s="92"/>
      <c r="E44" s="92"/>
      <c r="F44" s="101"/>
      <c r="G44" s="325" t="str">
        <f>IF(B44=0.00351,"* $0.00351/scf is a default price for natural gas. User should enter actual value, if known."," ")</f>
        <v>* $0.00351/scf is a default price for natural gas. User should enter actual value, if known.</v>
      </c>
      <c r="H44" s="326"/>
      <c r="I44" s="326"/>
      <c r="J44" s="326"/>
      <c r="K44" s="326"/>
      <c r="L44" s="326"/>
      <c r="M44" s="91"/>
      <c r="N44" s="91"/>
      <c r="O44" s="25"/>
      <c r="P44" s="25"/>
      <c r="Q44" s="25"/>
      <c r="R44" s="25"/>
      <c r="S44" s="25"/>
      <c r="T44" s="25"/>
      <c r="U44" s="25"/>
      <c r="V44" s="25"/>
      <c r="W44" s="25"/>
      <c r="X44" s="25"/>
      <c r="Y44" s="25"/>
      <c r="Z44" s="25"/>
      <c r="AA44" s="25"/>
      <c r="AB44" s="25"/>
      <c r="AC44" s="25"/>
      <c r="AD44" s="25"/>
      <c r="AE44" s="91"/>
      <c r="AF44" s="91"/>
      <c r="AG44" s="91"/>
      <c r="AH44" s="91"/>
      <c r="AI44" s="91"/>
      <c r="AJ44" s="91"/>
      <c r="AK44" s="91"/>
      <c r="AL44" s="91"/>
      <c r="AM44" s="91"/>
      <c r="AN44" s="91"/>
      <c r="AO44" s="91"/>
      <c r="AP44" s="91"/>
      <c r="AQ44" s="91"/>
      <c r="AR44" s="91"/>
      <c r="AS44" s="91"/>
      <c r="AT44" s="91"/>
      <c r="AU44" s="91"/>
      <c r="AV44" s="91"/>
      <c r="AW44" s="91"/>
      <c r="AX44" s="91"/>
      <c r="AY44" s="91"/>
      <c r="AZ44" s="91"/>
      <c r="BA44" s="91"/>
      <c r="BB44" s="91"/>
      <c r="BC44" s="91"/>
    </row>
    <row r="45" spans="1:55" s="21" customFormat="1" ht="15" customHeight="1" x14ac:dyDescent="0.35">
      <c r="A45" s="21" t="s">
        <v>89</v>
      </c>
      <c r="B45" s="207">
        <v>26.61</v>
      </c>
      <c r="C45" s="99" t="s">
        <v>90</v>
      </c>
      <c r="D45" s="99"/>
      <c r="E45" s="99"/>
      <c r="F45" s="95"/>
      <c r="G45" s="325" t="str">
        <f>IF(B45=26.61,"* $26.61 per hour is a default labor rate. User should enter actual value, if known."," ")</f>
        <v>* $26.61 per hour is a default labor rate. User should enter actual value, if known.</v>
      </c>
      <c r="H45" s="326"/>
      <c r="I45" s="326"/>
      <c r="J45" s="326"/>
      <c r="K45" s="326"/>
      <c r="L45" s="326"/>
      <c r="M45" s="91"/>
      <c r="N45" s="91"/>
      <c r="O45" s="25"/>
      <c r="P45" s="25"/>
      <c r="Q45" s="25"/>
      <c r="R45" s="25"/>
      <c r="S45" s="25"/>
      <c r="T45" s="25"/>
      <c r="U45" s="25"/>
      <c r="V45" s="25"/>
      <c r="W45" s="25"/>
      <c r="X45" s="25"/>
      <c r="Y45" s="25"/>
      <c r="Z45" s="25"/>
      <c r="AA45" s="25"/>
      <c r="AB45" s="25"/>
      <c r="AC45" s="25"/>
      <c r="AD45" s="25"/>
      <c r="AE45" s="91"/>
      <c r="AF45" s="91"/>
      <c r="AG45" s="91"/>
      <c r="AH45" s="91"/>
      <c r="AI45" s="91"/>
      <c r="AJ45" s="91"/>
      <c r="AK45" s="91"/>
      <c r="AL45" s="91"/>
      <c r="AM45" s="91"/>
      <c r="AN45" s="91"/>
      <c r="AO45" s="91"/>
      <c r="AP45" s="91"/>
      <c r="AQ45" s="91"/>
      <c r="AR45" s="91"/>
      <c r="AS45" s="91"/>
      <c r="AT45" s="91"/>
      <c r="AU45" s="91"/>
      <c r="AV45" s="91"/>
      <c r="AW45" s="91"/>
      <c r="AX45" s="91"/>
      <c r="AY45" s="91"/>
      <c r="AZ45" s="91"/>
      <c r="BA45" s="91"/>
      <c r="BB45" s="91"/>
      <c r="BC45" s="91"/>
    </row>
    <row r="46" spans="1:55" s="21" customFormat="1" ht="15" customHeight="1" x14ac:dyDescent="0.35">
      <c r="A46" s="21" t="s">
        <v>91</v>
      </c>
      <c r="B46" s="271">
        <v>27.4</v>
      </c>
      <c r="C46" s="272" t="s">
        <v>90</v>
      </c>
      <c r="D46" s="272"/>
      <c r="E46" s="272"/>
      <c r="F46" s="273"/>
      <c r="G46" s="325" t="str">
        <f>IF(B46=27.4,"* $27.40 per hour is a default labor rate. User should enter actual value, if known."," ")</f>
        <v>* $27.40 per hour is a default labor rate. User should enter actual value, if known.</v>
      </c>
      <c r="H46" s="326"/>
      <c r="I46" s="326"/>
      <c r="J46" s="326"/>
      <c r="K46" s="326"/>
      <c r="L46" s="326"/>
      <c r="M46" s="91"/>
      <c r="N46" s="91"/>
      <c r="O46" s="25"/>
      <c r="P46" s="25"/>
      <c r="Q46" s="25"/>
      <c r="R46" s="25"/>
      <c r="S46" s="25"/>
      <c r="T46" s="25"/>
      <c r="U46" s="25"/>
      <c r="V46" s="25"/>
      <c r="W46" s="25"/>
      <c r="X46" s="25"/>
      <c r="Y46" s="25"/>
      <c r="Z46" s="25"/>
      <c r="AA46" s="25"/>
      <c r="AB46" s="25"/>
      <c r="AC46" s="25"/>
      <c r="AD46" s="25"/>
      <c r="AE46" s="91"/>
      <c r="AF46" s="91"/>
      <c r="AG46" s="91"/>
      <c r="AH46" s="91"/>
      <c r="AI46" s="91"/>
      <c r="AJ46" s="91"/>
      <c r="AK46" s="91"/>
      <c r="AL46" s="91"/>
      <c r="AM46" s="91"/>
      <c r="AN46" s="91"/>
      <c r="AO46" s="91"/>
      <c r="AP46" s="91"/>
      <c r="AQ46" s="91"/>
      <c r="AR46" s="91"/>
      <c r="AS46" s="91"/>
      <c r="AT46" s="91"/>
      <c r="AU46" s="91"/>
      <c r="AV46" s="91"/>
      <c r="AW46" s="91"/>
      <c r="AX46" s="91"/>
      <c r="AY46" s="91"/>
      <c r="AZ46" s="91"/>
      <c r="BA46" s="91"/>
      <c r="BB46" s="91"/>
      <c r="BC46" s="91"/>
    </row>
    <row r="47" spans="1:55" s="21" customFormat="1" ht="15" customHeight="1" x14ac:dyDescent="0.35">
      <c r="A47" s="21" t="s">
        <v>92</v>
      </c>
      <c r="B47" s="274">
        <v>10</v>
      </c>
      <c r="C47" s="99" t="s">
        <v>93</v>
      </c>
      <c r="D47" s="99"/>
      <c r="E47" s="99"/>
      <c r="F47" s="95"/>
      <c r="G47" s="325" t="str">
        <f>IF(B47=10,"* 10 percent of the total capital investment F45is a default value for construction contingencies. User may enter values between 5 and 15 percent."," ")</f>
        <v>* 10 percent of the total capital investment F45is a default value for construction contingencies. User may enter values between 5 and 15 percent.</v>
      </c>
      <c r="H47" s="326"/>
      <c r="I47" s="326"/>
      <c r="J47" s="326"/>
      <c r="K47" s="326"/>
      <c r="L47" s="326"/>
      <c r="M47" s="91"/>
      <c r="N47" s="91"/>
      <c r="O47" s="25"/>
      <c r="P47" s="25"/>
      <c r="Q47" s="25"/>
      <c r="R47" s="25"/>
      <c r="S47" s="25"/>
      <c r="T47" s="25"/>
      <c r="U47" s="25"/>
      <c r="V47" s="25"/>
      <c r="W47" s="25"/>
      <c r="X47" s="25"/>
      <c r="Y47" s="25"/>
      <c r="Z47" s="25"/>
      <c r="AA47" s="25"/>
      <c r="AB47" s="25"/>
      <c r="AC47" s="25"/>
      <c r="AD47" s="25"/>
      <c r="AE47" s="91"/>
      <c r="AF47" s="91"/>
      <c r="AG47" s="91"/>
      <c r="AH47" s="91"/>
      <c r="AI47" s="91"/>
      <c r="AJ47" s="91"/>
      <c r="AK47" s="91"/>
      <c r="AL47" s="91"/>
      <c r="AM47" s="91"/>
      <c r="AN47" s="91"/>
      <c r="AO47" s="91"/>
      <c r="AP47" s="91"/>
      <c r="AQ47" s="91"/>
      <c r="AR47" s="91"/>
      <c r="AS47" s="91"/>
      <c r="AT47" s="91"/>
      <c r="AU47" s="91"/>
      <c r="AV47" s="91"/>
      <c r="AW47" s="91"/>
      <c r="AX47" s="91"/>
      <c r="AY47" s="91"/>
      <c r="AZ47" s="91"/>
      <c r="BA47" s="91"/>
      <c r="BB47" s="91"/>
      <c r="BC47" s="91"/>
    </row>
    <row r="48" spans="1:55" s="21" customFormat="1" ht="47.25" customHeight="1" x14ac:dyDescent="0.35">
      <c r="B48" s="347" t="s">
        <v>94</v>
      </c>
      <c r="C48" s="347"/>
      <c r="D48" s="347"/>
      <c r="E48" s="347"/>
      <c r="F48" s="347"/>
      <c r="G48" s="347"/>
      <c r="H48" s="347"/>
      <c r="I48" s="154"/>
      <c r="J48" s="161"/>
      <c r="K48" s="161"/>
      <c r="L48" s="161"/>
      <c r="M48" s="161"/>
      <c r="N48" s="162"/>
      <c r="O48" s="25"/>
      <c r="P48" s="25"/>
      <c r="Q48" s="25"/>
      <c r="R48" s="25"/>
      <c r="S48" s="25"/>
      <c r="T48" s="25"/>
      <c r="U48" s="25"/>
      <c r="V48" s="25"/>
      <c r="W48" s="25"/>
      <c r="X48" s="25"/>
      <c r="Y48" s="25"/>
      <c r="Z48" s="25"/>
      <c r="AA48" s="25"/>
      <c r="AB48" s="25"/>
      <c r="AC48" s="25"/>
      <c r="AD48" s="91"/>
      <c r="AE48" s="91"/>
      <c r="AF48" s="91"/>
      <c r="AG48" s="91"/>
      <c r="AH48" s="91"/>
      <c r="AI48" s="91"/>
      <c r="AJ48" s="91"/>
      <c r="AK48" s="91"/>
      <c r="AL48" s="91"/>
      <c r="AM48" s="91"/>
      <c r="AN48" s="91"/>
      <c r="AO48" s="91"/>
      <c r="AP48" s="91"/>
      <c r="AQ48" s="91"/>
      <c r="AR48" s="91"/>
      <c r="AS48" s="91"/>
      <c r="AT48" s="91"/>
      <c r="AU48" s="91"/>
      <c r="AV48" s="91"/>
      <c r="AW48" s="91"/>
      <c r="AX48" s="91"/>
      <c r="AY48" s="91"/>
      <c r="AZ48" s="91"/>
      <c r="BA48" s="91"/>
      <c r="BB48" s="91"/>
      <c r="BC48" s="91"/>
    </row>
    <row r="51" spans="1:55" s="13" customFormat="1" ht="18" x14ac:dyDescent="0.35">
      <c r="A51" s="83" t="s">
        <v>95</v>
      </c>
      <c r="B51" s="346"/>
      <c r="C51" s="346"/>
      <c r="D51" s="346"/>
      <c r="E51" s="346"/>
      <c r="F51" s="346"/>
      <c r="G51" s="346"/>
      <c r="H51" s="346"/>
      <c r="I51" s="346"/>
      <c r="J51" s="159"/>
      <c r="K51" s="159"/>
      <c r="L51" s="159"/>
      <c r="M51" s="159"/>
      <c r="N51" s="159"/>
      <c r="O51" s="159"/>
      <c r="P51" s="29"/>
      <c r="Q51" s="29"/>
      <c r="R51" s="29"/>
      <c r="S51" s="29"/>
      <c r="T51" s="29"/>
      <c r="U51" s="29"/>
      <c r="V51" s="29"/>
      <c r="W51" s="29"/>
      <c r="X51" s="29"/>
      <c r="Y51" s="29"/>
      <c r="Z51" s="29"/>
      <c r="AA51" s="29"/>
      <c r="AB51" s="29"/>
      <c r="AC51" s="29"/>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row>
    <row r="52" spans="1:55" ht="16.5" customHeight="1" x14ac:dyDescent="0.3">
      <c r="J52" s="58"/>
      <c r="K52" s="58"/>
      <c r="L52" s="58"/>
      <c r="M52" s="58"/>
      <c r="N52" s="58"/>
      <c r="O52" s="58"/>
      <c r="P52" s="26"/>
      <c r="Q52" s="26"/>
      <c r="R52" s="26"/>
      <c r="S52" s="26"/>
      <c r="T52" s="26"/>
      <c r="U52" s="26"/>
      <c r="V52" s="26"/>
      <c r="W52" s="26"/>
      <c r="X52" s="26"/>
      <c r="Y52" s="26"/>
      <c r="Z52" s="26"/>
      <c r="AA52" s="26"/>
      <c r="AB52" s="26"/>
      <c r="AC52" s="26"/>
    </row>
    <row r="53" spans="1:55" s="21" customFormat="1" ht="22.5" customHeight="1" x14ac:dyDescent="0.35">
      <c r="A53" s="102" t="s">
        <v>96</v>
      </c>
      <c r="J53" s="91"/>
      <c r="K53" s="91"/>
      <c r="L53" s="91"/>
      <c r="M53" s="91"/>
      <c r="N53" s="91"/>
      <c r="O53" s="25"/>
      <c r="P53" s="25"/>
      <c r="Q53" s="25"/>
      <c r="R53" s="25"/>
      <c r="S53" s="25"/>
      <c r="T53" s="25"/>
      <c r="U53" s="25"/>
      <c r="V53" s="25"/>
      <c r="W53" s="25"/>
      <c r="X53" s="25"/>
      <c r="Y53" s="25"/>
      <c r="Z53" s="25"/>
      <c r="AA53" s="25"/>
      <c r="AB53" s="25"/>
      <c r="AC53" s="25"/>
      <c r="AD53" s="91"/>
      <c r="AE53" s="91"/>
      <c r="AF53" s="91"/>
      <c r="AG53" s="91"/>
      <c r="AH53" s="91"/>
      <c r="AI53" s="91"/>
      <c r="AJ53" s="91"/>
      <c r="AK53" s="91"/>
      <c r="AL53" s="91"/>
      <c r="AM53" s="91"/>
      <c r="AN53" s="91"/>
      <c r="AO53" s="91"/>
      <c r="AP53" s="91"/>
      <c r="AQ53" s="91"/>
      <c r="AR53" s="91"/>
      <c r="AS53" s="91"/>
      <c r="AT53" s="91"/>
      <c r="AU53" s="91"/>
      <c r="AV53" s="91"/>
      <c r="AW53" s="91"/>
      <c r="AX53" s="91"/>
      <c r="AY53" s="91"/>
      <c r="AZ53" s="91"/>
      <c r="BA53" s="91"/>
      <c r="BB53" s="91"/>
      <c r="BC53" s="91"/>
    </row>
    <row r="54" spans="1:55" s="21" customFormat="1" ht="19.5" customHeight="1" x14ac:dyDescent="0.35">
      <c r="J54" s="91"/>
      <c r="K54" s="91"/>
      <c r="L54" s="91"/>
      <c r="M54" s="91"/>
      <c r="N54" s="91"/>
      <c r="O54" s="25"/>
      <c r="P54" s="25"/>
      <c r="Q54" s="25"/>
      <c r="R54" s="25"/>
      <c r="S54" s="25"/>
      <c r="T54" s="25"/>
      <c r="U54" s="25"/>
      <c r="V54" s="25"/>
      <c r="W54" s="25"/>
      <c r="X54" s="25"/>
      <c r="Y54" s="25"/>
      <c r="Z54" s="25"/>
      <c r="AA54" s="25"/>
      <c r="AB54" s="25"/>
      <c r="AC54" s="25"/>
      <c r="AD54" s="91"/>
      <c r="AE54" s="91"/>
      <c r="AF54" s="91"/>
      <c r="AG54" s="91"/>
      <c r="AH54" s="91"/>
      <c r="AI54" s="91"/>
      <c r="AJ54" s="91"/>
      <c r="AK54" s="91"/>
      <c r="AL54" s="91"/>
      <c r="AM54" s="91"/>
      <c r="AN54" s="91"/>
      <c r="AO54" s="91"/>
      <c r="AP54" s="91"/>
      <c r="AQ54" s="91"/>
      <c r="AR54" s="91"/>
      <c r="AS54" s="91"/>
      <c r="AT54" s="91"/>
      <c r="AU54" s="91"/>
      <c r="AV54" s="91"/>
      <c r="AW54" s="91"/>
      <c r="AX54" s="91"/>
      <c r="AY54" s="91"/>
      <c r="AZ54" s="91"/>
      <c r="BA54" s="91"/>
      <c r="BB54" s="91"/>
      <c r="BC54" s="91"/>
    </row>
    <row r="55" spans="1:55" s="21" customFormat="1" ht="44.25" customHeight="1" x14ac:dyDescent="0.35">
      <c r="A55" s="84" t="s">
        <v>97</v>
      </c>
      <c r="B55" s="85" t="s">
        <v>98</v>
      </c>
      <c r="C55" s="86" t="s">
        <v>40</v>
      </c>
      <c r="D55" s="86" t="s">
        <v>41</v>
      </c>
      <c r="J55" s="91"/>
      <c r="K55" s="91"/>
      <c r="L55" s="91"/>
      <c r="M55" s="91"/>
      <c r="N55" s="91"/>
      <c r="O55" s="25"/>
      <c r="P55" s="25"/>
      <c r="Q55" s="25"/>
      <c r="R55" s="25"/>
      <c r="S55" s="25"/>
      <c r="T55" s="25"/>
      <c r="U55" s="25"/>
      <c r="V55" s="25"/>
      <c r="W55" s="25"/>
      <c r="X55" s="25"/>
      <c r="Y55" s="25"/>
      <c r="Z55" s="25"/>
      <c r="AA55" s="25"/>
      <c r="AB55" s="25"/>
      <c r="AC55" s="25"/>
      <c r="AD55" s="91"/>
      <c r="AE55" s="91"/>
      <c r="AF55" s="91"/>
      <c r="AG55" s="91"/>
      <c r="AH55" s="91"/>
      <c r="AI55" s="91"/>
      <c r="AJ55" s="91"/>
      <c r="AK55" s="91"/>
      <c r="AL55" s="91"/>
      <c r="AM55" s="91"/>
      <c r="AN55" s="91"/>
      <c r="AO55" s="91"/>
      <c r="AP55" s="91"/>
      <c r="AQ55" s="91"/>
      <c r="AR55" s="91"/>
      <c r="AS55" s="91"/>
      <c r="AT55" s="91"/>
      <c r="AU55" s="91"/>
      <c r="AV55" s="91"/>
      <c r="AW55" s="91"/>
      <c r="AX55" s="91"/>
      <c r="AY55" s="91"/>
      <c r="AZ55" s="91"/>
      <c r="BA55" s="91"/>
      <c r="BB55" s="91"/>
      <c r="BC55" s="91"/>
    </row>
    <row r="56" spans="1:55" ht="17.25" customHeight="1" x14ac:dyDescent="0.3">
      <c r="A56" s="77" t="s">
        <v>99</v>
      </c>
      <c r="B56" s="81">
        <v>50000</v>
      </c>
      <c r="C56" s="82">
        <v>911</v>
      </c>
      <c r="D56" s="78">
        <v>16.04</v>
      </c>
      <c r="E56" s="1"/>
      <c r="O56" s="26"/>
      <c r="P56" s="26"/>
      <c r="Q56" s="26"/>
      <c r="R56" s="26"/>
      <c r="S56" s="26"/>
      <c r="T56" s="26"/>
      <c r="U56" s="26"/>
      <c r="V56" s="26"/>
      <c r="W56" s="26"/>
      <c r="X56" s="26"/>
      <c r="Y56" s="26"/>
      <c r="Z56" s="26"/>
      <c r="AA56" s="26"/>
      <c r="AB56" s="26"/>
      <c r="AC56" s="26"/>
    </row>
    <row r="57" spans="1:55" ht="17.25" customHeight="1" x14ac:dyDescent="0.3">
      <c r="A57" s="77" t="s">
        <v>100</v>
      </c>
      <c r="B57" s="81">
        <v>30000</v>
      </c>
      <c r="C57" s="82">
        <v>1631</v>
      </c>
      <c r="D57" s="78">
        <v>30.07</v>
      </c>
      <c r="E57" s="1"/>
      <c r="O57" s="26"/>
      <c r="P57" s="26"/>
      <c r="Q57" s="26"/>
      <c r="R57" s="26"/>
      <c r="S57" s="26"/>
      <c r="T57" s="26"/>
      <c r="U57" s="26"/>
      <c r="V57" s="26"/>
      <c r="W57" s="26"/>
      <c r="X57" s="26"/>
      <c r="Y57" s="26"/>
      <c r="Z57" s="26"/>
      <c r="AA57" s="26"/>
      <c r="AB57" s="26"/>
      <c r="AC57" s="26"/>
    </row>
    <row r="58" spans="1:55" ht="17.25" customHeight="1" x14ac:dyDescent="0.3">
      <c r="A58" s="77" t="s">
        <v>101</v>
      </c>
      <c r="B58" s="81">
        <v>21000</v>
      </c>
      <c r="C58" s="82">
        <v>2353</v>
      </c>
      <c r="D58" s="78">
        <v>44.09</v>
      </c>
      <c r="E58" s="1"/>
      <c r="O58" s="26"/>
      <c r="P58" s="26"/>
      <c r="Q58" s="26"/>
      <c r="R58" s="26"/>
      <c r="S58" s="26"/>
      <c r="T58" s="26"/>
      <c r="U58" s="26"/>
      <c r="V58" s="26"/>
      <c r="W58" s="26"/>
      <c r="X58" s="26"/>
      <c r="Y58" s="26"/>
      <c r="Z58" s="26"/>
      <c r="AA58" s="26"/>
      <c r="AB58" s="26"/>
      <c r="AC58" s="26"/>
    </row>
    <row r="59" spans="1:55" ht="17.25" customHeight="1" x14ac:dyDescent="0.3">
      <c r="A59" s="77" t="s">
        <v>44</v>
      </c>
      <c r="B59" s="81">
        <v>19000</v>
      </c>
      <c r="C59" s="82">
        <v>3101</v>
      </c>
      <c r="D59" s="78">
        <v>58.12</v>
      </c>
      <c r="E59" s="1"/>
      <c r="O59" s="26"/>
      <c r="P59" s="26"/>
      <c r="Q59" s="26"/>
      <c r="R59" s="26"/>
      <c r="S59" s="26"/>
      <c r="T59" s="26"/>
      <c r="U59" s="26"/>
      <c r="V59" s="26"/>
      <c r="W59" s="26"/>
      <c r="X59" s="26"/>
      <c r="Y59" s="26"/>
      <c r="Z59" s="26"/>
      <c r="AA59" s="26"/>
      <c r="AB59" s="26"/>
      <c r="AC59" s="26"/>
    </row>
    <row r="60" spans="1:55" ht="17.25" customHeight="1" x14ac:dyDescent="0.3">
      <c r="A60" s="77" t="s">
        <v>47</v>
      </c>
      <c r="B60" s="81">
        <v>14000</v>
      </c>
      <c r="C60" s="82">
        <v>3709</v>
      </c>
      <c r="D60" s="78">
        <v>72.150000000000006</v>
      </c>
      <c r="E60" s="1"/>
      <c r="O60" s="26"/>
      <c r="P60" s="26"/>
      <c r="Q60" s="26"/>
      <c r="R60" s="26"/>
      <c r="S60" s="26"/>
      <c r="T60" s="26"/>
      <c r="U60" s="26"/>
      <c r="V60" s="26"/>
      <c r="W60" s="26"/>
      <c r="X60" s="26"/>
      <c r="Y60" s="26"/>
      <c r="Z60" s="26"/>
      <c r="AA60" s="26"/>
      <c r="AB60" s="26"/>
      <c r="AC60" s="26"/>
    </row>
    <row r="61" spans="1:55" ht="17.25" customHeight="1" x14ac:dyDescent="0.3">
      <c r="A61" s="77" t="s">
        <v>46</v>
      </c>
      <c r="B61" s="81">
        <v>11000</v>
      </c>
      <c r="C61" s="82">
        <v>4404</v>
      </c>
      <c r="D61" s="78">
        <v>86.17</v>
      </c>
      <c r="E61" s="1"/>
      <c r="O61" s="26"/>
      <c r="P61" s="26"/>
      <c r="Q61" s="26"/>
      <c r="R61" s="26"/>
      <c r="S61" s="26"/>
      <c r="T61" s="26"/>
      <c r="U61" s="26"/>
      <c r="V61" s="26"/>
      <c r="W61" s="26"/>
      <c r="X61" s="26"/>
      <c r="Y61" s="26"/>
      <c r="Z61" s="26"/>
      <c r="AA61" s="26"/>
      <c r="AB61" s="26"/>
      <c r="AC61" s="26"/>
    </row>
    <row r="62" spans="1:55" ht="17.25" customHeight="1" x14ac:dyDescent="0.3">
      <c r="A62" s="77" t="s">
        <v>49</v>
      </c>
      <c r="B62" s="81">
        <v>10000</v>
      </c>
      <c r="C62" s="82">
        <v>5796</v>
      </c>
      <c r="D62" s="78">
        <v>114.23</v>
      </c>
      <c r="E62" s="1"/>
      <c r="O62" s="26"/>
      <c r="P62" s="26"/>
      <c r="Q62" s="26"/>
      <c r="R62" s="26"/>
      <c r="S62" s="26"/>
      <c r="T62" s="26"/>
      <c r="U62" s="26"/>
      <c r="V62" s="26"/>
      <c r="W62" s="26"/>
      <c r="X62" s="26"/>
      <c r="Y62" s="26"/>
      <c r="Z62" s="26"/>
      <c r="AA62" s="26"/>
      <c r="AB62" s="26"/>
      <c r="AC62" s="26"/>
    </row>
    <row r="63" spans="1:55" ht="17.25" customHeight="1" x14ac:dyDescent="0.3">
      <c r="A63" s="77" t="s">
        <v>102</v>
      </c>
      <c r="B63" s="81">
        <v>8000</v>
      </c>
      <c r="C63" s="82">
        <v>6493</v>
      </c>
      <c r="D63" s="78">
        <v>128.25</v>
      </c>
      <c r="E63" s="1"/>
      <c r="O63" s="26"/>
      <c r="P63" s="26"/>
      <c r="Q63" s="26"/>
      <c r="R63" s="26"/>
      <c r="S63" s="26"/>
      <c r="T63" s="26"/>
      <c r="U63" s="26"/>
      <c r="V63" s="26"/>
      <c r="W63" s="26"/>
      <c r="X63" s="26"/>
      <c r="Y63" s="26"/>
      <c r="Z63" s="26"/>
      <c r="AA63" s="26"/>
      <c r="AB63" s="26"/>
      <c r="AC63" s="26"/>
    </row>
    <row r="64" spans="1:55" ht="17.25" customHeight="1" x14ac:dyDescent="0.3">
      <c r="A64" s="77" t="s">
        <v>103</v>
      </c>
      <c r="B64" s="81">
        <v>8000</v>
      </c>
      <c r="C64" s="82">
        <v>7190</v>
      </c>
      <c r="D64" s="78">
        <v>142.28</v>
      </c>
      <c r="E64" s="1"/>
      <c r="O64" s="26"/>
      <c r="P64" s="26"/>
      <c r="Q64" s="26"/>
      <c r="R64" s="26"/>
      <c r="S64" s="26"/>
      <c r="T64" s="26"/>
      <c r="U64" s="26"/>
      <c r="V64" s="26"/>
      <c r="W64" s="26"/>
      <c r="X64" s="26"/>
      <c r="Y64" s="26"/>
      <c r="Z64" s="26"/>
      <c r="AA64" s="26"/>
      <c r="AB64" s="26"/>
      <c r="AC64" s="26"/>
    </row>
    <row r="65" spans="1:55" ht="17.25" customHeight="1" x14ac:dyDescent="0.3">
      <c r="A65" s="77" t="s">
        <v>104</v>
      </c>
      <c r="B65" s="81">
        <v>27000</v>
      </c>
      <c r="C65" s="82">
        <v>1499</v>
      </c>
      <c r="D65" s="78">
        <v>28.05</v>
      </c>
      <c r="E65" s="1"/>
      <c r="O65" s="26"/>
      <c r="P65" s="26"/>
      <c r="Q65" s="26"/>
      <c r="R65" s="26"/>
      <c r="S65" s="26"/>
      <c r="T65" s="26"/>
      <c r="U65" s="26"/>
      <c r="V65" s="26"/>
      <c r="W65" s="26"/>
      <c r="X65" s="26"/>
      <c r="Y65" s="26"/>
      <c r="Z65" s="26"/>
      <c r="AA65" s="26"/>
      <c r="AB65" s="26"/>
      <c r="AC65" s="26"/>
    </row>
    <row r="66" spans="1:55" ht="17.25" customHeight="1" x14ac:dyDescent="0.3">
      <c r="A66" s="77" t="s">
        <v>105</v>
      </c>
      <c r="B66" s="81">
        <v>20000</v>
      </c>
      <c r="C66" s="82">
        <v>2182</v>
      </c>
      <c r="D66" s="78">
        <v>42.08</v>
      </c>
      <c r="E66" s="1"/>
      <c r="O66" s="26"/>
      <c r="P66" s="26"/>
      <c r="Q66" s="26"/>
      <c r="R66" s="26"/>
      <c r="S66" s="26"/>
      <c r="T66" s="26"/>
      <c r="U66" s="26"/>
      <c r="V66" s="26"/>
      <c r="W66" s="26"/>
      <c r="X66" s="26"/>
      <c r="Y66" s="26"/>
      <c r="Z66" s="26"/>
      <c r="AA66" s="26"/>
      <c r="AB66" s="26"/>
      <c r="AC66" s="26"/>
    </row>
    <row r="67" spans="1:55" ht="17.25" customHeight="1" x14ac:dyDescent="0.3">
      <c r="A67" s="77" t="s">
        <v>106</v>
      </c>
      <c r="B67" s="81">
        <v>13000</v>
      </c>
      <c r="C67" s="82">
        <v>4180</v>
      </c>
      <c r="D67" s="78">
        <v>84.16</v>
      </c>
      <c r="E67" s="1"/>
      <c r="O67" s="26"/>
      <c r="P67" s="26"/>
      <c r="Q67" s="26"/>
      <c r="R67" s="26"/>
      <c r="S67" s="26"/>
      <c r="T67" s="26"/>
      <c r="U67" s="26"/>
      <c r="V67" s="26"/>
      <c r="W67" s="26"/>
      <c r="X67" s="26"/>
      <c r="Y67" s="26"/>
      <c r="Z67" s="26"/>
      <c r="AA67" s="26"/>
      <c r="AB67" s="26"/>
      <c r="AC67" s="26"/>
    </row>
    <row r="68" spans="1:55" ht="16.5" customHeight="1" x14ac:dyDescent="0.3">
      <c r="A68" s="28" t="s">
        <v>107</v>
      </c>
      <c r="B68" s="79">
        <v>14000</v>
      </c>
      <c r="C68" s="79">
        <v>3475</v>
      </c>
      <c r="D68" s="80">
        <v>78.11</v>
      </c>
      <c r="E68" s="1"/>
      <c r="O68" s="26"/>
      <c r="P68" s="26"/>
      <c r="Q68" s="26"/>
      <c r="R68" s="26"/>
      <c r="S68" s="26"/>
      <c r="T68" s="26"/>
      <c r="U68" s="26"/>
      <c r="V68" s="26"/>
      <c r="W68" s="26"/>
      <c r="X68" s="26"/>
      <c r="Y68" s="26"/>
      <c r="Z68" s="26"/>
      <c r="AA68" s="26"/>
      <c r="AB68" s="26"/>
      <c r="AC68" s="26"/>
    </row>
    <row r="69" spans="1:55" ht="16.5" customHeight="1" x14ac:dyDescent="0.3">
      <c r="A69" s="28" t="s">
        <v>108</v>
      </c>
      <c r="B69" s="79">
        <v>11000</v>
      </c>
      <c r="C69" s="79">
        <v>4274</v>
      </c>
      <c r="D69" s="80">
        <v>92.14</v>
      </c>
      <c r="E69" s="1"/>
      <c r="O69" s="26"/>
      <c r="P69" s="26"/>
      <c r="Q69" s="26"/>
      <c r="R69" s="26"/>
      <c r="S69" s="26"/>
      <c r="T69" s="26"/>
      <c r="U69" s="26"/>
      <c r="V69" s="26"/>
      <c r="W69" s="26"/>
      <c r="X69" s="26"/>
      <c r="Y69" s="26"/>
      <c r="Z69" s="26"/>
      <c r="AA69" s="26"/>
      <c r="AB69" s="26"/>
      <c r="AC69" s="26"/>
    </row>
    <row r="70" spans="1:55" ht="16.5" customHeight="1" x14ac:dyDescent="0.3">
      <c r="A70" s="178" t="s">
        <v>109</v>
      </c>
      <c r="B70" s="179">
        <v>82500</v>
      </c>
      <c r="C70" s="179">
        <v>705</v>
      </c>
      <c r="D70" s="180">
        <v>50.49</v>
      </c>
      <c r="E70" s="1"/>
      <c r="O70" s="26"/>
      <c r="P70" s="26"/>
      <c r="Q70" s="26"/>
      <c r="R70" s="26"/>
      <c r="S70" s="26"/>
      <c r="T70" s="26"/>
      <c r="U70" s="26"/>
      <c r="V70" s="26"/>
      <c r="W70" s="26"/>
      <c r="X70" s="26"/>
      <c r="Y70" s="26"/>
      <c r="Z70" s="26"/>
      <c r="AA70" s="26"/>
      <c r="AB70" s="26"/>
      <c r="AC70" s="26"/>
    </row>
    <row r="71" spans="1:55" ht="16.5" customHeight="1" x14ac:dyDescent="0.3">
      <c r="A71" s="183" t="s">
        <v>110</v>
      </c>
      <c r="B71" s="184"/>
      <c r="C71" s="184"/>
      <c r="D71" s="185"/>
      <c r="E71" s="1"/>
      <c r="O71" s="26"/>
      <c r="P71" s="26"/>
      <c r="Q71" s="26"/>
      <c r="R71" s="26"/>
      <c r="S71" s="26"/>
      <c r="T71" s="26"/>
      <c r="U71" s="26"/>
      <c r="V71" s="26"/>
      <c r="W71" s="26"/>
      <c r="X71" s="26"/>
      <c r="Y71" s="26"/>
      <c r="Z71" s="26"/>
      <c r="AA71" s="26"/>
      <c r="AB71" s="26"/>
      <c r="AC71" s="26"/>
    </row>
    <row r="72" spans="1:55" ht="16.5" customHeight="1" x14ac:dyDescent="0.3">
      <c r="A72" s="186" t="s">
        <v>111</v>
      </c>
      <c r="B72" s="181"/>
      <c r="C72" s="181"/>
      <c r="D72" s="187"/>
      <c r="O72" s="26"/>
      <c r="P72" s="26"/>
      <c r="Q72" s="26"/>
      <c r="R72" s="26"/>
      <c r="S72" s="26"/>
      <c r="T72" s="26"/>
      <c r="U72" s="26"/>
      <c r="V72" s="26"/>
      <c r="W72" s="26"/>
      <c r="X72" s="26"/>
      <c r="Y72" s="26"/>
      <c r="Z72" s="26"/>
      <c r="AA72" s="26"/>
      <c r="AB72" s="26"/>
      <c r="AC72" s="26"/>
    </row>
    <row r="73" spans="1:55" ht="16.5" customHeight="1" x14ac:dyDescent="0.3">
      <c r="A73" s="188" t="s">
        <v>112</v>
      </c>
      <c r="B73" s="189"/>
      <c r="C73" s="189"/>
      <c r="D73" s="190"/>
      <c r="O73" s="26"/>
      <c r="P73" s="26"/>
      <c r="Q73" s="26"/>
      <c r="R73" s="26"/>
      <c r="S73" s="26"/>
      <c r="T73" s="26"/>
      <c r="U73" s="26"/>
      <c r="V73" s="26"/>
      <c r="W73" s="26"/>
      <c r="X73" s="26"/>
      <c r="Y73" s="26"/>
      <c r="Z73" s="26"/>
      <c r="AA73" s="26"/>
      <c r="AB73" s="26"/>
      <c r="AC73" s="26"/>
    </row>
    <row r="74" spans="1:55" ht="16.5" customHeight="1" x14ac:dyDescent="0.3">
      <c r="A74" s="182"/>
      <c r="B74" s="27"/>
      <c r="C74" s="27"/>
      <c r="D74" s="27"/>
      <c r="O74" s="26"/>
      <c r="P74" s="26"/>
      <c r="Q74" s="26"/>
      <c r="R74" s="26"/>
      <c r="S74" s="26"/>
      <c r="T74" s="26"/>
      <c r="U74" s="26"/>
      <c r="V74" s="26"/>
      <c r="W74" s="26"/>
      <c r="X74" s="26"/>
      <c r="Y74" s="26"/>
      <c r="Z74" s="26"/>
      <c r="AA74" s="26"/>
      <c r="AB74" s="26"/>
      <c r="AC74" s="26"/>
    </row>
    <row r="75" spans="1:55" s="21" customFormat="1" ht="69" customHeight="1" x14ac:dyDescent="0.35">
      <c r="A75" s="103" t="s">
        <v>113</v>
      </c>
      <c r="B75" s="104" t="s">
        <v>114</v>
      </c>
      <c r="C75" s="341" t="s">
        <v>115</v>
      </c>
      <c r="D75" s="342"/>
      <c r="E75" s="343"/>
      <c r="F75" s="330" t="s">
        <v>116</v>
      </c>
      <c r="G75" s="330"/>
      <c r="H75" s="331"/>
      <c r="I75" s="105" t="s">
        <v>117</v>
      </c>
      <c r="J75" s="164"/>
      <c r="K75" s="164"/>
      <c r="L75" s="164"/>
      <c r="M75" s="164"/>
      <c r="N75" s="91"/>
      <c r="O75" s="91"/>
      <c r="P75" s="165"/>
      <c r="Q75" s="165"/>
      <c r="R75" s="165"/>
      <c r="S75" s="165"/>
      <c r="T75" s="25"/>
      <c r="U75" s="25"/>
      <c r="V75" s="25"/>
      <c r="W75" s="25"/>
      <c r="X75" s="25"/>
      <c r="Y75" s="25"/>
      <c r="Z75" s="25"/>
      <c r="AA75" s="25"/>
      <c r="AB75" s="25"/>
      <c r="AC75" s="25"/>
      <c r="AD75" s="91"/>
      <c r="AE75" s="91"/>
      <c r="AF75" s="91"/>
      <c r="AG75" s="91"/>
      <c r="AH75" s="91"/>
      <c r="AI75" s="91"/>
      <c r="AJ75" s="91"/>
      <c r="AK75" s="91"/>
      <c r="AL75" s="91"/>
      <c r="AM75" s="91"/>
      <c r="AN75" s="91"/>
      <c r="AO75" s="91"/>
      <c r="AP75" s="91"/>
      <c r="AQ75" s="91"/>
      <c r="AR75" s="91"/>
      <c r="AS75" s="91"/>
      <c r="AT75" s="91"/>
      <c r="AU75" s="91"/>
      <c r="AV75" s="91"/>
      <c r="AW75" s="91"/>
      <c r="AX75" s="91"/>
      <c r="AY75" s="91"/>
      <c r="AZ75" s="91"/>
      <c r="BA75" s="91"/>
      <c r="BB75" s="91"/>
      <c r="BC75" s="91"/>
    </row>
    <row r="76" spans="1:55" ht="81.75" hidden="1" customHeight="1" x14ac:dyDescent="0.3">
      <c r="A76" s="259" t="s">
        <v>118</v>
      </c>
      <c r="B76" s="285">
        <v>650</v>
      </c>
      <c r="C76" s="335" t="s">
        <v>119</v>
      </c>
      <c r="D76" s="336"/>
      <c r="E76" s="337"/>
      <c r="F76" s="332" t="s">
        <v>120</v>
      </c>
      <c r="G76" s="333"/>
      <c r="H76" s="334"/>
      <c r="I76" s="30" t="s">
        <v>121</v>
      </c>
      <c r="J76" s="166"/>
      <c r="K76" s="166"/>
      <c r="L76" s="166"/>
      <c r="M76" s="166"/>
      <c r="P76" s="167"/>
      <c r="Q76" s="167"/>
      <c r="R76" s="167"/>
      <c r="S76" s="167"/>
      <c r="T76" s="26"/>
      <c r="U76" s="26"/>
      <c r="V76" s="26"/>
      <c r="W76" s="26"/>
      <c r="X76" s="26"/>
      <c r="Y76" s="26"/>
      <c r="Z76" s="26"/>
      <c r="AA76" s="26"/>
      <c r="AB76" s="26"/>
      <c r="AC76" s="26"/>
    </row>
    <row r="77" spans="1:55" ht="70.5" customHeight="1" x14ac:dyDescent="0.3">
      <c r="A77" s="259" t="s">
        <v>122</v>
      </c>
      <c r="B77" s="260">
        <v>6.4100000000000004E-2</v>
      </c>
      <c r="C77" s="332" t="s">
        <v>123</v>
      </c>
      <c r="D77" s="333"/>
      <c r="E77" s="334"/>
      <c r="F77" s="335" t="s">
        <v>120</v>
      </c>
      <c r="G77" s="336"/>
      <c r="H77" s="337"/>
      <c r="I77" s="30" t="s">
        <v>124</v>
      </c>
      <c r="J77" s="166"/>
      <c r="K77" s="166"/>
      <c r="L77" s="166"/>
      <c r="M77" s="166"/>
      <c r="P77" s="167"/>
      <c r="Q77" s="167"/>
      <c r="R77" s="167"/>
      <c r="S77" s="167"/>
      <c r="T77" s="26"/>
      <c r="U77" s="26"/>
      <c r="V77" s="26"/>
      <c r="W77" s="26"/>
      <c r="X77" s="26"/>
      <c r="Y77" s="26"/>
      <c r="Z77" s="26"/>
      <c r="AA77" s="26"/>
      <c r="AB77" s="26"/>
      <c r="AC77" s="26"/>
    </row>
    <row r="78" spans="1:55" ht="66" customHeight="1" x14ac:dyDescent="0.3">
      <c r="A78" s="261" t="s">
        <v>125</v>
      </c>
      <c r="B78" s="262">
        <v>3.51</v>
      </c>
      <c r="C78" s="327" t="s">
        <v>126</v>
      </c>
      <c r="D78" s="328"/>
      <c r="E78" s="329"/>
      <c r="F78" s="338" t="s">
        <v>120</v>
      </c>
      <c r="G78" s="339"/>
      <c r="H78" s="340"/>
      <c r="I78" s="30" t="s">
        <v>127</v>
      </c>
      <c r="J78" s="166"/>
      <c r="K78" s="166"/>
      <c r="L78" s="166"/>
      <c r="M78" s="166"/>
      <c r="P78" s="167"/>
      <c r="Q78" s="167"/>
      <c r="R78" s="167"/>
      <c r="S78" s="167"/>
      <c r="T78" s="26"/>
      <c r="U78" s="26"/>
      <c r="V78" s="26"/>
      <c r="W78" s="26"/>
      <c r="X78" s="26"/>
      <c r="Y78" s="26"/>
      <c r="Z78" s="26"/>
      <c r="AA78" s="26"/>
      <c r="AB78" s="26"/>
      <c r="AC78" s="26"/>
    </row>
    <row r="79" spans="1:55" ht="85.5" customHeight="1" x14ac:dyDescent="0.3">
      <c r="A79" s="263" t="s">
        <v>128</v>
      </c>
      <c r="B79" s="264">
        <v>26.61</v>
      </c>
      <c r="C79" s="322" t="s">
        <v>129</v>
      </c>
      <c r="D79" s="322"/>
      <c r="E79" s="322"/>
      <c r="F79" s="323" t="s">
        <v>120</v>
      </c>
      <c r="G79" s="323"/>
      <c r="H79" s="323"/>
      <c r="I79" s="30" t="s">
        <v>130</v>
      </c>
    </row>
    <row r="80" spans="1:55" ht="92.25" customHeight="1" x14ac:dyDescent="0.3">
      <c r="A80" s="263" t="s">
        <v>131</v>
      </c>
      <c r="B80" s="264">
        <v>27.4</v>
      </c>
      <c r="C80" s="322" t="s">
        <v>132</v>
      </c>
      <c r="D80" s="322"/>
      <c r="E80" s="322"/>
      <c r="F80" s="323" t="s">
        <v>120</v>
      </c>
      <c r="G80" s="323"/>
      <c r="H80" s="323"/>
      <c r="I80" s="30" t="s">
        <v>130</v>
      </c>
    </row>
  </sheetData>
  <mergeCells count="38">
    <mergeCell ref="A1:I1"/>
    <mergeCell ref="A5:I5"/>
    <mergeCell ref="A2:I2"/>
    <mergeCell ref="D26:I26"/>
    <mergeCell ref="D28:I28"/>
    <mergeCell ref="D23:I23"/>
    <mergeCell ref="D24:I24"/>
    <mergeCell ref="D25:I25"/>
    <mergeCell ref="A7:E7"/>
    <mergeCell ref="A20:I20"/>
    <mergeCell ref="G8:I8"/>
    <mergeCell ref="H21:I22"/>
    <mergeCell ref="D29:I29"/>
    <mergeCell ref="C77:E77"/>
    <mergeCell ref="B51:I51"/>
    <mergeCell ref="B48:H48"/>
    <mergeCell ref="D34:I34"/>
    <mergeCell ref="D35:I35"/>
    <mergeCell ref="C76:E76"/>
    <mergeCell ref="D30:I30"/>
    <mergeCell ref="D33:I33"/>
    <mergeCell ref="G42:L42"/>
    <mergeCell ref="C80:E80"/>
    <mergeCell ref="C79:E79"/>
    <mergeCell ref="F79:H79"/>
    <mergeCell ref="F80:H80"/>
    <mergeCell ref="A38:I38"/>
    <mergeCell ref="G43:L43"/>
    <mergeCell ref="G44:L44"/>
    <mergeCell ref="G45:L45"/>
    <mergeCell ref="G46:L46"/>
    <mergeCell ref="C78:E78"/>
    <mergeCell ref="F75:H75"/>
    <mergeCell ref="F76:H76"/>
    <mergeCell ref="F77:H77"/>
    <mergeCell ref="F78:H78"/>
    <mergeCell ref="C75:E75"/>
    <mergeCell ref="G47:L47"/>
  </mergeCells>
  <dataValidations count="3">
    <dataValidation type="decimal" errorStyle="warning" operator="lessThanOrEqual" allowBlank="1" showInputMessage="1" showErrorMessage="1" error="CEPCI value must be equal to or less than 584.6." sqref="B41" xr:uid="{00000000-0002-0000-0100-000000000000}">
      <formula1>3000</formula1>
    </dataValidation>
    <dataValidation type="whole" operator="greaterThanOrEqual" allowBlank="1" showInputMessage="1" showErrorMessage="1" error="Year must be 2012 or later" sqref="B40" xr:uid="{00000000-0002-0000-0100-000001000000}">
      <formula1>2012</formula1>
    </dataValidation>
    <dataValidation type="whole" allowBlank="1" showInputMessage="1" showErrorMessage="1" errorTitle="Operating Hours" error="Please enter a value between 0 and 8,760. " sqref="B22" xr:uid="{00000000-0002-0000-0100-000002000000}">
      <formula1>0</formula1>
      <formula2>8760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Drop Down 2">
              <controlPr defaultSize="0" autoLine="0" autoPict="0" macro="[0]!Change_Oxidizer">
                <anchor moveWithCells="1">
                  <from>
                    <xdr:col>0</xdr:col>
                    <xdr:colOff>2621280</xdr:colOff>
                    <xdr:row>2</xdr:row>
                    <xdr:rowOff>0</xdr:rowOff>
                  </from>
                  <to>
                    <xdr:col>1</xdr:col>
                    <xdr:colOff>632460</xdr:colOff>
                    <xdr:row>3</xdr:row>
                    <xdr:rowOff>68580</xdr:rowOff>
                  </to>
                </anchor>
              </controlPr>
            </control>
          </mc:Choice>
        </mc:AlternateContent>
        <mc:AlternateContent xmlns:mc="http://schemas.openxmlformats.org/markup-compatibility/2006">
          <mc:Choice Requires="x14">
            <control shapeId="1028" r:id="rId5" name="Button 4">
              <controlPr defaultSize="0" print="0" autoFill="0" autoPict="0" macro="[0]!Reset">
                <anchor moveWithCells="1">
                  <from>
                    <xdr:col>5</xdr:col>
                    <xdr:colOff>152400</xdr:colOff>
                    <xdr:row>1</xdr:row>
                    <xdr:rowOff>114300</xdr:rowOff>
                  </from>
                  <to>
                    <xdr:col>6</xdr:col>
                    <xdr:colOff>251460</xdr:colOff>
                    <xdr:row>2</xdr:row>
                    <xdr:rowOff>220980</xdr:rowOff>
                  </to>
                </anchor>
              </controlPr>
            </control>
          </mc:Choice>
        </mc:AlternateContent>
        <mc:AlternateContent xmlns:mc="http://schemas.openxmlformats.org/markup-compatibility/2006">
          <mc:Choice Requires="x14">
            <control shapeId="1030" r:id="rId6" name="Drop Down 6">
              <controlPr defaultSize="0" autoLine="0" autoPict="0">
                <anchor moveWithCells="1">
                  <from>
                    <xdr:col>6</xdr:col>
                    <xdr:colOff>327660</xdr:colOff>
                    <xdr:row>21</xdr:row>
                    <xdr:rowOff>0</xdr:rowOff>
                  </from>
                  <to>
                    <xdr:col>6</xdr:col>
                    <xdr:colOff>1653540</xdr:colOff>
                    <xdr:row>22</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dimension ref="A1:AA80"/>
  <sheetViews>
    <sheetView showGridLines="0" topLeftCell="B45" zoomScaleNormal="100" workbookViewId="0">
      <selection activeCell="D49" sqref="D49"/>
    </sheetView>
  </sheetViews>
  <sheetFormatPr defaultColWidth="9.21875" defaultRowHeight="14.4" x14ac:dyDescent="0.3"/>
  <cols>
    <col min="1" max="1" width="60.21875" style="27" customWidth="1"/>
    <col min="2" max="2" width="41.21875" style="27" customWidth="1"/>
    <col min="3" max="3" width="34.21875" style="27" customWidth="1"/>
    <col min="4" max="4" width="29.77734375" style="27" customWidth="1"/>
    <col min="5" max="5" width="9" style="27" customWidth="1"/>
    <col min="6" max="6" width="14.21875" style="27" customWidth="1"/>
    <col min="7" max="7" width="13.5546875" style="27" customWidth="1"/>
    <col min="8" max="11" width="9.21875" style="27"/>
    <col min="12" max="14" width="9.21875" style="27" customWidth="1"/>
    <col min="15" max="15" width="31.21875" style="27" customWidth="1"/>
    <col min="16" max="16" width="21" style="27" customWidth="1"/>
    <col min="17" max="17" width="25.21875" style="27" customWidth="1"/>
    <col min="18" max="18" width="20.21875" style="27" customWidth="1"/>
    <col min="19" max="19" width="33.21875" style="27" customWidth="1"/>
    <col min="20" max="20" width="11.44140625" style="27" customWidth="1"/>
    <col min="21" max="21" width="30.77734375" style="27" customWidth="1"/>
    <col min="22" max="22" width="21.77734375" style="27" customWidth="1"/>
    <col min="23" max="26" width="9.21875" style="27" customWidth="1"/>
    <col min="27" max="27" width="12" style="27" customWidth="1"/>
    <col min="28" max="32" width="9.21875" style="27" customWidth="1"/>
    <col min="33" max="16384" width="9.21875" style="27"/>
  </cols>
  <sheetData>
    <row r="1" spans="1:23" s="43" customFormat="1" ht="23.4" x14ac:dyDescent="0.45">
      <c r="A1" s="364" t="s">
        <v>133</v>
      </c>
      <c r="B1" s="364"/>
      <c r="C1" s="364"/>
      <c r="D1" s="364"/>
      <c r="E1" s="364"/>
      <c r="F1" s="364"/>
      <c r="G1" s="364"/>
      <c r="H1" s="364"/>
      <c r="I1" s="364"/>
      <c r="J1" s="364"/>
      <c r="K1" s="40"/>
      <c r="L1" s="40"/>
      <c r="M1" s="40"/>
      <c r="N1" s="40"/>
      <c r="O1" s="40"/>
      <c r="P1" s="41"/>
      <c r="Q1" s="41"/>
      <c r="R1" s="41"/>
      <c r="S1" s="42"/>
      <c r="T1" s="42"/>
      <c r="U1" s="42"/>
    </row>
    <row r="2" spans="1:23" s="43" customFormat="1" x14ac:dyDescent="0.3">
      <c r="A2" s="44"/>
      <c r="B2" s="44"/>
      <c r="I2" s="40"/>
      <c r="J2" s="40"/>
      <c r="K2" s="40"/>
      <c r="L2" s="40"/>
      <c r="M2" s="40"/>
      <c r="N2" s="40"/>
      <c r="O2" s="40"/>
      <c r="P2" s="41"/>
      <c r="Q2" s="41"/>
      <c r="R2" s="41"/>
      <c r="S2" s="42"/>
      <c r="T2" s="42"/>
      <c r="U2" s="42"/>
    </row>
    <row r="3" spans="1:23" s="43" customFormat="1" ht="31.5" customHeight="1" x14ac:dyDescent="0.3">
      <c r="A3" s="363" t="s">
        <v>134</v>
      </c>
      <c r="B3" s="363"/>
      <c r="C3" s="363"/>
      <c r="D3" s="363"/>
      <c r="E3" s="363"/>
      <c r="F3" s="363"/>
      <c r="G3" s="363"/>
      <c r="H3" s="363"/>
      <c r="I3" s="40"/>
      <c r="J3" s="40"/>
      <c r="K3" s="40"/>
      <c r="L3" s="40"/>
      <c r="M3" s="40"/>
      <c r="N3" s="40"/>
      <c r="O3" s="40"/>
      <c r="P3" s="41"/>
      <c r="Q3" s="41"/>
      <c r="R3" s="41"/>
      <c r="S3" s="42"/>
      <c r="T3" s="42"/>
      <c r="U3" s="42"/>
    </row>
    <row r="4" spans="1:23" s="43" customFormat="1" ht="15.75" customHeight="1" x14ac:dyDescent="0.3">
      <c r="A4" s="290"/>
      <c r="B4" s="290"/>
      <c r="C4" s="290"/>
      <c r="D4" s="290"/>
      <c r="E4" s="290"/>
      <c r="F4" s="290"/>
      <c r="G4" s="290"/>
      <c r="H4" s="290"/>
      <c r="I4" s="40"/>
      <c r="J4" s="40"/>
      <c r="K4" s="40"/>
      <c r="L4" s="40"/>
      <c r="M4" s="40"/>
      <c r="N4" s="40"/>
      <c r="O4" s="40"/>
      <c r="P4" s="41"/>
      <c r="Q4" s="41"/>
      <c r="R4" s="41"/>
      <c r="S4" s="42"/>
      <c r="T4" s="42"/>
      <c r="U4" s="42"/>
    </row>
    <row r="5" spans="1:23" s="108" customFormat="1" ht="18" customHeight="1" x14ac:dyDescent="0.3">
      <c r="A5" s="31"/>
      <c r="B5" s="31"/>
      <c r="C5" s="31"/>
      <c r="D5" s="31"/>
      <c r="E5" s="31"/>
      <c r="F5" s="31"/>
      <c r="G5" s="45"/>
      <c r="H5" s="45"/>
      <c r="I5" s="106"/>
      <c r="J5" s="106"/>
      <c r="K5" s="106"/>
      <c r="L5" s="106"/>
      <c r="M5" s="106"/>
      <c r="N5" s="106"/>
      <c r="O5" s="106"/>
      <c r="P5" s="107"/>
      <c r="Q5" s="107"/>
      <c r="R5" s="107"/>
    </row>
    <row r="6" spans="1:23" s="122" customFormat="1" ht="18" customHeight="1" x14ac:dyDescent="0.3">
      <c r="A6" s="358" t="s">
        <v>35</v>
      </c>
      <c r="B6" s="359"/>
      <c r="C6" s="360"/>
      <c r="D6" s="118"/>
      <c r="E6" s="118"/>
      <c r="F6" s="119"/>
      <c r="G6" s="290"/>
      <c r="H6" s="290"/>
      <c r="I6" s="120"/>
      <c r="J6" s="120"/>
      <c r="K6" s="120"/>
      <c r="L6" s="120"/>
      <c r="M6" s="120"/>
      <c r="N6" s="120"/>
      <c r="O6" s="120"/>
      <c r="P6" s="121"/>
      <c r="Q6" s="121"/>
      <c r="R6" s="121"/>
    </row>
    <row r="7" spans="1:23" s="122" customFormat="1" ht="33.75" customHeight="1" x14ac:dyDescent="0.3">
      <c r="A7" s="123" t="s">
        <v>37</v>
      </c>
      <c r="B7" s="124" t="s">
        <v>135</v>
      </c>
      <c r="C7" s="124" t="s">
        <v>136</v>
      </c>
      <c r="D7" s="125"/>
      <c r="E7" s="125"/>
      <c r="F7" s="119"/>
      <c r="G7" s="290"/>
      <c r="H7" s="290"/>
      <c r="I7" s="120"/>
      <c r="J7" s="120"/>
      <c r="K7" s="120"/>
      <c r="L7" s="120"/>
      <c r="M7" s="120"/>
      <c r="N7" s="120"/>
      <c r="O7" s="120"/>
      <c r="P7" s="121"/>
      <c r="Q7" s="121"/>
      <c r="R7" s="121"/>
    </row>
    <row r="8" spans="1:23" s="122" customFormat="1" ht="18" customHeight="1" x14ac:dyDescent="0.3">
      <c r="A8" s="126" t="str">
        <f>'Data Inputs'!A9</f>
        <v>Butane</v>
      </c>
      <c r="B8" s="127">
        <f>'Data Inputs'!B9</f>
        <v>213.75</v>
      </c>
      <c r="C8" s="151" t="str">
        <f t="shared" ref="C8:C17" si="0">IF(OR($D$33&lt;25, B8=0), "NA", B8*$R$9)</f>
        <v>NA</v>
      </c>
      <c r="E8" s="129"/>
      <c r="F8" s="119"/>
      <c r="G8" s="290"/>
      <c r="H8" s="290"/>
      <c r="I8" s="120"/>
      <c r="J8" s="120"/>
      <c r="K8" s="120"/>
      <c r="L8" s="120"/>
      <c r="M8" s="120"/>
      <c r="N8" s="120"/>
      <c r="O8" s="120"/>
      <c r="P8" s="130"/>
      <c r="Q8" s="130"/>
      <c r="R8" s="120" t="s">
        <v>137</v>
      </c>
      <c r="W8" s="128">
        <f t="shared" ref="W8:W17" si="1">IF(C8="NA", B8, C8)</f>
        <v>213.75</v>
      </c>
    </row>
    <row r="9" spans="1:23" s="122" customFormat="1" ht="18" customHeight="1" x14ac:dyDescent="0.3">
      <c r="A9" s="126" t="str">
        <f>'Data Inputs'!A10</f>
        <v>Hexane</v>
      </c>
      <c r="B9" s="127">
        <f>'Data Inputs'!B10</f>
        <v>265.23</v>
      </c>
      <c r="C9" s="151" t="str">
        <f t="shared" si="0"/>
        <v>NA</v>
      </c>
      <c r="E9" s="129"/>
      <c r="F9" s="119"/>
      <c r="G9" s="290"/>
      <c r="H9" s="290"/>
      <c r="I9" s="120"/>
      <c r="J9" s="120"/>
      <c r="K9" s="120"/>
      <c r="L9" s="120"/>
      <c r="M9" s="120"/>
      <c r="N9" s="120"/>
      <c r="O9" s="120"/>
      <c r="P9" s="131">
        <f>'Data Inputs'!B9/(Q$9*'Data Inputs'!C9)</f>
        <v>1.2386866618220255E-5</v>
      </c>
      <c r="Q9" s="132">
        <f>SUM('Data Inputs'!B9:B18)</f>
        <v>908.22</v>
      </c>
      <c r="R9" s="133">
        <f>(P28*0.249)/Q9</f>
        <v>3.6330373901756081</v>
      </c>
      <c r="S9" s="134" t="e">
        <f>C8/($C$18*'Data Inputs'!C9)</f>
        <v>#VALUE!</v>
      </c>
      <c r="W9" s="128">
        <f t="shared" si="1"/>
        <v>265.23</v>
      </c>
    </row>
    <row r="10" spans="1:23" s="122" customFormat="1" ht="18" customHeight="1" x14ac:dyDescent="0.3">
      <c r="A10" s="126" t="str">
        <f>'Data Inputs'!A11</f>
        <v>Pentane</v>
      </c>
      <c r="B10" s="127">
        <f>'Data Inputs'!B11</f>
        <v>357.79</v>
      </c>
      <c r="C10" s="151" t="str">
        <f t="shared" si="0"/>
        <v>NA</v>
      </c>
      <c r="E10" s="129"/>
      <c r="F10" s="119"/>
      <c r="G10" s="290"/>
      <c r="H10" s="290"/>
      <c r="I10" s="120"/>
      <c r="J10" s="120"/>
      <c r="K10" s="120"/>
      <c r="L10" s="120"/>
      <c r="M10" s="120"/>
      <c r="N10" s="120"/>
      <c r="O10" s="120"/>
      <c r="P10" s="131">
        <f>'Data Inputs'!B10/(Q$9*'Data Inputs'!C10)</f>
        <v>2.6548433399196432E-5</v>
      </c>
      <c r="Q10" s="130"/>
      <c r="R10" s="121"/>
      <c r="S10" s="134" t="e">
        <f>C9/($C$18*'Data Inputs'!C10)</f>
        <v>#VALUE!</v>
      </c>
      <c r="W10" s="128">
        <f t="shared" si="1"/>
        <v>357.79</v>
      </c>
    </row>
    <row r="11" spans="1:23" s="122" customFormat="1" ht="18" customHeight="1" x14ac:dyDescent="0.3">
      <c r="A11" s="126" t="str">
        <f>'Data Inputs'!A12</f>
        <v>Heptane</v>
      </c>
      <c r="B11" s="127">
        <f>'Data Inputs'!B12</f>
        <v>39</v>
      </c>
      <c r="C11" s="151" t="str">
        <f t="shared" si="0"/>
        <v>NA</v>
      </c>
      <c r="E11" s="129"/>
      <c r="F11" s="119"/>
      <c r="G11" s="290"/>
      <c r="H11" s="290"/>
      <c r="I11" s="120"/>
      <c r="J11" s="120"/>
      <c r="K11" s="120"/>
      <c r="L11" s="120"/>
      <c r="M11" s="120"/>
      <c r="N11" s="120"/>
      <c r="O11" s="120"/>
      <c r="P11" s="131">
        <f>'Data Inputs'!B11/(Q$9*'Data Inputs'!C11)</f>
        <v>2.8139028617987462E-5</v>
      </c>
      <c r="Q11" s="130"/>
      <c r="R11" s="121"/>
      <c r="S11" s="134" t="e">
        <f>C10/($C$18*'Data Inputs'!C11)</f>
        <v>#VALUE!</v>
      </c>
      <c r="W11" s="128">
        <f t="shared" si="1"/>
        <v>39</v>
      </c>
    </row>
    <row r="12" spans="1:23" s="122" customFormat="1" ht="18" customHeight="1" x14ac:dyDescent="0.3">
      <c r="A12" s="126" t="str">
        <f>'Data Inputs'!A13</f>
        <v>Octane</v>
      </c>
      <c r="B12" s="127">
        <f>'Data Inputs'!B13</f>
        <v>16.579999999999998</v>
      </c>
      <c r="C12" s="151" t="str">
        <f t="shared" si="0"/>
        <v>NA</v>
      </c>
      <c r="E12" s="129"/>
      <c r="F12" s="119"/>
      <c r="G12" s="290"/>
      <c r="H12" s="290"/>
      <c r="I12" s="120"/>
      <c r="J12" s="120"/>
      <c r="K12" s="120"/>
      <c r="L12" s="120"/>
      <c r="M12" s="120"/>
      <c r="N12" s="120"/>
      <c r="O12" s="120"/>
      <c r="P12" s="131">
        <f>'Data Inputs'!B12/(Q$9*'Data Inputs'!C12)</f>
        <v>5.367642201228777E-6</v>
      </c>
      <c r="Q12" s="130"/>
      <c r="R12" s="121"/>
      <c r="S12" s="134" t="e">
        <f>C11/($C$18*'Data Inputs'!C12)</f>
        <v>#VALUE!</v>
      </c>
      <c r="W12" s="128">
        <f t="shared" si="1"/>
        <v>16.579999999999998</v>
      </c>
    </row>
    <row r="13" spans="1:23" s="122" customFormat="1" ht="18" customHeight="1" x14ac:dyDescent="0.3">
      <c r="A13" s="126" t="str">
        <f>'Data Inputs'!A14</f>
        <v>Ethanol</v>
      </c>
      <c r="B13" s="127">
        <f>'Data Inputs'!B14</f>
        <v>3.62</v>
      </c>
      <c r="C13" s="151" t="str">
        <f t="shared" si="0"/>
        <v>NA</v>
      </c>
      <c r="E13" s="129"/>
      <c r="F13" s="119"/>
      <c r="G13" s="290"/>
      <c r="H13" s="290"/>
      <c r="I13" s="120"/>
      <c r="J13" s="120"/>
      <c r="K13" s="120"/>
      <c r="L13" s="120"/>
      <c r="M13" s="120"/>
      <c r="N13" s="120"/>
      <c r="O13" s="120"/>
      <c r="P13" s="131">
        <f>'Data Inputs'!B13/(Q$9*'Data Inputs'!C13)</f>
        <v>1.8255488758230383E-6</v>
      </c>
      <c r="Q13" s="130"/>
      <c r="R13" s="121"/>
      <c r="S13" s="134" t="e">
        <f>C12/($C$18*'Data Inputs'!C13)</f>
        <v>#VALUE!</v>
      </c>
      <c r="W13" s="128">
        <f t="shared" si="1"/>
        <v>3.62</v>
      </c>
    </row>
    <row r="14" spans="1:23" s="122" customFormat="1" ht="18" customHeight="1" x14ac:dyDescent="0.3">
      <c r="A14" s="126" t="str">
        <f>'Data Inputs'!A15</f>
        <v>Benzene</v>
      </c>
      <c r="B14" s="127">
        <f>'Data Inputs'!B15</f>
        <v>7.59</v>
      </c>
      <c r="C14" s="151" t="str">
        <f t="shared" si="0"/>
        <v>NA</v>
      </c>
      <c r="E14" s="129"/>
      <c r="F14" s="119"/>
      <c r="G14" s="290"/>
      <c r="H14" s="290"/>
      <c r="I14" s="120"/>
      <c r="J14" s="120"/>
      <c r="K14" s="120"/>
      <c r="L14" s="120"/>
      <c r="M14" s="120"/>
      <c r="N14" s="120"/>
      <c r="O14" s="120"/>
      <c r="P14" s="131">
        <f>'Data Inputs'!B14/(Q$9*'Data Inputs'!C14)</f>
        <v>1.3286061380135504E-7</v>
      </c>
      <c r="Q14" s="130"/>
      <c r="R14" s="121"/>
      <c r="S14" s="134" t="e">
        <f>C13/($C$18*'Data Inputs'!C14)</f>
        <v>#VALUE!</v>
      </c>
      <c r="W14" s="128">
        <f t="shared" si="1"/>
        <v>7.59</v>
      </c>
    </row>
    <row r="15" spans="1:23" s="122" customFormat="1" ht="18" customHeight="1" x14ac:dyDescent="0.3">
      <c r="A15" s="126" t="str">
        <f>'Data Inputs'!A16</f>
        <v>Toluene</v>
      </c>
      <c r="B15" s="127">
        <f>'Data Inputs'!B16</f>
        <v>4.66</v>
      </c>
      <c r="C15" s="151" t="str">
        <f t="shared" si="0"/>
        <v>NA</v>
      </c>
      <c r="E15" s="129"/>
      <c r="F15" s="119"/>
      <c r="G15" s="290"/>
      <c r="H15" s="290"/>
      <c r="I15" s="120"/>
      <c r="J15" s="120"/>
      <c r="K15" s="120"/>
      <c r="L15" s="120"/>
      <c r="M15" s="120"/>
      <c r="N15" s="120"/>
      <c r="O15" s="120"/>
      <c r="P15" s="131">
        <f>'Data Inputs'!B15/(Q$9*'Data Inputs'!C15)</f>
        <v>5.9692900083994753E-7</v>
      </c>
      <c r="Q15" s="130"/>
      <c r="R15" s="121"/>
      <c r="S15" s="134" t="e">
        <f>C14/($C$18*'Data Inputs'!C15)</f>
        <v>#VALUE!</v>
      </c>
      <c r="W15" s="128">
        <f t="shared" si="1"/>
        <v>4.66</v>
      </c>
    </row>
    <row r="16" spans="1:23" s="122" customFormat="1" ht="18" customHeight="1" x14ac:dyDescent="0.3">
      <c r="A16" s="126">
        <f>'Data Inputs'!A17</f>
        <v>0</v>
      </c>
      <c r="B16" s="127">
        <f>'Data Inputs'!B17</f>
        <v>0</v>
      </c>
      <c r="C16" s="151" t="str">
        <f t="shared" si="0"/>
        <v>NA</v>
      </c>
      <c r="E16" s="129"/>
      <c r="F16" s="119"/>
      <c r="G16" s="290"/>
      <c r="H16" s="290"/>
      <c r="I16" s="120"/>
      <c r="J16" s="120"/>
      <c r="K16" s="120"/>
      <c r="L16" s="120"/>
      <c r="M16" s="120"/>
      <c r="N16" s="120"/>
      <c r="O16" s="120"/>
      <c r="P16" s="131">
        <f>'Data Inputs'!B16/(Q$9*'Data Inputs'!C16)</f>
        <v>4.6644685608813243E-7</v>
      </c>
      <c r="Q16" s="130"/>
      <c r="R16" s="121"/>
      <c r="S16" s="134" t="e">
        <f>C15/($C$18*'Data Inputs'!C16)</f>
        <v>#VALUE!</v>
      </c>
      <c r="W16" s="128">
        <f t="shared" si="1"/>
        <v>0</v>
      </c>
    </row>
    <row r="17" spans="1:23" s="122" customFormat="1" ht="18" customHeight="1" x14ac:dyDescent="0.3">
      <c r="A17" s="126">
        <f>'Data Inputs'!A18</f>
        <v>0</v>
      </c>
      <c r="B17" s="127">
        <f>'Data Inputs'!B18</f>
        <v>0</v>
      </c>
      <c r="C17" s="151" t="str">
        <f t="shared" si="0"/>
        <v>NA</v>
      </c>
      <c r="E17" s="129"/>
      <c r="F17" s="119"/>
      <c r="G17" s="290"/>
      <c r="H17" s="290"/>
      <c r="I17" s="120"/>
      <c r="J17" s="120"/>
      <c r="K17" s="120"/>
      <c r="L17" s="120"/>
      <c r="M17" s="120"/>
      <c r="N17" s="120"/>
      <c r="O17" s="120"/>
      <c r="P17" s="131" t="e">
        <f>'Data Inputs'!B17/(Q$9*'Data Inputs'!C17)</f>
        <v>#DIV/0!</v>
      </c>
      <c r="Q17" s="130"/>
      <c r="R17" s="121"/>
      <c r="S17" s="134" t="e">
        <f>C16/($C$18*'Data Inputs'!C17)</f>
        <v>#VALUE!</v>
      </c>
      <c r="W17" s="128">
        <f t="shared" si="1"/>
        <v>0</v>
      </c>
    </row>
    <row r="18" spans="1:23" s="122" customFormat="1" ht="18" customHeight="1" x14ac:dyDescent="0.3">
      <c r="A18" s="152" t="s">
        <v>138</v>
      </c>
      <c r="B18" s="258">
        <f>SUM(B8:B17)</f>
        <v>908.22</v>
      </c>
      <c r="C18" s="153">
        <f>SUM(C8:C17)</f>
        <v>0</v>
      </c>
      <c r="D18" s="119"/>
      <c r="E18" s="119"/>
      <c r="F18" s="119"/>
      <c r="G18" s="290"/>
      <c r="H18" s="290"/>
      <c r="I18" s="120"/>
      <c r="J18" s="120"/>
      <c r="K18" s="120"/>
      <c r="L18" s="120"/>
      <c r="M18" s="120"/>
      <c r="N18" s="120"/>
      <c r="O18" s="120"/>
      <c r="P18" s="131" t="e">
        <f>'Data Inputs'!B18/(Q$9*'Data Inputs'!C18)</f>
        <v>#DIV/0!</v>
      </c>
      <c r="Q18" s="130"/>
      <c r="R18" s="121"/>
      <c r="S18" s="134" t="e">
        <f>C17/($C$18*'Data Inputs'!C18)</f>
        <v>#VALUE!</v>
      </c>
    </row>
    <row r="19" spans="1:23" s="122" customFormat="1" ht="18" customHeight="1" x14ac:dyDescent="0.3">
      <c r="A19" s="196"/>
      <c r="B19" s="216"/>
      <c r="C19" s="216"/>
      <c r="D19" s="119"/>
      <c r="E19" s="119"/>
      <c r="F19" s="119"/>
      <c r="G19" s="290"/>
      <c r="H19" s="290"/>
      <c r="I19" s="120"/>
      <c r="J19" s="120"/>
      <c r="K19" s="120"/>
      <c r="L19" s="120"/>
      <c r="M19" s="120"/>
      <c r="N19" s="120"/>
      <c r="O19" s="120"/>
      <c r="P19" s="217"/>
      <c r="Q19" s="129"/>
      <c r="R19" s="121"/>
      <c r="S19" s="134"/>
    </row>
    <row r="20" spans="1:23" s="122" customFormat="1" ht="18" customHeight="1" x14ac:dyDescent="0.3">
      <c r="A20" s="290" t="s">
        <v>139</v>
      </c>
      <c r="B20" s="216"/>
      <c r="C20" s="216"/>
      <c r="D20" s="119"/>
      <c r="E20" s="119"/>
      <c r="F20" s="119"/>
      <c r="G20" s="290"/>
      <c r="H20" s="290"/>
      <c r="I20" s="120"/>
      <c r="J20" s="120"/>
      <c r="K20" s="120"/>
      <c r="L20" s="120"/>
      <c r="M20" s="120"/>
      <c r="N20" s="120"/>
      <c r="O20" s="120"/>
      <c r="P20" s="217"/>
      <c r="Q20" s="129"/>
      <c r="R20" s="121"/>
      <c r="S20" s="134"/>
    </row>
    <row r="21" spans="1:23" s="122" customFormat="1" ht="18" customHeight="1" x14ac:dyDescent="0.3">
      <c r="A21" s="196"/>
      <c r="B21" s="216"/>
      <c r="C21" s="216"/>
      <c r="D21" s="119"/>
      <c r="E21" s="119"/>
      <c r="F21" s="119"/>
      <c r="G21" s="290"/>
      <c r="H21" s="290"/>
      <c r="I21" s="120"/>
      <c r="J21" s="120"/>
      <c r="K21" s="120"/>
      <c r="L21" s="120"/>
      <c r="M21" s="120"/>
      <c r="N21" s="120"/>
      <c r="O21" s="120"/>
      <c r="P21" s="217"/>
      <c r="Q21" s="129"/>
      <c r="R21" s="121"/>
      <c r="S21" s="134"/>
    </row>
    <row r="22" spans="1:23" s="122" customFormat="1" ht="18" customHeight="1" x14ac:dyDescent="0.4">
      <c r="A22" s="130" t="s">
        <v>140</v>
      </c>
      <c r="B22" s="209" t="s">
        <v>141</v>
      </c>
      <c r="C22" s="141">
        <v>77</v>
      </c>
      <c r="D22" s="143" t="s">
        <v>142</v>
      </c>
      <c r="F22" s="119"/>
      <c r="G22" s="290"/>
      <c r="H22" s="290"/>
      <c r="I22" s="120"/>
      <c r="J22" s="120"/>
      <c r="K22" s="120"/>
      <c r="L22" s="120"/>
      <c r="M22" s="120"/>
      <c r="N22" s="120"/>
      <c r="O22" s="120"/>
      <c r="P22" s="217"/>
      <c r="Q22" s="129"/>
      <c r="R22" s="121"/>
      <c r="S22" s="134"/>
    </row>
    <row r="23" spans="1:23" s="122" customFormat="1" ht="18" customHeight="1" x14ac:dyDescent="0.4">
      <c r="A23" s="129" t="s">
        <v>143</v>
      </c>
      <c r="B23" s="46"/>
      <c r="C23" s="144">
        <v>4.0800000000000003E-2</v>
      </c>
      <c r="D23" s="143" t="s">
        <v>144</v>
      </c>
      <c r="F23" s="119"/>
      <c r="G23" s="290"/>
      <c r="H23" s="290"/>
      <c r="I23" s="120"/>
      <c r="J23" s="120"/>
      <c r="K23" s="120"/>
      <c r="L23" s="120"/>
      <c r="M23" s="120"/>
      <c r="N23" s="120"/>
      <c r="O23" s="120"/>
      <c r="P23" s="217"/>
      <c r="Q23" s="129"/>
      <c r="R23" s="121"/>
      <c r="S23" s="134"/>
    </row>
    <row r="24" spans="1:23" s="122" customFormat="1" ht="18" customHeight="1" x14ac:dyDescent="0.4">
      <c r="A24" s="129" t="s">
        <v>145</v>
      </c>
      <c r="B24" s="46"/>
      <c r="C24" s="138">
        <v>21502</v>
      </c>
      <c r="D24" s="143" t="s">
        <v>146</v>
      </c>
      <c r="F24" s="119"/>
      <c r="G24" s="290"/>
      <c r="H24" s="290"/>
      <c r="I24" s="120"/>
      <c r="J24" s="120"/>
      <c r="K24" s="120"/>
      <c r="L24" s="120"/>
      <c r="M24" s="120"/>
      <c r="N24" s="120"/>
      <c r="O24" s="120"/>
      <c r="P24" s="217"/>
      <c r="Q24" s="129"/>
      <c r="R24" s="121"/>
      <c r="S24" s="134"/>
    </row>
    <row r="25" spans="1:23" s="122" customFormat="1" ht="18" customHeight="1" x14ac:dyDescent="0.4">
      <c r="A25" s="129" t="s">
        <v>147</v>
      </c>
      <c r="B25" s="46"/>
      <c r="C25" s="144">
        <v>7.3899999999999993E-2</v>
      </c>
      <c r="D25" s="143" t="s">
        <v>144</v>
      </c>
      <c r="F25" s="119"/>
      <c r="G25" s="290"/>
      <c r="H25" s="290"/>
      <c r="I25" s="120"/>
      <c r="J25" s="120"/>
      <c r="K25" s="120"/>
      <c r="L25" s="120"/>
      <c r="M25" s="120"/>
      <c r="N25" s="120"/>
      <c r="O25" s="120"/>
      <c r="P25" s="217"/>
      <c r="Q25" s="129"/>
      <c r="R25" s="121"/>
      <c r="S25" s="134"/>
    </row>
    <row r="26" spans="1:23" s="122" customFormat="1" ht="18" hidden="1" customHeight="1" x14ac:dyDescent="0.4">
      <c r="A26" s="129" t="s">
        <v>148</v>
      </c>
      <c r="B26" s="208" t="s">
        <v>149</v>
      </c>
      <c r="C26" s="148">
        <v>0.248</v>
      </c>
      <c r="D26" s="143" t="s">
        <v>150</v>
      </c>
      <c r="F26" s="119"/>
      <c r="G26" s="290"/>
      <c r="H26" s="290"/>
      <c r="I26" s="120"/>
      <c r="J26" s="120"/>
      <c r="K26" s="120"/>
      <c r="L26" s="120"/>
      <c r="M26" s="120"/>
      <c r="N26" s="120"/>
      <c r="O26" s="120"/>
      <c r="P26" s="217"/>
      <c r="Q26" s="129"/>
      <c r="R26" s="121"/>
      <c r="S26" s="134"/>
    </row>
    <row r="27" spans="1:23" s="122" customFormat="1" ht="18" x14ac:dyDescent="0.4">
      <c r="A27" s="129" t="s">
        <v>151</v>
      </c>
      <c r="B27" s="208" t="s">
        <v>152</v>
      </c>
      <c r="C27" s="137">
        <v>0.255</v>
      </c>
      <c r="D27" s="137" t="s">
        <v>150</v>
      </c>
      <c r="F27" s="119"/>
      <c r="G27" s="290"/>
      <c r="H27" s="290"/>
      <c r="I27" s="120"/>
      <c r="J27" s="120"/>
      <c r="K27" s="120"/>
      <c r="L27" s="120"/>
      <c r="M27" s="120"/>
      <c r="N27" s="120"/>
      <c r="O27" s="120"/>
      <c r="P27" s="217"/>
      <c r="Q27" s="129"/>
      <c r="R27" s="121"/>
      <c r="S27" s="134"/>
    </row>
    <row r="28" spans="1:23" s="108" customFormat="1" ht="18" customHeight="1" x14ac:dyDescent="0.35">
      <c r="A28" s="31"/>
      <c r="B28" s="31"/>
      <c r="C28" s="31"/>
      <c r="D28" s="31"/>
      <c r="E28" s="31"/>
      <c r="F28" s="31"/>
      <c r="G28" s="45"/>
      <c r="H28" s="45"/>
      <c r="I28" s="106"/>
      <c r="J28" s="106"/>
      <c r="K28" s="106"/>
      <c r="L28" s="106"/>
      <c r="M28" s="106"/>
      <c r="N28" s="106"/>
      <c r="O28" s="106" t="s">
        <v>153</v>
      </c>
      <c r="P28" s="200">
        <f>1/(SUMIF(P9:P18,"&gt;0"))</f>
        <v>13251.394451828479</v>
      </c>
      <c r="Q28" s="92"/>
      <c r="R28" s="107"/>
      <c r="S28" s="200" t="e">
        <f>(SUMIF(S9:S18,"&gt;0"))^-1</f>
        <v>#DIV/0!</v>
      </c>
    </row>
    <row r="29" spans="1:23" s="46" customFormat="1" ht="18" customHeight="1" x14ac:dyDescent="0.3">
      <c r="A29" s="292" t="s">
        <v>154</v>
      </c>
      <c r="B29" s="357" t="s">
        <v>155</v>
      </c>
      <c r="C29" s="357"/>
      <c r="D29" s="292" t="s">
        <v>156</v>
      </c>
      <c r="E29" s="292" t="s">
        <v>157</v>
      </c>
      <c r="F29" s="292" t="s">
        <v>156</v>
      </c>
      <c r="G29" s="292" t="s">
        <v>157</v>
      </c>
      <c r="H29" s="175"/>
      <c r="I29" s="176"/>
      <c r="J29" s="176"/>
      <c r="K29" s="47"/>
      <c r="L29" s="47"/>
      <c r="M29" s="47"/>
      <c r="N29" s="47"/>
      <c r="O29" s="47"/>
      <c r="P29" s="48"/>
      <c r="Q29" s="48"/>
      <c r="R29" s="48"/>
      <c r="S29" s="49"/>
      <c r="T29" s="49"/>
      <c r="U29" s="49"/>
    </row>
    <row r="30" spans="1:23" s="46" customFormat="1" ht="40.5" customHeight="1" x14ac:dyDescent="0.4">
      <c r="A30" s="196" t="s">
        <v>158</v>
      </c>
      <c r="B30" s="196" t="s">
        <v>159</v>
      </c>
      <c r="C30" s="119"/>
      <c r="D30" s="197">
        <f>SUM('Data Inputs'!B9:B18)</f>
        <v>908.22</v>
      </c>
      <c r="E30" s="198" t="s">
        <v>160</v>
      </c>
      <c r="F30" s="119"/>
      <c r="G30" s="119"/>
      <c r="H30" s="290"/>
      <c r="I30" s="120"/>
      <c r="J30" s="120"/>
      <c r="K30" s="120"/>
      <c r="L30" s="47"/>
      <c r="M30" s="47"/>
      <c r="N30" s="47"/>
      <c r="O30" s="47"/>
      <c r="P30" s="48"/>
      <c r="Q30" s="48"/>
      <c r="R30" s="48"/>
      <c r="S30" s="49"/>
      <c r="T30" s="49"/>
      <c r="U30" s="49"/>
    </row>
    <row r="31" spans="1:23" s="46" customFormat="1" ht="40.5" customHeight="1" x14ac:dyDescent="0.4">
      <c r="A31" s="135" t="s">
        <v>161</v>
      </c>
      <c r="B31" s="142" t="s">
        <v>162</v>
      </c>
      <c r="C31" s="130"/>
      <c r="D31" s="201">
        <f>P28</f>
        <v>13251.394451828479</v>
      </c>
      <c r="E31" s="199" t="s">
        <v>160</v>
      </c>
      <c r="K31" s="120"/>
      <c r="L31" s="47"/>
      <c r="M31" s="47"/>
      <c r="N31" s="47"/>
      <c r="O31" s="47"/>
      <c r="P31" s="48"/>
      <c r="Q31" s="48"/>
      <c r="R31" s="48"/>
      <c r="S31" s="49"/>
      <c r="T31" s="49"/>
      <c r="U31" s="49"/>
    </row>
    <row r="32" spans="1:23" s="46" customFormat="1" ht="48" customHeight="1" x14ac:dyDescent="0.3">
      <c r="A32" s="135"/>
      <c r="B32" s="366" t="s">
        <v>163</v>
      </c>
      <c r="C32" s="366"/>
      <c r="D32" s="197"/>
      <c r="E32" s="198"/>
      <c r="K32" s="120"/>
      <c r="L32" s="47"/>
      <c r="M32" s="47"/>
      <c r="N32" s="47"/>
      <c r="O32" s="47"/>
      <c r="P32" s="48"/>
      <c r="Q32" s="48"/>
      <c r="R32" s="48"/>
      <c r="S32" s="49"/>
      <c r="T32" s="49"/>
      <c r="U32" s="49"/>
    </row>
    <row r="33" spans="1:27" s="130" customFormat="1" ht="36.75" customHeight="1" x14ac:dyDescent="0.4">
      <c r="A33" s="135" t="s">
        <v>164</v>
      </c>
      <c r="B33" s="142" t="s">
        <v>165</v>
      </c>
      <c r="D33" s="136">
        <f>(D30/D31)*100</f>
        <v>6.8537692640692631</v>
      </c>
      <c r="E33" s="137" t="str">
        <f>IF(D33&lt;25,"percent","percent*")</f>
        <v>percent</v>
      </c>
      <c r="F33" s="367" t="str">
        <f>IF(D33&gt;25, "*Note: Since the LEL of the waste gas stream is above 25%, dilution air must be added to bring the LEL of the mixture below 25%. The concentrations of each pollutant adjusted for dilution air are shown in the table above.", "* Note: Since the LEL of the waste gas stream is below 25%, no dilution air is needed.")</f>
        <v>* Note: Since the LEL of the waste gas stream is below 25%, no dilution air is needed.</v>
      </c>
      <c r="G33" s="367"/>
      <c r="H33" s="367"/>
      <c r="I33" s="367"/>
      <c r="J33" s="367"/>
    </row>
    <row r="34" spans="1:27" s="130" customFormat="1" ht="36.75" customHeight="1" x14ac:dyDescent="0.4">
      <c r="A34" s="135" t="s">
        <v>166</v>
      </c>
      <c r="B34" s="196" t="s">
        <v>167</v>
      </c>
      <c r="D34" s="202" t="str">
        <f>IF(D33&gt;25,D31*0.249/D30, "Not applicable")</f>
        <v>Not applicable</v>
      </c>
      <c r="E34" s="137" t="str">
        <f>IF(D33&lt;25," ","*")</f>
        <v xml:space="preserve"> </v>
      </c>
      <c r="F34" s="367"/>
      <c r="G34" s="367"/>
      <c r="H34" s="367"/>
      <c r="I34" s="367"/>
      <c r="J34" s="367"/>
    </row>
    <row r="35" spans="1:27" s="130" customFormat="1" ht="36.75" customHeight="1" x14ac:dyDescent="0.4">
      <c r="A35" s="135" t="s">
        <v>168</v>
      </c>
      <c r="B35" s="142" t="s">
        <v>169</v>
      </c>
      <c r="D35" s="177" t="str">
        <f>IF(D33&lt;25, "Not Applicable", (C18/S28)*100)</f>
        <v>Not Applicable</v>
      </c>
      <c r="E35" s="137" t="str">
        <f>IF(D33&lt;25," ","percent*")</f>
        <v xml:space="preserve"> </v>
      </c>
    </row>
    <row r="36" spans="1:27" s="130" customFormat="1" ht="36" customHeight="1" x14ac:dyDescent="0.3">
      <c r="A36" s="135" t="str">
        <f>"Inlet volumetric flow rate(Qwi)"&amp;IF(D33&gt;25, " (Adjusted for dilution air)", " ")&amp;"at 77°F and 1 atm."</f>
        <v>Inlet volumetric flow rate(Qwi) at 77°F and 1 atm.</v>
      </c>
      <c r="B36" s="130" t="str">
        <f>"(From Data Entry Tab"&amp;(IF(D34="Not applicable",") = ","; adjusted for dilution air) ="))</f>
        <v xml:space="preserve">(From Data Entry Tab) = </v>
      </c>
      <c r="D36" s="138">
        <f>IF(D35="Not applicable", 'Data Inputs'!B23, (('Data Inputs'!B23*((1/D34)-1))+'Data Inputs'!B23))</f>
        <v>20000</v>
      </c>
      <c r="E36" s="137" t="s">
        <v>170</v>
      </c>
    </row>
    <row r="37" spans="1:27" s="130" customFormat="1" ht="29.25" customHeight="1" x14ac:dyDescent="0.4">
      <c r="A37" s="130" t="s">
        <v>171</v>
      </c>
      <c r="B37" s="142" t="s">
        <v>172</v>
      </c>
      <c r="D37" s="139">
        <f>IF(D33&lt;25, (100-((B18/1000000))*100)*0.209, (100-(C18/1000000)*100)*0.209)</f>
        <v>20.881018202</v>
      </c>
      <c r="E37" s="137" t="s">
        <v>173</v>
      </c>
      <c r="F37" s="140" t="str">
        <f>IF(D37&lt;20, "* Stop: Waste gas contains less than 20% oxygen. Cost methodology applies only to waste gas streams with an oxygen content of at least 20% by volume. Please correct the concentrations entered on the Data Inputs sheet before continuing.", " ")</f>
        <v xml:space="preserve"> </v>
      </c>
      <c r="G37" s="140"/>
      <c r="H37" s="140"/>
      <c r="I37" s="140"/>
    </row>
    <row r="38" spans="1:27" s="46" customFormat="1" ht="18.600000000000001" x14ac:dyDescent="0.4">
      <c r="A38" s="130" t="s">
        <v>174</v>
      </c>
      <c r="B38" s="361" t="s">
        <v>175</v>
      </c>
      <c r="C38" s="361"/>
      <c r="D38" s="141">
        <f>((0.000117)*(D36)*('Data Inputs'!B24))/('Data Inputs'!B25/100)</f>
        <v>74.099999999999994</v>
      </c>
      <c r="E38" s="137" t="s">
        <v>176</v>
      </c>
      <c r="J38" s="47"/>
      <c r="K38" s="47"/>
      <c r="L38" s="47"/>
      <c r="M38" s="47"/>
      <c r="N38" s="47"/>
      <c r="O38" s="47"/>
      <c r="P38" s="48"/>
      <c r="Q38" s="48"/>
      <c r="R38" s="48"/>
      <c r="S38" s="49"/>
      <c r="T38" s="49"/>
      <c r="U38" s="49"/>
    </row>
    <row r="39" spans="1:27" s="46" customFormat="1" ht="18" x14ac:dyDescent="0.4">
      <c r="A39" s="130" t="s">
        <v>177</v>
      </c>
      <c r="B39" s="142" t="s">
        <v>178</v>
      </c>
      <c r="C39" s="142"/>
      <c r="D39" s="138">
        <f>D36</f>
        <v>20000</v>
      </c>
      <c r="E39" s="137" t="s">
        <v>170</v>
      </c>
      <c r="J39" s="47"/>
      <c r="K39" s="47"/>
      <c r="L39" s="47"/>
      <c r="M39" s="47"/>
      <c r="N39" s="47"/>
      <c r="O39" s="47"/>
      <c r="P39" s="48"/>
      <c r="Q39" s="48"/>
      <c r="R39" s="48"/>
      <c r="S39" s="49"/>
      <c r="T39" s="49"/>
      <c r="U39" s="49"/>
    </row>
    <row r="40" spans="1:27" s="46" customFormat="1" ht="18" x14ac:dyDescent="0.4">
      <c r="A40" s="129" t="s">
        <v>179</v>
      </c>
      <c r="B40" s="130" t="s">
        <v>180</v>
      </c>
      <c r="C40" s="142"/>
      <c r="D40" s="138">
        <f>'Data Inputs'!B27</f>
        <v>1625</v>
      </c>
      <c r="E40" s="143" t="s">
        <v>142</v>
      </c>
      <c r="J40" s="47"/>
      <c r="K40" s="47"/>
      <c r="M40" s="47"/>
      <c r="N40" s="47"/>
      <c r="O40" s="47" t="s">
        <v>181</v>
      </c>
      <c r="P40" s="47">
        <f>IF('Data Inputs'!X21=1,0,(IF('Data Inputs'!X21=2,0.35,(IF('Data Inputs'!X21=3,0.5,(IF('Data Inputs'!X21=4,0.7)))))))</f>
        <v>0</v>
      </c>
      <c r="Q40" s="48"/>
      <c r="R40" s="48"/>
      <c r="S40" s="49"/>
      <c r="T40" s="49"/>
      <c r="U40" s="49"/>
    </row>
    <row r="41" spans="1:27" s="46" customFormat="1" ht="18" x14ac:dyDescent="0.4">
      <c r="A41" s="129" t="s">
        <v>182</v>
      </c>
      <c r="B41" s="361" t="s">
        <v>183</v>
      </c>
      <c r="C41" s="361"/>
      <c r="D41" s="138">
        <f>(P40*('Design Parameters'!D40-'Data Inputs'!B26)+'Data Inputs'!B26)</f>
        <v>100</v>
      </c>
      <c r="E41" s="143" t="s">
        <v>142</v>
      </c>
      <c r="F41" s="46" t="s">
        <v>184</v>
      </c>
      <c r="J41" s="47"/>
      <c r="K41" s="47"/>
      <c r="L41" s="47"/>
      <c r="M41" s="47"/>
      <c r="N41" s="47"/>
      <c r="O41" s="47"/>
      <c r="P41" s="48"/>
      <c r="Q41" s="48"/>
      <c r="R41" s="48"/>
      <c r="S41" s="49"/>
      <c r="T41" s="49"/>
      <c r="U41" s="49"/>
    </row>
    <row r="42" spans="1:27" s="46" customFormat="1" ht="18" x14ac:dyDescent="0.4">
      <c r="A42" s="129" t="s">
        <v>185</v>
      </c>
      <c r="B42" s="293" t="s">
        <v>186</v>
      </c>
      <c r="C42" s="293"/>
      <c r="D42" s="138">
        <f>D40-D41+'Data Inputs'!B26</f>
        <v>1625</v>
      </c>
      <c r="E42" s="143" t="s">
        <v>142</v>
      </c>
      <c r="F42" s="240" t="s">
        <v>187</v>
      </c>
      <c r="J42" s="47"/>
      <c r="K42" s="47"/>
      <c r="L42" s="47"/>
      <c r="M42" s="47"/>
      <c r="N42" s="47"/>
      <c r="O42" s="47"/>
      <c r="P42" s="48"/>
      <c r="Q42" s="48"/>
      <c r="R42" s="48"/>
      <c r="S42" s="49"/>
      <c r="T42" s="49"/>
      <c r="U42" s="49"/>
    </row>
    <row r="43" spans="1:27" s="46" customFormat="1" ht="18" hidden="1" x14ac:dyDescent="0.4">
      <c r="A43" s="129" t="s">
        <v>188</v>
      </c>
      <c r="B43" s="293" t="s">
        <v>189</v>
      </c>
      <c r="C43" s="293"/>
      <c r="D43" s="138">
        <f>D40-(0.95*(D40-'Data Inputs'!B26))</f>
        <v>176.25</v>
      </c>
      <c r="E43" s="143" t="s">
        <v>142</v>
      </c>
      <c r="F43" s="240" t="s">
        <v>190</v>
      </c>
      <c r="J43" s="47"/>
      <c r="K43" s="47"/>
      <c r="L43" s="47"/>
      <c r="M43" s="47"/>
      <c r="N43" s="47"/>
      <c r="O43" s="47"/>
      <c r="P43" s="48"/>
      <c r="Q43" s="48"/>
      <c r="R43" s="48"/>
      <c r="S43" s="49"/>
      <c r="T43" s="49"/>
      <c r="U43" s="49"/>
    </row>
    <row r="44" spans="1:27" s="46" customFormat="1" ht="55.5" customHeight="1" x14ac:dyDescent="0.3">
      <c r="A44" s="206" t="s">
        <v>191</v>
      </c>
      <c r="B44" s="362" t="s">
        <v>192</v>
      </c>
      <c r="C44" s="362"/>
      <c r="D44" s="136">
        <f>(W8/1000000)*'Data Inputs'!D9+(W9/1000000)*'Data Inputs'!D10+(W10/1000000)*'Data Inputs'!D11+(W11/1000000)*'Data Inputs'!D12+(W12/1000000)*'Data Inputs'!D13+(W13/1000000)*'Data Inputs'!D14+(W14/1000000)*'Data Inputs'!D15+(W15/1000000)*'Data Inputs'!D16+(W16/1000000)*'Data Inputs'!D17+(W17/1000000)*'Data Inputs'!D18</f>
        <v>3.5594757700000006</v>
      </c>
      <c r="E44" s="137" t="s">
        <v>193</v>
      </c>
      <c r="F44" s="141">
        <f>D44/0.0739</f>
        <v>48.166113261163744</v>
      </c>
      <c r="G44" s="137" t="s">
        <v>146</v>
      </c>
      <c r="J44" s="47"/>
      <c r="K44" s="47"/>
      <c r="L44" s="47"/>
      <c r="M44" s="47"/>
      <c r="N44" s="47"/>
      <c r="O44" s="47"/>
      <c r="P44" s="48"/>
      <c r="Q44" s="48"/>
      <c r="R44" s="48"/>
      <c r="S44" s="49"/>
      <c r="T44" s="49"/>
      <c r="U44" s="49"/>
    </row>
    <row r="45" spans="1:27" s="46" customFormat="1" ht="30.75" customHeight="1" x14ac:dyDescent="0.4">
      <c r="A45" s="130" t="s">
        <v>194</v>
      </c>
      <c r="B45" s="361" t="str">
        <f>IF('Data Inputs'!V3=6,"(Calculated using Equation 2.45 in Appendix B)","(Calculated using Equation 2.21 in Chapter 2 of the Cost Manual)")</f>
        <v>(Calculated using Equation 2.21 in Chapter 2 of the Cost Manual)</v>
      </c>
      <c r="C45" s="361"/>
      <c r="D45" s="213">
        <f>IF('Data Inputs'!V3=6,T45,(IF('Data Inputs'!V3=1," ",P45)))</f>
        <v>653.71422684255992</v>
      </c>
      <c r="E45" s="137" t="str">
        <f>IF(P45&lt;0, "scfm*", "scfm")</f>
        <v>scfm</v>
      </c>
      <c r="F45" s="370" t="str">
        <f>IF(D45&lt;0, "Note: Negative value for calculated Qaf indicates that the waste gas is sufficient to support combustion.", " ")</f>
        <v xml:space="preserve"> </v>
      </c>
      <c r="G45" s="370"/>
      <c r="H45" s="370"/>
      <c r="I45" s="211"/>
      <c r="J45" s="211"/>
      <c r="K45" s="211"/>
      <c r="L45" s="47"/>
      <c r="M45" s="47"/>
      <c r="N45" s="47"/>
      <c r="O45" s="47" t="s">
        <v>195</v>
      </c>
      <c r="P45" s="241">
        <f>((C25*D39*((IF('Data Inputs'!V3=2, C27, C26))*((1.1*D40)-D41-(0.1*C22))-F44))/(C24-(1.1*(IF('Data Inputs'!V3=2, C27, C26))*(D40-C22))))/C23</f>
        <v>653.71422684255992</v>
      </c>
      <c r="Q45" s="120" t="s">
        <v>196</v>
      </c>
      <c r="R45" s="242">
        <f>IF($D$46&lt;D47, $D$47, $P$45)</f>
        <v>653.71422684255992</v>
      </c>
      <c r="S45" s="241" t="s">
        <v>197</v>
      </c>
      <c r="T45" s="243">
        <f>V49</f>
        <v>-48.447019916323946</v>
      </c>
      <c r="U45" s="244" t="s">
        <v>198</v>
      </c>
      <c r="V45" s="284">
        <f>IF($T$45&lt;D47, $D$47, $T$45)</f>
        <v>29297.815756671826</v>
      </c>
      <c r="W45" s="122"/>
      <c r="X45" s="122"/>
    </row>
    <row r="46" spans="1:27" s="46" customFormat="1" ht="15.6" x14ac:dyDescent="0.3">
      <c r="A46" s="130" t="s">
        <v>199</v>
      </c>
      <c r="B46" s="293"/>
      <c r="C46" s="293"/>
      <c r="D46" s="201">
        <f>IF(D45&gt;0,(C23*D45*C24), 0)</f>
        <v>573491.46286720398</v>
      </c>
      <c r="E46" s="137" t="s">
        <v>200</v>
      </c>
      <c r="F46" s="370"/>
      <c r="G46" s="370"/>
      <c r="H46" s="370"/>
      <c r="I46" s="211"/>
      <c r="J46" s="211"/>
      <c r="K46" s="211"/>
      <c r="L46" s="47"/>
      <c r="M46" s="47"/>
      <c r="N46" s="47"/>
      <c r="O46" s="47"/>
      <c r="P46" s="241"/>
      <c r="Q46" s="120"/>
      <c r="R46" s="242"/>
      <c r="S46" s="129"/>
      <c r="T46" s="129"/>
      <c r="U46" s="129" t="s">
        <v>201</v>
      </c>
      <c r="V46" s="129"/>
      <c r="W46" s="122"/>
      <c r="X46" s="122"/>
    </row>
    <row r="47" spans="1:27" s="46" customFormat="1" ht="18" x14ac:dyDescent="0.4">
      <c r="A47" s="130" t="s">
        <v>202</v>
      </c>
      <c r="B47" s="361" t="s">
        <v>203</v>
      </c>
      <c r="C47" s="361"/>
      <c r="D47" s="218">
        <f>((D39+(IF(D45&lt;0, 0, D45)))*(C25)*(IF(OR('Data Inputs'!V3=2,'Data Inputs'!V3=6), C26, C27))*(D40-C22)*(5/100))</f>
        <v>29297.815756671826</v>
      </c>
      <c r="E47" s="137" t="s">
        <v>200</v>
      </c>
      <c r="F47" s="211"/>
      <c r="G47" s="211"/>
      <c r="H47" s="211"/>
      <c r="I47" s="211"/>
      <c r="J47" s="211"/>
      <c r="K47" s="211"/>
      <c r="L47" s="47"/>
      <c r="M47" s="47"/>
      <c r="N47" s="47"/>
      <c r="O47" s="47"/>
      <c r="P47" s="241"/>
      <c r="Q47" s="120"/>
      <c r="R47" s="242"/>
      <c r="S47" s="120"/>
      <c r="T47" s="121"/>
      <c r="U47" s="245" t="s">
        <v>204</v>
      </c>
      <c r="V47" s="246">
        <f>C24-(C27*((('Data Inputs'!B30/100)*('Design Parameters'!D43-'Design Parameters'!C22))+('Design Parameters'!D43-'Design Parameters'!C22)))</f>
        <v>21476.69125</v>
      </c>
      <c r="W47" s="279"/>
      <c r="X47" s="281"/>
      <c r="Y47" s="280"/>
      <c r="Z47" s="280"/>
      <c r="AA47" s="282"/>
    </row>
    <row r="48" spans="1:27" s="46" customFormat="1" ht="39" customHeight="1" x14ac:dyDescent="0.3">
      <c r="A48" s="368" t="s">
        <v>205</v>
      </c>
      <c r="B48" s="368"/>
      <c r="C48" s="214"/>
      <c r="D48" s="215" t="str">
        <f>IF(D46&gt;D47, "Yes", "No")</f>
        <v>Yes</v>
      </c>
      <c r="E48" s="137"/>
      <c r="F48" s="371" t="str">
        <f>IF(D48="Yes", " ", "Note: Additional auxiliary fuel equivalent to 5% of total energy input is required to stabilize combustion.")</f>
        <v xml:space="preserve"> </v>
      </c>
      <c r="G48" s="371"/>
      <c r="H48" s="371"/>
      <c r="I48" s="211"/>
      <c r="J48" s="211"/>
      <c r="K48" s="211"/>
      <c r="L48" s="47"/>
      <c r="M48" s="47"/>
      <c r="N48" s="47"/>
      <c r="O48" s="47"/>
      <c r="P48" s="241"/>
      <c r="Q48" s="120"/>
      <c r="R48" s="242"/>
      <c r="S48" s="120"/>
      <c r="T48" s="120"/>
      <c r="U48" s="245" t="s">
        <v>206</v>
      </c>
      <c r="V48" s="246">
        <f>C25*D39*(C27*((('Data Inputs'!B30/100)*(D43-C22))+(D43-'Data Inputs'!B26))-F44)</f>
        <v>-42451.652900000008</v>
      </c>
      <c r="W48" s="246"/>
      <c r="X48" s="281"/>
      <c r="Y48" s="246"/>
      <c r="Z48" s="280"/>
      <c r="AA48" s="283"/>
    </row>
    <row r="49" spans="1:24" s="46" customFormat="1" ht="15.6" x14ac:dyDescent="0.3">
      <c r="A49" s="130" t="str">
        <f>"Auxiliary fuel flow (Qaf) "&amp;(IF(D48="No", "(adjusted for fuel required for combustion stabilization)", " "))&amp;"at 77°F and 1 atm. ="</f>
        <v>Auxiliary fuel flow (Qaf)  at 77°F and 1 atm. =</v>
      </c>
      <c r="B49" s="293"/>
      <c r="C49" s="293"/>
      <c r="D49" s="213">
        <f>IF(D48="Yes", D45, (IF(D48="No",D47/( C23*C24))))</f>
        <v>653.71422684255992</v>
      </c>
      <c r="E49" s="137" t="s">
        <v>170</v>
      </c>
      <c r="F49" s="371"/>
      <c r="G49" s="371"/>
      <c r="H49" s="371"/>
      <c r="I49" s="211"/>
      <c r="J49" s="211"/>
      <c r="K49" s="211"/>
      <c r="L49" s="47"/>
      <c r="M49" s="47"/>
      <c r="N49" s="47"/>
      <c r="O49" s="47"/>
      <c r="P49" s="241"/>
      <c r="Q49" s="120"/>
      <c r="R49" s="242"/>
      <c r="S49" s="120"/>
      <c r="T49" s="121"/>
      <c r="U49" s="245" t="s">
        <v>207</v>
      </c>
      <c r="V49" s="245">
        <f>(V48/V47)/C23</f>
        <v>-48.447019916323946</v>
      </c>
      <c r="W49" s="122"/>
      <c r="X49" s="122"/>
    </row>
    <row r="50" spans="1:24" s="46" customFormat="1" ht="18" x14ac:dyDescent="0.4">
      <c r="A50" s="145" t="s">
        <v>208</v>
      </c>
      <c r="B50" s="365" t="s">
        <v>209</v>
      </c>
      <c r="C50" s="365"/>
      <c r="D50" s="146">
        <f>D39+D49</f>
        <v>20653.71422684256</v>
      </c>
      <c r="E50" s="147" t="str">
        <f>IF(P45&lt;0, "scfm*", "scfm")</f>
        <v>scfm</v>
      </c>
      <c r="F50" s="211"/>
      <c r="G50" s="211"/>
      <c r="H50" s="211"/>
      <c r="I50" s="211"/>
      <c r="J50" s="211"/>
      <c r="K50" s="211"/>
      <c r="L50" s="47"/>
      <c r="M50" s="47"/>
      <c r="N50" s="47"/>
      <c r="O50" s="212"/>
      <c r="P50" s="122"/>
      <c r="Q50" s="120"/>
      <c r="R50" s="121"/>
      <c r="S50" s="129"/>
      <c r="T50" s="129"/>
      <c r="U50" s="129"/>
      <c r="V50" s="129"/>
      <c r="W50" s="122"/>
      <c r="X50" s="122"/>
    </row>
    <row r="51" spans="1:24" s="46" customFormat="1" ht="15.6" hidden="1" x14ac:dyDescent="0.3">
      <c r="A51" s="145"/>
      <c r="B51" s="291"/>
      <c r="C51" s="291"/>
      <c r="D51" s="146"/>
      <c r="E51" s="147"/>
      <c r="F51" s="211"/>
      <c r="G51" s="211"/>
      <c r="H51" s="211"/>
      <c r="I51" s="211"/>
      <c r="J51" s="211"/>
      <c r="K51" s="211"/>
      <c r="L51" s="47"/>
      <c r="M51" s="47"/>
      <c r="N51" s="47"/>
      <c r="O51" s="212"/>
      <c r="P51" s="122"/>
      <c r="Q51" s="120"/>
      <c r="R51" s="121"/>
      <c r="S51" s="129"/>
      <c r="T51" s="129"/>
      <c r="U51" s="129"/>
      <c r="V51" s="129"/>
      <c r="W51" s="122"/>
      <c r="X51" s="122"/>
    </row>
    <row r="52" spans="1:24" s="46" customFormat="1" ht="17.25" hidden="1" customHeight="1" x14ac:dyDescent="0.3">
      <c r="A52" s="369" t="s">
        <v>210</v>
      </c>
      <c r="B52" s="369"/>
      <c r="C52" s="369"/>
      <c r="D52" s="251"/>
      <c r="E52" s="252"/>
      <c r="F52" s="211"/>
      <c r="G52" s="211"/>
      <c r="H52" s="211"/>
      <c r="I52" s="211"/>
      <c r="J52" s="211"/>
      <c r="K52" s="211"/>
      <c r="L52" s="47"/>
      <c r="M52" s="47"/>
      <c r="N52" s="47"/>
      <c r="O52" s="212"/>
      <c r="P52" s="122"/>
      <c r="Q52" s="120"/>
      <c r="R52" s="121"/>
      <c r="S52" s="129"/>
      <c r="T52" s="129"/>
      <c r="U52" s="129"/>
      <c r="V52" s="129"/>
      <c r="W52" s="122"/>
      <c r="X52" s="122"/>
    </row>
    <row r="53" spans="1:24" s="130" customFormat="1" ht="18" hidden="1" x14ac:dyDescent="0.4">
      <c r="A53" s="130" t="s">
        <v>211</v>
      </c>
      <c r="B53" s="142" t="s">
        <v>212</v>
      </c>
      <c r="D53" s="138">
        <f>D50*(519/(77+460))</f>
        <v>19961.410956669068</v>
      </c>
      <c r="E53" s="137" t="s">
        <v>170</v>
      </c>
      <c r="F53" s="211"/>
      <c r="G53" s="211"/>
      <c r="H53" s="211"/>
      <c r="I53" s="211"/>
      <c r="J53" s="211"/>
      <c r="K53" s="211"/>
      <c r="S53" s="219"/>
      <c r="T53" s="219"/>
    </row>
    <row r="54" spans="1:24" s="130" customFormat="1" ht="18" hidden="1" x14ac:dyDescent="0.3">
      <c r="A54" s="253" t="s">
        <v>213</v>
      </c>
      <c r="B54" s="366" t="s">
        <v>214</v>
      </c>
      <c r="C54" s="366"/>
      <c r="D54" s="254">
        <f>IF(OR('Data Inputs'!V3=3,'Data Inputs'!V3=4,'Data Inputs'!V3=5),((D53/'Data Inputs'!B35)*60),0)</f>
        <v>0</v>
      </c>
      <c r="E54" s="143" t="s">
        <v>215</v>
      </c>
    </row>
    <row r="55" spans="1:24" s="130" customFormat="1" ht="18" hidden="1" x14ac:dyDescent="0.4">
      <c r="A55" s="130" t="s">
        <v>216</v>
      </c>
      <c r="B55" s="361" t="s">
        <v>217</v>
      </c>
      <c r="C55" s="361"/>
      <c r="D55" s="138">
        <f>(C23*D49*(C24+(1.1*C26*C22))+(C25*D39*C26*(D41+(0.1*C22))))/(1.1*C26*(C23*D49+C25*D39))</f>
        <v>1494.6815416579288</v>
      </c>
      <c r="E55" s="143" t="s">
        <v>142</v>
      </c>
    </row>
    <row r="56" spans="1:24" s="46" customFormat="1" ht="15.6" x14ac:dyDescent="0.3">
      <c r="J56" s="47"/>
      <c r="K56" s="47"/>
      <c r="L56" s="47"/>
      <c r="M56" s="47"/>
      <c r="N56" s="47"/>
      <c r="S56" s="49"/>
      <c r="T56" s="49"/>
      <c r="U56" s="49"/>
    </row>
    <row r="57" spans="1:24" s="130" customFormat="1" ht="15.6" x14ac:dyDescent="0.3">
      <c r="A57" s="173" t="s">
        <v>218</v>
      </c>
      <c r="B57" s="174"/>
      <c r="C57" s="174"/>
      <c r="D57" s="174"/>
      <c r="E57" s="174"/>
      <c r="F57" s="129"/>
      <c r="G57" s="129"/>
      <c r="H57" s="129"/>
      <c r="I57" s="129"/>
      <c r="J57" s="129"/>
    </row>
    <row r="58" spans="1:24" s="130" customFormat="1" ht="15.6" x14ac:dyDescent="0.3">
      <c r="B58" s="142"/>
    </row>
    <row r="59" spans="1:24" s="46" customFormat="1" ht="15.6" x14ac:dyDescent="0.3">
      <c r="A59" s="292" t="s">
        <v>154</v>
      </c>
      <c r="B59" s="357" t="s">
        <v>155</v>
      </c>
      <c r="C59" s="357"/>
      <c r="D59" s="292" t="s">
        <v>156</v>
      </c>
      <c r="E59" s="249"/>
      <c r="I59" s="47"/>
      <c r="J59" s="47"/>
      <c r="K59" s="47"/>
      <c r="L59" s="47"/>
      <c r="M59" s="47"/>
      <c r="N59" s="47"/>
      <c r="O59" s="47"/>
      <c r="P59" s="48"/>
      <c r="Q59" s="48"/>
      <c r="R59" s="48"/>
      <c r="S59" s="49"/>
      <c r="T59" s="49"/>
      <c r="U59" s="49"/>
    </row>
    <row r="60" spans="1:24" s="46" customFormat="1" ht="18" customHeight="1" x14ac:dyDescent="0.3">
      <c r="A60" s="145" t="s">
        <v>219</v>
      </c>
      <c r="B60" s="356" t="s">
        <v>220</v>
      </c>
      <c r="C60" s="356"/>
      <c r="D60" s="150">
        <f>(('Data Inputs'!B42/100)*(1+('Data Inputs'!B42/100))^'Data Inputs'!B29)/(((1+('Data Inputs'!B42/100))^'Data Inputs'!B29)-1)</f>
        <v>8.3679330034933205E-2</v>
      </c>
      <c r="E60" s="199"/>
      <c r="I60" s="47"/>
      <c r="J60" s="47"/>
      <c r="K60" s="47"/>
      <c r="L60" s="47"/>
      <c r="M60" s="47"/>
      <c r="N60" s="47"/>
      <c r="O60" s="47"/>
      <c r="P60" s="48"/>
      <c r="Q60" s="48"/>
      <c r="R60" s="48"/>
      <c r="S60" s="49"/>
      <c r="T60" s="49"/>
      <c r="U60" s="49"/>
    </row>
    <row r="61" spans="1:24" s="46" customFormat="1" ht="18" customHeight="1" x14ac:dyDescent="0.3">
      <c r="A61" s="204"/>
      <c r="B61" s="355" t="s">
        <v>221</v>
      </c>
      <c r="C61" s="355"/>
      <c r="D61" s="149"/>
      <c r="E61" s="250"/>
      <c r="I61" s="47"/>
      <c r="J61" s="47"/>
      <c r="K61" s="47"/>
      <c r="L61" s="47"/>
      <c r="M61" s="47"/>
      <c r="N61" s="47"/>
      <c r="O61" s="47"/>
      <c r="P61" s="48"/>
      <c r="Q61" s="48"/>
      <c r="R61" s="48"/>
      <c r="S61" s="49"/>
      <c r="T61" s="49"/>
      <c r="U61" s="49"/>
    </row>
    <row r="62" spans="1:24" s="130" customFormat="1" ht="15.6" x14ac:dyDescent="0.3">
      <c r="D62" s="203"/>
    </row>
    <row r="63" spans="1:24" s="130" customFormat="1" ht="15.6" hidden="1" x14ac:dyDescent="0.3">
      <c r="A63" s="173" t="s">
        <v>222</v>
      </c>
      <c r="B63" s="174"/>
      <c r="C63" s="174"/>
      <c r="D63" s="174"/>
      <c r="E63" s="174"/>
      <c r="F63" s="129"/>
      <c r="G63" s="129"/>
      <c r="H63" s="129"/>
      <c r="I63" s="129"/>
      <c r="J63" s="129"/>
      <c r="K63" s="129"/>
    </row>
    <row r="64" spans="1:24" s="130" customFormat="1" ht="15.6" hidden="1" x14ac:dyDescent="0.3">
      <c r="B64" s="142"/>
      <c r="E64" s="129"/>
      <c r="F64" s="129"/>
      <c r="G64" s="129"/>
      <c r="H64" s="129"/>
      <c r="I64" s="129"/>
      <c r="J64" s="129"/>
      <c r="K64" s="129"/>
    </row>
    <row r="65" spans="1:21" s="46" customFormat="1" ht="15.6" hidden="1" x14ac:dyDescent="0.3">
      <c r="A65" s="292" t="s">
        <v>154</v>
      </c>
      <c r="B65" s="357" t="s">
        <v>155</v>
      </c>
      <c r="C65" s="357"/>
      <c r="D65" s="292" t="s">
        <v>156</v>
      </c>
      <c r="E65" s="249"/>
      <c r="I65" s="47"/>
      <c r="J65" s="47"/>
      <c r="K65" s="47"/>
      <c r="L65" s="47"/>
      <c r="M65" s="47"/>
      <c r="N65" s="47"/>
      <c r="O65" s="47"/>
      <c r="P65" s="48"/>
      <c r="Q65" s="48"/>
      <c r="R65" s="48"/>
      <c r="S65" s="49"/>
      <c r="T65" s="49"/>
      <c r="U65" s="49"/>
    </row>
    <row r="66" spans="1:21" s="46" customFormat="1" ht="15.6" hidden="1" x14ac:dyDescent="0.3">
      <c r="A66" s="145" t="s">
        <v>223</v>
      </c>
      <c r="B66" s="356" t="s">
        <v>224</v>
      </c>
      <c r="C66" s="356"/>
      <c r="D66" s="150" t="str">
        <f>IF(OR('Data Inputs'!V3=3,'Data Inputs'!V3=4,'Data Inputs'!V3=5),('Data Inputs'!B42/100)*(1/(((1+('Data Inputs'!B42/100))^'Data Inputs'!B33)-1)), " ")</f>
        <v xml:space="preserve"> </v>
      </c>
      <c r="E66" s="199"/>
      <c r="I66" s="47"/>
      <c r="J66" s="47"/>
      <c r="K66" s="47"/>
      <c r="L66" s="47"/>
      <c r="M66" s="47"/>
      <c r="N66" s="47"/>
      <c r="O66" s="47"/>
      <c r="P66" s="48"/>
      <c r="Q66" s="48"/>
      <c r="R66" s="48"/>
      <c r="S66" s="49"/>
      <c r="T66" s="49"/>
      <c r="U66" s="49"/>
    </row>
    <row r="67" spans="1:21" s="46" customFormat="1" ht="15.6" hidden="1" x14ac:dyDescent="0.3">
      <c r="A67" s="204"/>
      <c r="B67" s="355" t="s">
        <v>225</v>
      </c>
      <c r="C67" s="355"/>
      <c r="D67" s="205"/>
      <c r="E67" s="250"/>
      <c r="I67" s="47"/>
      <c r="J67" s="47"/>
      <c r="K67" s="47"/>
      <c r="L67" s="47"/>
      <c r="M67" s="47"/>
      <c r="N67" s="47"/>
      <c r="O67" s="47"/>
      <c r="P67" s="48"/>
      <c r="Q67" s="48"/>
      <c r="R67" s="48"/>
      <c r="S67" s="49"/>
      <c r="T67" s="49"/>
      <c r="U67" s="49"/>
    </row>
    <row r="68" spans="1:21" s="130" customFormat="1" ht="15.6" x14ac:dyDescent="0.3"/>
    <row r="69" spans="1:21" s="130" customFormat="1" ht="15.6" x14ac:dyDescent="0.3"/>
    <row r="70" spans="1:21" s="130" customFormat="1" ht="15.6" x14ac:dyDescent="0.3"/>
    <row r="71" spans="1:21" s="130" customFormat="1" ht="15.6" x14ac:dyDescent="0.3"/>
    <row r="72" spans="1:21" s="130" customFormat="1" ht="15.6" x14ac:dyDescent="0.3"/>
    <row r="73" spans="1:21" s="130" customFormat="1" ht="15.6" x14ac:dyDescent="0.3"/>
    <row r="74" spans="1:21" s="130" customFormat="1" ht="15.6" x14ac:dyDescent="0.3"/>
    <row r="75" spans="1:21" s="130" customFormat="1" ht="15.6" x14ac:dyDescent="0.3"/>
    <row r="76" spans="1:21" s="130" customFormat="1" ht="15.6" x14ac:dyDescent="0.3"/>
    <row r="77" spans="1:21" s="130" customFormat="1" ht="15.6" x14ac:dyDescent="0.3"/>
    <row r="78" spans="1:21" s="130" customFormat="1" ht="15.6" x14ac:dyDescent="0.3"/>
    <row r="79" spans="1:21" s="130" customFormat="1" ht="15.6" x14ac:dyDescent="0.3"/>
    <row r="80" spans="1:21" s="130" customFormat="1" ht="15.6" x14ac:dyDescent="0.3"/>
  </sheetData>
  <mergeCells count="24">
    <mergeCell ref="A3:H3"/>
    <mergeCell ref="A1:J1"/>
    <mergeCell ref="B50:C50"/>
    <mergeCell ref="B54:C54"/>
    <mergeCell ref="B32:C32"/>
    <mergeCell ref="F33:J34"/>
    <mergeCell ref="A48:B48"/>
    <mergeCell ref="A52:C52"/>
    <mergeCell ref="F45:H46"/>
    <mergeCell ref="F48:H49"/>
    <mergeCell ref="B61:C61"/>
    <mergeCell ref="B66:C66"/>
    <mergeCell ref="B67:C67"/>
    <mergeCell ref="B65:C65"/>
    <mergeCell ref="A6:C6"/>
    <mergeCell ref="B29:C29"/>
    <mergeCell ref="B38:C38"/>
    <mergeCell ref="B41:C41"/>
    <mergeCell ref="B44:C44"/>
    <mergeCell ref="B45:C45"/>
    <mergeCell ref="B47:C47"/>
    <mergeCell ref="B55:C55"/>
    <mergeCell ref="B59:C59"/>
    <mergeCell ref="B60:C6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76"/>
  <sheetViews>
    <sheetView showGridLines="0" topLeftCell="A68" zoomScaleNormal="100" workbookViewId="0">
      <selection activeCell="E60" sqref="E60"/>
    </sheetView>
  </sheetViews>
  <sheetFormatPr defaultRowHeight="14.4" x14ac:dyDescent="0.3"/>
  <cols>
    <col min="1" max="1" width="61.77734375" customWidth="1"/>
    <col min="2" max="2" width="64.21875" customWidth="1"/>
    <col min="3" max="3" width="14.21875" customWidth="1"/>
    <col min="4" max="4" width="31.44140625" customWidth="1"/>
    <col min="5" max="5" width="28.77734375" customWidth="1"/>
    <col min="6" max="6" width="20.5546875" hidden="1" customWidth="1"/>
    <col min="7" max="7" width="13.21875" hidden="1" customWidth="1"/>
    <col min="8" max="8" width="19.44140625" hidden="1" customWidth="1"/>
    <col min="9" max="9" width="25" hidden="1" customWidth="1"/>
    <col min="10" max="10" width="21.44140625" hidden="1" customWidth="1"/>
    <col min="11" max="14" width="9.21875" hidden="1" customWidth="1"/>
    <col min="15" max="20" width="0" hidden="1" customWidth="1"/>
  </cols>
  <sheetData>
    <row r="1" spans="1:9" ht="23.4" x14ac:dyDescent="0.45">
      <c r="A1" s="348" t="s">
        <v>226</v>
      </c>
      <c r="B1" s="348"/>
      <c r="C1" s="348"/>
      <c r="D1" s="348"/>
      <c r="G1" t="s">
        <v>227</v>
      </c>
      <c r="H1" t="s">
        <v>228</v>
      </c>
      <c r="I1" t="s">
        <v>229</v>
      </c>
    </row>
    <row r="2" spans="1:9" x14ac:dyDescent="0.3">
      <c r="F2" s="39">
        <v>0</v>
      </c>
      <c r="G2" s="1">
        <f>IF(AND('Data Inputs'!$X$21=1, OR('Data Inputs'!$V$3=3, 'Data Inputs'!$V$3=4)),(1105*('Design Parameters'!D50)^(0.5471)),0)</f>
        <v>0</v>
      </c>
      <c r="H2" s="1">
        <f>IF(AND('Data Inputs'!$X$21=1, 'Data Inputs'!$V$3=5),((84800)+(13.2*'Design Parameters'!D50)),0)</f>
        <v>0</v>
      </c>
      <c r="I2" s="1">
        <f>IF(AND('Data Inputs'!$X$21=1, 'Data Inputs'!$V$3=2),(10294*('Design Parameters'!D50)^(0.2355)),0)</f>
        <v>106847.95917925684</v>
      </c>
    </row>
    <row r="3" spans="1:9" x14ac:dyDescent="0.3">
      <c r="A3" s="374" t="s">
        <v>230</v>
      </c>
      <c r="B3" s="374"/>
      <c r="C3" s="374"/>
      <c r="D3" s="374"/>
      <c r="F3" s="39">
        <v>0.35</v>
      </c>
      <c r="G3" s="1">
        <f>IF(AND('Data Inputs'!X$21=2, OR('Data Inputs'!V$3=3, 'Data Inputs'!V$3=4)),(3623*('Design Parameters'!D50)^(0.4189)),0)</f>
        <v>0</v>
      </c>
      <c r="H3" s="1">
        <f>IF(AND('Data Inputs'!X$21=2, 'Data Inputs'!$V$3=5),((88400)+(14.6*'Design Parameters'!D50)),0)</f>
        <v>0</v>
      </c>
      <c r="I3" s="1">
        <f>IF(AND('Data Inputs'!$X$21=2, 'Data Inputs'!$V$3=2),(13149*('Design Parameters'!D50)^(0.22609)),0)</f>
        <v>0</v>
      </c>
    </row>
    <row r="4" spans="1:9" x14ac:dyDescent="0.3">
      <c r="A4" s="375" t="str">
        <f>"Total Purchased equipment costs (in "&amp;'Data Inputs'!B40&amp;" dollars)"</f>
        <v>Total Purchased equipment costs (in 2021 dollars)</v>
      </c>
      <c r="B4" s="375"/>
      <c r="C4" s="375"/>
      <c r="D4" s="375"/>
      <c r="F4" s="39">
        <v>0.5</v>
      </c>
      <c r="G4" s="1">
        <f>IF(AND('Data Inputs'!X$21=3, OR('Data Inputs'!V$3=3, 'Data Inputs'!V$3=4)),(1215*('Design Parameters'!D50)^(0.5575)),0)</f>
        <v>0</v>
      </c>
      <c r="H4" s="1">
        <f>IF(AND('Data Inputs'!X$21=3, 'Data Inputs'!$V$3=5),((86600)+(15.8*'Design Parameters'!D50)),0)</f>
        <v>0</v>
      </c>
      <c r="I4" s="1">
        <f>IF(AND('Data Inputs'!$X$21=3, 'Data Inputs'!$V$3=2),(17056*('Design Parameters'!D50)^(0.2502)),0)</f>
        <v>0</v>
      </c>
    </row>
    <row r="5" spans="1:9" ht="16.2" x14ac:dyDescent="0.3">
      <c r="A5" t="s">
        <v>231</v>
      </c>
      <c r="B5" s="115" t="str">
        <f xml:space="preserve"> IF('Data Inputs'!V3=1,"Please select oxidzer type on the Data Inputs tab.", " ")</f>
        <v xml:space="preserve"> </v>
      </c>
      <c r="F5" s="39">
        <v>0.7</v>
      </c>
      <c r="G5" s="1">
        <f>IF(AND('Data Inputs'!X$21=4, OR('Data Inputs'!V$3=3, 'Data Inputs'!V$3=4)),(1443*('Design Parameters'!D50)^(0.5527)),0)</f>
        <v>0</v>
      </c>
      <c r="H5" s="1">
        <f>IF(AND('Data Inputs'!X$21=4,'Data Inputs'!$V$3=5),((83900)+(19.2*'Design Parameters'!D50)),0)</f>
        <v>0</v>
      </c>
      <c r="I5" s="1">
        <f>IF(AND('Data Inputs'!$X$21=4, 'Data Inputs'!$V$3=2),(21342*('Design Parameters'!D50)^(0.25)),0)</f>
        <v>0</v>
      </c>
    </row>
    <row r="6" spans="1:9" hidden="1" x14ac:dyDescent="0.3">
      <c r="A6" t="s">
        <v>232</v>
      </c>
      <c r="B6" s="266" t="str">
        <f>IF('Data Inputs'!V3=6,"=(2.204 x 100,000 + 11.57 Qtot) x ("&amp;'Data Inputs'!B40&amp;" CEPI/1999 CEPCI) = "," ")</f>
        <v xml:space="preserve"> </v>
      </c>
      <c r="C6" s="267" t="str">
        <f>IF('Data Inputs'!V3=6,I14, " ")</f>
        <v xml:space="preserve"> </v>
      </c>
      <c r="D6" s="268" t="str">
        <f>"in "&amp;'Data Inputs'!$B$40&amp;" dollars"</f>
        <v>in 2021 dollars</v>
      </c>
      <c r="F6" s="39"/>
      <c r="G6" s="1"/>
      <c r="H6" s="1"/>
      <c r="I6" s="1"/>
    </row>
    <row r="7" spans="1:9" x14ac:dyDescent="0.3">
      <c r="A7" t="s">
        <v>233</v>
      </c>
      <c r="B7" s="50" t="str">
        <f>IF(AND('Data Inputs'!$X$21=1,'Data Inputs'!$V$3=2),"= (10,294 x Qtot°0.2355)x ("&amp;'Data Inputs'!B40&amp;" CEPI/1999 CEPCI) =",IF(AND('Data Inputs'!$X$21=2,'Data Inputs'!$V$3=2),"= (13,149 x Qtot(0.22609)) x ("&amp;'Data Inputs'!B40&amp;" CEPI/1999 CEPCI)  =",IF(AND('Data Inputs'!$X$21=3,'Data Inputs'!$V$3=2),"= (17,056 x Qtot(0.2502)) x ("&amp;'Data Inputs'!B40&amp;" CEPI/1999 CEPCI)  =",IF(AND('Data Inputs'!$X$21=4,'Data Inputs'!$V$3=2),"= (21,342 x Qtot(0.25)) x ("&amp;'Data Inputs'!B40&amp;" CEPI/1999 CEPCI)  ="," "))))</f>
        <v>= (10,294 x Qtot°0.2355)x (2021 CEPI/1999 CEPCI) =</v>
      </c>
      <c r="C7" s="267">
        <f>IF('Data Inputs'!V3=2,I14, " ")</f>
        <v>193672.1840730001</v>
      </c>
      <c r="D7" s="268" t="str">
        <f>"in "&amp;'Data Inputs'!$B$40&amp;" dollars"</f>
        <v>in 2021 dollars</v>
      </c>
      <c r="F7" s="39"/>
      <c r="G7" s="1"/>
      <c r="H7" s="1"/>
      <c r="I7" s="1"/>
    </row>
    <row r="8" spans="1:9" hidden="1" x14ac:dyDescent="0.3">
      <c r="A8" t="str">
        <f>"Equipment Costs  (EC) for a "&amp;(IF('Data Inputs'!V3=3,"Fixed Bed",IF('Data Inputs'!V3=4,"Monlith","Fixed Bed/Monolith")))&amp;" Catalytic Oxidizer"</f>
        <v>Equipment Costs  (EC) for a Fixed Bed/Monolith Catalytic Oxidizer</v>
      </c>
      <c r="B8" s="266" t="str">
        <f>IF(AND('Data Inputs'!$X$21=1,OR('Data Inputs'!$V$3=3,'Data Inputs'!V3=4 )),"= (1,105 x Qtot ^(0.5471)) x ("&amp;'Data Inputs'!B40&amp;" CEPI/1999 CEPCI)  =",IF(AND('Data Inputs'!$X$21=2,OR('Data Inputs'!$V$3=3,'Data Inputs'!V3=4)),"= (3,623 x Qtot^(0.4189)) x ("&amp;'Data Inputs'!B40&amp;" CEPI/1999 CEPCI)  =",IF(AND('Data Inputs'!$X$21=3,OR('Data Inputs'!$V$3=3, 'Data Inputs'!V3=4)),"= (1,215 x Qtot^(0.5575)) x ("&amp;'Data Inputs'!B40&amp;" CEPI/1999 CEPCI)  =",IF(AND('Data Inputs'!$X$21=4,OR('Data Inputs'!$V$3=3,'Data Inputs'!V3=4)),"= (1,443 x Qtot^(0.5527)) x ("&amp;'Data Inputs'!B40&amp;" CEPI/1999 CEPCI)  ="," "))))</f>
        <v xml:space="preserve"> </v>
      </c>
      <c r="C8" s="267" t="str">
        <f>IF(OR('Data Inputs'!V3=3,'Data Inputs'!V3=4),I14, " ")</f>
        <v xml:space="preserve"> </v>
      </c>
      <c r="D8" s="268" t="str">
        <f>"in "&amp;'Data Inputs'!$B$40&amp;" dollars"</f>
        <v>in 2021 dollars</v>
      </c>
      <c r="F8" s="39"/>
      <c r="G8" s="1"/>
      <c r="H8" s="1"/>
      <c r="I8" s="1"/>
    </row>
    <row r="9" spans="1:9" hidden="1" x14ac:dyDescent="0.3">
      <c r="A9" t="s">
        <v>234</v>
      </c>
      <c r="B9" s="266" t="str">
        <f>IF(AND('Data Inputs'!$X$21=1,'Data Inputs'!$V$3=5),"= ((8.48 x 10,000) + (13.2 x Qtot)) x ("&amp;'Data Inputs'!B40&amp;" CEPI/1999 CEPCI)  = ",IF(AND('Data Inputs'!$X$21=2,'Data Inputs'!$V$3=5),"= ((8.84 x 10,000) + (14.6 x Qtot)) x ("&amp;'Data Inputs'!B40&amp;" CEPI/1999 CEPCI)  =",IF(AND('Data Inputs'!$X$21=3,'Data Inputs'!$V$3=5),"= ((8.66 x 10,000) + (15.8 x Qtot)) x ("&amp;'Data Inputs'!B40&amp;" CEPI/1999 CEPCI)  =",IF(AND('Data Inputs'!$X$21=4,'Data Inputs'!$V$3=5),"= ((8.39 x 10,000) + (19.2 x Qtot)) x ("&amp;'Data Inputs'!B40&amp;" CEPI/1999 CEPCI)  ="," "))))</f>
        <v xml:space="preserve"> </v>
      </c>
      <c r="C9" s="267" t="str">
        <f>IF('Data Inputs'!V3=5,I14, " ")</f>
        <v xml:space="preserve"> </v>
      </c>
      <c r="D9" s="268" t="str">
        <f>"in "&amp;'Data Inputs'!$B$40&amp;" dollars"</f>
        <v>in 2021 dollars</v>
      </c>
      <c r="F9" s="39"/>
      <c r="G9" s="1"/>
      <c r="H9" s="1"/>
      <c r="I9" s="1"/>
    </row>
    <row r="10" spans="1:9" x14ac:dyDescent="0.3">
      <c r="F10" s="39"/>
      <c r="G10" s="1"/>
      <c r="H10" s="1"/>
      <c r="I10" s="1"/>
    </row>
    <row r="11" spans="1:9" ht="16.2" x14ac:dyDescent="0.3">
      <c r="A11" t="s">
        <v>235</v>
      </c>
      <c r="B11" t="s">
        <v>236</v>
      </c>
      <c r="C11" s="60">
        <f>0.1*I14</f>
        <v>19367.21840730001</v>
      </c>
      <c r="F11" t="s">
        <v>237</v>
      </c>
      <c r="G11" s="1">
        <f>IF('Data Inputs'!V3=6,266400+(13.98*'Design Parameters'!D50),0)</f>
        <v>0</v>
      </c>
      <c r="I11" s="1"/>
    </row>
    <row r="12" spans="1:9" x14ac:dyDescent="0.3">
      <c r="A12" t="s">
        <v>238</v>
      </c>
      <c r="B12" t="s">
        <v>239</v>
      </c>
      <c r="C12" s="60">
        <f>0.03*I14</f>
        <v>5810.1655221900028</v>
      </c>
      <c r="F12" t="s">
        <v>240</v>
      </c>
      <c r="G12" s="1">
        <f>SUM(G2:G5)+SUM(H2:H5)+SUM(I2:I5)+G11</f>
        <v>106847.95917925684</v>
      </c>
    </row>
    <row r="13" spans="1:9" x14ac:dyDescent="0.3">
      <c r="A13" t="s">
        <v>241</v>
      </c>
      <c r="B13" t="s">
        <v>242</v>
      </c>
      <c r="C13" s="60">
        <f>0.05*I14</f>
        <v>9683.6092036500049</v>
      </c>
    </row>
    <row r="14" spans="1:9" x14ac:dyDescent="0.3">
      <c r="C14" s="61"/>
      <c r="F14" t="s">
        <v>243</v>
      </c>
      <c r="G14" s="66">
        <f>'Data Inputs'!B41/'Data Inputs'!E41</f>
        <v>1.8125960061443931</v>
      </c>
      <c r="H14" t="s">
        <v>244</v>
      </c>
      <c r="I14" s="267">
        <f>(G12*G14)</f>
        <v>193672.1840730001</v>
      </c>
    </row>
    <row r="15" spans="1:9" x14ac:dyDescent="0.3">
      <c r="A15" s="377" t="s">
        <v>245</v>
      </c>
      <c r="B15" s="377"/>
      <c r="C15" s="38">
        <f>SUM(C11:C13)+SUM(C6:C9)</f>
        <v>228533.17720614013</v>
      </c>
      <c r="D15" s="268" t="str">
        <f>"in "&amp;'Data Inputs'!$B$40&amp;" dollars"</f>
        <v>in 2021 dollars</v>
      </c>
    </row>
    <row r="16" spans="1:9" x14ac:dyDescent="0.3">
      <c r="A16" s="169" t="s">
        <v>110</v>
      </c>
      <c r="B16" s="170"/>
      <c r="C16" s="171"/>
      <c r="D16" s="172"/>
    </row>
    <row r="17" spans="1:4" x14ac:dyDescent="0.3">
      <c r="A17" s="172" t="s">
        <v>246</v>
      </c>
      <c r="B17" s="170"/>
      <c r="C17" s="171"/>
      <c r="D17" s="172"/>
    </row>
    <row r="18" spans="1:4" x14ac:dyDescent="0.3">
      <c r="A18" s="172" t="s">
        <v>247</v>
      </c>
      <c r="B18" s="170"/>
      <c r="C18" s="171"/>
      <c r="D18" s="172"/>
    </row>
    <row r="20" spans="1:4" x14ac:dyDescent="0.3">
      <c r="A20" s="376" t="str">
        <f>"Direct Installation Costs (in "&amp;'Data Inputs'!B40&amp;" dollars)"</f>
        <v>Direct Installation Costs (in 2021 dollars)</v>
      </c>
      <c r="B20" s="376"/>
      <c r="C20" s="376"/>
      <c r="D20" s="376"/>
    </row>
    <row r="21" spans="1:4" x14ac:dyDescent="0.3">
      <c r="A21" t="s">
        <v>248</v>
      </c>
      <c r="B21" t="s">
        <v>249</v>
      </c>
      <c r="C21" s="60">
        <f>0.08*C$15</f>
        <v>18282.654176491211</v>
      </c>
    </row>
    <row r="22" spans="1:4" x14ac:dyDescent="0.3">
      <c r="A22" t="s">
        <v>250</v>
      </c>
      <c r="B22" t="s">
        <v>251</v>
      </c>
      <c r="C22" s="60">
        <f>0.14*C$15</f>
        <v>31994.644808859623</v>
      </c>
    </row>
    <row r="23" spans="1:4" x14ac:dyDescent="0.3">
      <c r="A23" t="s">
        <v>252</v>
      </c>
      <c r="B23" t="s">
        <v>253</v>
      </c>
      <c r="C23" s="60">
        <f>0.04*C$15</f>
        <v>9141.3270882456054</v>
      </c>
    </row>
    <row r="24" spans="1:4" x14ac:dyDescent="0.3">
      <c r="A24" t="s">
        <v>254</v>
      </c>
      <c r="B24" t="s">
        <v>255</v>
      </c>
      <c r="C24" s="60">
        <f>0.02*C$15</f>
        <v>4570.6635441228027</v>
      </c>
    </row>
    <row r="25" spans="1:4" x14ac:dyDescent="0.3">
      <c r="A25" t="s">
        <v>256</v>
      </c>
      <c r="B25" t="s">
        <v>257</v>
      </c>
      <c r="C25" s="60">
        <f>0.01*C$15</f>
        <v>2285.3317720614014</v>
      </c>
    </row>
    <row r="26" spans="1:4" x14ac:dyDescent="0.3">
      <c r="A26" t="s">
        <v>258</v>
      </c>
      <c r="B26" t="s">
        <v>257</v>
      </c>
      <c r="C26" s="60">
        <f>0.01*C$15</f>
        <v>2285.3317720614014</v>
      </c>
    </row>
    <row r="27" spans="1:4" x14ac:dyDescent="0.3">
      <c r="A27" s="8" t="s">
        <v>259</v>
      </c>
      <c r="B27" s="6"/>
      <c r="C27" s="60">
        <v>0</v>
      </c>
    </row>
    <row r="28" spans="1:4" x14ac:dyDescent="0.3">
      <c r="A28" s="8" t="s">
        <v>260</v>
      </c>
      <c r="B28" s="6"/>
      <c r="C28" s="60">
        <v>0</v>
      </c>
    </row>
    <row r="29" spans="1:4" x14ac:dyDescent="0.3">
      <c r="A29" s="32"/>
      <c r="B29" s="265" t="s">
        <v>261</v>
      </c>
      <c r="C29" s="60">
        <f>SUM(C21:C28)</f>
        <v>68559.953161842044</v>
      </c>
    </row>
    <row r="30" spans="1:4" x14ac:dyDescent="0.3">
      <c r="A30" s="37" t="s">
        <v>262</v>
      </c>
      <c r="B30" s="37" t="s">
        <v>263</v>
      </c>
      <c r="C30" s="38">
        <f>SUM(C21:C28)+C15</f>
        <v>297093.1303679822</v>
      </c>
      <c r="D30" s="268" t="str">
        <f>"in "&amp;'Data Inputs'!$B$40&amp;" dollars"</f>
        <v>in 2021 dollars</v>
      </c>
    </row>
    <row r="31" spans="1:4" x14ac:dyDescent="0.3">
      <c r="A31" s="6"/>
      <c r="B31" s="6"/>
    </row>
    <row r="32" spans="1:4" x14ac:dyDescent="0.3">
      <c r="A32" s="376" t="str">
        <f>"Total Indirect Installation Costs (in "&amp;'Data Inputs'!B40&amp;" dollars)"</f>
        <v>Total Indirect Installation Costs (in 2021 dollars)</v>
      </c>
      <c r="B32" s="376"/>
      <c r="C32" s="376"/>
      <c r="D32" s="376"/>
    </row>
    <row r="33" spans="1:5" x14ac:dyDescent="0.3">
      <c r="A33" s="6"/>
      <c r="B33" s="6"/>
    </row>
    <row r="34" spans="1:5" x14ac:dyDescent="0.3">
      <c r="A34" s="8" t="s">
        <v>264</v>
      </c>
      <c r="B34" s="5" t="s">
        <v>265</v>
      </c>
      <c r="C34" s="60">
        <f>0.1*C$15</f>
        <v>22853.317720614014</v>
      </c>
    </row>
    <row r="35" spans="1:5" x14ac:dyDescent="0.3">
      <c r="A35" s="8" t="s">
        <v>266</v>
      </c>
      <c r="B35" s="5" t="s">
        <v>267</v>
      </c>
      <c r="C35" s="60">
        <f>0.05*C$15</f>
        <v>11426.658860307007</v>
      </c>
    </row>
    <row r="36" spans="1:5" x14ac:dyDescent="0.3">
      <c r="A36" s="8" t="s">
        <v>268</v>
      </c>
      <c r="B36" s="5" t="s">
        <v>265</v>
      </c>
      <c r="C36" s="60">
        <f>0.1*C$15</f>
        <v>22853.317720614014</v>
      </c>
    </row>
    <row r="37" spans="1:5" x14ac:dyDescent="0.3">
      <c r="A37" s="8" t="s">
        <v>269</v>
      </c>
      <c r="B37" s="5" t="s">
        <v>255</v>
      </c>
      <c r="C37" s="60">
        <f>0.02*C$15</f>
        <v>4570.6635441228027</v>
      </c>
    </row>
    <row r="38" spans="1:5" x14ac:dyDescent="0.3">
      <c r="A38" s="8" t="s">
        <v>270</v>
      </c>
      <c r="B38" s="5" t="s">
        <v>257</v>
      </c>
      <c r="C38" s="60">
        <f>0.01*C$15</f>
        <v>2285.3317720614014</v>
      </c>
    </row>
    <row r="39" spans="1:5" s="12" customFormat="1" x14ac:dyDescent="0.3">
      <c r="A39" s="67"/>
      <c r="B39" s="68"/>
      <c r="C39" s="61"/>
    </row>
    <row r="40" spans="1:5" x14ac:dyDescent="0.3">
      <c r="A40" s="377" t="s">
        <v>271</v>
      </c>
      <c r="B40" s="377"/>
      <c r="C40" s="38">
        <f>SUM(C34:C38)</f>
        <v>63989.289617719231</v>
      </c>
      <c r="D40" s="32"/>
    </row>
    <row r="41" spans="1:5" s="12" customFormat="1" x14ac:dyDescent="0.3">
      <c r="A41" s="275"/>
      <c r="B41" s="275"/>
      <c r="C41" s="53"/>
    </row>
    <row r="42" spans="1:5" x14ac:dyDescent="0.3">
      <c r="A42" s="8" t="s">
        <v>272</v>
      </c>
      <c r="B42" s="8" t="s">
        <v>273</v>
      </c>
      <c r="C42" s="2">
        <f>(C40+C30)*('Data Inputs'!B47/100)</f>
        <v>36108.241998570149</v>
      </c>
    </row>
    <row r="43" spans="1:5" x14ac:dyDescent="0.3">
      <c r="A43" s="33" t="s">
        <v>274</v>
      </c>
      <c r="B43" s="34" t="s">
        <v>275</v>
      </c>
      <c r="C43" s="65">
        <f>C30+C40+C42</f>
        <v>397190.6619842716</v>
      </c>
      <c r="D43" s="35" t="str">
        <f>"in "&amp;'Data Inputs'!$B$40&amp;" dollars"</f>
        <v>in 2021 dollars</v>
      </c>
    </row>
    <row r="44" spans="1:5" s="12" customFormat="1" x14ac:dyDescent="0.3">
      <c r="A44" s="9"/>
      <c r="B44" s="10"/>
      <c r="C44" s="11"/>
    </row>
    <row r="45" spans="1:5" x14ac:dyDescent="0.3">
      <c r="A45" s="374" t="s">
        <v>276</v>
      </c>
      <c r="B45" s="374"/>
      <c r="C45" s="374"/>
      <c r="D45" s="374"/>
    </row>
    <row r="47" spans="1:5" s="16" customFormat="1" ht="93" hidden="1" customHeight="1" x14ac:dyDescent="0.3">
      <c r="A47" s="16" t="s">
        <v>277</v>
      </c>
      <c r="B47" s="255" t="s">
        <v>278</v>
      </c>
      <c r="C47" s="256">
        <f>IF(OR('Data Inputs'!V3=3,'Data Inputs'!V3=4,'Data Inputs'!V3=5), (1.08*'Data Inputs'!B34*'Design Parameters'!D54*'Design Parameters'!D66), 0)</f>
        <v>0</v>
      </c>
    </row>
    <row r="48" spans="1:5" x14ac:dyDescent="0.3">
      <c r="A48" t="s">
        <v>279</v>
      </c>
      <c r="B48" s="50" t="s">
        <v>280</v>
      </c>
      <c r="C48" s="38">
        <f>('Design Parameters'!D38*'Data Inputs'!B22*'Data Inputs'!B43)</f>
        <v>11399.544</v>
      </c>
      <c r="E48" s="3"/>
    </row>
    <row r="49" spans="1:6" ht="15.6" x14ac:dyDescent="0.35">
      <c r="A49" t="s">
        <v>281</v>
      </c>
      <c r="B49" s="50" t="s">
        <v>282</v>
      </c>
      <c r="C49" s="60">
        <f>'Data Inputs'!B44*'Design Parameters'!D49*60*'Data Inputs'!B22</f>
        <v>330413.3188153035</v>
      </c>
      <c r="E49" s="3"/>
      <c r="F49" s="4"/>
    </row>
    <row r="50" spans="1:6" x14ac:dyDescent="0.3">
      <c r="A50" t="s">
        <v>283</v>
      </c>
      <c r="B50" s="50" t="s">
        <v>284</v>
      </c>
      <c r="C50" s="60">
        <f>0.5*'Data Inputs'!B45*'Data Inputs'!B22/8</f>
        <v>3991.5</v>
      </c>
      <c r="E50" s="3"/>
      <c r="F50" s="4"/>
    </row>
    <row r="51" spans="1:6" x14ac:dyDescent="0.3">
      <c r="B51" s="50" t="s">
        <v>285</v>
      </c>
      <c r="C51" s="60">
        <f>0.15*C50</f>
        <v>598.72500000000002</v>
      </c>
      <c r="E51" s="3"/>
      <c r="F51" s="4"/>
    </row>
    <row r="52" spans="1:6" x14ac:dyDescent="0.3">
      <c r="A52" t="s">
        <v>286</v>
      </c>
      <c r="B52" s="50" t="s">
        <v>287</v>
      </c>
      <c r="C52" s="60">
        <f>0.5*'Data Inputs'!B46*'Data Inputs'!B22/8</f>
        <v>4110</v>
      </c>
      <c r="E52" s="3"/>
      <c r="F52" s="4"/>
    </row>
    <row r="53" spans="1:6" x14ac:dyDescent="0.3">
      <c r="B53" s="50" t="s">
        <v>288</v>
      </c>
      <c r="C53" s="60">
        <f>C52</f>
        <v>4110</v>
      </c>
      <c r="E53" s="3"/>
      <c r="F53" s="4"/>
    </row>
    <row r="54" spans="1:6" x14ac:dyDescent="0.3">
      <c r="B54" s="50"/>
      <c r="C54" s="2"/>
      <c r="E54" s="3"/>
      <c r="F54" s="4"/>
    </row>
    <row r="55" spans="1:6" x14ac:dyDescent="0.3">
      <c r="A55" s="33" t="s">
        <v>289</v>
      </c>
      <c r="B55" s="34"/>
      <c r="C55" s="65">
        <f>SUM(C47:C53)</f>
        <v>354623.08781530347</v>
      </c>
      <c r="D55" s="35" t="str">
        <f>"in "&amp;'Data Inputs'!$B$40&amp;" dollars"</f>
        <v>in 2021 dollars</v>
      </c>
      <c r="E55" s="3"/>
      <c r="F55" s="4"/>
    </row>
    <row r="56" spans="1:6" x14ac:dyDescent="0.3">
      <c r="B56" s="50"/>
      <c r="C56" s="2"/>
      <c r="E56" s="3"/>
      <c r="F56" s="4"/>
    </row>
    <row r="57" spans="1:6" x14ac:dyDescent="0.3">
      <c r="A57" s="374" t="s">
        <v>290</v>
      </c>
      <c r="B57" s="374"/>
      <c r="C57" s="374"/>
      <c r="D57" s="374"/>
      <c r="E57" s="3"/>
      <c r="F57" s="4"/>
    </row>
    <row r="58" spans="1:6" s="52" customFormat="1" x14ac:dyDescent="0.3">
      <c r="A58" s="51"/>
      <c r="B58" s="51"/>
      <c r="C58" s="51"/>
      <c r="D58" s="51"/>
      <c r="F58" s="53"/>
    </row>
    <row r="59" spans="1:6" s="54" customFormat="1" ht="28.8" x14ac:dyDescent="0.3">
      <c r="A59" s="54" t="s">
        <v>291</v>
      </c>
      <c r="B59" s="56" t="s">
        <v>292</v>
      </c>
      <c r="C59" s="69">
        <f>0.6*(C50+C51+C52+C53)</f>
        <v>7686.1350000000002</v>
      </c>
      <c r="D59"/>
      <c r="F59" s="55"/>
    </row>
    <row r="60" spans="1:6" s="54" customFormat="1" x14ac:dyDescent="0.3">
      <c r="A60" s="54" t="s">
        <v>293</v>
      </c>
      <c r="B60" s="56" t="s">
        <v>294</v>
      </c>
      <c r="C60" s="69">
        <f>0.02*C43</f>
        <v>7943.8132396854326</v>
      </c>
      <c r="D60"/>
      <c r="F60" s="55"/>
    </row>
    <row r="61" spans="1:6" s="54" customFormat="1" x14ac:dyDescent="0.3">
      <c r="A61" s="54" t="s">
        <v>295</v>
      </c>
      <c r="B61" s="56" t="s">
        <v>296</v>
      </c>
      <c r="C61" s="69">
        <f>0.01*C43</f>
        <v>3971.9066198427163</v>
      </c>
      <c r="D61"/>
      <c r="F61" s="55"/>
    </row>
    <row r="62" spans="1:6" s="54" customFormat="1" x14ac:dyDescent="0.3">
      <c r="A62" s="54" t="s">
        <v>297</v>
      </c>
      <c r="B62" s="56" t="s">
        <v>296</v>
      </c>
      <c r="C62" s="69">
        <f>0.01*C43</f>
        <v>3971.9066198427163</v>
      </c>
      <c r="D62"/>
      <c r="F62" s="55"/>
    </row>
    <row r="63" spans="1:6" x14ac:dyDescent="0.3">
      <c r="A63" s="54" t="s">
        <v>298</v>
      </c>
      <c r="B63" s="56" t="str">
        <f>IF('Data Inputs'!V3=2, "= CRF x TCI","= CRF[TCI-1.08(cat. Cost)]")</f>
        <v>= CRF x TCI</v>
      </c>
      <c r="C63" s="60">
        <f>'Design Parameters'!D60*(C43-1.08*(C47))</f>
        <v>33236.648490975458</v>
      </c>
      <c r="E63" s="3"/>
      <c r="F63" s="4"/>
    </row>
    <row r="64" spans="1:6" x14ac:dyDescent="0.3">
      <c r="A64" s="54"/>
      <c r="B64" s="56"/>
      <c r="C64" s="60"/>
      <c r="E64" s="3"/>
      <c r="F64" s="4"/>
    </row>
    <row r="65" spans="1:24" x14ac:dyDescent="0.3">
      <c r="A65" s="54"/>
      <c r="B65" s="56"/>
      <c r="C65" s="7"/>
      <c r="E65" s="3"/>
      <c r="F65" s="4"/>
    </row>
    <row r="66" spans="1:24" x14ac:dyDescent="0.3">
      <c r="A66" s="33" t="s">
        <v>299</v>
      </c>
      <c r="B66" s="34"/>
      <c r="C66" s="65">
        <f>SUM(C59:C63)</f>
        <v>56810.409970346329</v>
      </c>
      <c r="D66" s="35" t="str">
        <f>"in "&amp;'Data Inputs'!$B$40&amp;" dollars"</f>
        <v>in 2021 dollars</v>
      </c>
      <c r="E66" s="3"/>
      <c r="F66" s="4"/>
    </row>
    <row r="67" spans="1:24" s="12" customFormat="1" x14ac:dyDescent="0.3">
      <c r="A67" s="9"/>
      <c r="B67" s="10"/>
      <c r="C67" s="11"/>
      <c r="D67" s="57"/>
      <c r="E67" s="58"/>
      <c r="F67" s="59"/>
    </row>
    <row r="68" spans="1:24" x14ac:dyDescent="0.3">
      <c r="A68" s="33" t="s">
        <v>300</v>
      </c>
      <c r="B68" s="34" t="s">
        <v>301</v>
      </c>
      <c r="C68" s="65">
        <f>C66+C55</f>
        <v>411433.49778564979</v>
      </c>
      <c r="D68" s="35" t="str">
        <f>"in "&amp;'Data Inputs'!$B$40&amp;" dollars"</f>
        <v>in 2021 dollars</v>
      </c>
      <c r="E68" s="3"/>
      <c r="F68" s="4"/>
    </row>
    <row r="70" spans="1:24" s="21" customFormat="1" ht="18" x14ac:dyDescent="0.35">
      <c r="A70" s="346" t="s">
        <v>302</v>
      </c>
      <c r="B70" s="346"/>
      <c r="C70" s="346"/>
      <c r="D70" s="346"/>
      <c r="E70" s="19"/>
      <c r="F70" s="19"/>
      <c r="G70" s="19"/>
      <c r="H70" s="19"/>
      <c r="I70" s="19"/>
      <c r="J70" s="19"/>
      <c r="K70" s="19"/>
      <c r="L70" s="19"/>
      <c r="M70" s="19"/>
      <c r="N70" s="19"/>
      <c r="O70" s="19"/>
      <c r="P70" s="19"/>
      <c r="Q70" s="19"/>
      <c r="R70" s="19"/>
      <c r="S70" s="19"/>
      <c r="T70" s="19"/>
      <c r="U70" s="19"/>
      <c r="V70" s="19"/>
      <c r="W70" s="19"/>
      <c r="X70" s="20"/>
    </row>
    <row r="71" spans="1:24" s="13" customFormat="1" ht="15.6" x14ac:dyDescent="0.3">
      <c r="E71" s="22"/>
      <c r="F71" s="22"/>
      <c r="G71" s="22"/>
      <c r="H71" s="22"/>
      <c r="I71" s="22"/>
      <c r="J71" s="22"/>
      <c r="K71" s="22"/>
      <c r="L71" s="22"/>
      <c r="M71" s="22"/>
      <c r="N71" s="22"/>
      <c r="O71" s="22"/>
      <c r="P71" s="22"/>
      <c r="Q71" s="22"/>
      <c r="R71" s="22"/>
      <c r="S71" s="22"/>
      <c r="T71" s="22"/>
      <c r="U71" s="22"/>
      <c r="V71" s="22"/>
      <c r="W71" s="22"/>
      <c r="X71" s="23"/>
    </row>
    <row r="72" spans="1:24" s="13" customFormat="1" ht="15.6" x14ac:dyDescent="0.3">
      <c r="A72" s="378" t="s">
        <v>303</v>
      </c>
      <c r="B72" s="378"/>
      <c r="C72" s="378"/>
      <c r="D72" s="378"/>
      <c r="E72" s="22"/>
      <c r="F72" s="22"/>
      <c r="G72" s="22"/>
      <c r="H72" s="22"/>
      <c r="I72" s="22"/>
      <c r="J72" s="22"/>
      <c r="K72" s="22"/>
      <c r="L72" s="22"/>
      <c r="M72" s="22"/>
      <c r="N72" s="22"/>
      <c r="O72" s="22"/>
      <c r="P72" s="22"/>
      <c r="Q72" s="22"/>
      <c r="R72" s="22"/>
      <c r="S72" s="22"/>
      <c r="T72" s="22"/>
      <c r="U72" s="22"/>
      <c r="V72" s="22"/>
      <c r="W72" s="22"/>
      <c r="X72" s="23"/>
    </row>
    <row r="73" spans="1:24" s="13" customFormat="1" ht="15.6" x14ac:dyDescent="0.3">
      <c r="E73" s="22"/>
      <c r="F73" s="22"/>
      <c r="G73" s="22"/>
      <c r="H73" s="22"/>
      <c r="I73" s="22"/>
      <c r="J73" s="22"/>
      <c r="K73" s="22"/>
      <c r="L73" s="22"/>
      <c r="M73" s="22"/>
      <c r="N73" s="22"/>
      <c r="O73" s="22"/>
      <c r="P73" s="22"/>
      <c r="Q73" s="22"/>
      <c r="R73" s="22"/>
      <c r="S73" s="22"/>
      <c r="T73" s="22"/>
      <c r="U73" s="22"/>
      <c r="V73" s="22"/>
      <c r="W73" s="22"/>
      <c r="X73" s="23"/>
    </row>
    <row r="74" spans="1:24" s="13" customFormat="1" ht="15.6" x14ac:dyDescent="0.3">
      <c r="A74" s="24" t="s">
        <v>304</v>
      </c>
      <c r="B74" s="62">
        <f>C68</f>
        <v>411433.49778564979</v>
      </c>
      <c r="C74" s="372" t="str">
        <f>"per year in "&amp;'Data Inputs'!B40&amp; " dollars"</f>
        <v>per year in 2021 dollars</v>
      </c>
      <c r="D74" s="373"/>
      <c r="E74" s="22"/>
      <c r="F74" s="22"/>
      <c r="G74" s="22"/>
      <c r="H74" s="22"/>
      <c r="I74" s="22"/>
      <c r="J74" s="22"/>
      <c r="K74" s="22"/>
      <c r="L74" s="22"/>
      <c r="M74" s="22"/>
      <c r="N74" s="22"/>
      <c r="O74" s="22"/>
      <c r="P74" s="22"/>
      <c r="Q74" s="22"/>
      <c r="R74" s="22"/>
      <c r="S74" s="22"/>
      <c r="T74" s="22"/>
      <c r="U74" s="22"/>
      <c r="V74" s="22"/>
      <c r="W74" s="22"/>
      <c r="X74" s="23"/>
    </row>
    <row r="75" spans="1:24" s="13" customFormat="1" ht="15.6" x14ac:dyDescent="0.3">
      <c r="A75" s="36" t="s">
        <v>305</v>
      </c>
      <c r="B75" s="74">
        <f>'Data Inputs'!X19</f>
        <v>249.79529759006473</v>
      </c>
      <c r="C75" s="63" t="s">
        <v>54</v>
      </c>
      <c r="D75" s="64"/>
      <c r="E75" s="22"/>
      <c r="F75" s="22"/>
      <c r="G75" s="22"/>
      <c r="H75" s="22"/>
      <c r="I75" s="22"/>
      <c r="J75" s="22"/>
      <c r="K75" s="22"/>
      <c r="L75" s="22"/>
      <c r="M75" s="22"/>
      <c r="N75" s="22"/>
      <c r="O75" s="22"/>
      <c r="P75" s="22"/>
      <c r="Q75" s="22"/>
      <c r="R75" s="22"/>
      <c r="S75" s="22"/>
      <c r="T75" s="22"/>
      <c r="U75" s="22"/>
      <c r="V75" s="22"/>
      <c r="W75" s="22"/>
      <c r="X75" s="23"/>
    </row>
    <row r="76" spans="1:24" s="13" customFormat="1" ht="15.6" x14ac:dyDescent="0.3">
      <c r="A76" s="70" t="s">
        <v>306</v>
      </c>
      <c r="B76" s="71">
        <f>B74/B75</f>
        <v>1647.0826382842765</v>
      </c>
      <c r="C76" s="72" t="str">
        <f>"per ton of pollutants removed in "&amp;'Data Inputs'!B40&amp; " dollars"</f>
        <v>per ton of pollutants removed in 2021 dollars</v>
      </c>
      <c r="D76" s="73"/>
      <c r="E76" s="22"/>
      <c r="F76" s="22"/>
      <c r="G76" s="22"/>
      <c r="H76" s="22"/>
      <c r="I76" s="22"/>
      <c r="J76" s="22"/>
      <c r="K76" s="22"/>
      <c r="L76" s="22"/>
      <c r="M76" s="22"/>
      <c r="N76" s="22"/>
      <c r="O76" s="22"/>
      <c r="P76" s="22"/>
      <c r="Q76" s="22"/>
      <c r="R76" s="22"/>
      <c r="S76" s="22"/>
      <c r="T76" s="22"/>
      <c r="U76" s="22"/>
      <c r="V76" s="22"/>
      <c r="W76" s="22"/>
      <c r="X76" s="23"/>
    </row>
  </sheetData>
  <mergeCells count="12">
    <mergeCell ref="A1:D1"/>
    <mergeCell ref="A40:B40"/>
    <mergeCell ref="A15:B15"/>
    <mergeCell ref="A70:D70"/>
    <mergeCell ref="A72:D72"/>
    <mergeCell ref="A57:D57"/>
    <mergeCell ref="C74:D74"/>
    <mergeCell ref="A45:D45"/>
    <mergeCell ref="A3:D3"/>
    <mergeCell ref="A4:D4"/>
    <mergeCell ref="A20:D20"/>
    <mergeCell ref="A32:D32"/>
  </mergeCells>
  <pageMargins left="0.7" right="0.7" top="0.75" bottom="0.75" header="0.3" footer="0.3"/>
  <pageSetup orientation="portrait" r:id="rId1"/>
  <ignoredErrors>
    <ignoredError sqref="C35"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29f62856-1543-49d4-a736-4569d363f533" ContentTypeId="0x0101" PreviousValue="false"/>
</file>

<file path=customXml/item2.xml><?xml version="1.0" encoding="utf-8"?>
<p:properties xmlns:p="http://schemas.microsoft.com/office/2006/metadata/properties" xmlns:xsi="http://www.w3.org/2001/XMLSchema-instance" xmlns:pc="http://schemas.microsoft.com/office/infopath/2007/PartnerControls">
  <documentManagement>
    <_Source xmlns="http://schemas.microsoft.com/sharepoint/v3/fields" xsi:nil="true"/>
    <Language xmlns="http://schemas.microsoft.com/sharepoint/v3">English</Language>
    <j747ac98061d40f0aa7bd47e1db5675d xmlns="4ffa91fb-a0ff-4ac5-b2db-65c790d184a4">
      <Terms xmlns="http://schemas.microsoft.com/office/infopath/2007/PartnerControls"/>
    </j747ac98061d40f0aa7bd47e1db5675d>
    <External_x0020_Contributor xmlns="4ffa91fb-a0ff-4ac5-b2db-65c790d184a4" xsi:nil="true"/>
    <TaxKeywordTaxHTField xmlns="4ffa91fb-a0ff-4ac5-b2db-65c790d184a4">
      <Terms xmlns="http://schemas.microsoft.com/office/infopath/2007/PartnerControls"/>
    </TaxKeywordTaxHTField>
    <Record xmlns="4ffa91fb-a0ff-4ac5-b2db-65c790d184a4">Shared</Record>
    <Rights xmlns="4ffa91fb-a0ff-4ac5-b2db-65c790d184a4" xsi:nil="true"/>
    <Document_x0020_Creation_x0020_Date xmlns="4ffa91fb-a0ff-4ac5-b2db-65c790d184a4">2025-02-14T00:18:26+00:00</Document_x0020_Creation_x0020_Date>
    <EPA_x0020_Office xmlns="4ffa91fb-a0ff-4ac5-b2db-65c790d184a4" xsi:nil="true"/>
    <CategoryDescription xmlns="http://schemas.microsoft.com/sharepoint.v3" xsi:nil="true"/>
    <Identifier xmlns="4ffa91fb-a0ff-4ac5-b2db-65c790d184a4" xsi:nil="true"/>
    <_Coverage xmlns="http://schemas.microsoft.com/sharepoint/v3/fields" xsi:nil="true"/>
    <Creator xmlns="4ffa91fb-a0ff-4ac5-b2db-65c790d184a4">
      <UserInfo>
        <DisplayName/>
        <AccountId xsi:nil="true"/>
        <AccountType/>
      </UserInfo>
    </Creator>
    <EPA_x0020_Related_x0020_Documents xmlns="4ffa91fb-a0ff-4ac5-b2db-65c790d184a4" xsi:nil="true"/>
    <EPA_x0020_Contributor xmlns="4ffa91fb-a0ff-4ac5-b2db-65c790d184a4">
      <UserInfo>
        <DisplayName/>
        <AccountId xsi:nil="true"/>
        <AccountType/>
      </UserInfo>
    </EPA_x0020_Contributor>
    <TaxCatchAll xmlns="4ffa91fb-a0ff-4ac5-b2db-65c790d184a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ACEB5CD14E544C890619B1F504DD44" ma:contentTypeVersion="12" ma:contentTypeDescription="Create a new document." ma:contentTypeScope="" ma:versionID="7885eb2a9d71f4f3de64996143593645">
  <xsd:schema xmlns:xsd="http://www.w3.org/2001/XMLSchema" xmlns:xs="http://www.w3.org/2001/XMLSchema" xmlns:p="http://schemas.microsoft.com/office/2006/metadata/properties" xmlns:ns1="http://schemas.microsoft.com/sharepoint/v3" xmlns:ns2="4ffa91fb-a0ff-4ac5-b2db-65c790d184a4" xmlns:ns3="http://schemas.microsoft.com/sharepoint.v3" xmlns:ns4="http://schemas.microsoft.com/sharepoint/v3/fields" xmlns:ns5="bd6563f2-84fd-49bb-ba49-e16e67e66c70" xmlns:ns6="88ca8544-bb20-4614-9b73-bf8401c81147" targetNamespace="http://schemas.microsoft.com/office/2006/metadata/properties" ma:root="true" ma:fieldsID="ec2196ef3727cc2b6ab09906bcc1f931" ns1:_="" ns2:_="" ns3:_="" ns4:_="" ns5:_="" ns6:_="">
    <xsd:import namespace="http://schemas.microsoft.com/sharepoint/v3"/>
    <xsd:import namespace="4ffa91fb-a0ff-4ac5-b2db-65c790d184a4"/>
    <xsd:import namespace="http://schemas.microsoft.com/sharepoint.v3"/>
    <xsd:import namespace="http://schemas.microsoft.com/sharepoint/v3/fields"/>
    <xsd:import namespace="bd6563f2-84fd-49bb-ba49-e16e67e66c70"/>
    <xsd:import namespace="88ca8544-bb20-4614-9b73-bf8401c81147"/>
    <xsd:element name="properties">
      <xsd:complexType>
        <xsd:sequence>
          <xsd:element name="documentManagement">
            <xsd:complexType>
              <xsd:all>
                <xsd:element ref="ns2:Document_x0020_Creation_x0020_Date" minOccurs="0"/>
                <xsd:element ref="ns2:Creator" minOccurs="0"/>
                <xsd:element ref="ns2:EPA_x0020_Office" minOccurs="0"/>
                <xsd:element ref="ns2:Record" minOccurs="0"/>
                <xsd:element ref="ns3:CategoryDescription" minOccurs="0"/>
                <xsd:element ref="ns2:Identifier" minOccurs="0"/>
                <xsd:element ref="ns2:EPA_x0020_Contributor" minOccurs="0"/>
                <xsd:element ref="ns2:External_x0020_Contributor" minOccurs="0"/>
                <xsd:element ref="ns4:_Coverage" minOccurs="0"/>
                <xsd:element ref="ns2:EPA_x0020_Related_x0020_Documents" minOccurs="0"/>
                <xsd:element ref="ns4:_Source" minOccurs="0"/>
                <xsd:element ref="ns2:Rights" minOccurs="0"/>
                <xsd:element ref="ns1:Language" minOccurs="0"/>
                <xsd:element ref="ns2:j747ac98061d40f0aa7bd47e1db5675d" minOccurs="0"/>
                <xsd:element ref="ns2:TaxKeywordTaxHTField" minOccurs="0"/>
                <xsd:element ref="ns2:TaxCatchAllLabel" minOccurs="0"/>
                <xsd:element ref="ns2:TaxCatchAll" minOccurs="0"/>
                <xsd:element ref="ns5:MediaServiceMetadata" minOccurs="0"/>
                <xsd:element ref="ns5:MediaServiceFastMetadata" minOccurs="0"/>
                <xsd:element ref="ns5:MediaServiceObjectDetectorVersions" minOccurs="0"/>
                <xsd:element ref="ns6:SharedWithUsers" minOccurs="0"/>
                <xsd:element ref="ns6:SharedWithDetails" minOccurs="0"/>
                <xsd:element ref="ns5:MediaServiceSearchProperties" minOccurs="0"/>
                <xsd:element ref="ns5:MediaServiceDateTaken" minOccurs="0"/>
                <xsd:element ref="ns5:MediaServiceGenerationTime" minOccurs="0"/>
                <xsd:element ref="ns5:MediaServiceEventHashCode" minOccurs="0"/>
                <xsd:element ref="ns5: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Language" ma:index="17" nillable="true" ma:displayName="Language" ma:default="English" ma:description="Select the document language from the drop down." ma:format="Dropdown" ma:internalName="Language" ma:readOnly="false">
      <xsd:simpleType>
        <xsd:restriction base="dms:Choice">
          <xsd:enumeration value="Arabic (Saudi Arabia)"/>
          <xsd:enumeration value="Bulgarian (Bulgaria)"/>
          <xsd:enumeration value="Chinese (Hong Kong S.A.R.)"/>
          <xsd:enumeration value="Chinese (People's Republic of China)"/>
          <xsd:enumeration value="Chinese (Taiwan)"/>
          <xsd:enumeration value="Croatian (Croatia)"/>
          <xsd:enumeration value="Czech (Czech Republic)"/>
          <xsd:enumeration value="Danish (Denmark)"/>
          <xsd:enumeration value="Dutch (Netherlands)"/>
          <xsd:enumeration value="English"/>
          <xsd:enumeration value="Estonian (Estonia)"/>
          <xsd:enumeration value="Finnish (Finland)"/>
          <xsd:enumeration value="French (France)"/>
          <xsd:enumeration value="German (Germany)"/>
          <xsd:enumeration value="Greek (Greece)"/>
          <xsd:enumeration value="Hebrew (Israel)"/>
          <xsd:enumeration value="Hindi (India)"/>
          <xsd:enumeration value="Hungarian (Hungary)"/>
          <xsd:enumeration value="Indonesian (Indonesia)"/>
          <xsd:enumeration value="Italian (Italy)"/>
          <xsd:enumeration value="Japanese (Japan)"/>
          <xsd:enumeration value="Korean (Korea)"/>
          <xsd:enumeration value="Latvian (Latvia)"/>
          <xsd:enumeration value="Lithuanian (Lithuania)"/>
          <xsd:enumeration value="Malay (Malaysia)"/>
          <xsd:enumeration value="Norwegian (Bokmal) (Norway)"/>
          <xsd:enumeration value="Polish (Poland)"/>
          <xsd:enumeration value="Portuguese (Brazil)"/>
          <xsd:enumeration value="Portuguese (Portugal)"/>
          <xsd:enumeration value="Romanian (Romania)"/>
          <xsd:enumeration value="Russian (Russia)"/>
          <xsd:enumeration value="Serbian (Latin) (Serbia)"/>
          <xsd:enumeration value="Slovak (Slovakia)"/>
          <xsd:enumeration value="Slovenian (Slovenia)"/>
          <xsd:enumeration value="Spanish (Spain)"/>
          <xsd:enumeration value="Swedish (Sweden)"/>
          <xsd:enumeration value="Thai (Thailand)"/>
          <xsd:enumeration value="Turkish (Turkey)"/>
          <xsd:enumeration value="Ukrainian (Ukraine)"/>
          <xsd:enumeration value="Urdu (Islamic Republic of Pakistan)"/>
          <xsd:enumeration value="Vietnamese (Vietnam)"/>
        </xsd:restriction>
      </xsd:simpleType>
    </xsd:element>
  </xsd:schema>
  <xsd:schema xmlns:xsd="http://www.w3.org/2001/XMLSchema" xmlns:xs="http://www.w3.org/2001/XMLSchema" xmlns:dms="http://schemas.microsoft.com/office/2006/documentManagement/types" xmlns:pc="http://schemas.microsoft.com/office/infopath/2007/PartnerControls" targetNamespace="4ffa91fb-a0ff-4ac5-b2db-65c790d184a4" elementFormDefault="qualified">
    <xsd:import namespace="http://schemas.microsoft.com/office/2006/documentManagement/types"/>
    <xsd:import namespace="http://schemas.microsoft.com/office/infopath/2007/PartnerControls"/>
    <xsd:element name="Document_x0020_Creation_x0020_Date" ma:index="2" nillable="true" ma:displayName="Document Date" ma:default="[today]" ma:description="Enter the date this document was last modified. The upload date has been entered by default." ma:format="DateOnly" ma:internalName="Document_x0020_Creation_x0020_Date" ma:readOnly="false">
      <xsd:simpleType>
        <xsd:restriction base="dms:DateTime"/>
      </xsd:simpleType>
    </xsd:element>
    <xsd:element name="Creator" ma:index="3" nillable="true" ma:displayName="Creator" ma:description="Enter the person primarily responsible for the document. The name of the person uploading the document has been entered by default." ma:list="UserInfo" ma:SharePointGroup="0" ma:internalName="Crea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PA_x0020_Office" ma:index="4" nillable="true" ma:displayName="EPA Office" ma:description="Enter the EPA organization primarily responsible for the document. The office of the person uploading the document has been entered by default." ma:internalName="EPA_x0020_Office" ma:readOnly="false">
      <xsd:simpleType>
        <xsd:restriction base="dms:Text">
          <xsd:maxLength value="255"/>
        </xsd:restriction>
      </xsd:simpleType>
    </xsd:element>
    <xsd:element name="Record" ma:index="5" nillable="true" ma:displayName="Record" ma:default="Shared" ma:description="For documents that provide evidence of EPA decisions and actions, select &quot;Shared&quot; (open access) or &quot;Private&quot; (restricted access)." ma:format="Dropdown" ma:internalName="Record" ma:readOnly="false">
      <xsd:simpleType>
        <xsd:restriction base="dms:Choice">
          <xsd:enumeration value="None"/>
          <xsd:enumeration value="Shared"/>
          <xsd:enumeration value="Private"/>
        </xsd:restriction>
      </xsd:simpleType>
    </xsd:element>
    <xsd:element name="Identifier" ma:index="9" nillable="true" ma:displayName="Identifier" ma:description="Enter all EPA identification numbers applicable to this document, one on each line." ma:internalName="Identifier" ma:readOnly="false">
      <xsd:simpleType>
        <xsd:restriction base="dms:Note">
          <xsd:maxLength value="255"/>
        </xsd:restriction>
      </xsd:simpleType>
    </xsd:element>
    <xsd:element name="EPA_x0020_Contributor" ma:index="11" nillable="true" ma:displayName="EPA Contributor" ma:description="Enter an EPA person who contributed to the creation of the document but is not the primary author." ma:list="UserInfo" ma:SharePointGroup="0" ma:internalName="EPA_x0020_Contribu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ternal_x0020_Contributor" ma:index="12" nillable="true" ma:displayName="External Contributor" ma:description="Enter a non-EPA person who contributed to the creation of the document but is not the primary author." ma:internalName="External_x0020_Contributor" ma:readOnly="false">
      <xsd:simpleType>
        <xsd:restriction base="dms:Note">
          <xsd:maxLength value="255"/>
        </xsd:restriction>
      </xsd:simpleType>
    </xsd:element>
    <xsd:element name="EPA_x0020_Related_x0020_Documents" ma:index="14" nillable="true" ma:displayName="Other Related Documents" ma:description="Enter any related document." ma:internalName="EPA_x0020_Related_x0020_Documents" ma:readOnly="false">
      <xsd:simpleType>
        <xsd:restriction base="dms:Note">
          <xsd:maxLength value="255"/>
        </xsd:restriction>
      </xsd:simpleType>
    </xsd:element>
    <xsd:element name="Rights" ma:index="16" nillable="true" ma:displayName="Rights" ma:description="Enter information about intellectual property rights held over the document (e.g. copyright, patent, trademark)." ma:internalName="Rights" ma:readOnly="false">
      <xsd:simpleType>
        <xsd:restriction base="dms:Note">
          <xsd:maxLength value="255"/>
        </xsd:restriction>
      </xsd:simpleType>
    </xsd:element>
    <xsd:element name="j747ac98061d40f0aa7bd47e1db5675d" ma:index="19" nillable="true" ma:taxonomy="true" ma:internalName="j747ac98061d40f0aa7bd47e1db5675d" ma:taxonomyFieldName="Document_x0020_Type" ma:displayName="Document Type" ma:readOnly="false" ma:default="" ma:fieldId="{3747ac98-061d-40f0-aa7b-d47e1db5675d}" ma:sspId="29f62856-1543-49d4-a736-4569d363f533" ma:termSetId="e06cd6a9-a175-4da0-81cb-8dba7aa394ab" ma:anchorId="00000000-0000-0000-0000-000000000000" ma:open="false" ma:isKeyword="false">
      <xsd:complexType>
        <xsd:sequence>
          <xsd:element ref="pc:Terms" minOccurs="0" maxOccurs="1"/>
        </xsd:sequence>
      </xsd:complexType>
    </xsd:element>
    <xsd:element name="TaxKeywordTaxHTField" ma:index="21" nillable="true" ma:taxonomy="true" ma:internalName="TaxKeywordTaxHTField" ma:taxonomyFieldName="TaxKeyword" ma:displayName="Enterprise Keywords" ma:readOnly="false" ma:fieldId="{23f27201-bee3-471e-b2e7-b64fd8b7ca38}" ma:taxonomyMulti="true" ma:sspId="29f62856-1543-49d4-a736-4569d363f533" ma:termSetId="00000000-0000-0000-0000-000000000000" ma:anchorId="00000000-0000-0000-0000-000000000000" ma:open="true" ma:isKeyword="true">
      <xsd:complexType>
        <xsd:sequence>
          <xsd:element ref="pc:Terms" minOccurs="0" maxOccurs="1"/>
        </xsd:sequence>
      </xsd:complexType>
    </xsd:element>
    <xsd:element name="TaxCatchAllLabel" ma:index="23" nillable="true" ma:displayName="Taxonomy Catch All Column1" ma:hidden="true" ma:list="{2416a9ae-61a2-4525-842e-f75ab01c9399}" ma:internalName="TaxCatchAllLabel" ma:readOnly="true" ma:showField="CatchAllDataLabel" ma:web="88ca8544-bb20-4614-9b73-bf8401c81147">
      <xsd:complexType>
        <xsd:complexContent>
          <xsd:extension base="dms:MultiChoiceLookup">
            <xsd:sequence>
              <xsd:element name="Value" type="dms:Lookup" maxOccurs="unbounded" minOccurs="0" nillable="true"/>
            </xsd:sequence>
          </xsd:extension>
        </xsd:complexContent>
      </xsd:complexType>
    </xsd:element>
    <xsd:element name="TaxCatchAll" ma:index="24" nillable="true" ma:displayName="Taxonomy Catch All Column" ma:hidden="true" ma:list="{2416a9ae-61a2-4525-842e-f75ab01c9399}" ma:internalName="TaxCatchAll" ma:showField="CatchAllData" ma:web="88ca8544-bb20-4614-9b73-bf8401c8114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ategoryDescription" ma:index="6" nillable="true" ma:displayName="Description" ma:description="Enter a brief description." ma:internalName="CategoryDescription"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Coverage" ma:index="13" nillable="true" ma:displayName="Coverage" ma:description="Enter the geographic location, jurisdiction, or time period for which the document is relevant." ma:internalName="_Coverage" ma:readOnly="false">
      <xsd:simpleType>
        <xsd:restriction base="dms:Text">
          <xsd:maxLength value="255"/>
        </xsd:restriction>
      </xsd:simpleType>
    </xsd:element>
    <xsd:element name="_Source" ma:index="15" nillable="true" ma:displayName="Source" ma:description="Enter a source from which the document is derived." ma:internalName="_Source"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d6563f2-84fd-49bb-ba49-e16e67e66c70" elementFormDefault="qualified">
    <xsd:import namespace="http://schemas.microsoft.com/office/2006/documentManagement/types"/>
    <xsd:import namespace="http://schemas.microsoft.com/office/infopath/2007/PartnerControls"/>
    <xsd:element name="MediaServiceMetadata" ma:index="28" nillable="true" ma:displayName="MediaServiceMetadata" ma:hidden="true" ma:internalName="MediaServiceMetadata" ma:readOnly="true">
      <xsd:simpleType>
        <xsd:restriction base="dms:Note"/>
      </xsd:simpleType>
    </xsd:element>
    <xsd:element name="MediaServiceFastMetadata" ma:index="29" nillable="true" ma:displayName="MediaServiceFastMetadata" ma:hidden="true" ma:internalName="MediaServiceFastMetadata" ma:readOnly="true">
      <xsd:simpleType>
        <xsd:restriction base="dms:Note"/>
      </xsd:simpleType>
    </xsd:element>
    <xsd:element name="MediaServiceObjectDetectorVersions" ma:index="30" nillable="true" ma:displayName="MediaServiceObjectDetectorVersions" ma:hidden="true" ma:indexed="true" ma:internalName="MediaServiceObjectDetectorVersions" ma:readOnly="true">
      <xsd:simpleType>
        <xsd:restriction base="dms:Text"/>
      </xsd:simpleType>
    </xsd:element>
    <xsd:element name="MediaServiceSearchProperties" ma:index="33" nillable="true" ma:displayName="MediaServiceSearchProperties" ma:hidden="true" ma:internalName="MediaServiceSearchProperties" ma:readOnly="true">
      <xsd:simpleType>
        <xsd:restriction base="dms:Note"/>
      </xsd:simpleType>
    </xsd:element>
    <xsd:element name="MediaServiceDateTaken" ma:index="34" nillable="true" ma:displayName="MediaServiceDateTaken" ma:hidden="true" ma:indexed="true" ma:internalName="MediaServiceDateTaken" ma:readOnly="true">
      <xsd:simpleType>
        <xsd:restriction base="dms:Text"/>
      </xsd:simpleType>
    </xsd:element>
    <xsd:element name="MediaServiceGenerationTime" ma:index="35" nillable="true" ma:displayName="MediaServiceGenerationTime" ma:hidden="true" ma:internalName="MediaServiceGenerationTime" ma:readOnly="true">
      <xsd:simpleType>
        <xsd:restriction base="dms:Text"/>
      </xsd:simpleType>
    </xsd:element>
    <xsd:element name="MediaServiceEventHashCode" ma:index="36" nillable="true" ma:displayName="MediaServiceEventHashCode" ma:hidden="true" ma:internalName="MediaServiceEventHashCode" ma:readOnly="true">
      <xsd:simpleType>
        <xsd:restriction base="dms:Text"/>
      </xsd:simpleType>
    </xsd:element>
    <xsd:element name="MediaLengthInSeconds" ma:index="3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ca8544-bb20-4614-9b73-bf8401c81147"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507BE15-24C7-43E1-B775-AB06B2FC8189}">
  <ds:schemaRefs>
    <ds:schemaRef ds:uri="Microsoft.SharePoint.Taxonomy.ContentTypeSync"/>
  </ds:schemaRefs>
</ds:datastoreItem>
</file>

<file path=customXml/itemProps2.xml><?xml version="1.0" encoding="utf-8"?>
<ds:datastoreItem xmlns:ds="http://schemas.openxmlformats.org/officeDocument/2006/customXml" ds:itemID="{5DF3BF27-0098-40AF-BD5A-B77FC5B38348}">
  <ds:schemaRefs>
    <ds:schemaRef ds:uri="88ca8544-bb20-4614-9b73-bf8401c81147"/>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bd6563f2-84fd-49bb-ba49-e16e67e66c70"/>
    <ds:schemaRef ds:uri="http://purl.org/dc/elements/1.1/"/>
    <ds:schemaRef ds:uri="http://schemas.microsoft.com/office/2006/metadata/properties"/>
    <ds:schemaRef ds:uri="http://schemas.microsoft.com/sharepoint/v3/fields"/>
    <ds:schemaRef ds:uri="http://schemas.microsoft.com/sharepoint.v3"/>
    <ds:schemaRef ds:uri="http://schemas.microsoft.com/sharepoint/v3"/>
    <ds:schemaRef ds:uri="4ffa91fb-a0ff-4ac5-b2db-65c790d184a4"/>
    <ds:schemaRef ds:uri="http://www.w3.org/XML/1998/namespace"/>
    <ds:schemaRef ds:uri="http://purl.org/dc/dcmitype/"/>
  </ds:schemaRefs>
</ds:datastoreItem>
</file>

<file path=customXml/itemProps3.xml><?xml version="1.0" encoding="utf-8"?>
<ds:datastoreItem xmlns:ds="http://schemas.openxmlformats.org/officeDocument/2006/customXml" ds:itemID="{F344ACF0-1B3E-44A8-BCC3-EBBB8B2A78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ffa91fb-a0ff-4ac5-b2db-65c790d184a4"/>
    <ds:schemaRef ds:uri="http://schemas.microsoft.com/sharepoint.v3"/>
    <ds:schemaRef ds:uri="http://schemas.microsoft.com/sharepoint/v3/fields"/>
    <ds:schemaRef ds:uri="bd6563f2-84fd-49bb-ba49-e16e67e66c70"/>
    <ds:schemaRef ds:uri="88ca8544-bb20-4614-9b73-bf8401c811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DCD50BC-6F50-45D4-B562-F0B8884946C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 Me</vt:lpstr>
      <vt:lpstr>Data Inputs</vt:lpstr>
      <vt:lpstr>Design Parameters</vt:lpstr>
      <vt:lpstr>Cost Estimate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2022-06-06T20:34:00Z</dcterms:created>
  <dcterms:modified xsi:type="dcterms:W3CDTF">2026-01-12T17:40:49Z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0x01010089ACEB5CD14E544C890619B1F504DD44</vt:lpwstr>
  </property>
  <property fmtid="{D5CDD505-2E9C-101B-9397-08002B2CF9AE}" pid="3" name="TaxKeyword">
    <vt:lpwstr/>
  </property>
  <property fmtid="{D5CDD505-2E9C-101B-9397-08002B2CF9AE}" pid="4" name="e3f09c3df709400db2417a7161762d62">
    <vt:lpwstr/>
  </property>
  <property fmtid="{D5CDD505-2E9C-101B-9397-08002B2CF9AE}" pid="5" name="EPA_x0020_Subject">
    <vt:lpwstr/>
  </property>
  <property fmtid="{D5CDD505-2E9C-101B-9397-08002B2CF9AE}" pid="6" name="Document Type">
    <vt:lpwstr/>
  </property>
  <property fmtid="{D5CDD505-2E9C-101B-9397-08002B2CF9AE}" pid="7" name="EPA Subject">
    <vt:lpwstr/>
  </property>
</Properties>
</file>