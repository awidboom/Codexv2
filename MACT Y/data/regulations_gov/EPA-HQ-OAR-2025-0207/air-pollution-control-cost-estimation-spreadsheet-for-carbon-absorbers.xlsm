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526" codeName="{899C9086-67A9-5B14-2C2D-5A8001700F7D}"/>
  <workbookPr filterPrivacy="1" codeName="ThisWorkbook"/>
  <xr:revisionPtr revIDLastSave="0" documentId="8_{6D0F5739-DE53-403F-BB35-B8B1469A8063}" xr6:coauthVersionLast="47" xr6:coauthVersionMax="47" xr10:uidLastSave="{00000000-0000-0000-0000-000000000000}"/>
  <bookViews>
    <workbookView xWindow="-57720" yWindow="-120" windowWidth="29040" windowHeight="15720" xr2:uid="{00000000-000D-0000-FFFF-FFFF00000000}"/>
  </bookViews>
  <sheets>
    <sheet name="Read Me" sheetId="4" r:id="rId1"/>
    <sheet name="Data Inputs" sheetId="5" r:id="rId2"/>
    <sheet name="Design Parameters" sheetId="6" r:id="rId3"/>
    <sheet name="Cost Estimate" sheetId="3" r:id="rId4"/>
    <sheet name="Table A" sheetId="7" r:id="rId5"/>
    <sheet name="Table B" sheetId="8" r:id="rId6"/>
  </sheet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3" i="5" l="1"/>
  <c r="C24" i="5" l="1"/>
  <c r="P15" i="5" l="1"/>
  <c r="R11" i="5" l="1"/>
  <c r="R10" i="5"/>
  <c r="R9" i="5"/>
  <c r="R8" i="5"/>
  <c r="R7" i="5"/>
  <c r="R6" i="5"/>
  <c r="R5" i="5"/>
  <c r="Q11" i="5"/>
  <c r="Q10" i="5"/>
  <c r="Q9" i="5"/>
  <c r="Q8" i="5"/>
  <c r="Q7" i="5"/>
  <c r="Q6" i="5"/>
  <c r="Q5" i="5"/>
  <c r="P13" i="5" l="1"/>
  <c r="A8" i="6"/>
  <c r="C56" i="5"/>
  <c r="A9" i="6"/>
  <c r="A164" i="3"/>
  <c r="A108" i="3"/>
  <c r="C66" i="6" l="1"/>
  <c r="C54" i="6"/>
  <c r="C68" i="6" s="1"/>
  <c r="B191" i="3" l="1"/>
  <c r="B180" i="3"/>
  <c r="B181" i="3"/>
  <c r="P19" i="5"/>
  <c r="A64" i="6" l="1"/>
  <c r="D201" i="3"/>
  <c r="C57" i="6"/>
  <c r="A17" i="5" l="1"/>
  <c r="D17" i="5"/>
  <c r="C168" i="3"/>
  <c r="C167" i="3"/>
  <c r="C155" i="3"/>
  <c r="D203" i="3"/>
  <c r="D195" i="3"/>
  <c r="D193" i="3"/>
  <c r="D184" i="3"/>
  <c r="D173" i="3"/>
  <c r="D48" i="5"/>
  <c r="D151" i="3"/>
  <c r="D149" i="3"/>
  <c r="C99" i="3"/>
  <c r="P14" i="5" l="1"/>
  <c r="D24" i="5"/>
  <c r="C56" i="3"/>
  <c r="C58" i="3"/>
  <c r="C125" i="3"/>
  <c r="C126" i="3" s="1"/>
  <c r="C123" i="3"/>
  <c r="C124" i="3" s="1"/>
  <c r="C42" i="5"/>
  <c r="E16" i="8"/>
  <c r="E15" i="8"/>
  <c r="E12" i="8"/>
  <c r="E11" i="8"/>
  <c r="E10" i="8"/>
  <c r="E7" i="8"/>
  <c r="D17" i="8"/>
  <c r="D16" i="8"/>
  <c r="D15" i="8"/>
  <c r="D14" i="8"/>
  <c r="D13" i="8"/>
  <c r="D12" i="8"/>
  <c r="D11" i="8"/>
  <c r="D10" i="8"/>
  <c r="D9" i="8"/>
  <c r="D8" i="8"/>
  <c r="D7" i="8"/>
  <c r="D6" i="8"/>
  <c r="D5" i="8"/>
  <c r="D4" i="8"/>
  <c r="E3" i="8"/>
  <c r="D3" i="8"/>
  <c r="D143" i="3"/>
  <c r="D141" i="3"/>
  <c r="D131" i="3"/>
  <c r="D117" i="3"/>
  <c r="C112" i="3"/>
  <c r="C111" i="3"/>
  <c r="C16" i="6"/>
  <c r="C17" i="6" s="1"/>
  <c r="C58" i="6"/>
  <c r="C60" i="6" s="1"/>
  <c r="C9" i="6"/>
  <c r="C11" i="6"/>
  <c r="R1" i="5"/>
  <c r="A9" i="5" s="1"/>
  <c r="C57" i="3" l="1"/>
  <c r="C202" i="3"/>
  <c r="C150" i="3"/>
  <c r="C59" i="6"/>
  <c r="C61" i="6"/>
  <c r="C28" i="6"/>
  <c r="B4" i="6"/>
  <c r="A5" i="3"/>
  <c r="C135" i="3"/>
  <c r="B5" i="6"/>
  <c r="D15" i="5"/>
  <c r="C15" i="5"/>
  <c r="D38" i="5"/>
  <c r="C38" i="5"/>
  <c r="C43" i="5"/>
  <c r="C46" i="5"/>
  <c r="C47" i="5"/>
  <c r="C23" i="5"/>
  <c r="C22" i="5"/>
  <c r="C21" i="5"/>
  <c r="C20" i="5"/>
  <c r="C19" i="5"/>
  <c r="C154" i="3" l="1"/>
  <c r="C156" i="3" s="1"/>
  <c r="C98" i="3"/>
  <c r="C100" i="3" s="1"/>
  <c r="C180" i="3"/>
  <c r="C181" i="3"/>
  <c r="C62" i="6"/>
  <c r="A62" i="6"/>
  <c r="B8" i="3"/>
  <c r="D18" i="6"/>
  <c r="C10" i="6"/>
  <c r="D22" i="5"/>
  <c r="D21" i="5"/>
  <c r="C19" i="6"/>
  <c r="C20" i="6"/>
  <c r="C22" i="6" s="1"/>
  <c r="C36" i="6" s="1"/>
  <c r="D20" i="5"/>
  <c r="D19" i="5"/>
  <c r="B7" i="3"/>
  <c r="A32" i="5"/>
  <c r="A31" i="5"/>
  <c r="A30" i="5"/>
  <c r="C32" i="6"/>
  <c r="C127" i="3" l="1"/>
  <c r="C128" i="3"/>
  <c r="C158" i="3"/>
  <c r="C159" i="3"/>
  <c r="C160" i="3"/>
  <c r="C103" i="3"/>
  <c r="C102" i="3"/>
  <c r="C104" i="3"/>
  <c r="C12" i="6"/>
  <c r="C13" i="6" s="1"/>
  <c r="C25" i="6"/>
  <c r="C18" i="6"/>
  <c r="C14" i="3"/>
  <c r="C85" i="3"/>
  <c r="C94" i="3"/>
  <c r="D23" i="5"/>
  <c r="C106" i="3" l="1"/>
  <c r="C162" i="3"/>
  <c r="C27" i="6"/>
  <c r="C80" i="3"/>
  <c r="C32" i="3"/>
  <c r="C31" i="3"/>
  <c r="C47" i="6"/>
  <c r="C54" i="3" s="1"/>
  <c r="D45" i="5"/>
  <c r="C45" i="5"/>
  <c r="D44" i="5"/>
  <c r="C44" i="5"/>
  <c r="D43" i="5"/>
  <c r="C37" i="5"/>
  <c r="D47" i="5"/>
  <c r="D46" i="5"/>
  <c r="D51" i="5"/>
  <c r="C51" i="5"/>
  <c r="C50" i="5"/>
  <c r="C48" i="5"/>
  <c r="D50" i="5"/>
  <c r="C166" i="3" l="1"/>
  <c r="C170" i="3" s="1"/>
  <c r="C61" i="3"/>
  <c r="C60" i="3"/>
  <c r="C110" i="3"/>
  <c r="C29" i="6"/>
  <c r="C23" i="6" s="1"/>
  <c r="C37" i="6" s="1"/>
  <c r="C38" i="6" s="1"/>
  <c r="C51" i="6"/>
  <c r="C171" i="3" l="1"/>
  <c r="C114" i="3"/>
  <c r="C115" i="3" s="1"/>
  <c r="C33" i="6"/>
  <c r="C34" i="6"/>
  <c r="C24" i="6"/>
  <c r="C41" i="6" s="1"/>
  <c r="C131" i="3"/>
  <c r="C55" i="3"/>
  <c r="C43" i="6"/>
  <c r="C173" i="3" l="1"/>
  <c r="C117" i="3"/>
  <c r="C35" i="6"/>
  <c r="C12" i="3" s="1"/>
  <c r="C42" i="6"/>
  <c r="C44" i="6" s="1"/>
  <c r="C53" i="3" s="1"/>
  <c r="C59" i="3"/>
  <c r="C68" i="3" s="1"/>
  <c r="C179" i="3" l="1"/>
  <c r="C184" i="3" s="1"/>
  <c r="C13" i="3"/>
  <c r="C15" i="3" s="1"/>
  <c r="C19" i="3" s="1"/>
  <c r="C188" i="3"/>
  <c r="C189" i="3"/>
  <c r="C190" i="3"/>
  <c r="C64" i="3"/>
  <c r="A10" i="3"/>
  <c r="C18" i="3" l="1"/>
  <c r="C21" i="3" s="1"/>
  <c r="C39" i="3" s="1"/>
  <c r="D57" i="5"/>
  <c r="C57" i="5"/>
  <c r="C28" i="3" l="1"/>
  <c r="C42" i="3"/>
  <c r="C30" i="3"/>
  <c r="C26" i="3"/>
  <c r="C38" i="3"/>
  <c r="C29" i="3"/>
  <c r="C27" i="3"/>
  <c r="C41" i="3"/>
  <c r="C25" i="3"/>
  <c r="C40" i="3"/>
  <c r="C34" i="3" l="1"/>
  <c r="C44" i="3"/>
  <c r="C136" i="3"/>
  <c r="C138" i="3"/>
  <c r="C137" i="3"/>
  <c r="C45" i="3" l="1"/>
  <c r="C47" i="3" s="1"/>
  <c r="D16" i="5"/>
  <c r="D95" i="3"/>
  <c r="C71" i="3" l="1"/>
  <c r="C69" i="3"/>
  <c r="C70" i="3"/>
  <c r="D47" i="3"/>
  <c r="C17" i="5"/>
  <c r="C54" i="5" l="1"/>
  <c r="C55" i="5"/>
  <c r="B6" i="3" l="1"/>
  <c r="C64" i="6" l="1"/>
  <c r="C72" i="3" l="1"/>
  <c r="C74" i="3" s="1"/>
  <c r="C87" i="3" s="1"/>
  <c r="C191" i="3"/>
  <c r="C193" i="3" s="1"/>
  <c r="C139" i="3"/>
  <c r="C141" i="3" s="1"/>
  <c r="D93" i="3"/>
  <c r="D87" i="3"/>
  <c r="D74" i="3"/>
  <c r="D64" i="3"/>
  <c r="A36" i="3"/>
  <c r="A23" i="3"/>
  <c r="C143" i="3" l="1"/>
  <c r="C149" i="3" s="1"/>
  <c r="C151" i="3" s="1"/>
  <c r="C195" i="3"/>
  <c r="C201" i="3" s="1"/>
  <c r="C203" i="3" s="1"/>
  <c r="C93" i="3"/>
  <c r="C95" i="3" s="1"/>
  <c r="A37" i="5"/>
</calcChain>
</file>

<file path=xl/sharedStrings.xml><?xml version="1.0" encoding="utf-8"?>
<sst xmlns="http://schemas.openxmlformats.org/spreadsheetml/2006/main" count="568" uniqueCount="351">
  <si>
    <t>Air Pollution Control Cost Estimation Spreadsheet</t>
  </si>
  <si>
    <t>For Carbon Adsorbers</t>
  </si>
  <si>
    <t xml:space="preserve">U.S. Environmental Protection Agency </t>
  </si>
  <si>
    <t>Air Economics Group</t>
  </si>
  <si>
    <t>Health and Environmental Impacts Division</t>
  </si>
  <si>
    <t>Office of Air Quality Planning and Standards</t>
  </si>
  <si>
    <t>(November 2020)</t>
  </si>
  <si>
    <t xml:space="preserve">This spreadsheet allows users to estimate the capital and annualized costs for installing and operating carbon adsorbers to control emissions of volatile organic compounds (VOCs) and hazardous air pollutants (HAP) from industrial waste gas streams. Carbon adsorbers are a non-destructive control technology employed to remove volatile organic compounds (VOCs) from low to medium concentration gas streams. Adsorption is generally used when a stringent outlet concentration must be met and/or when recovery of the VOC is desired. Carbon adsorbers may be operated in either intermittent or continuous modes. The carbon is regenerated by desorbing the VOC from the carbon. This can be done off-site or onsite. The basic equipment required for a carbon adsorber system includes one or more carbon vessels or canisters and auxiliary equipment, such as duct work, pumps and storage vessels to collect VOC desorbed from the activated carbon. The desorbed VOC can be reused onsite, sold to a recycler or disposed.  </t>
  </si>
  <si>
    <t xml:space="preserve">The calculation methodologies used in this spreadsheet are those presented in the U.S. EPA's Air Pollution Control Cost Manual.  This spreadsheet is intended to be used in combination with the Control Cost Manual. For a detailed description of the technology and cost methodology, see Section 3.1 (VOC Recapture Controls), Chapter 1 (Carbon Adsorbers) of the Air Pollution Control Cost Manual (as updated in 2018). Additional control technologies may be necessary for some industrial waste gas streams.  Costs for additional control technologies can be estimated using the methods provided in other chapters of the cost manual.  A copy of the Control Cost Manual is available on the U.S. EPA's "Technology Transfer Network" website at: https://www.epa.gov/economic-and-cost-analysis-air-pollution-regulations/cost-reports-and-guidance-air-pollution.  </t>
  </si>
  <si>
    <t xml:space="preserve">The spreadsheet can be used to estimate capital and annualized costs for three types of carbon adsorbers: fixed-bed carbon adsorbers with steam regeneration; large carbon canisters with carbon replacement, and small carbon canisters with canister replacement. The methodology is designed to provide study-level (+-30%) cost estimates.  Actual costs, particularly those for installation, can deviate significantly from the costs generated using this spreadsheet due to site conditions. Units of measures in this spreadsheet are English units.  </t>
  </si>
  <si>
    <t xml:space="preserve">Instructions </t>
  </si>
  <si>
    <r>
      <rPr>
        <b/>
        <u/>
        <sz val="12"/>
        <color theme="8" tint="-0.499984740745262"/>
        <rFont val="Calibri"/>
        <family val="2"/>
        <scheme val="minor"/>
      </rPr>
      <t>Step 1</t>
    </r>
    <r>
      <rPr>
        <b/>
        <sz val="12"/>
        <color theme="8" tint="-0.499984740745262"/>
        <rFont val="Calibri"/>
        <family val="2"/>
        <scheme val="minor"/>
      </rPr>
      <t xml:space="preserve">: </t>
    </r>
    <r>
      <rPr>
        <sz val="12"/>
        <color theme="8" tint="-0.499984740745262"/>
        <rFont val="Calibri"/>
        <family val="2"/>
        <scheme val="minor"/>
      </rPr>
      <t xml:space="preserve">Please select the </t>
    </r>
    <r>
      <rPr>
        <b/>
        <i/>
        <sz val="12"/>
        <color theme="8" tint="-0.499984740745262"/>
        <rFont val="Calibri"/>
        <family val="2"/>
        <scheme val="minor"/>
      </rPr>
      <t>Data Inputs</t>
    </r>
    <r>
      <rPr>
        <sz val="12"/>
        <color theme="8" tint="-0.499984740745262"/>
        <rFont val="Calibri"/>
        <family val="2"/>
        <scheme val="minor"/>
      </rPr>
      <t xml:space="preserve"> tab and click on the </t>
    </r>
    <r>
      <rPr>
        <b/>
        <i/>
        <sz val="12"/>
        <color theme="8" tint="-0.499984740745262"/>
        <rFont val="Calibri"/>
        <family val="2"/>
        <scheme val="minor"/>
      </rPr>
      <t>Reset Form</t>
    </r>
    <r>
      <rPr>
        <sz val="12"/>
        <color theme="8" tint="-0.499984740745262"/>
        <rFont val="Calibri"/>
        <family val="2"/>
        <scheme val="minor"/>
      </rPr>
      <t xml:space="preserve"> button. This will reset the values on the Data Inputs tab.  </t>
    </r>
    <r>
      <rPr>
        <sz val="12"/>
        <color rgb="FFFF0000"/>
        <rFont val="Calibri"/>
        <family val="2"/>
        <scheme val="minor"/>
      </rPr>
      <t/>
    </r>
  </si>
  <si>
    <r>
      <rPr>
        <b/>
        <u/>
        <sz val="12"/>
        <color theme="8" tint="-0.499984740745262"/>
        <rFont val="Calibri"/>
        <family val="2"/>
        <scheme val="minor"/>
      </rPr>
      <t>Step 2</t>
    </r>
    <r>
      <rPr>
        <b/>
        <sz val="12"/>
        <color theme="8" tint="-0.499984740745262"/>
        <rFont val="Calibri"/>
        <family val="2"/>
        <scheme val="minor"/>
      </rPr>
      <t xml:space="preserve">: </t>
    </r>
    <r>
      <rPr>
        <sz val="12"/>
        <color theme="8" tint="-0.499984740745262"/>
        <rFont val="Calibri"/>
        <family val="2"/>
        <scheme val="minor"/>
      </rPr>
      <t xml:space="preserve"> Use the drop down menus on the </t>
    </r>
    <r>
      <rPr>
        <b/>
        <i/>
        <sz val="12"/>
        <color theme="8" tint="-0.499984740745262"/>
        <rFont val="Calibri"/>
        <family val="2"/>
        <scheme val="minor"/>
      </rPr>
      <t xml:space="preserve">Data Inputs </t>
    </r>
    <r>
      <rPr>
        <sz val="12"/>
        <color theme="8" tint="-0.499984740745262"/>
        <rFont val="Calibri"/>
        <family val="2"/>
        <scheme val="minor"/>
      </rPr>
      <t xml:space="preserve">tab to select the type of carbon adsorber system (i.e., fixed-bed or canister). For fixed-bed adsorbers, use the drop down menus to enter the operating method (i.e., continuous or intermittent), material used for adsorber vessel fabrication and to specify whether the vessels are horizontal or vertical.    </t>
    </r>
  </si>
  <si>
    <r>
      <rPr>
        <b/>
        <u/>
        <sz val="12"/>
        <color theme="8" tint="-0.499984740745262"/>
        <rFont val="Calibri"/>
        <family val="2"/>
        <scheme val="minor"/>
      </rPr>
      <t>Step 3</t>
    </r>
    <r>
      <rPr>
        <b/>
        <sz val="12"/>
        <color theme="8" tint="-0.499984740745262"/>
        <rFont val="Calibri"/>
        <family val="2"/>
        <scheme val="minor"/>
      </rPr>
      <t xml:space="preserve">:  </t>
    </r>
    <r>
      <rPr>
        <sz val="12"/>
        <color theme="8" tint="-0.499984740745262"/>
        <rFont val="Calibri"/>
        <family val="2"/>
        <scheme val="minor"/>
      </rPr>
      <t xml:space="preserve">Complete all of the yellow data entry cells on the </t>
    </r>
    <r>
      <rPr>
        <b/>
        <i/>
        <sz val="12"/>
        <color theme="8" tint="-0.499984740745262"/>
        <rFont val="Calibri"/>
        <family val="2"/>
        <scheme val="minor"/>
      </rPr>
      <t>Data Inputs</t>
    </r>
    <r>
      <rPr>
        <sz val="12"/>
        <color theme="8" tint="-0.499984740745262"/>
        <rFont val="Calibri"/>
        <family val="2"/>
        <scheme val="minor"/>
      </rPr>
      <t xml:space="preserve"> tab. Many of the fields are pre-populated with default values.  Where possible, replace default values provided with site-specific values in accordance with the recommendations provided in the Control Cost Manual. Use of actual values other than the default values in this spreadsheet is recommended. Sources for all values used should be appropriately documented. </t>
    </r>
  </si>
  <si>
    <r>
      <rPr>
        <b/>
        <u/>
        <sz val="12"/>
        <color theme="8" tint="-0.499984740745262"/>
        <rFont val="Calibri"/>
        <family val="2"/>
        <scheme val="minor"/>
      </rPr>
      <t>Step 4</t>
    </r>
    <r>
      <rPr>
        <b/>
        <sz val="12"/>
        <color theme="8" tint="-0.499984740745262"/>
        <rFont val="Calibri"/>
        <family val="2"/>
        <scheme val="minor"/>
      </rPr>
      <t>:</t>
    </r>
    <r>
      <rPr>
        <sz val="12"/>
        <color theme="8" tint="-0.499984740745262"/>
        <rFont val="Calibri"/>
        <family val="2"/>
        <scheme val="minor"/>
      </rPr>
      <t xml:space="preserve"> Once all of the data fields are complete, select the </t>
    </r>
    <r>
      <rPr>
        <b/>
        <i/>
        <sz val="12"/>
        <color theme="8" tint="-0.499984740745262"/>
        <rFont val="Calibri"/>
        <family val="2"/>
        <scheme val="minor"/>
      </rPr>
      <t>Design Parameters</t>
    </r>
    <r>
      <rPr>
        <sz val="12"/>
        <color theme="8" tint="-0.499984740745262"/>
        <rFont val="Calibri"/>
        <family val="2"/>
        <scheme val="minor"/>
      </rPr>
      <t xml:space="preserve"> tab to see the calculated design parameters for your condenser. Select the </t>
    </r>
    <r>
      <rPr>
        <b/>
        <i/>
        <sz val="12"/>
        <color theme="8" tint="-0.499984740745262"/>
        <rFont val="Calibri"/>
        <family val="2"/>
        <scheme val="minor"/>
      </rPr>
      <t>Cost Estimate</t>
    </r>
    <r>
      <rPr>
        <sz val="12"/>
        <color theme="8" tint="-0.499984740745262"/>
        <rFont val="Calibri"/>
        <family val="2"/>
        <scheme val="minor"/>
      </rPr>
      <t xml:space="preserve"> tab to view the estimated installation and operation costs for the carbon adsorber. </t>
    </r>
  </si>
  <si>
    <t>Data Inputs</t>
  </si>
  <si>
    <t>Carbon Canister Adsorber with Canister Replacement</t>
  </si>
  <si>
    <t xml:space="preserve">Select the type of carbon adsorber system: </t>
  </si>
  <si>
    <t>Carbon Canister Adsorber with Carbon Replacement</t>
  </si>
  <si>
    <t>Fixed-Bed Carbon Adsorber with Steam Regeneration</t>
  </si>
  <si>
    <t>For fixed-bed carbon adsorbers, provide the following information:</t>
  </si>
  <si>
    <t>Cell L4=</t>
  </si>
  <si>
    <t>Fm Value</t>
  </si>
  <si>
    <t xml:space="preserve">Select the type of operation: </t>
  </si>
  <si>
    <t>Not Applicable</t>
  </si>
  <si>
    <t xml:space="preserve">Select the type of material used to fabricate the carbon adsorber vessels: </t>
  </si>
  <si>
    <t>Stainless Steel, 304</t>
  </si>
  <si>
    <t xml:space="preserve">Select the orientation for the adsorber vessels: </t>
  </si>
  <si>
    <t>Stainless Steel, 316</t>
  </si>
  <si>
    <t>Carpenter 20 CB-3</t>
  </si>
  <si>
    <t>Monel-400</t>
  </si>
  <si>
    <t>Nickel-200</t>
  </si>
  <si>
    <r>
      <t>Number of operating hours per year (</t>
    </r>
    <r>
      <rPr>
        <sz val="12"/>
        <color theme="1"/>
        <rFont val="Calibri"/>
        <family val="2"/>
      </rPr>
      <t>Ɵ</t>
    </r>
    <r>
      <rPr>
        <vertAlign val="subscript"/>
        <sz val="12"/>
        <color theme="1"/>
        <rFont val="Calibri"/>
        <family val="2"/>
      </rPr>
      <t>s</t>
    </r>
    <r>
      <rPr>
        <sz val="12"/>
        <color theme="1"/>
        <rFont val="Calibri"/>
        <family val="2"/>
      </rPr>
      <t>)</t>
    </r>
  </si>
  <si>
    <t>hours/year</t>
  </si>
  <si>
    <t xml:space="preserve">Titanium </t>
  </si>
  <si>
    <t>Waste Gas Flow Rate (Q)</t>
  </si>
  <si>
    <t>acfm*</t>
  </si>
  <si>
    <t>*acfm is actual cubic feet/min</t>
  </si>
  <si>
    <r>
      <t>VOC Emission Rate (m</t>
    </r>
    <r>
      <rPr>
        <vertAlign val="subscript"/>
        <sz val="12"/>
        <color theme="1"/>
        <rFont val="Calibri"/>
        <family val="2"/>
        <scheme val="minor"/>
      </rPr>
      <t>voc</t>
    </r>
    <r>
      <rPr>
        <sz val="12"/>
        <color theme="1"/>
        <rFont val="Calibri"/>
        <family val="2"/>
        <scheme val="minor"/>
      </rPr>
      <t>)</t>
    </r>
  </si>
  <si>
    <t>lbs/hour</t>
  </si>
  <si>
    <t>Fm =</t>
  </si>
  <si>
    <t>Required VOC removal efficiency (E)</t>
  </si>
  <si>
    <r>
      <t>Superficial Bed Velocity (v</t>
    </r>
    <r>
      <rPr>
        <vertAlign val="subscript"/>
        <sz val="12"/>
        <color theme="1"/>
        <rFont val="Calibri"/>
        <family val="2"/>
        <scheme val="minor"/>
      </rPr>
      <t>b</t>
    </r>
    <r>
      <rPr>
        <sz val="12"/>
        <color theme="1"/>
        <rFont val="Calibri"/>
        <family val="2"/>
        <scheme val="minor"/>
      </rPr>
      <t>)</t>
    </r>
  </si>
  <si>
    <t>ft/min</t>
  </si>
  <si>
    <t>Horizontal</t>
  </si>
  <si>
    <t>Vertical</t>
  </si>
  <si>
    <t>Estimated Carbon life (n)</t>
  </si>
  <si>
    <t>Years</t>
  </si>
  <si>
    <r>
      <t>Total Number of carbon beds (N</t>
    </r>
    <r>
      <rPr>
        <vertAlign val="subscript"/>
        <sz val="11"/>
        <color theme="1"/>
        <rFont val="Calibri"/>
        <family val="2"/>
        <scheme val="minor"/>
      </rPr>
      <t>total</t>
    </r>
    <r>
      <rPr>
        <sz val="11"/>
        <color theme="1"/>
        <rFont val="Calibri"/>
        <family val="2"/>
        <scheme val="minor"/>
      </rPr>
      <t>)</t>
    </r>
  </si>
  <si>
    <r>
      <t>Number of carbon beds adsorbing VOC when system is operating (N</t>
    </r>
    <r>
      <rPr>
        <vertAlign val="subscript"/>
        <sz val="11"/>
        <color theme="1"/>
        <rFont val="Calibri"/>
        <family val="2"/>
        <scheme val="minor"/>
      </rPr>
      <t>A</t>
    </r>
    <r>
      <rPr>
        <sz val="11"/>
        <color theme="1"/>
        <rFont val="Calibri"/>
        <family val="2"/>
        <scheme val="minor"/>
      </rPr>
      <t>)</t>
    </r>
  </si>
  <si>
    <t>Continuous Operation</t>
  </si>
  <si>
    <r>
      <t xml:space="preserve">Total time for adsorption </t>
    </r>
    <r>
      <rPr>
        <sz val="12"/>
        <color theme="1"/>
        <rFont val="Calibri"/>
        <family val="2"/>
      </rPr>
      <t>(Ɵ</t>
    </r>
    <r>
      <rPr>
        <vertAlign val="subscript"/>
        <sz val="12"/>
        <color theme="1"/>
        <rFont val="Calibri"/>
        <family val="2"/>
      </rPr>
      <t>A</t>
    </r>
    <r>
      <rPr>
        <sz val="12"/>
        <color theme="1"/>
        <rFont val="Calibri"/>
        <family val="2"/>
      </rPr>
      <t>)</t>
    </r>
  </si>
  <si>
    <t>Intermittent Operation</t>
  </si>
  <si>
    <r>
      <t xml:space="preserve">Total time for desorption </t>
    </r>
    <r>
      <rPr>
        <sz val="12"/>
        <color theme="1"/>
        <rFont val="Calibri"/>
        <family val="2"/>
      </rPr>
      <t>(Ɵ</t>
    </r>
    <r>
      <rPr>
        <vertAlign val="subscript"/>
        <sz val="12"/>
        <color theme="1"/>
        <rFont val="Calibri"/>
        <family val="2"/>
      </rPr>
      <t>D</t>
    </r>
    <r>
      <rPr>
        <sz val="12"/>
        <color theme="1"/>
        <rFont val="Calibri"/>
        <family val="2"/>
      </rPr>
      <t>)</t>
    </r>
  </si>
  <si>
    <t xml:space="preserve">Estimated Carbon Replacement Rate (CRR) </t>
  </si>
  <si>
    <t>Carbon Canister Size</t>
  </si>
  <si>
    <r>
      <t>Number of Operating Hours Before Carbon Canister Replacement  (Ɵ</t>
    </r>
    <r>
      <rPr>
        <vertAlign val="subscript"/>
        <sz val="12"/>
        <color theme="1"/>
        <rFont val="Calibri"/>
        <family val="2"/>
        <scheme val="minor"/>
      </rPr>
      <t>A</t>
    </r>
    <r>
      <rPr>
        <sz val="12"/>
        <color theme="1"/>
        <rFont val="Calibri"/>
        <family val="2"/>
        <scheme val="minor"/>
      </rPr>
      <t>)</t>
    </r>
  </si>
  <si>
    <t>hours</t>
  </si>
  <si>
    <t>Enter the Characteristics of the VOC/HAP:</t>
  </si>
  <si>
    <t>Name of VOC/HAP</t>
  </si>
  <si>
    <t>Benzene</t>
  </si>
  <si>
    <t>psia</t>
  </si>
  <si>
    <t>Note:</t>
  </si>
  <si>
    <t xml:space="preserve">Typical values of "k" and "m" for some common VOCs are shown in Table A. </t>
  </si>
  <si>
    <t>Enter the cost data for the carbon adsorber:</t>
  </si>
  <si>
    <t xml:space="preserve">Desired dollar-year </t>
  </si>
  <si>
    <t>Annual Interest Rate (i)</t>
  </si>
  <si>
    <t>* CEPCI is the Chemical Engineering Plant Cost Index. The use of CEPCI in this spreadsheet is not an endorsement of the index for purpose of cost escalation or de-escalation, but is there merely to allow for availability of a well-known cost index to spreadsheet users. Use of other well-known cost indexes (e.g., M&amp;S) is acceptable.</t>
  </si>
  <si>
    <t xml:space="preserve">Carbon Canister Cost </t>
  </si>
  <si>
    <t xml:space="preserve">Note: Typical costs for carbon canisters are shown in Table B. </t>
  </si>
  <si>
    <r>
      <t>Electricity (P</t>
    </r>
    <r>
      <rPr>
        <vertAlign val="subscript"/>
        <sz val="12"/>
        <color theme="1"/>
        <rFont val="Calibri"/>
        <family val="2"/>
        <scheme val="minor"/>
      </rPr>
      <t>elec</t>
    </r>
    <r>
      <rPr>
        <sz val="12"/>
        <color theme="1"/>
        <rFont val="Calibri"/>
        <family val="2"/>
        <scheme val="minor"/>
      </rPr>
      <t>)</t>
    </r>
  </si>
  <si>
    <r>
      <t>Steam (P</t>
    </r>
    <r>
      <rPr>
        <vertAlign val="subscript"/>
        <sz val="12"/>
        <color theme="1"/>
        <rFont val="Calibri"/>
        <family val="2"/>
        <scheme val="minor"/>
      </rPr>
      <t>s</t>
    </r>
    <r>
      <rPr>
        <sz val="12"/>
        <color theme="1"/>
        <rFont val="Calibri"/>
        <family val="2"/>
        <scheme val="minor"/>
      </rPr>
      <t>)</t>
    </r>
  </si>
  <si>
    <r>
      <t>Cooling Water (P</t>
    </r>
    <r>
      <rPr>
        <vertAlign val="subscript"/>
        <sz val="12"/>
        <color theme="1"/>
        <rFont val="Calibri"/>
        <family val="2"/>
        <scheme val="minor"/>
      </rPr>
      <t>cw</t>
    </r>
    <r>
      <rPr>
        <sz val="12"/>
        <color theme="1"/>
        <rFont val="Calibri"/>
        <family val="2"/>
        <scheme val="minor"/>
      </rPr>
      <t>)</t>
    </r>
  </si>
  <si>
    <t>Operator Labor Rate</t>
  </si>
  <si>
    <t>Maintenance Labor Rate</t>
  </si>
  <si>
    <t>Carbon Cost (CC)</t>
  </si>
  <si>
    <r>
      <t>Re-Sale Value of Recovered VOC (P</t>
    </r>
    <r>
      <rPr>
        <vertAlign val="subscript"/>
        <sz val="12"/>
        <color theme="1"/>
        <rFont val="Calibri"/>
        <family val="2"/>
        <scheme val="minor"/>
      </rPr>
      <t>voc</t>
    </r>
    <r>
      <rPr>
        <sz val="12"/>
        <color theme="1"/>
        <rFont val="Calibri"/>
        <family val="2"/>
        <scheme val="minor"/>
      </rPr>
      <t>)</t>
    </r>
  </si>
  <si>
    <r>
      <t>Disposal/Treatment Cost for Recovered VOC (D</t>
    </r>
    <r>
      <rPr>
        <vertAlign val="subscript"/>
        <sz val="12"/>
        <color theme="1"/>
        <rFont val="Calibri"/>
        <family val="2"/>
        <scheme val="minor"/>
      </rPr>
      <t>voc</t>
    </r>
    <r>
      <rPr>
        <sz val="12"/>
        <color theme="1"/>
        <rFont val="Calibri"/>
        <family val="2"/>
        <scheme val="minor"/>
      </rPr>
      <t>)</t>
    </r>
  </si>
  <si>
    <t>If known, enter any additional costs for site preparation and building construction/modification:</t>
  </si>
  <si>
    <t>Site Preparation (SP) =</t>
  </si>
  <si>
    <t>Buildings (Bldg) =</t>
  </si>
  <si>
    <r>
      <t>Equipment Costs for auxiliary equipment (e.g., ductwork, dampers, and stack) (EC</t>
    </r>
    <r>
      <rPr>
        <vertAlign val="subscript"/>
        <sz val="12"/>
        <color theme="1"/>
        <rFont val="Calibri"/>
        <family val="2"/>
      </rPr>
      <t>aux</t>
    </r>
    <r>
      <rPr>
        <sz val="12"/>
        <color theme="1"/>
        <rFont val="Calibri"/>
        <family val="2"/>
        <scheme val="minor"/>
      </rPr>
      <t>) =</t>
    </r>
  </si>
  <si>
    <t>Contingency Factor (CF)</t>
  </si>
  <si>
    <t xml:space="preserve">Data Sources for Default Values Used in Calculations: </t>
  </si>
  <si>
    <t>Data Element</t>
  </si>
  <si>
    <t>Default Value</t>
  </si>
  <si>
    <t>Sources for Default Value</t>
  </si>
  <si>
    <t xml:space="preserve">If you used your own site-specific values, please reference  the source from which the site-specific value was derived. </t>
  </si>
  <si>
    <t>Recommended data sources for site-specific information</t>
  </si>
  <si>
    <t>Carbon Cost ($/lb)</t>
  </si>
  <si>
    <t>January 2018 market price for virgin carbon.</t>
  </si>
  <si>
    <t xml:space="preserve"> </t>
  </si>
  <si>
    <t xml:space="preserve">Check with activated carbon vendors for current prices. </t>
  </si>
  <si>
    <t>Operator Labor Rate ($/hour)</t>
  </si>
  <si>
    <t>Bureau of Labor Statistics, May 2017 National Occupational Employment and Wage Estimates – United States, May 2017 (https://www.bls.gov/oes/current/oes_nat.htm). Hourly rates for operators based on data for plant and System Operators – other (51-8099).</t>
  </si>
  <si>
    <t>Use payroll data, if available, or check current edition of the Bureau of Labor Statistics, National Occupational Employment and Wage Estimates – United States (https://www.bls.gov/oes/current/oes_nat.htm).</t>
  </si>
  <si>
    <t>Maintenance Labor Rate ($/hour)</t>
  </si>
  <si>
    <t>Estimated as 110 percent of operator labor rate.</t>
  </si>
  <si>
    <t xml:space="preserve">Use payroll data, if available, or check current edition of the Bureau of Labor Statistics, National Occupational Employment and Wage Estimates – United States (https://www.bls.gov/oes/current/oes_nat.htm).  </t>
  </si>
  <si>
    <t>Value of Recovered VOC ($/lb.)</t>
  </si>
  <si>
    <t>January 2018 market price for recovered toluene.</t>
  </si>
  <si>
    <t xml:space="preserve">Check with reagent vendors for current prices. </t>
  </si>
  <si>
    <t>Disposal/Treatment Cost for Recovered VOC ($/lb)</t>
  </si>
  <si>
    <t>No additional treatment or disposal costs - Recovered VOC can be sold to a solvent recovery company.</t>
  </si>
  <si>
    <t>Check with reagent recyclers for current prices or enter estimated costs for onsite treatment, as applicable.</t>
  </si>
  <si>
    <t>Steam ($/1,000 lb)</t>
  </si>
  <si>
    <t>Price of steam was estimated by multiplying the average price of natural gas for industrial facilities ($4.00/MMBtu) by 1.3 and converting to $/1,000 lb of steam. Natural gas price is the 2017 average price for industrial facilities published by the U.S. Department of Energy, Energy Information Administration (see https://www.eia.gov/dnav/ng/ng_pri_sum_dcu_nus_a.htm).</t>
  </si>
  <si>
    <t>Use actual values if known, or estimate steam cost as 1.3 x Fuel Cost for oil and gas-fired facilities. See also Department of Energy, Energy Efficiency and Renewable Energy, A Best Practices Steam Technical Brief: How to Calculate the True Cost of Steam, DOE/GO-102003-1736, September 2003 (available at https://www.energy.gov/sites/prod/files/2014/05/f15/tech_brief_true_cost.pdf).</t>
  </si>
  <si>
    <t>Cooling Water ($/1,000 gallons)</t>
  </si>
  <si>
    <t>Average water rates for industrial facilities in 2013, compiled by Black &amp; Veatch. (see 2012/2013 "50 Largest Cities Water/Wastewater Rate Survey." Available at http://www.saws.org/who_we_are/community/RAC/docs/2014/50-largest-cities-brochure-water-wastewater-rate-survey.pdf.</t>
  </si>
  <si>
    <t>Electricity Cost ($/kWh)</t>
  </si>
  <si>
    <t>Average annual electricity cost for industrial plants is based on 2017 price data compiled by the U.S. Energy Information Administration from data reported on Form EIA-861 and 861S, (http://www.eia.gov/electricity/data.cfm#sales).  </t>
  </si>
  <si>
    <t xml:space="preserve">Plant's utility bill or use U.S. Energy Information Administration (EIA) data for most recent year. Available at http://www.eia.gov/electricity/data.cfm#sales. </t>
  </si>
  <si>
    <t>Design Parameters</t>
  </si>
  <si>
    <r>
      <t xml:space="preserve">The following design parameters for the carbon adsorber were calculated based on the values entered on the </t>
    </r>
    <r>
      <rPr>
        <b/>
        <i/>
        <sz val="12"/>
        <color theme="8" tint="-0.249977111117893"/>
        <rFont val="Calibri"/>
        <family val="2"/>
        <scheme val="minor"/>
      </rPr>
      <t xml:space="preserve">Data Inputs </t>
    </r>
    <r>
      <rPr>
        <b/>
        <sz val="12"/>
        <color theme="8" tint="-0.249977111117893"/>
        <rFont val="Calibri"/>
        <family val="2"/>
        <scheme val="minor"/>
      </rPr>
      <t xml:space="preserve">tab. These values were used to prepare the costs shown on the </t>
    </r>
    <r>
      <rPr>
        <b/>
        <i/>
        <sz val="12"/>
        <color theme="8" tint="-0.249977111117893"/>
        <rFont val="Calibri"/>
        <family val="2"/>
        <scheme val="minor"/>
      </rPr>
      <t>Cost Estimate</t>
    </r>
    <r>
      <rPr>
        <b/>
        <sz val="12"/>
        <color theme="8" tint="-0.249977111117893"/>
        <rFont val="Calibri"/>
        <family val="2"/>
        <scheme val="minor"/>
      </rPr>
      <t xml:space="preserve"> tab.</t>
    </r>
  </si>
  <si>
    <t>Type of Carbon Adsorber:</t>
  </si>
  <si>
    <t>Name of VOC Controlled:</t>
  </si>
  <si>
    <t>Parameter</t>
  </si>
  <si>
    <t>Equation</t>
  </si>
  <si>
    <t>Calculated Value</t>
  </si>
  <si>
    <t>Units</t>
  </si>
  <si>
    <r>
      <t>W</t>
    </r>
    <r>
      <rPr>
        <i/>
        <vertAlign val="subscript"/>
        <sz val="12"/>
        <color theme="1"/>
        <rFont val="Calibri"/>
        <family val="2"/>
        <scheme val="minor"/>
      </rPr>
      <t>voc</t>
    </r>
    <r>
      <rPr>
        <i/>
        <sz val="12"/>
        <color theme="1"/>
        <rFont val="Calibri"/>
        <family val="2"/>
        <scheme val="minor"/>
      </rPr>
      <t xml:space="preserve"> = m</t>
    </r>
    <r>
      <rPr>
        <i/>
        <vertAlign val="subscript"/>
        <sz val="12"/>
        <color theme="1"/>
        <rFont val="Calibri"/>
        <family val="2"/>
        <scheme val="minor"/>
      </rPr>
      <t>voc</t>
    </r>
    <r>
      <rPr>
        <i/>
        <sz val="12"/>
        <color theme="1"/>
        <rFont val="Calibri"/>
        <family val="2"/>
        <scheme val="minor"/>
      </rPr>
      <t xml:space="preserve"> x </t>
    </r>
    <r>
      <rPr>
        <i/>
        <sz val="12"/>
        <color theme="1"/>
        <rFont val="Calibri"/>
        <family val="2"/>
      </rPr>
      <t>Ɵ</t>
    </r>
    <r>
      <rPr>
        <i/>
        <vertAlign val="subscript"/>
        <sz val="12"/>
        <color theme="1"/>
        <rFont val="Calibri"/>
        <family val="2"/>
      </rPr>
      <t xml:space="preserve">s </t>
    </r>
    <r>
      <rPr>
        <i/>
        <sz val="12"/>
        <color theme="1"/>
        <rFont val="Calibri"/>
        <family val="2"/>
      </rPr>
      <t>x E =</t>
    </r>
  </si>
  <si>
    <t>tons/year</t>
  </si>
  <si>
    <r>
      <t>Time required for Desorption (Ɵ</t>
    </r>
    <r>
      <rPr>
        <vertAlign val="subscript"/>
        <sz val="12"/>
        <color theme="1"/>
        <rFont val="Calibri"/>
        <family val="2"/>
        <scheme val="minor"/>
      </rPr>
      <t>D</t>
    </r>
    <r>
      <rPr>
        <sz val="12"/>
        <color theme="1"/>
        <rFont val="Calibri"/>
        <family val="2"/>
        <scheme val="minor"/>
      </rPr>
      <t>) =</t>
    </r>
  </si>
  <si>
    <r>
      <t>Time for Adsorption (</t>
    </r>
    <r>
      <rPr>
        <sz val="12"/>
        <color theme="1"/>
        <rFont val="Calibri"/>
        <family val="2"/>
      </rPr>
      <t>Ɵ</t>
    </r>
    <r>
      <rPr>
        <vertAlign val="subscript"/>
        <sz val="12"/>
        <color theme="1"/>
        <rFont val="Calibri"/>
        <family val="2"/>
      </rPr>
      <t>A</t>
    </r>
    <r>
      <rPr>
        <sz val="12"/>
        <color theme="1"/>
        <rFont val="Calibri"/>
        <family val="2"/>
      </rPr>
      <t>) =</t>
    </r>
  </si>
  <si>
    <t xml:space="preserve">Time Available for Desorption = </t>
  </si>
  <si>
    <r>
      <t>Ɵ</t>
    </r>
    <r>
      <rPr>
        <vertAlign val="subscript"/>
        <sz val="12"/>
        <color theme="1"/>
        <rFont val="Calibri"/>
        <family val="2"/>
      </rPr>
      <t>A</t>
    </r>
    <r>
      <rPr>
        <sz val="12"/>
        <color theme="1"/>
        <rFont val="Calibri"/>
        <family val="2"/>
      </rPr>
      <t xml:space="preserve"> (N</t>
    </r>
    <r>
      <rPr>
        <vertAlign val="subscript"/>
        <sz val="12"/>
        <color theme="1"/>
        <rFont val="Calibri"/>
        <family val="2"/>
      </rPr>
      <t>D</t>
    </r>
    <r>
      <rPr>
        <sz val="12"/>
        <color theme="1"/>
        <rFont val="Calibri"/>
        <family val="2"/>
      </rPr>
      <t>/N</t>
    </r>
    <r>
      <rPr>
        <vertAlign val="subscript"/>
        <sz val="12"/>
        <color theme="1"/>
        <rFont val="Calibri"/>
        <family val="2"/>
      </rPr>
      <t>A</t>
    </r>
    <r>
      <rPr>
        <sz val="12"/>
        <color theme="1"/>
        <rFont val="Calibri"/>
        <family val="2"/>
      </rPr>
      <t xml:space="preserve">) = </t>
    </r>
  </si>
  <si>
    <t xml:space="preserve">Adsorber Parameters: </t>
  </si>
  <si>
    <r>
      <t>Equilibrium Capacity at the Inlet (W</t>
    </r>
    <r>
      <rPr>
        <vertAlign val="subscript"/>
        <sz val="12"/>
        <color theme="1"/>
        <rFont val="Calibri"/>
        <family val="2"/>
        <scheme val="minor"/>
      </rPr>
      <t>e(max)</t>
    </r>
    <r>
      <rPr>
        <sz val="12"/>
        <color theme="1"/>
        <rFont val="Calibri"/>
        <family val="2"/>
        <scheme val="minor"/>
      </rPr>
      <t>) =</t>
    </r>
  </si>
  <si>
    <r>
      <t xml:space="preserve">k </t>
    </r>
    <r>
      <rPr>
        <sz val="12"/>
        <color theme="1"/>
        <rFont val="Calibri"/>
        <family val="2"/>
        <scheme val="minor"/>
      </rPr>
      <t>x</t>
    </r>
    <r>
      <rPr>
        <i/>
        <sz val="12"/>
        <color theme="1"/>
        <rFont val="Calibri"/>
        <family val="2"/>
        <scheme val="minor"/>
      </rPr>
      <t xml:space="preserve"> P</t>
    </r>
    <r>
      <rPr>
        <i/>
        <vertAlign val="superscript"/>
        <sz val="12"/>
        <color theme="1"/>
        <rFont val="Calibri"/>
        <family val="2"/>
        <scheme val="minor"/>
      </rPr>
      <t xml:space="preserve">m </t>
    </r>
    <r>
      <rPr>
        <i/>
        <sz val="12"/>
        <color theme="1"/>
        <rFont val="Calibri"/>
        <family val="2"/>
        <scheme val="minor"/>
      </rPr>
      <t xml:space="preserve">= </t>
    </r>
  </si>
  <si>
    <t>lb. VOC/lb. Carbon</t>
  </si>
  <si>
    <r>
      <t>Working Capacity (w</t>
    </r>
    <r>
      <rPr>
        <vertAlign val="subscript"/>
        <sz val="12"/>
        <color theme="1"/>
        <rFont val="Calibri"/>
        <family val="2"/>
        <scheme val="minor"/>
      </rPr>
      <t>c</t>
    </r>
    <r>
      <rPr>
        <sz val="12"/>
        <color theme="1"/>
        <rFont val="Calibri"/>
        <family val="2"/>
        <scheme val="minor"/>
      </rPr>
      <t>) =</t>
    </r>
  </si>
  <si>
    <r>
      <t>0.5 x w</t>
    </r>
    <r>
      <rPr>
        <vertAlign val="subscript"/>
        <sz val="12"/>
        <color theme="1"/>
        <rFont val="Calibri"/>
        <family val="2"/>
        <scheme val="minor"/>
      </rPr>
      <t>e(max)</t>
    </r>
    <r>
      <rPr>
        <sz val="12"/>
        <color theme="1"/>
        <rFont val="Calibri"/>
        <family val="2"/>
        <scheme val="minor"/>
      </rPr>
      <t xml:space="preserve"> = </t>
    </r>
  </si>
  <si>
    <r>
      <t>Adjustment Factor for Adorber Vessel Material (F</t>
    </r>
    <r>
      <rPr>
        <vertAlign val="subscript"/>
        <sz val="12"/>
        <color theme="1"/>
        <rFont val="Calibri"/>
        <family val="2"/>
      </rPr>
      <t xml:space="preserve">m </t>
    </r>
    <r>
      <rPr>
        <sz val="12"/>
        <color theme="1"/>
        <rFont val="Calibri"/>
        <family val="2"/>
      </rPr>
      <t>) =</t>
    </r>
  </si>
  <si>
    <r>
      <t>Number of Bed Desorbing (N</t>
    </r>
    <r>
      <rPr>
        <vertAlign val="subscript"/>
        <sz val="12"/>
        <color theme="1"/>
        <rFont val="Calibri"/>
        <family val="2"/>
      </rPr>
      <t>D</t>
    </r>
    <r>
      <rPr>
        <sz val="12"/>
        <color theme="1"/>
        <rFont val="Calibri"/>
        <family val="2"/>
      </rPr>
      <t xml:space="preserve">) = </t>
    </r>
  </si>
  <si>
    <r>
      <t>N</t>
    </r>
    <r>
      <rPr>
        <vertAlign val="subscript"/>
        <sz val="12"/>
        <color theme="1"/>
        <rFont val="Calibri"/>
        <family val="2"/>
        <scheme val="minor"/>
      </rPr>
      <t>total</t>
    </r>
    <r>
      <rPr>
        <sz val="12"/>
        <color theme="1"/>
        <rFont val="Calibri"/>
        <family val="2"/>
        <scheme val="minor"/>
      </rPr>
      <t xml:space="preserve"> - N</t>
    </r>
    <r>
      <rPr>
        <vertAlign val="subscript"/>
        <sz val="12"/>
        <color theme="1"/>
        <rFont val="Calibri"/>
        <family val="2"/>
        <scheme val="minor"/>
      </rPr>
      <t>A</t>
    </r>
    <r>
      <rPr>
        <sz val="12"/>
        <color theme="1"/>
        <rFont val="Calibri"/>
        <family val="2"/>
        <scheme val="minor"/>
      </rPr>
      <t xml:space="preserve"> =</t>
    </r>
  </si>
  <si>
    <t>Bed</t>
  </si>
  <si>
    <r>
      <t>Number of Bed Adsorbing (N</t>
    </r>
    <r>
      <rPr>
        <vertAlign val="subscript"/>
        <sz val="12"/>
        <color theme="1"/>
        <rFont val="Calibri"/>
        <family val="2"/>
        <scheme val="minor"/>
      </rPr>
      <t>A</t>
    </r>
    <r>
      <rPr>
        <sz val="12"/>
        <color theme="1"/>
        <rFont val="Calibri"/>
        <family val="2"/>
        <scheme val="minor"/>
      </rPr>
      <t xml:space="preserve">) = </t>
    </r>
  </si>
  <si>
    <t>Volumetric Flow Rate for each Vessel (Q') =</t>
  </si>
  <si>
    <r>
      <t>Q/N</t>
    </r>
    <r>
      <rPr>
        <vertAlign val="subscript"/>
        <sz val="11"/>
        <color theme="1"/>
        <rFont val="Calibri"/>
        <family val="2"/>
        <scheme val="minor"/>
      </rPr>
      <t>A</t>
    </r>
    <r>
      <rPr>
        <sz val="11"/>
        <color theme="1"/>
        <rFont val="Calibri"/>
        <family val="2"/>
        <scheme val="minor"/>
      </rPr>
      <t xml:space="preserve"> =</t>
    </r>
  </si>
  <si>
    <t>acfm/Bed</t>
  </si>
  <si>
    <r>
      <t>Carbon Bed Thickness (t</t>
    </r>
    <r>
      <rPr>
        <vertAlign val="subscript"/>
        <sz val="12"/>
        <color theme="1"/>
        <rFont val="Calibri"/>
        <family val="2"/>
        <scheme val="minor"/>
      </rPr>
      <t>b</t>
    </r>
    <r>
      <rPr>
        <sz val="12"/>
        <color theme="1"/>
        <rFont val="Calibri"/>
        <family val="2"/>
        <scheme val="minor"/>
      </rPr>
      <t xml:space="preserve">) = </t>
    </r>
  </si>
  <si>
    <r>
      <t>(M</t>
    </r>
    <r>
      <rPr>
        <vertAlign val="subscript"/>
        <sz val="12"/>
        <color theme="1"/>
        <rFont val="Calibri"/>
        <family val="2"/>
        <scheme val="minor"/>
      </rPr>
      <t>c</t>
    </r>
    <r>
      <rPr>
        <sz val="12"/>
        <color theme="1"/>
        <rFont val="Calibri"/>
        <family val="2"/>
        <scheme val="minor"/>
      </rPr>
      <t>'/</t>
    </r>
    <r>
      <rPr>
        <sz val="12"/>
        <color theme="1"/>
        <rFont val="Calibri"/>
        <family val="2"/>
      </rPr>
      <t>ρ</t>
    </r>
    <r>
      <rPr>
        <vertAlign val="subscript"/>
        <sz val="12"/>
        <color theme="1"/>
        <rFont val="Calibri"/>
        <family val="2"/>
        <scheme val="minor"/>
      </rPr>
      <t>b</t>
    </r>
    <r>
      <rPr>
        <sz val="12"/>
        <color theme="1"/>
        <rFont val="Calibri"/>
        <family val="2"/>
        <scheme val="minor"/>
      </rPr>
      <t>)/(Q'/v</t>
    </r>
    <r>
      <rPr>
        <vertAlign val="subscript"/>
        <sz val="12"/>
        <color theme="1"/>
        <rFont val="Calibri"/>
        <family val="2"/>
        <scheme val="minor"/>
      </rPr>
      <t>b</t>
    </r>
    <r>
      <rPr>
        <sz val="12"/>
        <color theme="1"/>
        <rFont val="Calibri"/>
        <family val="2"/>
        <scheme val="minor"/>
      </rPr>
      <t>), where the density of carbon (ρb) = 30 lb/sq.ft</t>
    </r>
  </si>
  <si>
    <t xml:space="preserve">ft. </t>
  </si>
  <si>
    <r>
      <t>Pressure Drop (</t>
    </r>
    <r>
      <rPr>
        <sz val="12"/>
        <color theme="1"/>
        <rFont val="Calibri"/>
        <family val="2"/>
      </rPr>
      <t>ΔP</t>
    </r>
    <r>
      <rPr>
        <vertAlign val="subscript"/>
        <sz val="12"/>
        <color theme="1"/>
        <rFont val="Calibri"/>
        <family val="2"/>
      </rPr>
      <t>s</t>
    </r>
    <r>
      <rPr>
        <sz val="12"/>
        <color theme="1"/>
        <rFont val="Calibri"/>
        <family val="2"/>
      </rPr>
      <t xml:space="preserve">) = </t>
    </r>
  </si>
  <si>
    <r>
      <t>t</t>
    </r>
    <r>
      <rPr>
        <vertAlign val="subscript"/>
        <sz val="12"/>
        <color theme="1"/>
        <rFont val="Calibri"/>
        <family val="2"/>
        <scheme val="minor"/>
      </rPr>
      <t>b</t>
    </r>
    <r>
      <rPr>
        <sz val="12"/>
        <color theme="1"/>
        <rFont val="Calibri"/>
        <family val="2"/>
        <scheme val="minor"/>
      </rPr>
      <t xml:space="preserve"> x (0.03679v</t>
    </r>
    <r>
      <rPr>
        <vertAlign val="subscript"/>
        <sz val="12"/>
        <color theme="1"/>
        <rFont val="Calibri"/>
        <family val="2"/>
        <scheme val="minor"/>
      </rPr>
      <t>b</t>
    </r>
    <r>
      <rPr>
        <sz val="12"/>
        <color theme="1"/>
        <rFont val="Calibri"/>
        <family val="2"/>
        <scheme val="minor"/>
      </rPr>
      <t xml:space="preserve"> +1.107x10</t>
    </r>
    <r>
      <rPr>
        <vertAlign val="superscript"/>
        <sz val="12"/>
        <color theme="1"/>
        <rFont val="Calibri"/>
        <family val="2"/>
        <scheme val="minor"/>
      </rPr>
      <t>-4</t>
    </r>
    <r>
      <rPr>
        <sz val="12"/>
        <color theme="1"/>
        <rFont val="Calibri"/>
        <family val="2"/>
        <scheme val="minor"/>
      </rPr>
      <t>v</t>
    </r>
    <r>
      <rPr>
        <vertAlign val="subscript"/>
        <sz val="12"/>
        <color theme="1"/>
        <rFont val="Calibri"/>
        <family val="2"/>
        <scheme val="minor"/>
      </rPr>
      <t>b</t>
    </r>
    <r>
      <rPr>
        <vertAlign val="superscript"/>
        <sz val="12"/>
        <color theme="1"/>
        <rFont val="Calibri"/>
        <family val="2"/>
        <scheme val="minor"/>
      </rPr>
      <t>2</t>
    </r>
    <r>
      <rPr>
        <sz val="12"/>
        <color theme="1"/>
        <rFont val="Calibri"/>
        <family val="2"/>
        <scheme val="minor"/>
      </rPr>
      <t>) + 1 =</t>
    </r>
  </si>
  <si>
    <t>inches</t>
  </si>
  <si>
    <r>
      <t>Cooling Fan Operating Time (</t>
    </r>
    <r>
      <rPr>
        <sz val="12"/>
        <color theme="1"/>
        <rFont val="Calibri"/>
        <family val="2"/>
      </rPr>
      <t>Ɵ</t>
    </r>
    <r>
      <rPr>
        <vertAlign val="subscript"/>
        <sz val="12"/>
        <color theme="1"/>
        <rFont val="Calibri"/>
        <family val="2"/>
      </rPr>
      <t>cf</t>
    </r>
    <r>
      <rPr>
        <sz val="12"/>
        <color theme="1"/>
        <rFont val="Calibri"/>
        <family val="2"/>
      </rPr>
      <t xml:space="preserve">) = </t>
    </r>
  </si>
  <si>
    <r>
      <t xml:space="preserve">0.4 x </t>
    </r>
    <r>
      <rPr>
        <sz val="12"/>
        <color theme="1"/>
        <rFont val="Calibri"/>
        <family val="2"/>
      </rPr>
      <t>Ɵ</t>
    </r>
    <r>
      <rPr>
        <vertAlign val="subscript"/>
        <sz val="12"/>
        <color theme="1"/>
        <rFont val="Calibri"/>
        <family val="2"/>
      </rPr>
      <t>D</t>
    </r>
    <r>
      <rPr>
        <sz val="12"/>
        <color theme="1"/>
        <rFont val="Calibri"/>
        <family val="2"/>
      </rPr>
      <t xml:space="preserve"> x  (N</t>
    </r>
    <r>
      <rPr>
        <vertAlign val="subscript"/>
        <sz val="12"/>
        <color theme="1"/>
        <rFont val="Calibri"/>
        <family val="2"/>
      </rPr>
      <t>A</t>
    </r>
    <r>
      <rPr>
        <sz val="12"/>
        <color theme="1"/>
        <rFont val="Calibri"/>
        <family val="2"/>
      </rPr>
      <t xml:space="preserve"> x Ɵ</t>
    </r>
    <r>
      <rPr>
        <vertAlign val="subscript"/>
        <sz val="12"/>
        <color theme="1"/>
        <rFont val="Calibri"/>
        <family val="2"/>
      </rPr>
      <t>s</t>
    </r>
    <r>
      <rPr>
        <sz val="12"/>
        <color theme="1"/>
        <rFont val="Calibri"/>
        <family val="2"/>
      </rPr>
      <t>)/Ɵ</t>
    </r>
    <r>
      <rPr>
        <vertAlign val="subscript"/>
        <sz val="12"/>
        <color theme="1"/>
        <rFont val="Calibri"/>
        <family val="2"/>
      </rPr>
      <t>A</t>
    </r>
    <r>
      <rPr>
        <sz val="12"/>
        <color theme="1"/>
        <rFont val="Calibri"/>
        <family val="2"/>
      </rPr>
      <t xml:space="preserve"> = </t>
    </r>
  </si>
  <si>
    <t>Estimated Carbon Required:</t>
  </si>
  <si>
    <r>
      <t>Estimated Carbon Consumption (M</t>
    </r>
    <r>
      <rPr>
        <vertAlign val="subscript"/>
        <sz val="12"/>
        <color theme="1"/>
        <rFont val="Calibri"/>
        <family val="2"/>
        <scheme val="minor"/>
      </rPr>
      <t>c</t>
    </r>
    <r>
      <rPr>
        <sz val="12"/>
        <color theme="1"/>
        <rFont val="Calibri"/>
        <family val="2"/>
        <scheme val="minor"/>
      </rPr>
      <t xml:space="preserve">) for a continuously operated system = </t>
    </r>
  </si>
  <si>
    <r>
      <t>(m</t>
    </r>
    <r>
      <rPr>
        <vertAlign val="subscript"/>
        <sz val="12"/>
        <color theme="1"/>
        <rFont val="Calibri"/>
        <family val="2"/>
        <scheme val="minor"/>
      </rPr>
      <t>voc</t>
    </r>
    <r>
      <rPr>
        <sz val="12"/>
        <color theme="1"/>
        <rFont val="Calibri"/>
        <family val="2"/>
        <scheme val="minor"/>
      </rPr>
      <t>/w</t>
    </r>
    <r>
      <rPr>
        <vertAlign val="subscript"/>
        <sz val="12"/>
        <color theme="1"/>
        <rFont val="Calibri"/>
        <family val="2"/>
        <scheme val="minor"/>
      </rPr>
      <t>c</t>
    </r>
    <r>
      <rPr>
        <sz val="12"/>
        <color theme="1"/>
        <rFont val="Calibri"/>
        <family val="2"/>
        <scheme val="minor"/>
      </rPr>
      <t xml:space="preserve">) x </t>
    </r>
    <r>
      <rPr>
        <sz val="12"/>
        <color theme="1"/>
        <rFont val="Calibri"/>
        <family val="2"/>
      </rPr>
      <t>Ɵ</t>
    </r>
    <r>
      <rPr>
        <vertAlign val="subscript"/>
        <sz val="12"/>
        <color theme="1"/>
        <rFont val="Calibri"/>
        <family val="2"/>
      </rPr>
      <t>A</t>
    </r>
    <r>
      <rPr>
        <sz val="12"/>
        <color theme="1"/>
        <rFont val="Calibri"/>
        <family val="2"/>
      </rPr>
      <t xml:space="preserve"> (1 + N</t>
    </r>
    <r>
      <rPr>
        <vertAlign val="subscript"/>
        <sz val="12"/>
        <color theme="1"/>
        <rFont val="Calibri"/>
        <family val="2"/>
      </rPr>
      <t>D</t>
    </r>
    <r>
      <rPr>
        <sz val="12"/>
        <color theme="1"/>
        <rFont val="Calibri"/>
        <family val="2"/>
      </rPr>
      <t>/N</t>
    </r>
    <r>
      <rPr>
        <vertAlign val="subscript"/>
        <sz val="12"/>
        <color theme="1"/>
        <rFont val="Calibri"/>
        <family val="2"/>
      </rPr>
      <t>A</t>
    </r>
    <r>
      <rPr>
        <sz val="12"/>
        <color theme="1"/>
        <rFont val="Calibri"/>
        <family val="2"/>
      </rPr>
      <t>)</t>
    </r>
    <r>
      <rPr>
        <sz val="12"/>
        <color theme="1"/>
        <rFont val="Calibri"/>
        <family val="2"/>
        <scheme val="minor"/>
      </rPr>
      <t xml:space="preserve">  = </t>
    </r>
  </si>
  <si>
    <t>lbs.</t>
  </si>
  <si>
    <r>
      <t>Estimated Carbon Consumption (M</t>
    </r>
    <r>
      <rPr>
        <vertAlign val="subscript"/>
        <sz val="12"/>
        <color theme="1"/>
        <rFont val="Calibri"/>
        <family val="2"/>
        <scheme val="minor"/>
      </rPr>
      <t>c</t>
    </r>
    <r>
      <rPr>
        <sz val="12"/>
        <color theme="1"/>
        <rFont val="Calibri"/>
        <family val="2"/>
        <scheme val="minor"/>
      </rPr>
      <t xml:space="preserve">) for an intermittently operated system = </t>
    </r>
  </si>
  <si>
    <r>
      <t>(m</t>
    </r>
    <r>
      <rPr>
        <vertAlign val="subscript"/>
        <sz val="12"/>
        <color theme="1"/>
        <rFont val="Calibri"/>
        <family val="2"/>
        <scheme val="minor"/>
      </rPr>
      <t>voc</t>
    </r>
    <r>
      <rPr>
        <sz val="12"/>
        <color theme="1"/>
        <rFont val="Calibri"/>
        <family val="2"/>
        <scheme val="minor"/>
      </rPr>
      <t>/w</t>
    </r>
    <r>
      <rPr>
        <vertAlign val="subscript"/>
        <sz val="12"/>
        <color theme="1"/>
        <rFont val="Calibri"/>
        <family val="2"/>
        <scheme val="minor"/>
      </rPr>
      <t>c</t>
    </r>
    <r>
      <rPr>
        <sz val="12"/>
        <color theme="1"/>
        <rFont val="Calibri"/>
        <family val="2"/>
        <scheme val="minor"/>
      </rPr>
      <t xml:space="preserve">) x </t>
    </r>
    <r>
      <rPr>
        <sz val="12"/>
        <color theme="1"/>
        <rFont val="Calibri"/>
        <family val="2"/>
      </rPr>
      <t>Ɵ</t>
    </r>
    <r>
      <rPr>
        <vertAlign val="subscript"/>
        <sz val="12"/>
        <color theme="1"/>
        <rFont val="Calibri"/>
        <family val="2"/>
      </rPr>
      <t>A</t>
    </r>
    <r>
      <rPr>
        <sz val="12"/>
        <color theme="1"/>
        <rFont val="Calibri"/>
        <family val="2"/>
      </rPr>
      <t xml:space="preserve"> </t>
    </r>
    <r>
      <rPr>
        <sz val="12"/>
        <color theme="1"/>
        <rFont val="Calibri"/>
        <family val="2"/>
        <scheme val="minor"/>
      </rPr>
      <t xml:space="preserve">  = </t>
    </r>
  </si>
  <si>
    <r>
      <t>Carbon Required for each Vessel (M</t>
    </r>
    <r>
      <rPr>
        <vertAlign val="subscript"/>
        <sz val="11"/>
        <color theme="1"/>
        <rFont val="Calibri"/>
        <family val="2"/>
        <scheme val="minor"/>
      </rPr>
      <t>c</t>
    </r>
    <r>
      <rPr>
        <sz val="11"/>
        <color theme="1"/>
        <rFont val="Calibri"/>
        <family val="2"/>
        <scheme val="minor"/>
      </rPr>
      <t>') =</t>
    </r>
  </si>
  <si>
    <r>
      <t>M</t>
    </r>
    <r>
      <rPr>
        <vertAlign val="subscript"/>
        <sz val="11"/>
        <color theme="1"/>
        <rFont val="Calibri"/>
        <family val="2"/>
        <scheme val="minor"/>
      </rPr>
      <t>c</t>
    </r>
    <r>
      <rPr>
        <sz val="11"/>
        <color theme="1"/>
        <rFont val="Calibri"/>
        <family val="2"/>
        <scheme val="minor"/>
      </rPr>
      <t xml:space="preserve"> /(N</t>
    </r>
    <r>
      <rPr>
        <vertAlign val="subscript"/>
        <sz val="11"/>
        <color theme="1"/>
        <rFont val="Calibri"/>
        <family val="2"/>
        <scheme val="minor"/>
      </rPr>
      <t>A</t>
    </r>
    <r>
      <rPr>
        <sz val="11"/>
        <color theme="1"/>
        <rFont val="Calibri"/>
        <family val="2"/>
        <scheme val="minor"/>
      </rPr>
      <t xml:space="preserve"> + N</t>
    </r>
    <r>
      <rPr>
        <vertAlign val="subscript"/>
        <sz val="11"/>
        <color theme="1"/>
        <rFont val="Calibri"/>
        <family val="2"/>
        <scheme val="minor"/>
      </rPr>
      <t>D</t>
    </r>
    <r>
      <rPr>
        <sz val="11"/>
        <color theme="1"/>
        <rFont val="Calibri"/>
        <family val="2"/>
        <scheme val="minor"/>
      </rPr>
      <t>) =</t>
    </r>
  </si>
  <si>
    <t>lbs./Bed</t>
  </si>
  <si>
    <t xml:space="preserve">Estimated Adsorber Vessel Dimensions and Surface Area: </t>
  </si>
  <si>
    <t xml:space="preserve">Vessel Orientation = </t>
  </si>
  <si>
    <t>Vessel Diameter (D) =</t>
  </si>
  <si>
    <r>
      <t>(0.127 x M</t>
    </r>
    <r>
      <rPr>
        <vertAlign val="subscript"/>
        <sz val="12"/>
        <rFont val="Calibri"/>
        <family val="2"/>
      </rPr>
      <t>c</t>
    </r>
    <r>
      <rPr>
        <sz val="12"/>
        <rFont val="Calibri"/>
        <family val="2"/>
      </rPr>
      <t>' x v</t>
    </r>
    <r>
      <rPr>
        <vertAlign val="subscript"/>
        <sz val="12"/>
        <rFont val="Calibri"/>
        <family val="2"/>
      </rPr>
      <t>b</t>
    </r>
    <r>
      <rPr>
        <sz val="12"/>
        <rFont val="Calibri"/>
        <family val="2"/>
      </rPr>
      <t>)/Q' =</t>
    </r>
  </si>
  <si>
    <t>ft.</t>
  </si>
  <si>
    <t>Vessel Length (L) =</t>
  </si>
  <si>
    <r>
      <t>(7.87/Mc') x (Q'/v</t>
    </r>
    <r>
      <rPr>
        <vertAlign val="subscript"/>
        <sz val="12"/>
        <rFont val="Calibri"/>
        <family val="2"/>
      </rPr>
      <t>b</t>
    </r>
    <r>
      <rPr>
        <sz val="12"/>
        <rFont val="Calibri"/>
        <family val="2"/>
      </rPr>
      <t>)</t>
    </r>
    <r>
      <rPr>
        <vertAlign val="superscript"/>
        <sz val="12"/>
        <rFont val="Calibri"/>
        <family val="2"/>
      </rPr>
      <t>2</t>
    </r>
    <r>
      <rPr>
        <sz val="12"/>
        <rFont val="Calibri"/>
        <family val="2"/>
      </rPr>
      <t xml:space="preserve"> = </t>
    </r>
  </si>
  <si>
    <t>Surface Area of Adsorber Vessel (S) =</t>
  </si>
  <si>
    <r>
      <t xml:space="preserve"> </t>
    </r>
    <r>
      <rPr>
        <sz val="11"/>
        <color theme="1"/>
        <rFont val="Calibri"/>
        <family val="2"/>
      </rPr>
      <t xml:space="preserve">π x </t>
    </r>
    <r>
      <rPr>
        <sz val="11"/>
        <color theme="1"/>
        <rFont val="Calibri"/>
        <family val="2"/>
        <scheme val="minor"/>
      </rPr>
      <t>D x (L+D/2) =</t>
    </r>
  </si>
  <si>
    <t>sq.ft</t>
  </si>
  <si>
    <r>
      <t>(4Q'/πv</t>
    </r>
    <r>
      <rPr>
        <vertAlign val="subscript"/>
        <sz val="12"/>
        <rFont val="Calibri"/>
        <family val="2"/>
      </rPr>
      <t>b</t>
    </r>
    <r>
      <rPr>
        <sz val="12"/>
        <rFont val="Calibri"/>
        <family val="2"/>
      </rPr>
      <t>) =</t>
    </r>
  </si>
  <si>
    <r>
      <t>t</t>
    </r>
    <r>
      <rPr>
        <vertAlign val="subscript"/>
        <sz val="12"/>
        <rFont val="Calibri"/>
        <family val="2"/>
      </rPr>
      <t>b</t>
    </r>
    <r>
      <rPr>
        <sz val="12"/>
        <rFont val="Calibri"/>
        <family val="2"/>
      </rPr>
      <t xml:space="preserve"> + ta,g = </t>
    </r>
  </si>
  <si>
    <t>Electricity Consumption:</t>
  </si>
  <si>
    <r>
      <t>Electricity Consumed by the system fan (Q</t>
    </r>
    <r>
      <rPr>
        <vertAlign val="subscript"/>
        <sz val="12"/>
        <rFont val="Calibri"/>
        <family val="2"/>
        <scheme val="minor"/>
      </rPr>
      <t>sf</t>
    </r>
    <r>
      <rPr>
        <sz val="12"/>
        <rFont val="Calibri"/>
        <family val="2"/>
        <scheme val="minor"/>
      </rPr>
      <t>) =</t>
    </r>
  </si>
  <si>
    <r>
      <t>(0.746kW/hp) x 2.5x10</t>
    </r>
    <r>
      <rPr>
        <vertAlign val="superscript"/>
        <sz val="12"/>
        <rFont val="Calibri"/>
        <family val="2"/>
        <scheme val="minor"/>
      </rPr>
      <t xml:space="preserve">-4 </t>
    </r>
    <r>
      <rPr>
        <sz val="12"/>
        <rFont val="Calibri"/>
        <family val="2"/>
        <scheme val="minor"/>
      </rPr>
      <t xml:space="preserve">x Q x </t>
    </r>
    <r>
      <rPr>
        <sz val="12"/>
        <rFont val="Calibri"/>
        <family val="2"/>
      </rPr>
      <t>ΔP</t>
    </r>
    <r>
      <rPr>
        <vertAlign val="subscript"/>
        <sz val="12"/>
        <rFont val="Calibri"/>
        <family val="2"/>
      </rPr>
      <t>s</t>
    </r>
    <r>
      <rPr>
        <sz val="12"/>
        <rFont val="Calibri"/>
        <family val="2"/>
      </rPr>
      <t xml:space="preserve"> x Ɵ</t>
    </r>
    <r>
      <rPr>
        <vertAlign val="subscript"/>
        <sz val="12"/>
        <rFont val="Calibri"/>
        <family val="2"/>
      </rPr>
      <t>s</t>
    </r>
    <r>
      <rPr>
        <sz val="12"/>
        <rFont val="Calibri"/>
        <family val="2"/>
      </rPr>
      <t xml:space="preserve"> =</t>
    </r>
  </si>
  <si>
    <t>kWh/year</t>
  </si>
  <si>
    <r>
      <t>Electricity Consumed by the cooling fan (Q</t>
    </r>
    <r>
      <rPr>
        <vertAlign val="subscript"/>
        <sz val="12"/>
        <rFont val="Calibri"/>
        <family val="2"/>
        <scheme val="minor"/>
      </rPr>
      <t>cf</t>
    </r>
    <r>
      <rPr>
        <sz val="12"/>
        <rFont val="Calibri"/>
        <family val="2"/>
        <scheme val="minor"/>
      </rPr>
      <t xml:space="preserve">) = </t>
    </r>
  </si>
  <si>
    <r>
      <t>(0.746kW/hp) x 2.5x10</t>
    </r>
    <r>
      <rPr>
        <vertAlign val="superscript"/>
        <sz val="12"/>
        <rFont val="Calibri"/>
        <family val="2"/>
        <scheme val="minor"/>
      </rPr>
      <t>-4</t>
    </r>
    <r>
      <rPr>
        <sz val="12"/>
        <rFont val="Calibri"/>
        <family val="2"/>
        <scheme val="minor"/>
      </rPr>
      <t xml:space="preserve"> x Q</t>
    </r>
    <r>
      <rPr>
        <vertAlign val="subscript"/>
        <sz val="12"/>
        <rFont val="Calibri"/>
        <family val="2"/>
        <scheme val="minor"/>
      </rPr>
      <t>cf</t>
    </r>
    <r>
      <rPr>
        <sz val="12"/>
        <rFont val="Calibri"/>
        <family val="2"/>
        <scheme val="minor"/>
      </rPr>
      <t xml:space="preserve"> x </t>
    </r>
    <r>
      <rPr>
        <sz val="12"/>
        <rFont val="Calibri"/>
        <family val="2"/>
      </rPr>
      <t>ΔP</t>
    </r>
    <r>
      <rPr>
        <vertAlign val="subscript"/>
        <sz val="12"/>
        <rFont val="Calibri"/>
        <family val="2"/>
      </rPr>
      <t>s</t>
    </r>
    <r>
      <rPr>
        <sz val="12"/>
        <rFont val="Calibri"/>
        <family val="2"/>
      </rPr>
      <t xml:space="preserve"> x Ɵ</t>
    </r>
    <r>
      <rPr>
        <vertAlign val="subscript"/>
        <sz val="12"/>
        <rFont val="Calibri"/>
        <family val="2"/>
      </rPr>
      <t>cf</t>
    </r>
    <r>
      <rPr>
        <sz val="12"/>
        <rFont val="Calibri"/>
        <family val="2"/>
      </rPr>
      <t xml:space="preserve"> =</t>
    </r>
  </si>
  <si>
    <r>
      <t>Electricity Consumed by the Cooling Water Fan (Q</t>
    </r>
    <r>
      <rPr>
        <vertAlign val="subscript"/>
        <sz val="12"/>
        <rFont val="Calibri"/>
        <family val="2"/>
        <scheme val="minor"/>
      </rPr>
      <t>cwf</t>
    </r>
    <r>
      <rPr>
        <sz val="12"/>
        <rFont val="Calibri"/>
        <family val="2"/>
        <scheme val="minor"/>
      </rPr>
      <t xml:space="preserve">) = </t>
    </r>
  </si>
  <si>
    <r>
      <t>(0.746kW/hp) x [2.52x10</t>
    </r>
    <r>
      <rPr>
        <vertAlign val="superscript"/>
        <sz val="12"/>
        <rFont val="Calibri"/>
        <family val="2"/>
        <scheme val="minor"/>
      </rPr>
      <t xml:space="preserve">-4 </t>
    </r>
    <r>
      <rPr>
        <sz val="12"/>
        <rFont val="Calibri"/>
        <family val="2"/>
        <scheme val="minor"/>
      </rPr>
      <t>x 100/η] x [</t>
    </r>
    <r>
      <rPr>
        <sz val="12"/>
        <rFont val="Calibri"/>
        <family val="2"/>
      </rPr>
      <t>Ɵ</t>
    </r>
    <r>
      <rPr>
        <vertAlign val="subscript"/>
        <sz val="12"/>
        <rFont val="Calibri"/>
        <family val="2"/>
      </rPr>
      <t xml:space="preserve">cwp </t>
    </r>
    <r>
      <rPr>
        <sz val="12"/>
        <rFont val="Calibri"/>
        <family val="2"/>
      </rPr>
      <t>/(0.6 x Ɵ</t>
    </r>
    <r>
      <rPr>
        <vertAlign val="subscript"/>
        <sz val="12"/>
        <rFont val="Calibri"/>
        <family val="2"/>
      </rPr>
      <t>D</t>
    </r>
    <r>
      <rPr>
        <sz val="12"/>
        <rFont val="Calibri"/>
        <family val="2"/>
      </rPr>
      <t xml:space="preserve"> x N</t>
    </r>
    <r>
      <rPr>
        <vertAlign val="subscript"/>
        <sz val="12"/>
        <rFont val="Calibri"/>
        <family val="2"/>
      </rPr>
      <t>A</t>
    </r>
    <r>
      <rPr>
        <sz val="12"/>
        <rFont val="Calibri"/>
        <family val="2"/>
      </rPr>
      <t xml:space="preserve"> x Ɵ</t>
    </r>
    <r>
      <rPr>
        <vertAlign val="subscript"/>
        <sz val="12"/>
        <rFont val="Calibri"/>
        <family val="2"/>
      </rPr>
      <t>D</t>
    </r>
    <r>
      <rPr>
        <sz val="12"/>
        <rFont val="Calibri"/>
        <family val="2"/>
      </rPr>
      <t>/Ɵ</t>
    </r>
    <r>
      <rPr>
        <vertAlign val="subscript"/>
        <sz val="12"/>
        <rFont val="Calibri"/>
        <family val="2"/>
      </rPr>
      <t xml:space="preserve">A </t>
    </r>
    <r>
      <rPr>
        <sz val="12"/>
        <rFont val="Calibri"/>
        <family val="2"/>
      </rPr>
      <t>)x 60 mins/hour]  =</t>
    </r>
  </si>
  <si>
    <r>
      <t>Total Estimated Electricity Consumption (Q</t>
    </r>
    <r>
      <rPr>
        <vertAlign val="subscript"/>
        <sz val="12"/>
        <color theme="1"/>
        <rFont val="Calibri"/>
        <family val="2"/>
        <scheme val="minor"/>
      </rPr>
      <t>Elec</t>
    </r>
    <r>
      <rPr>
        <sz val="12"/>
        <color theme="1"/>
        <rFont val="Calibri"/>
        <family val="2"/>
        <scheme val="minor"/>
      </rPr>
      <t xml:space="preserve">) = </t>
    </r>
  </si>
  <si>
    <t>Qsf + Qcf + Qcsf =</t>
  </si>
  <si>
    <t>Steam Consumption:</t>
  </si>
  <si>
    <r>
      <t>Total Steam Consumption (Q</t>
    </r>
    <r>
      <rPr>
        <vertAlign val="subscript"/>
        <sz val="12"/>
        <color theme="1"/>
        <rFont val="Calibri"/>
        <family val="2"/>
        <scheme val="minor"/>
      </rPr>
      <t>Steam</t>
    </r>
    <r>
      <rPr>
        <sz val="12"/>
        <color theme="1"/>
        <rFont val="Calibri"/>
        <family val="2"/>
        <scheme val="minor"/>
      </rPr>
      <t xml:space="preserve">) = </t>
    </r>
  </si>
  <si>
    <r>
      <t>= 3.5 x M</t>
    </r>
    <r>
      <rPr>
        <vertAlign val="subscript"/>
        <sz val="12"/>
        <color theme="1"/>
        <rFont val="Calibri"/>
        <family val="2"/>
        <scheme val="minor"/>
      </rPr>
      <t>voc</t>
    </r>
    <r>
      <rPr>
        <sz val="12"/>
        <color theme="1"/>
        <rFont val="Calibri"/>
        <family val="2"/>
        <scheme val="minor"/>
      </rPr>
      <t xml:space="preserve"> x </t>
    </r>
    <r>
      <rPr>
        <sz val="12"/>
        <color theme="1"/>
        <rFont val="Calibri"/>
        <family val="2"/>
      </rPr>
      <t>Ɵ</t>
    </r>
    <r>
      <rPr>
        <vertAlign val="subscript"/>
        <sz val="12"/>
        <color theme="1"/>
        <rFont val="Calibri"/>
        <family val="2"/>
      </rPr>
      <t>s</t>
    </r>
    <r>
      <rPr>
        <sz val="12"/>
        <color theme="1"/>
        <rFont val="Calibri"/>
        <family val="2"/>
      </rPr>
      <t xml:space="preserve"> = </t>
    </r>
  </si>
  <si>
    <t>lbs./year</t>
  </si>
  <si>
    <t>Cooling Water Consumption:</t>
  </si>
  <si>
    <r>
      <t>Total Cooling Water Consumption (Q</t>
    </r>
    <r>
      <rPr>
        <vertAlign val="subscript"/>
        <sz val="12"/>
        <color theme="1"/>
        <rFont val="Calibri"/>
        <family val="2"/>
        <scheme val="minor"/>
      </rPr>
      <t>cw</t>
    </r>
    <r>
      <rPr>
        <sz val="12"/>
        <color theme="1"/>
        <rFont val="Calibri"/>
        <family val="2"/>
        <scheme val="minor"/>
      </rPr>
      <t xml:space="preserve">) = </t>
    </r>
  </si>
  <si>
    <r>
      <t>= 3.43 x C</t>
    </r>
    <r>
      <rPr>
        <vertAlign val="subscript"/>
        <sz val="12"/>
        <color theme="1"/>
        <rFont val="Calibri"/>
        <family val="2"/>
        <scheme val="minor"/>
      </rPr>
      <t>s</t>
    </r>
    <r>
      <rPr>
        <sz val="12"/>
        <color theme="1"/>
        <rFont val="Calibri"/>
        <family val="2"/>
        <scheme val="minor"/>
      </rPr>
      <t>/P</t>
    </r>
    <r>
      <rPr>
        <vertAlign val="subscript"/>
        <sz val="12"/>
        <color theme="1"/>
        <rFont val="Calibri"/>
        <family val="2"/>
        <scheme val="minor"/>
      </rPr>
      <t>s</t>
    </r>
    <r>
      <rPr>
        <sz val="12"/>
        <color theme="1"/>
        <rFont val="Calibri"/>
        <family val="2"/>
      </rPr>
      <t xml:space="preserve"> = </t>
    </r>
  </si>
  <si>
    <t>gallons/year</t>
  </si>
  <si>
    <t>Number of times canister(s) replaced per year =</t>
  </si>
  <si>
    <r>
      <t>Ɵ</t>
    </r>
    <r>
      <rPr>
        <i/>
        <vertAlign val="subscript"/>
        <sz val="12"/>
        <color theme="1"/>
        <rFont val="Calibri"/>
        <family val="2"/>
      </rPr>
      <t xml:space="preserve">s </t>
    </r>
    <r>
      <rPr>
        <i/>
        <sz val="12"/>
        <color theme="1"/>
        <rFont val="Calibri"/>
        <family val="2"/>
      </rPr>
      <t>/  Ɵ</t>
    </r>
    <r>
      <rPr>
        <i/>
        <vertAlign val="subscript"/>
        <sz val="12"/>
        <color theme="1"/>
        <rFont val="Calibri"/>
        <family val="2"/>
      </rPr>
      <t xml:space="preserve">A </t>
    </r>
    <r>
      <rPr>
        <i/>
        <sz val="12"/>
        <color theme="1"/>
        <rFont val="Calibri"/>
        <family val="2"/>
      </rPr>
      <t>=</t>
    </r>
  </si>
  <si>
    <t xml:space="preserve">Adsorber Parameters for Carbon Canisters: </t>
  </si>
  <si>
    <t>Number of operating hours before carbon canister replacement =</t>
  </si>
  <si>
    <r>
      <t>Estimated Total Carbon Required (M</t>
    </r>
    <r>
      <rPr>
        <vertAlign val="subscript"/>
        <sz val="12"/>
        <color theme="1"/>
        <rFont val="Calibri"/>
        <family val="2"/>
        <scheme val="minor"/>
      </rPr>
      <t>c</t>
    </r>
    <r>
      <rPr>
        <sz val="12"/>
        <color theme="1"/>
        <rFont val="Calibri"/>
        <family val="2"/>
        <scheme val="minor"/>
      </rPr>
      <t xml:space="preserve">) = </t>
    </r>
  </si>
  <si>
    <t xml:space="preserve">Number of Carbon Canisters Required = </t>
  </si>
  <si>
    <r>
      <t>M</t>
    </r>
    <r>
      <rPr>
        <vertAlign val="subscript"/>
        <sz val="12"/>
        <color theme="1"/>
        <rFont val="Calibri"/>
        <family val="2"/>
        <scheme val="minor"/>
      </rPr>
      <t>c</t>
    </r>
    <r>
      <rPr>
        <sz val="12"/>
        <color theme="1"/>
        <rFont val="Calibri"/>
        <family val="2"/>
        <scheme val="minor"/>
      </rPr>
      <t>/Carbon Canister Capacity</t>
    </r>
  </si>
  <si>
    <t>canisters</t>
  </si>
  <si>
    <t>Number of Carbon Canisters * Carbon Capacity per Canister =</t>
  </si>
  <si>
    <t>Capital Recovery Factor:</t>
  </si>
  <si>
    <r>
      <t>[i × (1 + i)</t>
    </r>
    <r>
      <rPr>
        <vertAlign val="superscript"/>
        <sz val="12"/>
        <color theme="1"/>
        <rFont val="Calibri"/>
        <family val="2"/>
        <scheme val="minor"/>
      </rPr>
      <t>n</t>
    </r>
    <r>
      <rPr>
        <sz val="12"/>
        <color theme="1"/>
        <rFont val="Calibri"/>
        <family val="2"/>
        <scheme val="minor"/>
      </rPr>
      <t>] / [(1 + i)</t>
    </r>
    <r>
      <rPr>
        <vertAlign val="superscript"/>
        <sz val="12"/>
        <color theme="1"/>
        <rFont val="Calibri"/>
        <family val="2"/>
        <scheme val="minor"/>
      </rPr>
      <t>n</t>
    </r>
    <r>
      <rPr>
        <sz val="12"/>
        <color theme="1"/>
        <rFont val="Calibri"/>
        <family val="2"/>
        <scheme val="minor"/>
      </rPr>
      <t xml:space="preserve"> - 1] =</t>
    </r>
  </si>
  <si>
    <t>Where n = Equipment Life and i = Interest Rate</t>
  </si>
  <si>
    <r>
      <t>Capital Recovery Factor for carbon (CRF</t>
    </r>
    <r>
      <rPr>
        <vertAlign val="subscript"/>
        <sz val="12"/>
        <color theme="1"/>
        <rFont val="Calibri"/>
        <family val="2"/>
        <scheme val="minor"/>
      </rPr>
      <t>Carbon</t>
    </r>
    <r>
      <rPr>
        <sz val="12"/>
        <color theme="1"/>
        <rFont val="Calibri"/>
        <family val="2"/>
        <scheme val="minor"/>
      </rPr>
      <t xml:space="preserve">) = </t>
    </r>
  </si>
  <si>
    <t>Where n = Carbon Life and i = Interest Rate</t>
  </si>
  <si>
    <r>
      <t>Capital Recovery Factor for carbon (CRF</t>
    </r>
    <r>
      <rPr>
        <vertAlign val="subscript"/>
        <sz val="12"/>
        <color theme="1"/>
        <rFont val="Calibri"/>
        <family val="2"/>
        <scheme val="minor"/>
      </rPr>
      <t>Carbon canister</t>
    </r>
    <r>
      <rPr>
        <sz val="12"/>
        <color theme="1"/>
        <rFont val="Calibri"/>
        <family val="2"/>
        <scheme val="minor"/>
      </rPr>
      <t xml:space="preserve">) = </t>
    </r>
  </si>
  <si>
    <t>Where n = Carbon Canister Life and i = Interest Rate</t>
  </si>
  <si>
    <t>Cost Estimate</t>
  </si>
  <si>
    <t>Capital Costs</t>
  </si>
  <si>
    <t>VOC Controlled/Recovered =</t>
  </si>
  <si>
    <t>Adsorber Vessel Orientation =</t>
  </si>
  <si>
    <t>Operating Schedule  =</t>
  </si>
  <si>
    <t>Cost</t>
  </si>
  <si>
    <r>
      <t>Costs for Each Carbon Adsorber Vessel (C</t>
    </r>
    <r>
      <rPr>
        <vertAlign val="subscript"/>
        <sz val="12"/>
        <color theme="1"/>
        <rFont val="Calibri"/>
        <family val="2"/>
        <scheme val="minor"/>
      </rPr>
      <t>v</t>
    </r>
    <r>
      <rPr>
        <sz val="12"/>
        <color theme="1"/>
        <rFont val="Calibri"/>
        <family val="2"/>
        <scheme val="minor"/>
      </rPr>
      <t>) =</t>
    </r>
  </si>
  <si>
    <r>
      <t>271 x F</t>
    </r>
    <r>
      <rPr>
        <vertAlign val="subscript"/>
        <sz val="12"/>
        <color theme="1"/>
        <rFont val="Calibri"/>
        <family val="2"/>
      </rPr>
      <t>m</t>
    </r>
    <r>
      <rPr>
        <sz val="12"/>
        <color theme="1"/>
        <rFont val="Calibri"/>
        <family val="2"/>
        <scheme val="minor"/>
      </rPr>
      <t xml:space="preserve"> x S</t>
    </r>
    <r>
      <rPr>
        <vertAlign val="superscript"/>
        <sz val="12"/>
        <color theme="1"/>
        <rFont val="Calibri"/>
        <family val="2"/>
        <scheme val="minor"/>
      </rPr>
      <t>0.778</t>
    </r>
    <r>
      <rPr>
        <sz val="12"/>
        <color theme="1"/>
        <rFont val="Calibri"/>
        <family val="2"/>
        <scheme val="minor"/>
      </rPr>
      <t xml:space="preserve"> =</t>
    </r>
  </si>
  <si>
    <r>
      <t>Total Cost for All Carbon Adsorber Vessels and Carbon(EC</t>
    </r>
    <r>
      <rPr>
        <vertAlign val="subscript"/>
        <sz val="12"/>
        <color theme="1"/>
        <rFont val="Calibri"/>
        <family val="2"/>
        <scheme val="minor"/>
      </rPr>
      <t>Adsorb</t>
    </r>
    <r>
      <rPr>
        <sz val="12"/>
        <color theme="1"/>
        <rFont val="Calibri"/>
        <family val="2"/>
        <scheme val="minor"/>
      </rPr>
      <t>) =</t>
    </r>
  </si>
  <si>
    <r>
      <t>5.82 x Q</t>
    </r>
    <r>
      <rPr>
        <vertAlign val="superscript"/>
        <sz val="12"/>
        <color theme="1"/>
        <rFont val="Calibri"/>
        <family val="2"/>
        <scheme val="minor"/>
      </rPr>
      <t>-0.133</t>
    </r>
    <r>
      <rPr>
        <sz val="12"/>
        <color theme="1"/>
        <rFont val="Calibri"/>
        <family val="2"/>
        <scheme val="minor"/>
      </rPr>
      <t xml:space="preserve"> x [C</t>
    </r>
    <r>
      <rPr>
        <vertAlign val="subscript"/>
        <sz val="12"/>
        <color theme="1"/>
        <rFont val="Calibri"/>
        <family val="2"/>
        <scheme val="minor"/>
      </rPr>
      <t>c</t>
    </r>
    <r>
      <rPr>
        <sz val="12"/>
        <color theme="1"/>
        <rFont val="Calibri"/>
        <family val="2"/>
        <scheme val="minor"/>
      </rPr>
      <t xml:space="preserve"> + (N</t>
    </r>
    <r>
      <rPr>
        <vertAlign val="subscript"/>
        <sz val="12"/>
        <color theme="1"/>
        <rFont val="Calibri"/>
        <family val="2"/>
        <scheme val="minor"/>
      </rPr>
      <t>A</t>
    </r>
    <r>
      <rPr>
        <sz val="12"/>
        <color theme="1"/>
        <rFont val="Calibri"/>
        <family val="2"/>
        <scheme val="minor"/>
      </rPr>
      <t xml:space="preserve"> + N</t>
    </r>
    <r>
      <rPr>
        <vertAlign val="subscript"/>
        <sz val="12"/>
        <color theme="1"/>
        <rFont val="Calibri"/>
        <family val="2"/>
        <scheme val="minor"/>
      </rPr>
      <t>D</t>
    </r>
    <r>
      <rPr>
        <sz val="12"/>
        <color theme="1"/>
        <rFont val="Calibri"/>
        <family val="2"/>
        <scheme val="minor"/>
      </rPr>
      <t>) x C</t>
    </r>
    <r>
      <rPr>
        <vertAlign val="subscript"/>
        <sz val="12"/>
        <color theme="1"/>
        <rFont val="Calibri"/>
        <family val="2"/>
        <scheme val="minor"/>
      </rPr>
      <t>v</t>
    </r>
    <r>
      <rPr>
        <sz val="12"/>
        <color theme="1"/>
        <rFont val="Calibri"/>
        <family val="2"/>
        <scheme val="minor"/>
      </rPr>
      <t>] =</t>
    </r>
  </si>
  <si>
    <r>
      <t>Auxiliary Equipment (EC</t>
    </r>
    <r>
      <rPr>
        <vertAlign val="subscript"/>
        <sz val="12"/>
        <color theme="1"/>
        <rFont val="Calibri"/>
        <family val="2"/>
        <scheme val="minor"/>
      </rPr>
      <t>aux</t>
    </r>
    <r>
      <rPr>
        <sz val="12"/>
        <color theme="1"/>
        <rFont val="Calibri"/>
        <family val="2"/>
        <scheme val="minor"/>
      </rPr>
      <t>) =</t>
    </r>
  </si>
  <si>
    <t xml:space="preserve">(Based on design costs or estimated using methods provided in Section 2) </t>
  </si>
  <si>
    <t>Total Purchased Equipment Costs for Carbon Adsorber (A) =</t>
  </si>
  <si>
    <r>
      <t>= EC</t>
    </r>
    <r>
      <rPr>
        <vertAlign val="subscript"/>
        <sz val="12"/>
        <color theme="1"/>
        <rFont val="Calibri"/>
        <family val="2"/>
        <scheme val="minor"/>
      </rPr>
      <t>Adsorb</t>
    </r>
    <r>
      <rPr>
        <sz val="12"/>
        <color theme="1"/>
        <rFont val="Calibri"/>
        <family val="2"/>
        <scheme val="minor"/>
      </rPr>
      <t xml:space="preserve"> + EC</t>
    </r>
    <r>
      <rPr>
        <vertAlign val="subscript"/>
        <sz val="12"/>
        <color theme="1"/>
        <rFont val="Calibri"/>
        <family val="2"/>
        <scheme val="minor"/>
      </rPr>
      <t>aux</t>
    </r>
    <r>
      <rPr>
        <sz val="12"/>
        <color theme="1"/>
        <rFont val="Calibri"/>
        <family val="2"/>
        <scheme val="minor"/>
      </rPr>
      <t xml:space="preserve"> =</t>
    </r>
  </si>
  <si>
    <t>Instrumentation =</t>
  </si>
  <si>
    <t>0.10 × A =</t>
  </si>
  <si>
    <t>Included in A</t>
  </si>
  <si>
    <t>Sales taxes =</t>
  </si>
  <si>
    <t>0.03 × A =</t>
  </si>
  <si>
    <t>Freight =</t>
  </si>
  <si>
    <t>0.05 × A =</t>
  </si>
  <si>
    <t xml:space="preserve">Total Purchased Equipment Costs (B) = </t>
  </si>
  <si>
    <t>Foundations and Supports =</t>
  </si>
  <si>
    <t>0.08 × B =</t>
  </si>
  <si>
    <t>Handling and Erection =</t>
  </si>
  <si>
    <t>0.14 × B =</t>
  </si>
  <si>
    <t>Electrical =</t>
  </si>
  <si>
    <t>0.04 × B =</t>
  </si>
  <si>
    <t>Piping =</t>
  </si>
  <si>
    <t>0.02 × B =</t>
  </si>
  <si>
    <t>Insulation =</t>
  </si>
  <si>
    <t>0.01 × B =</t>
  </si>
  <si>
    <t>Painting =</t>
  </si>
  <si>
    <t xml:space="preserve">Total Direct Costs (DC) =  B + (0.3 × B) + SP + Bldg = </t>
  </si>
  <si>
    <t xml:space="preserve">Engineering = </t>
  </si>
  <si>
    <t>0.10 × B =</t>
  </si>
  <si>
    <t xml:space="preserve">Construction and field expenses = </t>
  </si>
  <si>
    <t>0.05 × B =</t>
  </si>
  <si>
    <t>Contractor fees =</t>
  </si>
  <si>
    <t>Start-up =</t>
  </si>
  <si>
    <t>Performance test =</t>
  </si>
  <si>
    <t>Total Indirect Costs (IC) =</t>
  </si>
  <si>
    <t>Contingency Cost (C) =</t>
  </si>
  <si>
    <t>CF(IC+DC)=</t>
  </si>
  <si>
    <t>Total Capital Investment (TCI) =</t>
  </si>
  <si>
    <t>DC + IC + C = (1.28 × B) + SP + Bldg. + C =</t>
  </si>
  <si>
    <t>Annual Costs</t>
  </si>
  <si>
    <t>Direct Annual Costs</t>
  </si>
  <si>
    <t>Annual Electricity Cost =</t>
  </si>
  <si>
    <r>
      <t>Q</t>
    </r>
    <r>
      <rPr>
        <vertAlign val="subscript"/>
        <sz val="12"/>
        <color theme="1"/>
        <rFont val="Calibri"/>
        <family val="2"/>
      </rPr>
      <t>Elec</t>
    </r>
    <r>
      <rPr>
        <sz val="12"/>
        <color theme="1"/>
        <rFont val="Calibri"/>
        <family val="2"/>
        <scheme val="minor"/>
      </rPr>
      <t xml:space="preserve">  × P</t>
    </r>
    <r>
      <rPr>
        <vertAlign val="subscript"/>
        <sz val="12"/>
        <color theme="1"/>
        <rFont val="Calibri"/>
        <family val="2"/>
        <scheme val="minor"/>
      </rPr>
      <t>elec</t>
    </r>
    <r>
      <rPr>
        <sz val="12"/>
        <color theme="1"/>
        <rFont val="Calibri"/>
        <family val="2"/>
        <scheme val="minor"/>
      </rPr>
      <t xml:space="preserve"> =</t>
    </r>
  </si>
  <si>
    <r>
      <t>Annual Steam Cost (C</t>
    </r>
    <r>
      <rPr>
        <vertAlign val="subscript"/>
        <sz val="12"/>
        <color theme="1"/>
        <rFont val="Calibri"/>
        <family val="2"/>
        <scheme val="minor"/>
      </rPr>
      <t>s</t>
    </r>
    <r>
      <rPr>
        <sz val="12"/>
        <color theme="1"/>
        <rFont val="Calibri"/>
        <family val="2"/>
        <scheme val="minor"/>
      </rPr>
      <t>) =</t>
    </r>
  </si>
  <si>
    <r>
      <t>3.50 x m</t>
    </r>
    <r>
      <rPr>
        <vertAlign val="subscript"/>
        <sz val="12"/>
        <color theme="1"/>
        <rFont val="Calibri"/>
        <family val="2"/>
        <scheme val="minor"/>
      </rPr>
      <t>voc</t>
    </r>
    <r>
      <rPr>
        <sz val="12"/>
        <color theme="1"/>
        <rFont val="Calibri"/>
        <family val="2"/>
        <scheme val="minor"/>
      </rPr>
      <t xml:space="preserve"> x </t>
    </r>
    <r>
      <rPr>
        <sz val="12"/>
        <color theme="1"/>
        <rFont val="Calibri"/>
        <family val="2"/>
      </rPr>
      <t>Ɵ</t>
    </r>
    <r>
      <rPr>
        <vertAlign val="subscript"/>
        <sz val="12"/>
        <color theme="1"/>
        <rFont val="Calibri"/>
        <family val="2"/>
      </rPr>
      <t>s</t>
    </r>
    <r>
      <rPr>
        <sz val="12"/>
        <color theme="1"/>
        <rFont val="Calibri"/>
        <family val="2"/>
      </rPr>
      <t xml:space="preserve"> x P</t>
    </r>
    <r>
      <rPr>
        <vertAlign val="subscript"/>
        <sz val="12"/>
        <color theme="1"/>
        <rFont val="Calibri"/>
        <family val="2"/>
      </rPr>
      <t>s</t>
    </r>
    <r>
      <rPr>
        <sz val="12"/>
        <color theme="1"/>
        <rFont val="Calibri"/>
        <family val="2"/>
      </rPr>
      <t xml:space="preserve"> =</t>
    </r>
  </si>
  <si>
    <r>
      <t>Annual Cooling Water Cost (C</t>
    </r>
    <r>
      <rPr>
        <vertAlign val="subscript"/>
        <sz val="12"/>
        <color theme="1"/>
        <rFont val="Calibri"/>
        <family val="2"/>
        <scheme val="minor"/>
      </rPr>
      <t>cs</t>
    </r>
    <r>
      <rPr>
        <sz val="12"/>
        <color theme="1"/>
        <rFont val="Calibri"/>
        <family val="2"/>
        <scheme val="minor"/>
      </rPr>
      <t>) =</t>
    </r>
  </si>
  <si>
    <r>
      <t>3.43 x C</t>
    </r>
    <r>
      <rPr>
        <vertAlign val="subscript"/>
        <sz val="12"/>
        <color theme="1"/>
        <rFont val="Calibri"/>
        <family val="2"/>
        <scheme val="minor"/>
      </rPr>
      <t>s</t>
    </r>
    <r>
      <rPr>
        <sz val="12"/>
        <color theme="1"/>
        <rFont val="Calibri"/>
        <family val="2"/>
        <scheme val="minor"/>
      </rPr>
      <t>/P</t>
    </r>
    <r>
      <rPr>
        <vertAlign val="subscript"/>
        <sz val="12"/>
        <color theme="1"/>
        <rFont val="Calibri"/>
        <family val="2"/>
        <scheme val="minor"/>
      </rPr>
      <t>s</t>
    </r>
    <r>
      <rPr>
        <sz val="12"/>
        <color theme="1"/>
        <rFont val="Calibri"/>
        <family val="2"/>
        <scheme val="minor"/>
      </rPr>
      <t xml:space="preserve"> x P</t>
    </r>
    <r>
      <rPr>
        <vertAlign val="subscript"/>
        <sz val="12"/>
        <color theme="1"/>
        <rFont val="Calibri"/>
        <family val="2"/>
        <scheme val="minor"/>
      </rPr>
      <t>wc</t>
    </r>
    <r>
      <rPr>
        <sz val="12"/>
        <color theme="1"/>
        <rFont val="Calibri"/>
        <family val="2"/>
        <scheme val="minor"/>
      </rPr>
      <t xml:space="preserve"> = </t>
    </r>
  </si>
  <si>
    <t xml:space="preserve">Operating Labor Costs: </t>
  </si>
  <si>
    <t>Operator = 0.5 hours/shift × Labor Rate × (Operating hours/8 hours/shift)</t>
  </si>
  <si>
    <t>Supervisor = 15% of Operator</t>
  </si>
  <si>
    <t>Maintenance Costs:</t>
  </si>
  <si>
    <t>Labor = 0.5 hours/shift × Labor Rate × (Operating Hours/8 hours/shift)</t>
  </si>
  <si>
    <t>Materials = 100% of maintenance labor</t>
  </si>
  <si>
    <t>Carbon Replacement Costs:</t>
  </si>
  <si>
    <r>
      <t>Labor = CRF</t>
    </r>
    <r>
      <rPr>
        <vertAlign val="subscript"/>
        <sz val="12"/>
        <color theme="1"/>
        <rFont val="Calibri"/>
        <family val="2"/>
        <scheme val="minor"/>
      </rPr>
      <t>carbon</t>
    </r>
    <r>
      <rPr>
        <sz val="12"/>
        <color theme="1"/>
        <rFont val="Calibri"/>
        <family val="2"/>
        <scheme val="minor"/>
      </rPr>
      <t xml:space="preserve"> x (Labor Rate × M</t>
    </r>
    <r>
      <rPr>
        <vertAlign val="subscript"/>
        <sz val="12"/>
        <color theme="1"/>
        <rFont val="Calibri"/>
        <family val="2"/>
        <scheme val="minor"/>
      </rPr>
      <t>c</t>
    </r>
    <r>
      <rPr>
        <sz val="12"/>
        <color theme="1"/>
        <rFont val="Calibri"/>
        <family val="2"/>
        <scheme val="minor"/>
      </rPr>
      <t xml:space="preserve">)/CRR = </t>
    </r>
  </si>
  <si>
    <r>
      <t>Carbon = CRF</t>
    </r>
    <r>
      <rPr>
        <vertAlign val="subscript"/>
        <sz val="12"/>
        <color theme="1"/>
        <rFont val="Calibri"/>
        <family val="2"/>
        <scheme val="minor"/>
      </rPr>
      <t>carbon</t>
    </r>
    <r>
      <rPr>
        <sz val="12"/>
        <color theme="1"/>
        <rFont val="Calibri"/>
        <family val="2"/>
        <scheme val="minor"/>
      </rPr>
      <t xml:space="preserve"> x CC x M</t>
    </r>
    <r>
      <rPr>
        <vertAlign val="subscript"/>
        <sz val="12"/>
        <color theme="1"/>
        <rFont val="Calibri"/>
        <family val="2"/>
        <scheme val="minor"/>
      </rPr>
      <t>c</t>
    </r>
    <r>
      <rPr>
        <sz val="12"/>
        <color theme="1"/>
        <rFont val="Calibri"/>
        <family val="2"/>
        <scheme val="minor"/>
      </rPr>
      <t xml:space="preserve"> x 1.08 = </t>
    </r>
  </si>
  <si>
    <t>Direct Annual Costs (DAC) =</t>
  </si>
  <si>
    <t>Indirect Annual Costs</t>
  </si>
  <si>
    <t>Overhead</t>
  </si>
  <si>
    <t>= 60% of sum of operator, supervisor, maintenance labor Plus maintenance materials</t>
  </si>
  <si>
    <t>Administrative Charges</t>
  </si>
  <si>
    <t>= 2% of TCI</t>
  </si>
  <si>
    <t>Property Taxes</t>
  </si>
  <si>
    <t>= 1% of TCI</t>
  </si>
  <si>
    <t>Insurance</t>
  </si>
  <si>
    <t>Capital Recovery</t>
  </si>
  <si>
    <r>
      <t>= CRF</t>
    </r>
    <r>
      <rPr>
        <vertAlign val="subscript"/>
        <sz val="12"/>
        <rFont val="Calibri"/>
        <family val="2"/>
        <scheme val="minor"/>
      </rPr>
      <t>Adsorber</t>
    </r>
    <r>
      <rPr>
        <sz val="12"/>
        <rFont val="Calibri"/>
        <family val="2"/>
        <scheme val="minor"/>
      </rPr>
      <t xml:space="preserve"> × (TCI - [(1.08 x CC x M</t>
    </r>
    <r>
      <rPr>
        <vertAlign val="subscript"/>
        <sz val="12"/>
        <rFont val="Calibri"/>
        <family val="2"/>
        <scheme val="minor"/>
      </rPr>
      <t>c</t>
    </r>
    <r>
      <rPr>
        <sz val="12"/>
        <rFont val="Calibri"/>
        <family val="2"/>
        <scheme val="minor"/>
      </rPr>
      <t>) + (LR x M</t>
    </r>
    <r>
      <rPr>
        <vertAlign val="subscript"/>
        <sz val="12"/>
        <rFont val="Calibri"/>
        <family val="2"/>
        <scheme val="minor"/>
      </rPr>
      <t>c</t>
    </r>
    <r>
      <rPr>
        <sz val="12"/>
        <rFont val="Calibri"/>
        <family val="2"/>
        <scheme val="minor"/>
      </rPr>
      <t>/CRR)] =</t>
    </r>
  </si>
  <si>
    <t>Indirect Annual Costs (IAC) =</t>
  </si>
  <si>
    <t>Recovered Solvent Credit/Disposal Costs</t>
  </si>
  <si>
    <t>Disposal Cost</t>
  </si>
  <si>
    <r>
      <t>VOC Disposal/Treatment Costs (</t>
    </r>
    <r>
      <rPr>
        <i/>
        <sz val="11"/>
        <rFont val="Calibri"/>
        <family val="2"/>
        <scheme val="minor"/>
      </rPr>
      <t>Disposal</t>
    </r>
    <r>
      <rPr>
        <i/>
        <vertAlign val="subscript"/>
        <sz val="11"/>
        <rFont val="Calibri"/>
        <family val="2"/>
        <scheme val="minor"/>
      </rPr>
      <t>cost</t>
    </r>
    <r>
      <rPr>
        <i/>
        <sz val="11"/>
        <rFont val="Calibri"/>
        <family val="2"/>
        <scheme val="minor"/>
      </rPr>
      <t>)</t>
    </r>
  </si>
  <si>
    <r>
      <t>= m</t>
    </r>
    <r>
      <rPr>
        <i/>
        <vertAlign val="subscript"/>
        <sz val="11"/>
        <rFont val="Calibri"/>
        <family val="2"/>
        <scheme val="minor"/>
      </rPr>
      <t>voc</t>
    </r>
    <r>
      <rPr>
        <i/>
        <sz val="11"/>
        <rFont val="Calibri"/>
        <family val="2"/>
        <scheme val="minor"/>
      </rPr>
      <t xml:space="preserve"> x </t>
    </r>
    <r>
      <rPr>
        <i/>
        <sz val="11"/>
        <rFont val="Calibri"/>
        <family val="2"/>
      </rPr>
      <t>Ɵ</t>
    </r>
    <r>
      <rPr>
        <i/>
        <vertAlign val="subscript"/>
        <sz val="11"/>
        <rFont val="Calibri"/>
        <family val="2"/>
      </rPr>
      <t>s</t>
    </r>
    <r>
      <rPr>
        <i/>
        <sz val="11"/>
        <rFont val="Calibri"/>
        <family val="2"/>
      </rPr>
      <t xml:space="preserve"> x D</t>
    </r>
    <r>
      <rPr>
        <i/>
        <vertAlign val="subscript"/>
        <sz val="11"/>
        <rFont val="Calibri"/>
        <family val="2"/>
      </rPr>
      <t>voc</t>
    </r>
    <r>
      <rPr>
        <i/>
        <sz val="11"/>
        <rFont val="Calibri"/>
        <family val="2"/>
      </rPr>
      <t xml:space="preserve"> x E =</t>
    </r>
  </si>
  <si>
    <t xml:space="preserve"> VOC Recovery Credit</t>
  </si>
  <si>
    <t>Annual Recovery Credit for Condensate (RC)</t>
  </si>
  <si>
    <r>
      <t>= m</t>
    </r>
    <r>
      <rPr>
        <i/>
        <vertAlign val="subscript"/>
        <sz val="12"/>
        <rFont val="Calibri"/>
        <family val="2"/>
        <scheme val="minor"/>
      </rPr>
      <t>voc</t>
    </r>
    <r>
      <rPr>
        <i/>
        <sz val="12"/>
        <rFont val="Calibri"/>
        <family val="2"/>
        <scheme val="minor"/>
      </rPr>
      <t xml:space="preserve"> × </t>
    </r>
    <r>
      <rPr>
        <i/>
        <sz val="12"/>
        <rFont val="Calibri"/>
        <family val="2"/>
      </rPr>
      <t>Ɵ</t>
    </r>
    <r>
      <rPr>
        <i/>
        <vertAlign val="subscript"/>
        <sz val="12"/>
        <rFont val="Calibri"/>
        <family val="2"/>
      </rPr>
      <t>s</t>
    </r>
    <r>
      <rPr>
        <i/>
        <sz val="12"/>
        <rFont val="Calibri"/>
        <family val="2"/>
      </rPr>
      <t xml:space="preserve"> x P</t>
    </r>
    <r>
      <rPr>
        <i/>
        <vertAlign val="subscript"/>
        <sz val="12"/>
        <rFont val="Calibri"/>
        <family val="2"/>
      </rPr>
      <t>voc</t>
    </r>
    <r>
      <rPr>
        <i/>
        <sz val="12"/>
        <rFont val="Calibri"/>
        <family val="2"/>
      </rPr>
      <t xml:space="preserve"> x E =</t>
    </r>
  </si>
  <si>
    <t>Total Annual Cost  (TAC) =</t>
  </si>
  <si>
    <r>
      <t>DAC + IAC + C + Disposal</t>
    </r>
    <r>
      <rPr>
        <b/>
        <vertAlign val="subscript"/>
        <sz val="12"/>
        <color theme="0"/>
        <rFont val="Calibri"/>
        <family val="2"/>
        <scheme val="minor"/>
      </rPr>
      <t>Cost</t>
    </r>
    <r>
      <rPr>
        <b/>
        <sz val="12"/>
        <color theme="0"/>
        <rFont val="Calibri"/>
        <family val="2"/>
        <scheme val="minor"/>
      </rPr>
      <t xml:space="preserve"> - RC  =</t>
    </r>
  </si>
  <si>
    <t>Cost Effectiveness</t>
  </si>
  <si>
    <t xml:space="preserve">Cost Effectiveness </t>
  </si>
  <si>
    <t>Total Annual Cost =</t>
  </si>
  <si>
    <t>TAC =</t>
  </si>
  <si>
    <t>Annual Quantity of VOC Removed/Recovered =</t>
  </si>
  <si>
    <t xml:space="preserve">Cost Effectiveness = </t>
  </si>
  <si>
    <t>Total Annual Cost (TAC) / Annual Quantity of VOC Removed/Recovered =</t>
  </si>
  <si>
    <r>
      <t>Total Cost for All Carbon Adsorber Canisters (EC</t>
    </r>
    <r>
      <rPr>
        <vertAlign val="subscript"/>
        <sz val="12"/>
        <color theme="1"/>
        <rFont val="Calibri"/>
        <family val="2"/>
        <scheme val="minor"/>
      </rPr>
      <t>Adsorb</t>
    </r>
    <r>
      <rPr>
        <sz val="12"/>
        <color theme="1"/>
        <rFont val="Calibri"/>
        <family val="2"/>
        <scheme val="minor"/>
      </rPr>
      <t>) =</t>
    </r>
  </si>
  <si>
    <t>Canister Cost x Number of Canisters Required =</t>
  </si>
  <si>
    <t>Direct and Indirect Installation =</t>
  </si>
  <si>
    <t>0.20 × B =</t>
  </si>
  <si>
    <t>Total Direct and Indirect Installation Costs =</t>
  </si>
  <si>
    <t>CF(Purchase Equipment Cost + Installation costs)=</t>
  </si>
  <si>
    <t xml:space="preserve">Purchace Equipment Costs + Installation Costs + Contingency Costs = </t>
  </si>
  <si>
    <r>
      <t>Labor = CFR</t>
    </r>
    <r>
      <rPr>
        <vertAlign val="subscript"/>
        <sz val="12"/>
        <color theme="1"/>
        <rFont val="Calibri"/>
        <family val="2"/>
        <scheme val="minor"/>
      </rPr>
      <t xml:space="preserve">carbon </t>
    </r>
    <r>
      <rPr>
        <sz val="12"/>
        <color theme="1"/>
        <rFont val="Calibri"/>
        <family val="2"/>
        <scheme val="minor"/>
      </rPr>
      <t>[Labor Rate × T</t>
    </r>
    <r>
      <rPr>
        <vertAlign val="subscript"/>
        <sz val="12"/>
        <color theme="1"/>
        <rFont val="Calibri"/>
        <family val="2"/>
        <scheme val="minor"/>
      </rPr>
      <t>C</t>
    </r>
    <r>
      <rPr>
        <sz val="12"/>
        <color theme="1"/>
        <rFont val="Calibri"/>
        <family val="2"/>
        <scheme val="minor"/>
      </rPr>
      <t xml:space="preserve">/CRR] = </t>
    </r>
  </si>
  <si>
    <r>
      <t>Carbon =  CRF</t>
    </r>
    <r>
      <rPr>
        <vertAlign val="subscript"/>
        <sz val="12"/>
        <color theme="1"/>
        <rFont val="Calibri"/>
        <family val="2"/>
        <scheme val="minor"/>
      </rPr>
      <t>carbon</t>
    </r>
    <r>
      <rPr>
        <sz val="12"/>
        <color theme="1"/>
        <rFont val="Calibri"/>
        <family val="2"/>
        <scheme val="minor"/>
      </rPr>
      <t>[CC x T</t>
    </r>
    <r>
      <rPr>
        <vertAlign val="subscript"/>
        <sz val="12"/>
        <color theme="1"/>
        <rFont val="Calibri"/>
        <family val="2"/>
        <scheme val="minor"/>
      </rPr>
      <t>c</t>
    </r>
    <r>
      <rPr>
        <sz val="12"/>
        <color theme="1"/>
        <rFont val="Calibri"/>
        <family val="2"/>
        <scheme val="minor"/>
      </rPr>
      <t xml:space="preserve"> x 1.08] = </t>
    </r>
  </si>
  <si>
    <r>
      <t>= CRF</t>
    </r>
    <r>
      <rPr>
        <vertAlign val="subscript"/>
        <sz val="12"/>
        <rFont val="Calibri"/>
        <family val="2"/>
        <scheme val="minor"/>
      </rPr>
      <t>Adsorber</t>
    </r>
    <r>
      <rPr>
        <sz val="12"/>
        <rFont val="Calibri"/>
        <family val="2"/>
        <scheme val="minor"/>
      </rPr>
      <t xml:space="preserve"> × [TCI - [(1.08 *CC *Tc) + (LR*Tc/CRR)] =</t>
    </r>
  </si>
  <si>
    <t>DAC + IAC  =</t>
  </si>
  <si>
    <t>Annual Quantity of VOC Removed =</t>
  </si>
  <si>
    <t>Canisters with canister replacement</t>
  </si>
  <si>
    <t>Installation =</t>
  </si>
  <si>
    <t>0.06 x TCI</t>
  </si>
  <si>
    <t>Carbon Canister Replacement Costs:</t>
  </si>
  <si>
    <t>tons per year</t>
  </si>
  <si>
    <r>
      <t>Table A: Typical Parameters for Selected Adsorption Isotherms</t>
    </r>
    <r>
      <rPr>
        <b/>
        <vertAlign val="superscript"/>
        <sz val="18"/>
        <color theme="0" tint="-4.9989318521683403E-2"/>
        <rFont val="Calibri"/>
        <family val="2"/>
        <scheme val="minor"/>
      </rPr>
      <t>a</t>
    </r>
  </si>
  <si>
    <t>Compound</t>
  </si>
  <si>
    <t>Adsorption Temperature 
(°F)</t>
  </si>
  <si>
    <t>Isotherm Parameters</t>
  </si>
  <si>
    <r>
      <t>Range of Isotherm</t>
    </r>
    <r>
      <rPr>
        <b/>
        <vertAlign val="superscript"/>
        <sz val="12"/>
        <color rgb="FF000000"/>
        <rFont val="Calibri"/>
        <family val="2"/>
        <scheme val="minor"/>
      </rPr>
      <t>b</t>
    </r>
  </si>
  <si>
    <t>k</t>
  </si>
  <si>
    <t>m</t>
  </si>
  <si>
    <t>(psia)</t>
  </si>
  <si>
    <t>Acetone</t>
  </si>
  <si>
    <t>0.0001 - 0.05</t>
  </si>
  <si>
    <t>Acrylonitrile</t>
  </si>
  <si>
    <t>0.0001 - 0.015</t>
  </si>
  <si>
    <t>Chlorobenzene</t>
  </si>
  <si>
    <t>0.0001 - 0.01</t>
  </si>
  <si>
    <t>Cyclohexane</t>
  </si>
  <si>
    <t>Dichloroethane</t>
  </si>
  <si>
    <t>0.0001 - 0.04</t>
  </si>
  <si>
    <r>
      <t xml:space="preserve">m </t>
    </r>
    <r>
      <rPr>
        <sz val="12"/>
        <color rgb="FF292425"/>
        <rFont val="Calibri"/>
        <family val="2"/>
        <scheme val="minor"/>
      </rPr>
      <t>- Xylene</t>
    </r>
  </si>
  <si>
    <t>0.0001 - 0.001</t>
  </si>
  <si>
    <t>Phenol</t>
  </si>
  <si>
    <t>0.0001 - 0.03</t>
  </si>
  <si>
    <t>Toluene</t>
  </si>
  <si>
    <t>0.001 - 0.05</t>
  </si>
  <si>
    <t>Trichloroethane</t>
  </si>
  <si>
    <t>Vinyl Chloride</t>
  </si>
  <si>
    <r>
      <t xml:space="preserve"> a</t>
    </r>
    <r>
      <rPr>
        <sz val="12"/>
        <color theme="1"/>
        <rFont val="Calibri"/>
        <family val="2"/>
        <scheme val="minor"/>
      </rPr>
      <t xml:space="preserve"> Each isotherm is of the form w = kPm, where w is the equilibrium adsorptivity (lb adsorbated/lb adsorbant), P is the partial pressure of  VOC in the gas stream (psia), and k and m are empirical parameters based on Calgon BPL carbon.  </t>
    </r>
  </si>
  <si>
    <r>
      <t>b</t>
    </r>
    <r>
      <rPr>
        <sz val="12"/>
        <color rgb="FF000000"/>
        <rFont val="Calibri"/>
        <family val="2"/>
        <scheme val="minor"/>
      </rPr>
      <t xml:space="preserve"> Adsorptivity equation should not be extrapolated outside these ranges.</t>
    </r>
  </si>
  <si>
    <r>
      <t>Table B: Typical Equipment Costs for Carbon Adsorber Canisters</t>
    </r>
    <r>
      <rPr>
        <b/>
        <vertAlign val="superscript"/>
        <sz val="18"/>
        <color theme="0" tint="-4.9989318521683403E-2"/>
        <rFont val="Calibri"/>
        <family val="2"/>
        <scheme val="minor"/>
      </rPr>
      <t>a</t>
    </r>
  </si>
  <si>
    <t>Canister Size (in pounds of activated carbon)</t>
  </si>
  <si>
    <t>Maximum Flow Rate (cfm)</t>
  </si>
  <si>
    <t>Canister Type</t>
  </si>
  <si>
    <t>Cost with Virgin Carbon (in 2018 dollars)</t>
  </si>
  <si>
    <t>Cost with Reactivated Carbon (in 2018 dollars)</t>
  </si>
  <si>
    <t>Polyethylene</t>
  </si>
  <si>
    <t>-</t>
  </si>
  <si>
    <t>Epoxy-Lined Steel</t>
  </si>
  <si>
    <t>Carbon Steel</t>
  </si>
  <si>
    <t>Polypropylene</t>
  </si>
  <si>
    <t xml:space="preserve">(a)  Equipment costs based on 2018 data provided by Calgon Carbon Corporation and Carbtrol Corporation.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</si>
</sst>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5" formatCode="&quot;$&quot;#,##0_);\(&quot;$&quot;#,##0\)"/>
    <numFmt numFmtId="7" formatCode="&quot;$&quot;#,##0.00_);\(&quot;$&quot;#,##0.00\)"/>
    <numFmt numFmtId="44" formatCode="_(&quot;$&quot;* #,##0.00_);_(&quot;$&quot;* \(#,##0.00\);_(&quot;$&quot;* &quot;-&quot;??_);_(@_)"/>
    <numFmt numFmtId="43" formatCode="_(* #,##0.00_);_(* \(#,##0.00\);_(* &quot;-&quot;??_);_(@_)"/>
    <numFmt numFmtId="164" formatCode="0.0"/>
    <numFmt numFmtId="165" formatCode="&quot;$&quot;#,##0"/>
    <numFmt numFmtId="166" formatCode="0.0000"/>
    <numFmt numFmtId="167" formatCode="&quot;$&quot;#,##0.00"/>
    <numFmt numFmtId="168" formatCode="#,##0.0"/>
    <numFmt numFmtId="169" formatCode="0.000"/>
    <numFmt numFmtId="170" formatCode="&quot;$&quot;#,##0.0000"/>
    <numFmt numFmtId="171" formatCode="_(* #,##0_);_(* \(#,##0\);_(* &quot;-&quot;??_);_(@_)"/>
    <numFmt numFmtId="172" formatCode="#,##0.000"/>
  </numFmts>
  <fonts count="84" x14ac:knownFonts="1">
    <font>
      <sz val="11"/>
      <color theme="1"/>
      <name val="Calibri"/>
      <family val="2"/>
      <scheme val="minor"/>
    </font>
    <font>
      <b/>
      <sz val="11"/>
      <color theme="0"/>
      <name val="Calibri"/>
      <family val="2"/>
      <scheme val="minor"/>
    </font>
    <font>
      <sz val="11"/>
      <color rgb="FFFF0000"/>
      <name val="Calibri"/>
      <family val="2"/>
      <scheme val="minor"/>
    </font>
    <font>
      <sz val="11"/>
      <name val="Calibri"/>
      <family val="2"/>
      <scheme val="minor"/>
    </font>
    <font>
      <sz val="11"/>
      <color theme="0"/>
      <name val="Calibri"/>
      <family val="2"/>
      <scheme val="minor"/>
    </font>
    <font>
      <sz val="18"/>
      <color theme="0"/>
      <name val="Calibri"/>
      <family val="2"/>
      <scheme val="minor"/>
    </font>
    <font>
      <sz val="12"/>
      <color theme="8" tint="-0.249977111117893"/>
      <name val="Calibri"/>
      <family val="2"/>
      <scheme val="minor"/>
    </font>
    <font>
      <sz val="12"/>
      <color theme="1"/>
      <name val="Calibri"/>
      <family val="2"/>
      <scheme val="minor"/>
    </font>
    <font>
      <sz val="12"/>
      <color theme="8" tint="-0.499984740745262"/>
      <name val="Calibri"/>
      <family val="2"/>
      <scheme val="minor"/>
    </font>
    <font>
      <b/>
      <sz val="16"/>
      <color theme="0"/>
      <name val="Calibri"/>
      <family val="2"/>
      <scheme val="minor"/>
    </font>
    <font>
      <b/>
      <u/>
      <sz val="12"/>
      <color theme="8" tint="-0.499984740745262"/>
      <name val="Calibri"/>
      <family val="2"/>
      <scheme val="minor"/>
    </font>
    <font>
      <b/>
      <sz val="12"/>
      <color theme="8" tint="-0.499984740745262"/>
      <name val="Calibri"/>
      <family val="2"/>
      <scheme val="minor"/>
    </font>
    <font>
      <b/>
      <i/>
      <sz val="12"/>
      <color theme="8" tint="-0.499984740745262"/>
      <name val="Calibri"/>
      <family val="2"/>
      <scheme val="minor"/>
    </font>
    <font>
      <sz val="12"/>
      <color theme="8" tint="-0.499984740745262"/>
      <name val="Times New Roman"/>
      <family val="1"/>
    </font>
    <font>
      <b/>
      <sz val="18"/>
      <color theme="0"/>
      <name val="Calibri"/>
      <family val="2"/>
      <scheme val="minor"/>
    </font>
    <font>
      <b/>
      <sz val="14"/>
      <color theme="0"/>
      <name val="Calibri"/>
      <family val="2"/>
      <scheme val="minor"/>
    </font>
    <font>
      <sz val="14"/>
      <color theme="1"/>
      <name val="Calibri"/>
      <family val="2"/>
      <scheme val="minor"/>
    </font>
    <font>
      <sz val="12"/>
      <name val="Calibri"/>
      <family val="2"/>
      <scheme val="minor"/>
    </font>
    <font>
      <sz val="14"/>
      <color rgb="FFFF0000"/>
      <name val="Calibri"/>
      <family val="2"/>
      <scheme val="minor"/>
    </font>
    <font>
      <sz val="12"/>
      <color rgb="FFFF0000"/>
      <name val="Calibri"/>
      <family val="2"/>
      <scheme val="minor"/>
    </font>
    <font>
      <b/>
      <sz val="12"/>
      <color theme="8" tint="-0.249977111117893"/>
      <name val="Calibri"/>
      <family val="2"/>
      <scheme val="minor"/>
    </font>
    <font>
      <b/>
      <i/>
      <sz val="12"/>
      <color theme="8" tint="-0.249977111117893"/>
      <name val="Calibri"/>
      <family val="2"/>
      <scheme val="minor"/>
    </font>
    <font>
      <sz val="9"/>
      <color rgb="FFC00000"/>
      <name val="Calibri"/>
      <family val="2"/>
      <scheme val="minor"/>
    </font>
    <font>
      <b/>
      <sz val="12"/>
      <color theme="0"/>
      <name val="Calibri"/>
      <family val="2"/>
      <scheme val="minor"/>
    </font>
    <font>
      <sz val="11"/>
      <color rgb="FFC00000"/>
      <name val="Calibri"/>
      <family val="2"/>
      <scheme val="minor"/>
    </font>
    <font>
      <vertAlign val="superscript"/>
      <sz val="12"/>
      <color theme="1"/>
      <name val="Calibri"/>
      <family val="2"/>
      <scheme val="minor"/>
    </font>
    <font>
      <vertAlign val="subscript"/>
      <sz val="12"/>
      <color theme="1"/>
      <name val="Calibri"/>
      <family val="2"/>
      <scheme val="minor"/>
    </font>
    <font>
      <sz val="12"/>
      <color theme="1"/>
      <name val="Calibri"/>
      <family val="2"/>
    </font>
    <font>
      <vertAlign val="subscript"/>
      <sz val="12"/>
      <color theme="1"/>
      <name val="Calibri"/>
      <family val="2"/>
    </font>
    <font>
      <b/>
      <sz val="18"/>
      <color rgb="FFFF0000"/>
      <name val="Calibri"/>
      <family val="2"/>
      <scheme val="minor"/>
    </font>
    <font>
      <b/>
      <sz val="14"/>
      <color rgb="FFFF0000"/>
      <name val="Calibri"/>
      <family val="2"/>
      <scheme val="minor"/>
    </font>
    <font>
      <sz val="11"/>
      <color theme="1"/>
      <name val="Calibri"/>
      <family val="2"/>
      <scheme val="minor"/>
    </font>
    <font>
      <sz val="14"/>
      <color rgb="FFC00000"/>
      <name val="Calibri"/>
      <family val="2"/>
      <scheme val="minor"/>
    </font>
    <font>
      <b/>
      <sz val="12"/>
      <name val="Calibri"/>
      <family val="2"/>
      <scheme val="minor"/>
    </font>
    <font>
      <b/>
      <sz val="12"/>
      <color theme="8" tint="-0.249977111117893"/>
      <name val="Calibri"/>
      <family val="2"/>
    </font>
    <font>
      <b/>
      <sz val="11"/>
      <color theme="8" tint="-0.249977111117893"/>
      <name val="Calibri"/>
      <family val="2"/>
      <scheme val="minor"/>
    </font>
    <font>
      <b/>
      <sz val="12"/>
      <color theme="1"/>
      <name val="Calibri"/>
      <family val="2"/>
      <scheme val="minor"/>
    </font>
    <font>
      <b/>
      <sz val="12"/>
      <color theme="0" tint="-4.9989318521683403E-2"/>
      <name val="Calibri"/>
      <family val="2"/>
      <scheme val="minor"/>
    </font>
    <font>
      <sz val="12"/>
      <color rgb="FFC00000"/>
      <name val="Calibri"/>
      <family val="2"/>
      <scheme val="minor"/>
    </font>
    <font>
      <sz val="11"/>
      <color theme="8" tint="-0.249977111117893"/>
      <name val="Calibri"/>
      <family val="2"/>
      <scheme val="minor"/>
    </font>
    <font>
      <vertAlign val="subscript"/>
      <sz val="12"/>
      <name val="Calibri"/>
      <family val="2"/>
      <scheme val="minor"/>
    </font>
    <font>
      <sz val="12"/>
      <name val="Calibri"/>
      <family val="2"/>
    </font>
    <font>
      <vertAlign val="superscript"/>
      <sz val="12"/>
      <color rgb="FF000000"/>
      <name val="Times New Roman"/>
      <family val="1"/>
    </font>
    <font>
      <b/>
      <sz val="18"/>
      <color theme="0" tint="-4.9989318521683403E-2"/>
      <name val="Calibri"/>
      <family val="2"/>
      <scheme val="minor"/>
    </font>
    <font>
      <b/>
      <u/>
      <sz val="11"/>
      <color theme="1"/>
      <name val="Calibri"/>
      <family val="2"/>
      <scheme val="minor"/>
    </font>
    <font>
      <b/>
      <sz val="11"/>
      <name val="Calibri"/>
      <family val="2"/>
      <scheme val="minor"/>
    </font>
    <font>
      <i/>
      <sz val="11"/>
      <name val="Calibri"/>
      <family val="2"/>
      <scheme val="minor"/>
    </font>
    <font>
      <i/>
      <vertAlign val="subscript"/>
      <sz val="11"/>
      <name val="Calibri"/>
      <family val="2"/>
      <scheme val="minor"/>
    </font>
    <font>
      <i/>
      <sz val="11"/>
      <name val="Calibri"/>
      <family val="2"/>
    </font>
    <font>
      <i/>
      <vertAlign val="subscript"/>
      <sz val="11"/>
      <name val="Calibri"/>
      <family val="2"/>
    </font>
    <font>
      <b/>
      <vertAlign val="subscript"/>
      <sz val="12"/>
      <color theme="0"/>
      <name val="Calibri"/>
      <family val="2"/>
      <scheme val="minor"/>
    </font>
    <font>
      <i/>
      <sz val="12"/>
      <name val="Calibri"/>
      <family val="2"/>
      <scheme val="minor"/>
    </font>
    <font>
      <i/>
      <vertAlign val="subscript"/>
      <sz val="12"/>
      <name val="Calibri"/>
      <family val="2"/>
      <scheme val="minor"/>
    </font>
    <font>
      <i/>
      <sz val="12"/>
      <name val="Calibri"/>
      <family val="2"/>
    </font>
    <font>
      <i/>
      <vertAlign val="subscript"/>
      <sz val="12"/>
      <name val="Calibri"/>
      <family val="2"/>
    </font>
    <font>
      <i/>
      <sz val="12"/>
      <color theme="1"/>
      <name val="Calibri"/>
      <family val="2"/>
      <scheme val="minor"/>
    </font>
    <font>
      <i/>
      <vertAlign val="subscript"/>
      <sz val="12"/>
      <color theme="1"/>
      <name val="Calibri"/>
      <family val="2"/>
      <scheme val="minor"/>
    </font>
    <font>
      <i/>
      <sz val="12"/>
      <color theme="1"/>
      <name val="Calibri"/>
      <family val="2"/>
    </font>
    <font>
      <i/>
      <vertAlign val="subscript"/>
      <sz val="12"/>
      <color theme="1"/>
      <name val="Calibri"/>
      <family val="2"/>
    </font>
    <font>
      <sz val="14"/>
      <color theme="7" tint="-0.499984740745262"/>
      <name val="Calibri"/>
      <family val="2"/>
      <scheme val="minor"/>
    </font>
    <font>
      <sz val="11"/>
      <color theme="7" tint="-0.499984740745262"/>
      <name val="Calibri"/>
      <family val="2"/>
      <scheme val="minor"/>
    </font>
    <font>
      <sz val="12"/>
      <color theme="7" tint="-0.499984740745262"/>
      <name val="Calibri"/>
      <family val="2"/>
      <scheme val="minor"/>
    </font>
    <font>
      <b/>
      <sz val="12"/>
      <color theme="7" tint="-0.499984740745262"/>
      <name val="Calibri"/>
      <family val="2"/>
      <scheme val="minor"/>
    </font>
    <font>
      <b/>
      <sz val="11"/>
      <color theme="7" tint="-0.499984740745262"/>
      <name val="Calibri"/>
      <family val="2"/>
      <scheme val="minor"/>
    </font>
    <font>
      <sz val="11"/>
      <color theme="1"/>
      <name val="Calibri"/>
      <family val="2"/>
    </font>
    <font>
      <vertAlign val="subscript"/>
      <sz val="12"/>
      <name val="Calibri"/>
      <family val="2"/>
    </font>
    <font>
      <vertAlign val="superscript"/>
      <sz val="12"/>
      <name val="Calibri"/>
      <family val="2"/>
    </font>
    <font>
      <vertAlign val="subscript"/>
      <sz val="11"/>
      <color theme="1"/>
      <name val="Calibri"/>
      <family val="2"/>
      <scheme val="minor"/>
    </font>
    <font>
      <i/>
      <vertAlign val="superscript"/>
      <sz val="12"/>
      <color theme="1"/>
      <name val="Calibri"/>
      <family val="2"/>
      <scheme val="minor"/>
    </font>
    <font>
      <b/>
      <vertAlign val="superscript"/>
      <sz val="18"/>
      <color theme="0" tint="-4.9989318521683403E-2"/>
      <name val="Calibri"/>
      <family val="2"/>
      <scheme val="minor"/>
    </font>
    <font>
      <b/>
      <sz val="14"/>
      <color theme="9" tint="-0.499984740745262"/>
      <name val="Calibri"/>
      <family val="2"/>
      <scheme val="minor"/>
    </font>
    <font>
      <vertAlign val="superscript"/>
      <sz val="12"/>
      <name val="Calibri"/>
      <family val="2"/>
      <scheme val="minor"/>
    </font>
    <font>
      <b/>
      <sz val="12"/>
      <color rgb="FF000000"/>
      <name val="Times New Roman"/>
      <family val="1"/>
    </font>
    <font>
      <sz val="12"/>
      <color rgb="FF292425"/>
      <name val="Times New Roman"/>
      <family val="1"/>
    </font>
    <font>
      <b/>
      <sz val="12"/>
      <color rgb="FF000000"/>
      <name val="Calibri"/>
      <family val="2"/>
      <scheme val="minor"/>
    </font>
    <font>
      <sz val="12"/>
      <color rgb="FF292425"/>
      <name val="Calibri"/>
      <family val="2"/>
      <scheme val="minor"/>
    </font>
    <font>
      <b/>
      <vertAlign val="superscript"/>
      <sz val="12"/>
      <color rgb="FF000000"/>
      <name val="Calibri"/>
      <family val="2"/>
      <scheme val="minor"/>
    </font>
    <font>
      <i/>
      <sz val="12"/>
      <color rgb="FF292425"/>
      <name val="Calibri"/>
      <family val="2"/>
      <scheme val="minor"/>
    </font>
    <font>
      <vertAlign val="superscript"/>
      <sz val="12"/>
      <color rgb="FF000000"/>
      <name val="Calibri"/>
      <family val="2"/>
      <scheme val="minor"/>
    </font>
    <font>
      <sz val="12"/>
      <color rgb="FF000000"/>
      <name val="Calibri"/>
      <family val="2"/>
      <scheme val="minor"/>
    </font>
    <font>
      <sz val="12"/>
      <color theme="9"/>
      <name val="Calibri"/>
      <family val="2"/>
      <scheme val="minor"/>
    </font>
    <font>
      <b/>
      <sz val="12"/>
      <color rgb="FFFF0000"/>
      <name val="Calibri"/>
      <family val="2"/>
      <scheme val="minor"/>
    </font>
    <font>
      <b/>
      <sz val="11"/>
      <color rgb="FFFF0000"/>
      <name val="Calibri"/>
      <family val="2"/>
      <scheme val="minor"/>
    </font>
    <font>
      <sz val="11"/>
      <color rgb="FF000000"/>
      <name val="Calibri"/>
      <family val="2"/>
    </font>
  </fonts>
  <fills count="16">
    <fill>
      <patternFill patternType="none"/>
    </fill>
    <fill>
      <patternFill patternType="gray125"/>
    </fill>
    <fill>
      <patternFill patternType="solid">
        <fgColor theme="8" tint="-0.249977111117893"/>
        <bgColor indexed="64"/>
      </patternFill>
    </fill>
    <fill>
      <patternFill patternType="solid">
        <fgColor theme="2"/>
        <bgColor indexed="64"/>
      </patternFill>
    </fill>
    <fill>
      <patternFill patternType="solid">
        <fgColor theme="2" tint="-9.9978637043366805E-2"/>
        <bgColor indexed="64"/>
      </patternFill>
    </fill>
    <fill>
      <patternFill patternType="solid">
        <fgColor theme="0"/>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0" tint="-4.9989318521683403E-2"/>
        <bgColor indexed="64"/>
      </patternFill>
    </fill>
    <fill>
      <patternFill patternType="solid">
        <fgColor theme="7" tint="0.39997558519241921"/>
        <bgColor indexed="64"/>
      </patternFill>
    </fill>
    <fill>
      <patternFill patternType="solid">
        <fgColor theme="4" tint="-0.499984740745262"/>
        <bgColor indexed="64"/>
      </patternFill>
    </fill>
    <fill>
      <patternFill patternType="solid">
        <fgColor theme="8" tint="0.39997558519241921"/>
        <bgColor indexed="64"/>
      </patternFill>
    </fill>
    <fill>
      <patternFill patternType="solid">
        <fgColor theme="9" tint="0.59999389629810485"/>
        <bgColor indexed="64"/>
      </patternFill>
    </fill>
    <fill>
      <patternFill patternType="solid">
        <fgColor rgb="FFD9D9D9"/>
        <bgColor indexed="64"/>
      </patternFill>
    </fill>
    <fill>
      <patternFill patternType="solid">
        <fgColor rgb="FFFFFF00"/>
        <bgColor indexed="64"/>
      </patternFill>
    </fill>
  </fills>
  <borders count="17">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bottom style="medium">
        <color theme="8" tint="-0.499984740745262"/>
      </bottom>
      <diagonal/>
    </border>
  </borders>
  <cellStyleXfs count="3">
    <xf numFmtId="0" fontId="0" fillId="0" borderId="0"/>
    <xf numFmtId="44" fontId="31" fillId="0" borderId="0" applyFont="0" applyFill="0" applyBorder="0" applyAlignment="0" applyProtection="0"/>
    <xf numFmtId="43" fontId="31" fillId="0" borderId="0" applyFont="0" applyFill="0" applyBorder="0" applyAlignment="0" applyProtection="0"/>
  </cellStyleXfs>
  <cellXfs count="391">
    <xf numFmtId="0" fontId="0" fillId="0" borderId="0" xfId="0"/>
    <xf numFmtId="3" fontId="0" fillId="0" borderId="0" xfId="0" applyNumberFormat="1"/>
    <xf numFmtId="0" fontId="0" fillId="0" borderId="0" xfId="0" applyAlignment="1">
      <alignment horizontal="right"/>
    </xf>
    <xf numFmtId="0" fontId="0" fillId="0" borderId="0" xfId="0" applyFill="1"/>
    <xf numFmtId="0" fontId="7" fillId="0" borderId="0" xfId="0" applyFont="1"/>
    <xf numFmtId="0" fontId="7" fillId="0" borderId="0" xfId="0" applyFont="1" applyAlignment="1">
      <alignment wrapText="1"/>
    </xf>
    <xf numFmtId="0" fontId="8" fillId="0" borderId="0" xfId="0" applyFont="1" applyAlignment="1">
      <alignment horizontal="left" wrapText="1"/>
    </xf>
    <xf numFmtId="0" fontId="0" fillId="0" borderId="0" xfId="0" applyAlignment="1">
      <alignment vertical="center"/>
    </xf>
    <xf numFmtId="0" fontId="13" fillId="0" borderId="0" xfId="0" applyFont="1" applyAlignment="1">
      <alignment horizontal="left" wrapText="1"/>
    </xf>
    <xf numFmtId="0" fontId="17" fillId="5" borderId="0" xfId="0" applyFont="1" applyFill="1"/>
    <xf numFmtId="0" fontId="17" fillId="0" borderId="0" xfId="0" applyFont="1"/>
    <xf numFmtId="0" fontId="18" fillId="5" borderId="0" xfId="0" applyFont="1" applyFill="1"/>
    <xf numFmtId="0" fontId="2" fillId="5" borderId="0" xfId="0" applyFont="1" applyFill="1"/>
    <xf numFmtId="0" fontId="7" fillId="0" borderId="4" xfId="0" applyFont="1" applyBorder="1"/>
    <xf numFmtId="0" fontId="0" fillId="5" borderId="0" xfId="0" applyFill="1" applyBorder="1" applyProtection="1">
      <protection hidden="1"/>
    </xf>
    <xf numFmtId="0" fontId="0" fillId="0" borderId="0" xfId="0" applyBorder="1" applyProtection="1">
      <protection hidden="1"/>
    </xf>
    <xf numFmtId="0" fontId="7" fillId="0" borderId="0" xfId="0" applyFont="1" applyBorder="1" applyProtection="1">
      <protection hidden="1"/>
    </xf>
    <xf numFmtId="0" fontId="7" fillId="5" borderId="0" xfId="0" applyFont="1" applyFill="1" applyBorder="1" applyProtection="1">
      <protection hidden="1"/>
    </xf>
    <xf numFmtId="0" fontId="7" fillId="0" borderId="0" xfId="0" applyFont="1" applyBorder="1"/>
    <xf numFmtId="0" fontId="7" fillId="5" borderId="0" xfId="0" applyFont="1" applyFill="1" applyBorder="1"/>
    <xf numFmtId="0" fontId="0" fillId="5" borderId="0" xfId="0" applyFill="1"/>
    <xf numFmtId="0" fontId="29" fillId="5" borderId="0" xfId="0" applyFont="1" applyFill="1" applyAlignment="1"/>
    <xf numFmtId="0" fontId="30" fillId="5" borderId="0" xfId="0" applyFont="1" applyFill="1" applyAlignment="1"/>
    <xf numFmtId="0" fontId="16" fillId="5" borderId="0" xfId="0" applyFont="1" applyFill="1"/>
    <xf numFmtId="0" fontId="18" fillId="5" borderId="0" xfId="0" applyFont="1" applyFill="1" applyBorder="1" applyAlignment="1">
      <alignment wrapText="1"/>
    </xf>
    <xf numFmtId="0" fontId="7" fillId="5" borderId="0" xfId="0" applyFont="1" applyFill="1" applyBorder="1" applyAlignment="1" applyProtection="1">
      <alignment wrapText="1"/>
      <protection hidden="1"/>
    </xf>
    <xf numFmtId="0" fontId="16" fillId="9" borderId="0" xfId="0" applyFont="1" applyFill="1"/>
    <xf numFmtId="0" fontId="14" fillId="7" borderId="0" xfId="0" applyFont="1" applyFill="1" applyAlignment="1">
      <alignment horizontal="center"/>
    </xf>
    <xf numFmtId="0" fontId="18" fillId="5" borderId="0" xfId="0" applyFont="1" applyFill="1" applyAlignment="1"/>
    <xf numFmtId="0" fontId="0" fillId="5" borderId="0" xfId="0" applyFont="1" applyFill="1" applyBorder="1" applyAlignment="1">
      <alignment vertical="center" wrapText="1"/>
    </xf>
    <xf numFmtId="0" fontId="7" fillId="5" borderId="0" xfId="0" applyFont="1" applyFill="1"/>
    <xf numFmtId="0" fontId="4" fillId="9" borderId="0" xfId="0" applyFont="1" applyFill="1" applyBorder="1"/>
    <xf numFmtId="0" fontId="7" fillId="9" borderId="0" xfId="0" applyFont="1" applyFill="1"/>
    <xf numFmtId="0" fontId="0" fillId="9" borderId="0" xfId="0" applyFill="1" applyBorder="1"/>
    <xf numFmtId="2" fontId="7" fillId="6" borderId="0" xfId="0" applyNumberFormat="1" applyFont="1" applyFill="1"/>
    <xf numFmtId="169" fontId="7" fillId="6" borderId="0" xfId="0" applyNumberFormat="1" applyFont="1" applyFill="1"/>
    <xf numFmtId="0" fontId="23" fillId="2" borderId="0" xfId="0" applyFont="1" applyFill="1" applyBorder="1" applyAlignment="1" applyProtection="1">
      <alignment horizontal="left" wrapText="1"/>
      <protection hidden="1"/>
    </xf>
    <xf numFmtId="0" fontId="7" fillId="6" borderId="0" xfId="0" applyFont="1" applyFill="1"/>
    <xf numFmtId="1" fontId="7" fillId="6" borderId="0" xfId="0" applyNumberFormat="1" applyFont="1" applyFill="1"/>
    <xf numFmtId="0" fontId="0" fillId="9" borderId="0" xfId="0" applyFill="1"/>
    <xf numFmtId="0" fontId="7" fillId="0" borderId="8" xfId="0" applyFont="1" applyBorder="1"/>
    <xf numFmtId="0" fontId="17" fillId="6" borderId="0" xfId="0" applyFont="1" applyFill="1" applyBorder="1" applyAlignment="1">
      <alignment horizontal="right"/>
    </xf>
    <xf numFmtId="0" fontId="33" fillId="6" borderId="0" xfId="0" applyFont="1" applyFill="1" applyAlignment="1">
      <alignment horizontal="left"/>
    </xf>
    <xf numFmtId="0" fontId="33" fillId="6" borderId="0" xfId="0" applyFont="1" applyFill="1" applyAlignment="1">
      <alignment horizontal="center"/>
    </xf>
    <xf numFmtId="0" fontId="7" fillId="0" borderId="0" xfId="0" applyFont="1" applyAlignment="1">
      <alignment horizontal="right"/>
    </xf>
    <xf numFmtId="0" fontId="14" fillId="0" borderId="0" xfId="0" applyFont="1" applyFill="1" applyAlignment="1">
      <alignment horizontal="center"/>
    </xf>
    <xf numFmtId="0" fontId="7" fillId="9" borderId="0" xfId="0" applyFont="1" applyFill="1" applyBorder="1"/>
    <xf numFmtId="0" fontId="7" fillId="9" borderId="0" xfId="0" applyFont="1" applyFill="1" applyBorder="1" applyProtection="1">
      <protection hidden="1"/>
    </xf>
    <xf numFmtId="0" fontId="17" fillId="9" borderId="0" xfId="0" applyFont="1" applyFill="1" applyBorder="1"/>
    <xf numFmtId="0" fontId="37" fillId="2" borderId="0" xfId="0" applyFont="1" applyFill="1" applyBorder="1" applyAlignment="1" applyProtection="1">
      <alignment wrapText="1"/>
      <protection hidden="1"/>
    </xf>
    <xf numFmtId="0" fontId="17" fillId="6" borderId="0" xfId="0" applyFont="1" applyFill="1" applyAlignment="1">
      <alignment vertical="top"/>
    </xf>
    <xf numFmtId="0" fontId="7" fillId="0" borderId="12" xfId="0" applyFont="1" applyBorder="1"/>
    <xf numFmtId="0" fontId="7" fillId="5" borderId="11" xfId="0" applyFont="1" applyFill="1" applyBorder="1"/>
    <xf numFmtId="0" fontId="22" fillId="9" borderId="0" xfId="0" applyFont="1" applyFill="1" applyBorder="1" applyAlignment="1">
      <alignment horizontal="left" wrapText="1"/>
    </xf>
    <xf numFmtId="0" fontId="7" fillId="9" borderId="0" xfId="0" applyFont="1" applyFill="1" applyBorder="1" applyAlignment="1">
      <alignment wrapText="1"/>
    </xf>
    <xf numFmtId="165" fontId="7" fillId="9" borderId="0" xfId="0" applyNumberFormat="1" applyFont="1" applyFill="1" applyBorder="1"/>
    <xf numFmtId="0" fontId="19" fillId="5" borderId="10" xfId="0" applyFont="1" applyFill="1" applyBorder="1"/>
    <xf numFmtId="0" fontId="17" fillId="7" borderId="0" xfId="0" applyFont="1" applyFill="1" applyAlignment="1">
      <alignment horizontal="left"/>
    </xf>
    <xf numFmtId="0" fontId="20" fillId="8" borderId="0" xfId="0" applyFont="1" applyFill="1" applyBorder="1" applyAlignment="1" applyProtection="1">
      <alignment wrapText="1"/>
      <protection hidden="1"/>
    </xf>
    <xf numFmtId="0" fontId="20" fillId="8" borderId="0" xfId="0" applyFont="1" applyFill="1"/>
    <xf numFmtId="1" fontId="20" fillId="8" borderId="0" xfId="0" applyNumberFormat="1" applyFont="1" applyFill="1"/>
    <xf numFmtId="2" fontId="20" fillId="8" borderId="0" xfId="0" applyNumberFormat="1" applyFont="1" applyFill="1"/>
    <xf numFmtId="0" fontId="7" fillId="8" borderId="0" xfId="0" applyFont="1" applyFill="1"/>
    <xf numFmtId="0" fontId="34" fillId="8" borderId="0" xfId="0" applyFont="1" applyFill="1"/>
    <xf numFmtId="3" fontId="20" fillId="8" borderId="0" xfId="0" applyNumberFormat="1" applyFont="1" applyFill="1"/>
    <xf numFmtId="0" fontId="7" fillId="8" borderId="0" xfId="0" applyFont="1" applyFill="1" applyBorder="1"/>
    <xf numFmtId="0" fontId="0" fillId="7" borderId="0" xfId="0" applyFill="1"/>
    <xf numFmtId="0" fontId="17" fillId="7" borderId="0" xfId="0" applyFont="1" applyFill="1" applyAlignment="1">
      <alignment horizontal="left" wrapText="1"/>
    </xf>
    <xf numFmtId="0" fontId="7" fillId="6" borderId="0" xfId="0" applyFont="1" applyFill="1" applyBorder="1" applyAlignment="1">
      <alignment horizontal="left"/>
    </xf>
    <xf numFmtId="0" fontId="14" fillId="2" borderId="0" xfId="0" applyFont="1" applyFill="1" applyAlignment="1"/>
    <xf numFmtId="0" fontId="15" fillId="2" borderId="0" xfId="0" applyFont="1" applyFill="1" applyAlignment="1"/>
    <xf numFmtId="0" fontId="36" fillId="8" borderId="0" xfId="0" applyFont="1" applyFill="1" applyAlignment="1"/>
    <xf numFmtId="0" fontId="33" fillId="8" borderId="0" xfId="0" applyFont="1" applyFill="1" applyAlignment="1"/>
    <xf numFmtId="0" fontId="36" fillId="8" borderId="0" xfId="0" applyFont="1" applyFill="1" applyBorder="1" applyAlignment="1"/>
    <xf numFmtId="2" fontId="17" fillId="6" borderId="0" xfId="0" applyNumberFormat="1" applyFont="1" applyFill="1" applyBorder="1" applyAlignment="1">
      <alignment horizontal="left"/>
    </xf>
    <xf numFmtId="0" fontId="17" fillId="6" borderId="0" xfId="0" applyFont="1" applyFill="1" applyBorder="1" applyAlignment="1">
      <alignment horizontal="left"/>
    </xf>
    <xf numFmtId="0" fontId="33" fillId="8" borderId="0" xfId="0" applyFont="1" applyFill="1" applyAlignment="1">
      <alignment horizontal="center"/>
    </xf>
    <xf numFmtId="0" fontId="36" fillId="6" borderId="0" xfId="0" applyFont="1" applyFill="1" applyAlignment="1">
      <alignment horizontal="center"/>
    </xf>
    <xf numFmtId="9" fontId="7" fillId="6" borderId="0" xfId="0" applyNumberFormat="1" applyFont="1" applyFill="1"/>
    <xf numFmtId="3" fontId="7" fillId="0" borderId="0" xfId="0" applyNumberFormat="1" applyFont="1"/>
    <xf numFmtId="0" fontId="17" fillId="6" borderId="0" xfId="0" applyFont="1" applyFill="1" applyAlignment="1">
      <alignment horizontal="left"/>
    </xf>
    <xf numFmtId="0" fontId="33" fillId="6" borderId="0" xfId="0" applyFont="1" applyFill="1" applyBorder="1" applyAlignment="1">
      <alignment horizontal="left"/>
    </xf>
    <xf numFmtId="0" fontId="33" fillId="6" borderId="0" xfId="0" applyFont="1" applyFill="1" applyBorder="1" applyAlignment="1">
      <alignment horizontal="center"/>
    </xf>
    <xf numFmtId="9" fontId="17" fillId="6" borderId="0" xfId="0" applyNumberFormat="1" applyFont="1" applyFill="1"/>
    <xf numFmtId="0" fontId="17" fillId="5" borderId="0" xfId="0" applyFont="1" applyFill="1" applyAlignment="1">
      <alignment horizontal="left"/>
    </xf>
    <xf numFmtId="165" fontId="17" fillId="6" borderId="0" xfId="0" applyNumberFormat="1" applyFont="1" applyFill="1" applyAlignment="1">
      <alignment horizontal="center"/>
    </xf>
    <xf numFmtId="165" fontId="17" fillId="0" borderId="0" xfId="0" applyNumberFormat="1" applyFont="1" applyFill="1" applyAlignment="1">
      <alignment horizontal="center"/>
    </xf>
    <xf numFmtId="165" fontId="7" fillId="6" borderId="0" xfId="0" applyNumberFormat="1" applyFont="1" applyFill="1" applyAlignment="1">
      <alignment horizontal="center"/>
    </xf>
    <xf numFmtId="0" fontId="7" fillId="0" borderId="0" xfId="0" applyFont="1" applyAlignment="1">
      <alignment horizontal="center"/>
    </xf>
    <xf numFmtId="9" fontId="7" fillId="0" borderId="0" xfId="0" applyNumberFormat="1" applyFont="1" applyFill="1"/>
    <xf numFmtId="3" fontId="7" fillId="0" borderId="0" xfId="0" applyNumberFormat="1" applyFont="1" applyFill="1"/>
    <xf numFmtId="0" fontId="7" fillId="0" borderId="0" xfId="0" applyFont="1" applyFill="1"/>
    <xf numFmtId="0" fontId="36" fillId="0" borderId="0" xfId="0" applyFont="1"/>
    <xf numFmtId="9" fontId="36" fillId="0" borderId="0" xfId="0" applyNumberFormat="1" applyFont="1" applyFill="1"/>
    <xf numFmtId="3" fontId="36" fillId="0" borderId="0" xfId="0" applyNumberFormat="1" applyFont="1" applyFill="1"/>
    <xf numFmtId="0" fontId="36" fillId="0" borderId="0" xfId="0" applyFont="1" applyFill="1"/>
    <xf numFmtId="165" fontId="7" fillId="0" borderId="0" xfId="0" applyNumberFormat="1" applyFont="1" applyFill="1" applyAlignment="1">
      <alignment horizontal="center"/>
    </xf>
    <xf numFmtId="0" fontId="7" fillId="0" borderId="0" xfId="0" applyFont="1" applyAlignment="1">
      <alignment horizontal="left"/>
    </xf>
    <xf numFmtId="3" fontId="7" fillId="0" borderId="0" xfId="0" applyNumberFormat="1" applyFont="1" applyAlignment="1">
      <alignment horizontal="center"/>
    </xf>
    <xf numFmtId="0" fontId="7" fillId="0" borderId="0" xfId="0" applyFont="1" applyFill="1" applyAlignment="1">
      <alignment horizontal="left"/>
    </xf>
    <xf numFmtId="0" fontId="7" fillId="0" borderId="0" xfId="0" applyFont="1" applyFill="1" applyAlignment="1"/>
    <xf numFmtId="0" fontId="23" fillId="2" borderId="0" xfId="0" applyFont="1" applyFill="1" applyAlignment="1">
      <alignment horizontal="left"/>
    </xf>
    <xf numFmtId="0" fontId="23" fillId="2" borderId="0" xfId="0" applyFont="1" applyFill="1" applyAlignment="1"/>
    <xf numFmtId="0" fontId="23" fillId="2" borderId="0" xfId="0" applyFont="1" applyFill="1"/>
    <xf numFmtId="0" fontId="23" fillId="0" borderId="0" xfId="0" applyFont="1" applyFill="1" applyAlignment="1">
      <alignment horizontal="left"/>
    </xf>
    <xf numFmtId="0" fontId="23" fillId="0" borderId="0" xfId="0" applyFont="1" applyFill="1" applyAlignment="1"/>
    <xf numFmtId="167" fontId="23" fillId="0" borderId="0" xfId="0" applyNumberFormat="1" applyFont="1" applyFill="1" applyAlignment="1">
      <alignment horizontal="right"/>
    </xf>
    <xf numFmtId="0" fontId="7" fillId="0" borderId="0" xfId="0" quotePrefix="1" applyFont="1"/>
    <xf numFmtId="0" fontId="7" fillId="0" borderId="0" xfId="0" quotePrefix="1" applyFont="1" applyAlignment="1">
      <alignment wrapText="1"/>
    </xf>
    <xf numFmtId="165" fontId="19" fillId="0" borderId="0" xfId="0" applyNumberFormat="1" applyFont="1"/>
    <xf numFmtId="165" fontId="7" fillId="0" borderId="0" xfId="0" applyNumberFormat="1" applyFont="1" applyAlignment="1">
      <alignment horizontal="right"/>
    </xf>
    <xf numFmtId="165" fontId="23" fillId="2" borderId="0" xfId="0" applyNumberFormat="1" applyFont="1" applyFill="1" applyAlignment="1">
      <alignment horizontal="center"/>
    </xf>
    <xf numFmtId="0" fontId="17" fillId="0" borderId="0" xfId="0" applyFont="1" applyFill="1" applyAlignment="1">
      <alignment horizontal="left"/>
    </xf>
    <xf numFmtId="0" fontId="17" fillId="0" borderId="0" xfId="0" quotePrefix="1" applyFont="1" applyFill="1" applyAlignment="1">
      <alignment horizontal="left" wrapText="1"/>
    </xf>
    <xf numFmtId="165" fontId="17" fillId="0" borderId="0" xfId="0" applyNumberFormat="1" applyFont="1" applyFill="1" applyAlignment="1">
      <alignment horizontal="left"/>
    </xf>
    <xf numFmtId="165" fontId="7" fillId="0" borderId="0" xfId="0" applyNumberFormat="1" applyFont="1" applyFill="1" applyAlignment="1">
      <alignment horizontal="right"/>
    </xf>
    <xf numFmtId="5" fontId="7" fillId="6" borderId="0" xfId="1" applyNumberFormat="1" applyFont="1" applyFill="1" applyAlignment="1">
      <alignment horizontal="center"/>
    </xf>
    <xf numFmtId="167" fontId="7" fillId="0" borderId="0" xfId="0" applyNumberFormat="1" applyFont="1" applyAlignment="1">
      <alignment horizontal="right"/>
    </xf>
    <xf numFmtId="166" fontId="7" fillId="6" borderId="0" xfId="0" applyNumberFormat="1" applyFont="1" applyFill="1" applyBorder="1" applyAlignment="1">
      <alignment horizontal="right"/>
    </xf>
    <xf numFmtId="165" fontId="7" fillId="6" borderId="0" xfId="0" applyNumberFormat="1" applyFont="1" applyFill="1" applyBorder="1" applyAlignment="1" applyProtection="1">
      <alignment horizontal="center"/>
      <protection hidden="1"/>
    </xf>
    <xf numFmtId="7" fontId="7" fillId="6" borderId="0" xfId="0" applyNumberFormat="1" applyFont="1" applyFill="1" applyBorder="1" applyAlignment="1">
      <alignment horizontal="left"/>
    </xf>
    <xf numFmtId="9" fontId="17" fillId="6" borderId="0" xfId="0" applyNumberFormat="1" applyFont="1" applyFill="1" applyBorder="1"/>
    <xf numFmtId="0" fontId="35" fillId="4" borderId="9" xfId="0" applyFont="1" applyFill="1" applyBorder="1"/>
    <xf numFmtId="0" fontId="35" fillId="4" borderId="9" xfId="0" applyFont="1" applyFill="1" applyBorder="1" applyAlignment="1">
      <alignment horizontal="center"/>
    </xf>
    <xf numFmtId="0" fontId="35" fillId="4" borderId="9" xfId="0" applyFont="1" applyFill="1" applyBorder="1" applyAlignment="1">
      <alignment horizontal="left" vertical="top" wrapText="1"/>
    </xf>
    <xf numFmtId="0" fontId="0" fillId="0" borderId="9" xfId="0" applyBorder="1" applyAlignment="1" applyProtection="1">
      <alignment vertical="top"/>
      <protection hidden="1"/>
    </xf>
    <xf numFmtId="0" fontId="39" fillId="4" borderId="9" xfId="0" applyFont="1" applyFill="1" applyBorder="1" applyAlignment="1">
      <alignment horizontal="left" vertical="top"/>
    </xf>
    <xf numFmtId="0" fontId="39" fillId="4" borderId="9" xfId="0" applyFont="1" applyFill="1" applyBorder="1" applyAlignment="1">
      <alignment horizontal="left" vertical="top" wrapText="1"/>
    </xf>
    <xf numFmtId="0" fontId="0" fillId="0" borderId="9" xfId="0" applyBorder="1" applyAlignment="1" applyProtection="1">
      <alignment vertical="top" wrapText="1"/>
      <protection hidden="1"/>
    </xf>
    <xf numFmtId="0" fontId="7" fillId="5" borderId="12" xfId="0" applyFont="1" applyFill="1" applyBorder="1" applyAlignment="1">
      <alignment vertical="top"/>
    </xf>
    <xf numFmtId="2" fontId="0" fillId="0" borderId="0" xfId="0" applyNumberFormat="1"/>
    <xf numFmtId="0" fontId="7" fillId="5" borderId="11" xfId="0" applyFont="1" applyFill="1" applyBorder="1" applyAlignment="1">
      <alignment vertical="center"/>
    </xf>
    <xf numFmtId="0" fontId="15" fillId="5" borderId="0" xfId="0" applyFont="1" applyFill="1" applyAlignment="1"/>
    <xf numFmtId="0" fontId="29" fillId="2" borderId="0" xfId="0" applyFont="1" applyFill="1" applyAlignment="1"/>
    <xf numFmtId="0" fontId="29" fillId="7" borderId="0" xfId="0" applyFont="1" applyFill="1" applyAlignment="1"/>
    <xf numFmtId="0" fontId="16" fillId="5" borderId="0" xfId="0" applyFont="1" applyFill="1" applyBorder="1"/>
    <xf numFmtId="0" fontId="15" fillId="9" borderId="0" xfId="0" applyFont="1" applyFill="1" applyAlignment="1">
      <alignment horizontal="left"/>
    </xf>
    <xf numFmtId="0" fontId="30" fillId="9" borderId="0" xfId="0" applyFont="1" applyFill="1" applyAlignment="1"/>
    <xf numFmtId="0" fontId="2" fillId="9" borderId="0" xfId="0" applyFont="1" applyFill="1"/>
    <xf numFmtId="0" fontId="24" fillId="9" borderId="0" xfId="0" applyFont="1" applyFill="1"/>
    <xf numFmtId="0" fontId="32" fillId="5" borderId="0" xfId="0" applyFont="1" applyFill="1" applyBorder="1"/>
    <xf numFmtId="0" fontId="0" fillId="5" borderId="0" xfId="0" applyFill="1" applyBorder="1"/>
    <xf numFmtId="0" fontId="0" fillId="0" borderId="0" xfId="0" applyFill="1" applyBorder="1"/>
    <xf numFmtId="0" fontId="24" fillId="9" borderId="4" xfId="0" applyFont="1" applyFill="1" applyBorder="1" applyAlignment="1"/>
    <xf numFmtId="0" fontId="22" fillId="9" borderId="0" xfId="0" applyFont="1" applyFill="1" applyBorder="1" applyAlignment="1">
      <alignment wrapText="1"/>
    </xf>
    <xf numFmtId="0" fontId="7" fillId="9" borderId="0" xfId="0" applyFont="1" applyFill="1" applyAlignment="1">
      <alignment horizontal="left"/>
    </xf>
    <xf numFmtId="0" fontId="7" fillId="9" borderId="0" xfId="0" applyFont="1" applyFill="1" applyAlignment="1">
      <alignment wrapText="1"/>
    </xf>
    <xf numFmtId="0" fontId="24" fillId="9" borderId="0" xfId="0" applyFont="1" applyFill="1" applyBorder="1" applyAlignment="1"/>
    <xf numFmtId="0" fontId="0" fillId="9" borderId="0" xfId="0" applyFont="1" applyFill="1" applyBorder="1" applyAlignment="1">
      <alignment vertical="center" wrapText="1"/>
    </xf>
    <xf numFmtId="0" fontId="18" fillId="9" borderId="0" xfId="0" applyFont="1" applyFill="1" applyBorder="1" applyAlignment="1">
      <alignment wrapText="1"/>
    </xf>
    <xf numFmtId="2" fontId="3" fillId="5" borderId="0" xfId="0" applyNumberFormat="1" applyFont="1" applyFill="1" applyBorder="1"/>
    <xf numFmtId="164" fontId="3" fillId="5" borderId="0" xfId="0" applyNumberFormat="1" applyFont="1" applyFill="1" applyBorder="1"/>
    <xf numFmtId="164" fontId="7" fillId="5" borderId="0" xfId="0" applyNumberFormat="1" applyFont="1" applyFill="1" applyBorder="1"/>
    <xf numFmtId="0" fontId="4" fillId="5" borderId="0" xfId="0" applyFont="1" applyFill="1" applyBorder="1"/>
    <xf numFmtId="0" fontId="7" fillId="9" borderId="0" xfId="0" applyFont="1" applyFill="1" applyBorder="1" applyAlignment="1" applyProtection="1">
      <alignment wrapText="1"/>
      <protection hidden="1"/>
    </xf>
    <xf numFmtId="0" fontId="7" fillId="9" borderId="0" xfId="0" quotePrefix="1" applyFont="1" applyFill="1" applyBorder="1" applyAlignment="1" applyProtection="1">
      <alignment wrapText="1"/>
      <protection hidden="1"/>
    </xf>
    <xf numFmtId="0" fontId="7" fillId="9" borderId="0" xfId="0" applyFont="1" applyFill="1" applyBorder="1" applyAlignment="1" applyProtection="1">
      <protection hidden="1"/>
    </xf>
    <xf numFmtId="0" fontId="3" fillId="5" borderId="0" xfId="0" applyFont="1" applyFill="1" applyBorder="1" applyAlignment="1">
      <alignment horizontal="right"/>
    </xf>
    <xf numFmtId="0" fontId="17" fillId="5" borderId="0" xfId="0" applyFont="1" applyFill="1" applyBorder="1" applyAlignment="1">
      <alignment horizontal="right"/>
    </xf>
    <xf numFmtId="0" fontId="17" fillId="5" borderId="0" xfId="0" applyFont="1" applyFill="1" applyAlignment="1">
      <alignment vertical="top"/>
    </xf>
    <xf numFmtId="0" fontId="23" fillId="5" borderId="0" xfId="0" applyFont="1" applyFill="1" applyAlignment="1">
      <alignment horizontal="left"/>
    </xf>
    <xf numFmtId="0" fontId="23" fillId="5" borderId="0" xfId="0" applyFont="1" applyFill="1" applyAlignment="1"/>
    <xf numFmtId="0" fontId="23" fillId="5" borderId="0" xfId="0" applyFont="1" applyFill="1"/>
    <xf numFmtId="165" fontId="17" fillId="5" borderId="0" xfId="0" applyNumberFormat="1" applyFont="1" applyFill="1" applyAlignment="1">
      <alignment horizontal="center"/>
    </xf>
    <xf numFmtId="165" fontId="36" fillId="5" borderId="0" xfId="0" applyNumberFormat="1" applyFont="1" applyFill="1" applyAlignment="1">
      <alignment horizontal="center"/>
    </xf>
    <xf numFmtId="0" fontId="7" fillId="0" borderId="0" xfId="0" applyFont="1" applyFill="1" applyBorder="1"/>
    <xf numFmtId="165" fontId="7" fillId="5" borderId="0" xfId="0" applyNumberFormat="1" applyFont="1" applyFill="1" applyAlignment="1">
      <alignment horizontal="right"/>
    </xf>
    <xf numFmtId="0" fontId="17" fillId="5" borderId="0" xfId="0" applyFont="1" applyFill="1" applyBorder="1"/>
    <xf numFmtId="0" fontId="7" fillId="5" borderId="10" xfId="0" applyFont="1" applyFill="1" applyBorder="1"/>
    <xf numFmtId="3" fontId="7" fillId="10" borderId="10" xfId="0" applyNumberFormat="1" applyFont="1" applyFill="1" applyBorder="1"/>
    <xf numFmtId="0" fontId="7" fillId="10" borderId="10" xfId="0" applyFont="1" applyFill="1" applyBorder="1"/>
    <xf numFmtId="4" fontId="7" fillId="10" borderId="6" xfId="0" applyNumberFormat="1" applyFont="1" applyFill="1" applyBorder="1"/>
    <xf numFmtId="170" fontId="7" fillId="10" borderId="10" xfId="0" applyNumberFormat="1" applyFont="1" applyFill="1" applyBorder="1" applyAlignment="1">
      <alignment vertical="center"/>
    </xf>
    <xf numFmtId="167" fontId="7" fillId="10" borderId="10" xfId="0" applyNumberFormat="1" applyFont="1" applyFill="1" applyBorder="1"/>
    <xf numFmtId="165" fontId="7" fillId="10" borderId="9" xfId="0" applyNumberFormat="1" applyFont="1" applyFill="1" applyBorder="1"/>
    <xf numFmtId="165" fontId="17" fillId="10" borderId="9" xfId="0" applyNumberFormat="1" applyFont="1" applyFill="1" applyBorder="1" applyAlignment="1">
      <alignment horizontal="right"/>
    </xf>
    <xf numFmtId="0" fontId="7" fillId="10" borderId="9" xfId="0" applyFont="1" applyFill="1" applyBorder="1" applyProtection="1">
      <protection locked="0"/>
    </xf>
    <xf numFmtId="168" fontId="7" fillId="10" borderId="10" xfId="0" applyNumberFormat="1" applyFont="1" applyFill="1" applyBorder="1"/>
    <xf numFmtId="0" fontId="0" fillId="0" borderId="0" xfId="0" applyAlignment="1">
      <alignment horizontal="left"/>
    </xf>
    <xf numFmtId="0" fontId="0" fillId="9" borderId="0" xfId="0" applyFill="1" applyBorder="1" applyAlignment="1">
      <alignment horizontal="left" wrapText="1"/>
    </xf>
    <xf numFmtId="0" fontId="45" fillId="5" borderId="0" xfId="0" applyFont="1" applyFill="1" applyAlignment="1">
      <alignment horizontal="left"/>
    </xf>
    <xf numFmtId="0" fontId="45" fillId="5" borderId="0" xfId="0" applyFont="1" applyFill="1" applyAlignment="1"/>
    <xf numFmtId="165" fontId="45" fillId="5" borderId="0" xfId="0" applyNumberFormat="1" applyFont="1" applyFill="1"/>
    <xf numFmtId="0" fontId="3" fillId="5" borderId="0" xfId="0" applyFont="1" applyFill="1"/>
    <xf numFmtId="165" fontId="3" fillId="5" borderId="0" xfId="0" applyNumberFormat="1" applyFont="1" applyFill="1"/>
    <xf numFmtId="165" fontId="23" fillId="5" borderId="0" xfId="0" applyNumberFormat="1" applyFont="1" applyFill="1" applyAlignment="1">
      <alignment horizontal="center"/>
    </xf>
    <xf numFmtId="0" fontId="3" fillId="5" borderId="0" xfId="0" applyFont="1" applyFill="1" applyAlignment="1">
      <alignment horizontal="left"/>
    </xf>
    <xf numFmtId="0" fontId="0" fillId="0" borderId="12" xfId="0" applyBorder="1" applyAlignment="1" applyProtection="1">
      <alignment vertical="top"/>
      <protection hidden="1"/>
    </xf>
    <xf numFmtId="167" fontId="7" fillId="9" borderId="0" xfId="0" applyNumberFormat="1" applyFont="1" applyFill="1" applyBorder="1"/>
    <xf numFmtId="0" fontId="7" fillId="5" borderId="0" xfId="0" applyFont="1" applyFill="1" applyAlignment="1">
      <alignment horizontal="left"/>
    </xf>
    <xf numFmtId="0" fontId="7" fillId="5" borderId="11" xfId="0" applyFont="1" applyFill="1" applyBorder="1" applyAlignment="1">
      <alignment horizontal="left" vertical="top"/>
    </xf>
    <xf numFmtId="167" fontId="7" fillId="5" borderId="10" xfId="0" applyNumberFormat="1" applyFont="1" applyFill="1" applyBorder="1" applyAlignment="1">
      <alignment horizontal="center" vertical="top"/>
    </xf>
    <xf numFmtId="0" fontId="24" fillId="9" borderId="0" xfId="0" applyFont="1" applyFill="1" applyBorder="1" applyAlignment="1">
      <alignment vertical="top" wrapText="1"/>
    </xf>
    <xf numFmtId="0" fontId="46" fillId="5" borderId="0" xfId="0" quotePrefix="1" applyFont="1" applyFill="1" applyAlignment="1"/>
    <xf numFmtId="165" fontId="3" fillId="8" borderId="0" xfId="0" applyNumberFormat="1" applyFont="1" applyFill="1"/>
    <xf numFmtId="165" fontId="23" fillId="0" borderId="0" xfId="0" applyNumberFormat="1" applyFont="1" applyFill="1" applyAlignment="1">
      <alignment horizontal="center"/>
    </xf>
    <xf numFmtId="0" fontId="23" fillId="0" borderId="0" xfId="0" applyFont="1" applyFill="1"/>
    <xf numFmtId="0" fontId="45" fillId="8" borderId="0" xfId="0" applyFont="1" applyFill="1" applyAlignment="1"/>
    <xf numFmtId="165" fontId="45" fillId="8" borderId="0" xfId="0" applyNumberFormat="1" applyFont="1" applyFill="1"/>
    <xf numFmtId="0" fontId="51" fillId="0" borderId="0" xfId="0" quotePrefix="1" applyFont="1" applyFill="1" applyAlignment="1">
      <alignment horizontal="left" wrapText="1"/>
    </xf>
    <xf numFmtId="0" fontId="7" fillId="3" borderId="9" xfId="0" applyFont="1" applyFill="1" applyBorder="1" applyAlignment="1">
      <alignment horizontal="right"/>
    </xf>
    <xf numFmtId="0" fontId="17" fillId="3" borderId="9" xfId="0" applyFont="1" applyFill="1" applyBorder="1"/>
    <xf numFmtId="167" fontId="7" fillId="10" borderId="10" xfId="0" applyNumberFormat="1" applyFont="1" applyFill="1" applyBorder="1" applyAlignment="1">
      <alignment horizontal="right" vertical="center"/>
    </xf>
    <xf numFmtId="167" fontId="7" fillId="10" borderId="10" xfId="0" applyNumberFormat="1" applyFont="1" applyFill="1" applyBorder="1" applyAlignment="1">
      <alignment vertical="center"/>
    </xf>
    <xf numFmtId="167" fontId="0" fillId="0" borderId="9" xfId="0" applyNumberFormat="1" applyBorder="1" applyAlignment="1">
      <alignment horizontal="center" vertical="top"/>
    </xf>
    <xf numFmtId="171" fontId="7" fillId="6" borderId="0" xfId="2" applyNumberFormat="1" applyFont="1" applyFill="1"/>
    <xf numFmtId="0" fontId="7" fillId="9" borderId="0" xfId="0" quotePrefix="1" applyFont="1" applyFill="1"/>
    <xf numFmtId="0" fontId="7" fillId="5" borderId="0" xfId="0" quotePrefix="1" applyFont="1" applyFill="1"/>
    <xf numFmtId="0" fontId="55" fillId="0" borderId="0" xfId="0" applyFont="1" applyBorder="1"/>
    <xf numFmtId="0" fontId="20" fillId="9" borderId="0" xfId="0" applyFont="1" applyFill="1"/>
    <xf numFmtId="0" fontId="36" fillId="5" borderId="0" xfId="0" applyFont="1" applyFill="1"/>
    <xf numFmtId="0" fontId="7" fillId="5" borderId="0" xfId="0" applyFont="1" applyFill="1" applyAlignment="1">
      <alignment horizontal="right"/>
    </xf>
    <xf numFmtId="0" fontId="7" fillId="5" borderId="0" xfId="0" applyFont="1" applyFill="1" applyAlignment="1"/>
    <xf numFmtId="0" fontId="17" fillId="5" borderId="0" xfId="0" quotePrefix="1" applyFont="1" applyFill="1" applyAlignment="1">
      <alignment horizontal="left" wrapText="1"/>
    </xf>
    <xf numFmtId="0" fontId="7" fillId="5" borderId="0" xfId="0" quotePrefix="1" applyFont="1" applyFill="1" applyAlignment="1">
      <alignment wrapText="1"/>
    </xf>
    <xf numFmtId="165" fontId="3" fillId="6" borderId="0" xfId="0" applyNumberFormat="1" applyFont="1" applyFill="1" applyAlignment="1">
      <alignment horizontal="center"/>
    </xf>
    <xf numFmtId="3" fontId="7" fillId="6" borderId="0" xfId="0" quotePrefix="1" applyNumberFormat="1" applyFont="1" applyFill="1" applyBorder="1" applyAlignment="1" applyProtection="1">
      <alignment horizontal="center"/>
      <protection hidden="1"/>
    </xf>
    <xf numFmtId="167" fontId="7" fillId="6" borderId="0" xfId="0" applyNumberFormat="1" applyFont="1" applyFill="1" applyBorder="1" applyAlignment="1" applyProtection="1">
      <alignment horizontal="center"/>
      <protection hidden="1"/>
    </xf>
    <xf numFmtId="164" fontId="7" fillId="6" borderId="0" xfId="0" applyNumberFormat="1" applyFont="1" applyFill="1" applyAlignment="1"/>
    <xf numFmtId="0" fontId="7" fillId="9" borderId="0" xfId="0" applyFont="1" applyFill="1" applyAlignment="1"/>
    <xf numFmtId="165" fontId="7" fillId="6" borderId="0" xfId="0" quotePrefix="1" applyNumberFormat="1" applyFont="1" applyFill="1" applyAlignment="1">
      <alignment horizontal="left"/>
    </xf>
    <xf numFmtId="0" fontId="59" fillId="5" borderId="0" xfId="0" applyFont="1" applyFill="1" applyAlignment="1"/>
    <xf numFmtId="0" fontId="60" fillId="5" borderId="0" xfId="0" applyFont="1" applyFill="1"/>
    <xf numFmtId="0" fontId="59" fillId="5" borderId="0" xfId="0" applyFont="1" applyFill="1"/>
    <xf numFmtId="0" fontId="61" fillId="0" borderId="0" xfId="0" applyFont="1"/>
    <xf numFmtId="0" fontId="61" fillId="0" borderId="0" xfId="0" applyFont="1" applyFill="1"/>
    <xf numFmtId="0" fontId="62" fillId="0" borderId="0" xfId="0" applyFont="1" applyFill="1"/>
    <xf numFmtId="0" fontId="62" fillId="5" borderId="0" xfId="0" applyFont="1" applyFill="1"/>
    <xf numFmtId="0" fontId="62" fillId="0" borderId="0" xfId="0" applyFont="1"/>
    <xf numFmtId="0" fontId="62" fillId="5" borderId="7" xfId="0" applyFont="1" applyFill="1" applyBorder="1"/>
    <xf numFmtId="0" fontId="63" fillId="5" borderId="0" xfId="0" applyFont="1" applyFill="1"/>
    <xf numFmtId="0" fontId="0" fillId="0" borderId="0" xfId="0" applyBorder="1"/>
    <xf numFmtId="0" fontId="0" fillId="9" borderId="0" xfId="0" quotePrefix="1" applyFill="1"/>
    <xf numFmtId="4" fontId="17" fillId="6" borderId="0" xfId="0" applyNumberFormat="1" applyFont="1" applyFill="1"/>
    <xf numFmtId="43" fontId="7" fillId="6" borderId="0" xfId="2" applyNumberFormat="1" applyFont="1" applyFill="1"/>
    <xf numFmtId="0" fontId="34" fillId="6" borderId="0" xfId="0" applyFont="1" applyFill="1" applyAlignment="1">
      <alignment horizontal="center"/>
    </xf>
    <xf numFmtId="0" fontId="55" fillId="9" borderId="0" xfId="0" applyFont="1" applyFill="1"/>
    <xf numFmtId="172" fontId="7" fillId="10" borderId="10" xfId="0" applyNumberFormat="1" applyFont="1" applyFill="1" applyBorder="1"/>
    <xf numFmtId="0" fontId="44" fillId="13" borderId="0" xfId="0" applyFont="1" applyFill="1" applyAlignment="1">
      <alignment wrapText="1"/>
    </xf>
    <xf numFmtId="0" fontId="0" fillId="13" borderId="0" xfId="0" applyFill="1" applyBorder="1" applyAlignment="1">
      <alignment horizontal="left" vertical="top" wrapText="1"/>
    </xf>
    <xf numFmtId="0" fontId="42" fillId="5" borderId="0" xfId="0" applyFont="1" applyFill="1" applyAlignment="1">
      <alignment vertical="center"/>
    </xf>
    <xf numFmtId="0" fontId="43" fillId="11" borderId="0" xfId="0" applyFont="1" applyFill="1" applyAlignment="1"/>
    <xf numFmtId="3" fontId="7" fillId="6" borderId="0" xfId="0" applyNumberFormat="1" applyFont="1" applyFill="1" applyBorder="1"/>
    <xf numFmtId="0" fontId="1" fillId="5" borderId="0" xfId="0" applyFont="1" applyFill="1" applyBorder="1" applyAlignment="1">
      <alignment horizontal="center"/>
    </xf>
    <xf numFmtId="0" fontId="1" fillId="5" borderId="0" xfId="0" applyFont="1" applyFill="1" applyBorder="1" applyAlignment="1">
      <alignment horizontal="center" wrapText="1"/>
    </xf>
    <xf numFmtId="0" fontId="7" fillId="5" borderId="16" xfId="0" applyFont="1" applyFill="1" applyBorder="1"/>
    <xf numFmtId="0" fontId="7" fillId="10" borderId="14" xfId="0" applyFont="1" applyFill="1" applyBorder="1" applyAlignment="1">
      <alignment horizontal="center"/>
    </xf>
    <xf numFmtId="0" fontId="70" fillId="5" borderId="0" xfId="0" applyFont="1" applyFill="1"/>
    <xf numFmtId="0" fontId="7" fillId="10" borderId="6" xfId="0" applyFont="1" applyFill="1" applyBorder="1"/>
    <xf numFmtId="0" fontId="0" fillId="5" borderId="12" xfId="0" applyFill="1" applyBorder="1"/>
    <xf numFmtId="1" fontId="7" fillId="6" borderId="0" xfId="0" applyNumberFormat="1" applyFont="1" applyFill="1" applyAlignment="1"/>
    <xf numFmtId="3" fontId="7" fillId="10" borderId="6" xfId="0" applyNumberFormat="1" applyFont="1" applyFill="1" applyBorder="1"/>
    <xf numFmtId="3" fontId="7" fillId="10" borderId="1" xfId="0" applyNumberFormat="1" applyFont="1" applyFill="1" applyBorder="1"/>
    <xf numFmtId="0" fontId="38" fillId="9" borderId="0" xfId="0" applyFont="1" applyFill="1"/>
    <xf numFmtId="0" fontId="0" fillId="5" borderId="0" xfId="0" applyFill="1" applyAlignment="1">
      <alignment horizontal="left"/>
    </xf>
    <xf numFmtId="0" fontId="17" fillId="9" borderId="0" xfId="0" applyFont="1" applyFill="1"/>
    <xf numFmtId="2" fontId="7" fillId="6" borderId="0" xfId="2" applyNumberFormat="1" applyFont="1" applyFill="1"/>
    <xf numFmtId="171" fontId="17" fillId="6" borderId="0" xfId="2" applyNumberFormat="1" applyFont="1" applyFill="1"/>
    <xf numFmtId="0" fontId="0" fillId="9" borderId="7" xfId="0" applyFill="1" applyBorder="1"/>
    <xf numFmtId="3" fontId="7" fillId="9" borderId="0" xfId="0" applyNumberFormat="1" applyFont="1" applyFill="1" applyBorder="1"/>
    <xf numFmtId="0" fontId="15" fillId="9" borderId="0" xfId="0" applyFont="1" applyFill="1" applyBorder="1" applyAlignment="1">
      <alignment horizontal="left"/>
    </xf>
    <xf numFmtId="0" fontId="17" fillId="9" borderId="0" xfId="0" applyFont="1" applyFill="1" applyBorder="1" applyAlignment="1">
      <alignment horizontal="left" wrapText="1"/>
    </xf>
    <xf numFmtId="0" fontId="27" fillId="9" borderId="0" xfId="0" applyFont="1" applyFill="1"/>
    <xf numFmtId="0" fontId="16" fillId="9" borderId="0" xfId="0" applyFont="1" applyFill="1" applyBorder="1"/>
    <xf numFmtId="164" fontId="7" fillId="9" borderId="0" xfId="0" applyNumberFormat="1" applyFont="1" applyFill="1"/>
    <xf numFmtId="0" fontId="55" fillId="9" borderId="0" xfId="0" applyFont="1" applyFill="1" applyBorder="1"/>
    <xf numFmtId="1" fontId="7" fillId="9" borderId="0" xfId="0" applyNumberFormat="1" applyFont="1" applyFill="1"/>
    <xf numFmtId="2" fontId="7" fillId="9" borderId="0" xfId="0" applyNumberFormat="1" applyFont="1" applyFill="1"/>
    <xf numFmtId="0" fontId="27" fillId="9" borderId="0" xfId="0" applyFont="1" applyFill="1" applyAlignment="1"/>
    <xf numFmtId="0" fontId="7" fillId="9" borderId="0" xfId="0" quotePrefix="1" applyFont="1" applyFill="1" applyBorder="1"/>
    <xf numFmtId="0" fontId="41" fillId="9" borderId="0" xfId="0" applyFont="1" applyFill="1"/>
    <xf numFmtId="0" fontId="41" fillId="9" borderId="0" xfId="0" quotePrefix="1" applyFont="1" applyFill="1"/>
    <xf numFmtId="0" fontId="33" fillId="7" borderId="0" xfId="0" applyFont="1" applyFill="1" applyAlignment="1">
      <alignment horizontal="left"/>
    </xf>
    <xf numFmtId="3" fontId="7" fillId="6" borderId="0" xfId="0" quotePrefix="1" applyNumberFormat="1" applyFont="1" applyFill="1" applyBorder="1"/>
    <xf numFmtId="169" fontId="7" fillId="6" borderId="0" xfId="0" quotePrefix="1" applyNumberFormat="1" applyFont="1" applyFill="1"/>
    <xf numFmtId="0" fontId="7" fillId="5" borderId="12" xfId="0" applyFont="1" applyFill="1" applyBorder="1"/>
    <xf numFmtId="0" fontId="73" fillId="0" borderId="9" xfId="0" applyFont="1" applyBorder="1" applyAlignment="1">
      <alignment horizontal="center" vertical="center" wrapText="1"/>
    </xf>
    <xf numFmtId="3" fontId="73" fillId="0" borderId="9" xfId="0" applyNumberFormat="1" applyFont="1" applyBorder="1" applyAlignment="1">
      <alignment horizontal="center" vertical="center" wrapText="1"/>
    </xf>
    <xf numFmtId="0" fontId="72" fillId="14" borderId="14" xfId="0" applyFont="1" applyFill="1" applyBorder="1" applyAlignment="1">
      <alignment horizontal="center" vertical="center" wrapText="1"/>
    </xf>
    <xf numFmtId="0" fontId="75" fillId="0" borderId="9" xfId="0" applyFont="1" applyBorder="1" applyAlignment="1">
      <alignment horizontal="center" vertical="center" wrapText="1"/>
    </xf>
    <xf numFmtId="3" fontId="75" fillId="0" borderId="9" xfId="0" applyNumberFormat="1" applyFont="1" applyBorder="1" applyAlignment="1">
      <alignment horizontal="center" vertical="center" wrapText="1"/>
    </xf>
    <xf numFmtId="0" fontId="74" fillId="12" borderId="3" xfId="0" applyFont="1" applyFill="1" applyBorder="1" applyAlignment="1">
      <alignment horizontal="center" vertical="center" wrapText="1"/>
    </xf>
    <xf numFmtId="0" fontId="74" fillId="12" borderId="8" xfId="0" applyFont="1" applyFill="1" applyBorder="1" applyAlignment="1">
      <alignment horizontal="center" vertical="center" wrapText="1"/>
    </xf>
    <xf numFmtId="0" fontId="75" fillId="0" borderId="10" xfId="0" applyFont="1" applyFill="1" applyBorder="1" applyAlignment="1">
      <alignment vertical="center" wrapText="1"/>
    </xf>
    <xf numFmtId="0" fontId="75" fillId="5" borderId="9" xfId="0" applyFont="1" applyFill="1" applyBorder="1" applyAlignment="1">
      <alignment horizontal="right" vertical="center" wrapText="1"/>
    </xf>
    <xf numFmtId="172" fontId="75" fillId="5" borderId="9" xfId="0" applyNumberFormat="1" applyFont="1" applyFill="1" applyBorder="1" applyAlignment="1">
      <alignment horizontal="right" vertical="center" wrapText="1"/>
    </xf>
    <xf numFmtId="0" fontId="75" fillId="5" borderId="12" xfId="0" quotePrefix="1" applyFont="1" applyFill="1" applyBorder="1" applyAlignment="1">
      <alignment horizontal="right" vertical="center" wrapText="1"/>
    </xf>
    <xf numFmtId="0" fontId="75" fillId="0" borderId="4" xfId="0" applyFont="1" applyFill="1" applyBorder="1" applyAlignment="1">
      <alignment vertical="center" wrapText="1"/>
    </xf>
    <xf numFmtId="0" fontId="75" fillId="5" borderId="15" xfId="0" applyFont="1" applyFill="1" applyBorder="1" applyAlignment="1">
      <alignment horizontal="right" vertical="center" wrapText="1"/>
    </xf>
    <xf numFmtId="172" fontId="75" fillId="5" borderId="15" xfId="0" applyNumberFormat="1" applyFont="1" applyFill="1" applyBorder="1" applyAlignment="1">
      <alignment horizontal="right" vertical="center" wrapText="1"/>
    </xf>
    <xf numFmtId="0" fontId="75" fillId="5" borderId="5" xfId="0" quotePrefix="1" applyFont="1" applyFill="1" applyBorder="1" applyAlignment="1">
      <alignment horizontal="right" vertical="center" wrapText="1"/>
    </xf>
    <xf numFmtId="0" fontId="75" fillId="0" borderId="1" xfId="0" applyFont="1" applyFill="1" applyBorder="1" applyAlignment="1">
      <alignment vertical="center" wrapText="1"/>
    </xf>
    <xf numFmtId="0" fontId="75" fillId="5" borderId="14" xfId="0" applyFont="1" applyFill="1" applyBorder="1" applyAlignment="1">
      <alignment horizontal="right" vertical="center" wrapText="1"/>
    </xf>
    <xf numFmtId="172" fontId="75" fillId="5" borderId="14" xfId="0" applyNumberFormat="1" applyFont="1" applyFill="1" applyBorder="1" applyAlignment="1">
      <alignment horizontal="right" vertical="center" wrapText="1"/>
    </xf>
    <xf numFmtId="0" fontId="77" fillId="0" borderId="1" xfId="0" applyFont="1" applyFill="1" applyBorder="1" applyAlignment="1">
      <alignment vertical="center" wrapText="1"/>
    </xf>
    <xf numFmtId="0" fontId="75" fillId="5" borderId="3" xfId="0" quotePrefix="1" applyFont="1" applyFill="1" applyBorder="1" applyAlignment="1">
      <alignment horizontal="right" vertical="center" wrapText="1"/>
    </xf>
    <xf numFmtId="0" fontId="78" fillId="5" borderId="0" xfId="0" applyFont="1" applyFill="1" applyAlignment="1">
      <alignment vertical="center"/>
    </xf>
    <xf numFmtId="43" fontId="7" fillId="0" borderId="0" xfId="0" applyNumberFormat="1" applyFont="1" applyFill="1"/>
    <xf numFmtId="165" fontId="7" fillId="10" borderId="10" xfId="0" applyNumberFormat="1" applyFont="1" applyFill="1" applyBorder="1"/>
    <xf numFmtId="165" fontId="7" fillId="6" borderId="0" xfId="0" quotePrefix="1" applyNumberFormat="1" applyFont="1" applyFill="1" applyAlignment="1">
      <alignment horizontal="center"/>
    </xf>
    <xf numFmtId="0" fontId="3" fillId="5" borderId="0" xfId="0" applyFont="1" applyFill="1" applyBorder="1" applyAlignment="1">
      <alignment vertical="center" wrapText="1"/>
    </xf>
    <xf numFmtId="0" fontId="3" fillId="5" borderId="4" xfId="0" applyFont="1" applyFill="1" applyBorder="1" applyAlignment="1">
      <alignment vertical="center" wrapText="1"/>
    </xf>
    <xf numFmtId="165" fontId="75" fillId="0" borderId="9" xfId="2" applyNumberFormat="1" applyFont="1" applyBorder="1" applyAlignment="1">
      <alignment vertical="center" wrapText="1"/>
    </xf>
    <xf numFmtId="165" fontId="75" fillId="0" borderId="9" xfId="0" applyNumberFormat="1" applyFont="1" applyBorder="1" applyAlignment="1">
      <alignment horizontal="center" vertical="center" wrapText="1"/>
    </xf>
    <xf numFmtId="0" fontId="11" fillId="6" borderId="0" xfId="0" applyFont="1" applyFill="1" applyBorder="1" applyAlignment="1">
      <alignment horizontal="left" wrapText="1"/>
    </xf>
    <xf numFmtId="0" fontId="11" fillId="6" borderId="0" xfId="0" applyFont="1" applyFill="1" applyBorder="1" applyAlignment="1"/>
    <xf numFmtId="4" fontId="7" fillId="6" borderId="0" xfId="0" quotePrefix="1" applyNumberFormat="1" applyFont="1" applyFill="1" applyBorder="1" applyAlignment="1" applyProtection="1">
      <alignment horizontal="center"/>
      <protection hidden="1"/>
    </xf>
    <xf numFmtId="0" fontId="7" fillId="5" borderId="9" xfId="0" applyFont="1" applyFill="1" applyBorder="1" applyAlignment="1">
      <alignment vertical="top"/>
    </xf>
    <xf numFmtId="0" fontId="16" fillId="5" borderId="0" xfId="0" applyNumberFormat="1" applyFont="1" applyFill="1"/>
    <xf numFmtId="0" fontId="18" fillId="5" borderId="0" xfId="0" applyFont="1" applyFill="1" applyBorder="1"/>
    <xf numFmtId="165" fontId="80" fillId="0" borderId="0" xfId="0" applyNumberFormat="1" applyFont="1" applyFill="1" applyAlignment="1">
      <alignment horizontal="left" wrapText="1"/>
    </xf>
    <xf numFmtId="0" fontId="57" fillId="9" borderId="0" xfId="0" applyFont="1" applyFill="1" applyBorder="1"/>
    <xf numFmtId="0" fontId="0" fillId="6" borderId="0" xfId="0" applyFill="1"/>
    <xf numFmtId="0" fontId="81" fillId="15" borderId="0" xfId="0" applyFont="1" applyFill="1" applyBorder="1"/>
    <xf numFmtId="0" fontId="82" fillId="15" borderId="0" xfId="0" applyFont="1" applyFill="1"/>
    <xf numFmtId="0" fontId="82" fillId="15" borderId="0" xfId="0" applyFont="1" applyFill="1" applyAlignment="1">
      <alignment horizontal="right"/>
    </xf>
    <xf numFmtId="0" fontId="81" fillId="15" borderId="0" xfId="0" applyFont="1" applyFill="1"/>
    <xf numFmtId="165" fontId="81" fillId="15" borderId="0" xfId="0" applyNumberFormat="1" applyFont="1" applyFill="1" applyAlignment="1">
      <alignment horizontal="center"/>
    </xf>
    <xf numFmtId="0" fontId="8" fillId="0" borderId="0" xfId="0" applyFont="1" applyAlignment="1">
      <alignment horizontal="left" vertical="top" wrapText="1"/>
    </xf>
    <xf numFmtId="0" fontId="17" fillId="6" borderId="0" xfId="0" applyFont="1" applyFill="1" applyAlignment="1">
      <alignment horizontal="right"/>
    </xf>
    <xf numFmtId="0" fontId="74" fillId="12" borderId="14" xfId="0" applyFont="1" applyFill="1" applyBorder="1" applyAlignment="1">
      <alignment horizontal="center" vertical="center" wrapText="1"/>
    </xf>
    <xf numFmtId="0" fontId="74" fillId="12" borderId="13" xfId="0" applyFont="1" applyFill="1" applyBorder="1" applyAlignment="1">
      <alignment horizontal="center" vertical="center" wrapText="1"/>
    </xf>
    <xf numFmtId="0" fontId="6" fillId="3" borderId="4" xfId="0" applyFont="1" applyFill="1" applyBorder="1" applyAlignment="1">
      <alignment horizontal="center" vertical="top" wrapText="1"/>
    </xf>
    <xf numFmtId="0" fontId="6" fillId="3" borderId="0" xfId="0" applyFont="1" applyFill="1" applyBorder="1" applyAlignment="1">
      <alignment horizontal="center" vertical="top" wrapText="1"/>
    </xf>
    <xf numFmtId="0" fontId="6" fillId="3" borderId="5" xfId="0" applyFont="1" applyFill="1" applyBorder="1" applyAlignment="1">
      <alignment horizontal="center" vertical="top" wrapText="1"/>
    </xf>
    <xf numFmtId="0" fontId="6" fillId="3" borderId="6" xfId="0" applyFont="1" applyFill="1" applyBorder="1" applyAlignment="1">
      <alignment horizontal="center" wrapText="1"/>
    </xf>
    <xf numFmtId="0" fontId="6" fillId="3" borderId="7" xfId="0" applyFont="1" applyFill="1" applyBorder="1" applyAlignment="1">
      <alignment horizontal="center" wrapText="1"/>
    </xf>
    <xf numFmtId="0" fontId="6" fillId="3" borderId="8" xfId="0" applyFont="1" applyFill="1" applyBorder="1" applyAlignment="1">
      <alignment horizontal="center" wrapText="1"/>
    </xf>
    <xf numFmtId="0" fontId="8" fillId="0" borderId="0" xfId="0" applyFont="1" applyFill="1" applyAlignment="1">
      <alignment horizontal="left" wrapText="1"/>
    </xf>
    <xf numFmtId="0" fontId="8" fillId="0" borderId="0" xfId="0" applyFont="1" applyAlignment="1">
      <alignment horizontal="left" vertical="top" wrapText="1"/>
    </xf>
    <xf numFmtId="0" fontId="5" fillId="2" borderId="1" xfId="0" applyFont="1" applyFill="1" applyBorder="1" applyAlignment="1">
      <alignment horizontal="center"/>
    </xf>
    <xf numFmtId="0" fontId="5" fillId="2" borderId="2" xfId="0" applyFont="1" applyFill="1" applyBorder="1" applyAlignment="1">
      <alignment horizontal="center"/>
    </xf>
    <xf numFmtId="0" fontId="5" fillId="2" borderId="3" xfId="0" applyFont="1" applyFill="1" applyBorder="1" applyAlignment="1">
      <alignment horizontal="center"/>
    </xf>
    <xf numFmtId="0" fontId="5" fillId="2" borderId="4" xfId="0" applyFont="1" applyFill="1" applyBorder="1" applyAlignment="1">
      <alignment horizontal="center"/>
    </xf>
    <xf numFmtId="0" fontId="5" fillId="2" borderId="0" xfId="0" applyFont="1" applyFill="1" applyBorder="1" applyAlignment="1">
      <alignment horizontal="center"/>
    </xf>
    <xf numFmtId="0" fontId="5" fillId="2" borderId="5" xfId="0" applyFont="1" applyFill="1" applyBorder="1" applyAlignment="1">
      <alignment horizontal="center"/>
    </xf>
    <xf numFmtId="0" fontId="6" fillId="3" borderId="4" xfId="0" applyFont="1" applyFill="1" applyBorder="1" applyAlignment="1">
      <alignment horizontal="center" wrapText="1"/>
    </xf>
    <xf numFmtId="0" fontId="6" fillId="3" borderId="0" xfId="0" applyFont="1" applyFill="1" applyBorder="1" applyAlignment="1">
      <alignment horizontal="center" wrapText="1"/>
    </xf>
    <xf numFmtId="0" fontId="6" fillId="3" borderId="5" xfId="0" applyFont="1" applyFill="1" applyBorder="1" applyAlignment="1">
      <alignment horizontal="center" wrapText="1"/>
    </xf>
    <xf numFmtId="0" fontId="6" fillId="3" borderId="4" xfId="0" applyFont="1" applyFill="1" applyBorder="1" applyAlignment="1">
      <alignment horizontal="center"/>
    </xf>
    <xf numFmtId="0" fontId="6" fillId="3" borderId="0" xfId="0" applyFont="1" applyFill="1" applyBorder="1" applyAlignment="1">
      <alignment horizontal="center"/>
    </xf>
    <xf numFmtId="0" fontId="6" fillId="3" borderId="5" xfId="0" applyFont="1" applyFill="1" applyBorder="1" applyAlignment="1">
      <alignment horizontal="center"/>
    </xf>
    <xf numFmtId="0" fontId="11" fillId="4" borderId="4" xfId="0" applyFont="1" applyFill="1" applyBorder="1" applyAlignment="1">
      <alignment horizontal="left" vertical="center" wrapText="1"/>
    </xf>
    <xf numFmtId="0" fontId="8" fillId="4" borderId="0" xfId="0" applyFont="1" applyFill="1" applyBorder="1" applyAlignment="1">
      <alignment horizontal="left" vertical="center" wrapText="1"/>
    </xf>
    <xf numFmtId="0" fontId="8" fillId="4" borderId="5" xfId="0" applyFont="1" applyFill="1" applyBorder="1" applyAlignment="1">
      <alignment horizontal="left" vertical="center" wrapText="1"/>
    </xf>
    <xf numFmtId="0" fontId="8" fillId="4" borderId="6" xfId="0" applyFont="1" applyFill="1" applyBorder="1" applyAlignment="1">
      <alignment horizontal="left" vertical="center" wrapText="1"/>
    </xf>
    <xf numFmtId="0" fontId="8" fillId="4" borderId="7" xfId="0" applyFont="1" applyFill="1" applyBorder="1" applyAlignment="1">
      <alignment horizontal="left" vertical="center" wrapText="1"/>
    </xf>
    <xf numFmtId="0" fontId="8" fillId="4" borderId="8" xfId="0" applyFont="1" applyFill="1" applyBorder="1" applyAlignment="1">
      <alignment horizontal="left" vertical="center" wrapText="1"/>
    </xf>
    <xf numFmtId="0" fontId="9" fillId="2" borderId="9" xfId="0" applyFont="1" applyFill="1" applyBorder="1" applyAlignment="1">
      <alignment horizontal="center" vertical="top" wrapText="1"/>
    </xf>
    <xf numFmtId="0" fontId="8" fillId="4" borderId="4" xfId="0" applyFont="1" applyFill="1" applyBorder="1" applyAlignment="1">
      <alignment horizontal="left" vertical="center" wrapText="1"/>
    </xf>
    <xf numFmtId="0" fontId="24" fillId="9" borderId="4" xfId="0" applyFont="1" applyFill="1" applyBorder="1" applyAlignment="1">
      <alignment horizontal="left" vertical="top" wrapText="1"/>
    </xf>
    <xf numFmtId="0" fontId="24" fillId="9" borderId="0" xfId="0" applyFont="1" applyFill="1" applyBorder="1" applyAlignment="1">
      <alignment horizontal="left" vertical="top" wrapText="1"/>
    </xf>
    <xf numFmtId="0" fontId="0" fillId="0" borderId="10" xfId="0" applyBorder="1" applyAlignment="1" applyProtection="1">
      <alignment horizontal="left" vertical="top" wrapText="1"/>
      <protection hidden="1"/>
    </xf>
    <xf numFmtId="0" fontId="0" fillId="0" borderId="12" xfId="0" applyBorder="1" applyAlignment="1" applyProtection="1">
      <alignment horizontal="left" vertical="top" wrapText="1"/>
      <protection hidden="1"/>
    </xf>
    <xf numFmtId="0" fontId="0" fillId="0" borderId="10" xfId="0" applyBorder="1" applyAlignment="1" applyProtection="1">
      <alignment horizontal="left" vertical="top" wrapText="1"/>
      <protection locked="0" hidden="1"/>
    </xf>
    <xf numFmtId="0" fontId="0" fillId="0" borderId="12" xfId="0" applyBorder="1" applyAlignment="1" applyProtection="1">
      <alignment horizontal="left" vertical="top" wrapText="1"/>
      <protection locked="0" hidden="1"/>
    </xf>
    <xf numFmtId="0" fontId="0" fillId="0" borderId="10" xfId="0" applyBorder="1" applyAlignment="1" applyProtection="1">
      <alignment horizontal="center" vertical="top" wrapText="1"/>
      <protection locked="0"/>
    </xf>
    <xf numFmtId="0" fontId="0" fillId="0" borderId="11" xfId="0" applyBorder="1" applyAlignment="1" applyProtection="1">
      <alignment horizontal="center" vertical="top" wrapText="1"/>
      <protection locked="0"/>
    </xf>
    <xf numFmtId="0" fontId="0" fillId="0" borderId="12" xfId="0" applyBorder="1" applyAlignment="1" applyProtection="1">
      <alignment horizontal="center" vertical="top" wrapText="1"/>
      <protection locked="0"/>
    </xf>
    <xf numFmtId="0" fontId="3" fillId="5" borderId="0" xfId="0" applyFont="1" applyFill="1" applyBorder="1" applyAlignment="1">
      <alignment horizontal="left" vertical="center" wrapText="1"/>
    </xf>
    <xf numFmtId="0" fontId="0" fillId="0" borderId="10" xfId="0" applyBorder="1" applyAlignment="1" applyProtection="1">
      <alignment horizontal="left" vertical="top" wrapText="1"/>
      <protection locked="0"/>
    </xf>
    <xf numFmtId="0" fontId="0" fillId="0" borderId="11" xfId="0" applyBorder="1" applyAlignment="1" applyProtection="1">
      <alignment horizontal="left" vertical="top" wrapText="1"/>
      <protection locked="0"/>
    </xf>
    <xf numFmtId="0" fontId="0" fillId="0" borderId="12" xfId="0" applyBorder="1" applyAlignment="1" applyProtection="1">
      <alignment horizontal="left" vertical="top" wrapText="1"/>
      <protection locked="0"/>
    </xf>
    <xf numFmtId="0" fontId="35" fillId="4" borderId="10" xfId="0" applyFont="1" applyFill="1" applyBorder="1" applyAlignment="1">
      <alignment horizontal="left" wrapText="1"/>
    </xf>
    <xf numFmtId="0" fontId="35" fillId="4" borderId="11" xfId="0" applyFont="1" applyFill="1" applyBorder="1" applyAlignment="1">
      <alignment horizontal="left" wrapText="1"/>
    </xf>
    <xf numFmtId="0" fontId="35" fillId="4" borderId="12" xfId="0" applyFont="1" applyFill="1" applyBorder="1" applyAlignment="1">
      <alignment horizontal="left" wrapText="1"/>
    </xf>
    <xf numFmtId="0" fontId="0" fillId="5" borderId="10" xfId="0" applyFill="1" applyBorder="1" applyAlignment="1" applyProtection="1">
      <alignment horizontal="center" vertical="top" wrapText="1"/>
      <protection locked="0"/>
    </xf>
    <xf numFmtId="0" fontId="0" fillId="5" borderId="11" xfId="0" applyFill="1" applyBorder="1" applyAlignment="1" applyProtection="1">
      <alignment horizontal="center" vertical="top" wrapText="1"/>
      <protection locked="0"/>
    </xf>
    <xf numFmtId="0" fontId="0" fillId="5" borderId="12" xfId="0" applyFill="1" applyBorder="1" applyAlignment="1" applyProtection="1">
      <alignment horizontal="center" vertical="top" wrapText="1"/>
      <protection locked="0"/>
    </xf>
    <xf numFmtId="0" fontId="35" fillId="4" borderId="10" xfId="0" applyFont="1" applyFill="1" applyBorder="1" applyAlignment="1">
      <alignment horizontal="center"/>
    </xf>
    <xf numFmtId="0" fontId="35" fillId="4" borderId="12" xfId="0" applyFont="1" applyFill="1" applyBorder="1" applyAlignment="1">
      <alignment horizontal="center"/>
    </xf>
    <xf numFmtId="0" fontId="7" fillId="9" borderId="0" xfId="0" applyFont="1" applyFill="1" applyBorder="1" applyAlignment="1" applyProtection="1">
      <alignment horizontal="left" vertical="center" wrapText="1"/>
      <protection hidden="1"/>
    </xf>
    <xf numFmtId="0" fontId="14" fillId="2" borderId="0" xfId="0" applyFont="1" applyFill="1" applyBorder="1" applyAlignment="1" applyProtection="1">
      <alignment horizontal="center"/>
      <protection hidden="1"/>
    </xf>
    <xf numFmtId="0" fontId="20" fillId="5" borderId="0" xfId="0" applyFont="1" applyFill="1" applyBorder="1" applyAlignment="1" applyProtection="1">
      <alignment horizontal="left" wrapText="1"/>
      <protection hidden="1"/>
    </xf>
    <xf numFmtId="0" fontId="7" fillId="9" borderId="0" xfId="0" applyFont="1" applyFill="1" applyBorder="1" applyAlignment="1" applyProtection="1">
      <alignment horizontal="left" wrapText="1"/>
      <protection hidden="1"/>
    </xf>
    <xf numFmtId="0" fontId="14" fillId="2" borderId="0" xfId="0" applyFont="1" applyFill="1" applyAlignment="1">
      <alignment horizontal="center"/>
    </xf>
    <xf numFmtId="0" fontId="9" fillId="2" borderId="0" xfId="0" applyFont="1" applyFill="1" applyAlignment="1">
      <alignment horizontal="center"/>
    </xf>
    <xf numFmtId="0" fontId="38" fillId="6" borderId="0" xfId="0" applyFont="1" applyFill="1" applyAlignment="1">
      <alignment horizontal="center" vertical="center" wrapText="1"/>
    </xf>
    <xf numFmtId="0" fontId="17" fillId="6" borderId="0" xfId="0" applyFont="1" applyFill="1" applyAlignment="1">
      <alignment horizontal="right"/>
    </xf>
    <xf numFmtId="0" fontId="80" fillId="5" borderId="0" xfId="0" applyFont="1" applyFill="1" applyAlignment="1">
      <alignment horizontal="center" vertical="top" wrapText="1"/>
    </xf>
    <xf numFmtId="165" fontId="80" fillId="0" borderId="0" xfId="0" applyNumberFormat="1" applyFont="1" applyAlignment="1">
      <alignment horizontal="center" vertical="top" wrapText="1"/>
    </xf>
    <xf numFmtId="0" fontId="80" fillId="5" borderId="0" xfId="0" applyFont="1" applyFill="1" applyAlignment="1">
      <alignment horizontal="center" wrapText="1"/>
    </xf>
    <xf numFmtId="0" fontId="80" fillId="0" borderId="0" xfId="0" applyFont="1" applyAlignment="1">
      <alignment horizontal="center" wrapText="1"/>
    </xf>
    <xf numFmtId="165" fontId="80" fillId="0" borderId="0" xfId="0" applyNumberFormat="1" applyFont="1" applyFill="1" applyAlignment="1">
      <alignment horizontal="center" vertical="top" wrapText="1"/>
    </xf>
    <xf numFmtId="0" fontId="25" fillId="5" borderId="0" xfId="0" applyFont="1" applyFill="1" applyAlignment="1">
      <alignment horizontal="left" vertical="top" wrapText="1"/>
    </xf>
    <xf numFmtId="0" fontId="74" fillId="12" borderId="10" xfId="0" applyFont="1" applyFill="1" applyBorder="1" applyAlignment="1">
      <alignment horizontal="center" vertical="center" wrapText="1"/>
    </xf>
    <xf numFmtId="0" fontId="74" fillId="12" borderId="12" xfId="0" applyFont="1" applyFill="1" applyBorder="1" applyAlignment="1">
      <alignment horizontal="center" vertical="center" wrapText="1"/>
    </xf>
    <xf numFmtId="0" fontId="74" fillId="12" borderId="1" xfId="0" applyFont="1" applyFill="1" applyBorder="1" applyAlignment="1">
      <alignment horizontal="left" vertical="center" wrapText="1"/>
    </xf>
    <xf numFmtId="0" fontId="74" fillId="12" borderId="6" xfId="0" applyFont="1" applyFill="1" applyBorder="1" applyAlignment="1">
      <alignment horizontal="left" vertical="center" wrapText="1"/>
    </xf>
    <xf numFmtId="0" fontId="74" fillId="12" borderId="14" xfId="0" applyFont="1" applyFill="1" applyBorder="1" applyAlignment="1">
      <alignment horizontal="center" vertical="center" wrapText="1"/>
    </xf>
    <xf numFmtId="0" fontId="74" fillId="12" borderId="13" xfId="0" applyFont="1" applyFill="1" applyBorder="1" applyAlignment="1">
      <alignment horizontal="center" vertical="center" wrapText="1"/>
    </xf>
  </cellXfs>
  <cellStyles count="3">
    <cellStyle name="Comma" xfId="2" builtinId="3"/>
    <cellStyle name="Currency" xfId="1" builtinId="4"/>
    <cellStyle name="Normal" xfId="0" builtinId="0"/>
  </cellStyles>
  <dxfs count="1">
    <dxf>
      <font>
        <color rgb="FFC00000"/>
      </font>
    </dxf>
  </dxfs>
  <tableStyles count="0" defaultTableStyle="TableStyleMedium2"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openxmlformats.org/officeDocument/2006/relationships/customXml" Target="../customXml/item4.xml"/></Relationships>
</file>

<file path=xl/ctrlProps/ctrlProp1.xml><?xml version="1.0" encoding="utf-8"?>
<formControlPr xmlns="http://schemas.microsoft.com/office/spreadsheetml/2009/9/main" objectType="Drop" dropLines="3" dropStyle="combo" dx="16" fmlaLink="$L$1" fmlaRange="$M$1:$M$3" noThreeD="1" sel="3" val="0"/>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Drop" dropLines="7" dropStyle="combo" dx="22" fmlaLink="$L$5" fmlaRange="$M$5:$M$11" noThreeD="1" sel="2" val="0"/>
</file>

<file path=xl/ctrlProps/ctrlProp4.xml><?xml version="1.0" encoding="utf-8"?>
<formControlPr xmlns="http://schemas.microsoft.com/office/spreadsheetml/2009/9/main" objectType="Drop" dropLines="3" dropStyle="combo" dx="22" fmlaLink="$L$15" fmlaRange="$M$15:$M$17" noThreeD="1" sel="2" val="0"/>
</file>

<file path=xl/ctrlProps/ctrlProp5.xml><?xml version="1.0" encoding="utf-8"?>
<formControlPr xmlns="http://schemas.microsoft.com/office/spreadsheetml/2009/9/main" objectType="Drop" dropLines="3" dropStyle="combo" dx="22" fmlaLink="$L$19" fmlaRange="$M$19:$M$21" noThreeD="1" sel="2" val="0"/>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967740</xdr:colOff>
          <xdr:row>1</xdr:row>
          <xdr:rowOff>91440</xdr:rowOff>
        </xdr:from>
        <xdr:to>
          <xdr:col>3</xdr:col>
          <xdr:colOff>1714500</xdr:colOff>
          <xdr:row>2</xdr:row>
          <xdr:rowOff>106680</xdr:rowOff>
        </xdr:to>
        <xdr:sp macro="" textlink="">
          <xdr:nvSpPr>
            <xdr:cNvPr id="3073" name="Drop Down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259080</xdr:colOff>
          <xdr:row>1</xdr:row>
          <xdr:rowOff>259080</xdr:rowOff>
        </xdr:from>
        <xdr:to>
          <xdr:col>7</xdr:col>
          <xdr:colOff>304800</xdr:colOff>
          <xdr:row>3</xdr:row>
          <xdr:rowOff>15240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100-0000030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ea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937260</xdr:colOff>
          <xdr:row>5</xdr:row>
          <xdr:rowOff>106680</xdr:rowOff>
        </xdr:from>
        <xdr:to>
          <xdr:col>3</xdr:col>
          <xdr:colOff>106680</xdr:colOff>
          <xdr:row>5</xdr:row>
          <xdr:rowOff>441960</xdr:rowOff>
        </xdr:to>
        <xdr:sp macro="" textlink="">
          <xdr:nvSpPr>
            <xdr:cNvPr id="3078" name="Drop Down 6" hidden="1">
              <a:extLst>
                <a:ext uri="{63B3BB69-23CF-44E3-9099-C40C66FF867C}">
                  <a14:compatExt spid="_x0000_s3078"/>
                </a:ext>
                <a:ext uri="{FF2B5EF4-FFF2-40B4-BE49-F238E27FC236}">
                  <a16:creationId xmlns:a16="http://schemas.microsoft.com/office/drawing/2014/main" id="{00000000-0008-0000-0100-000006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906780</xdr:colOff>
          <xdr:row>6</xdr:row>
          <xdr:rowOff>190500</xdr:rowOff>
        </xdr:from>
        <xdr:to>
          <xdr:col>3</xdr:col>
          <xdr:colOff>137160</xdr:colOff>
          <xdr:row>7</xdr:row>
          <xdr:rowOff>53340</xdr:rowOff>
        </xdr:to>
        <xdr:sp macro="" textlink="">
          <xdr:nvSpPr>
            <xdr:cNvPr id="3079" name="Drop Down 7" hidden="1">
              <a:extLst>
                <a:ext uri="{63B3BB69-23CF-44E3-9099-C40C66FF867C}">
                  <a14:compatExt spid="_x0000_s3079"/>
                </a:ext>
                <a:ext uri="{FF2B5EF4-FFF2-40B4-BE49-F238E27FC236}">
                  <a16:creationId xmlns:a16="http://schemas.microsoft.com/office/drawing/2014/main" id="{00000000-0008-0000-0100-000007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937260</xdr:colOff>
          <xdr:row>3</xdr:row>
          <xdr:rowOff>266700</xdr:rowOff>
        </xdr:from>
        <xdr:to>
          <xdr:col>3</xdr:col>
          <xdr:colOff>99060</xdr:colOff>
          <xdr:row>4</xdr:row>
          <xdr:rowOff>266700</xdr:rowOff>
        </xdr:to>
        <xdr:sp macro="" textlink="">
          <xdr:nvSpPr>
            <xdr:cNvPr id="3080" name="Drop Down 8" hidden="1">
              <a:extLst>
                <a:ext uri="{63B3BB69-23CF-44E3-9099-C40C66FF867C}">
                  <a14:compatExt spid="_x0000_s3080"/>
                </a:ext>
                <a:ext uri="{FF2B5EF4-FFF2-40B4-BE49-F238E27FC236}">
                  <a16:creationId xmlns:a16="http://schemas.microsoft.com/office/drawing/2014/main" id="{00000000-0008-0000-0100-000008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O21"/>
  <sheetViews>
    <sheetView showGridLines="0" tabSelected="1" zoomScale="110" zoomScaleNormal="110" workbookViewId="0">
      <selection activeCell="A7" sqref="A7:O7"/>
    </sheetView>
  </sheetViews>
  <sheetFormatPr defaultRowHeight="14.4" x14ac:dyDescent="0.3"/>
  <cols>
    <col min="3" max="3" width="3.6640625" customWidth="1"/>
    <col min="4" max="4" width="22.44140625" customWidth="1"/>
    <col min="5" max="5" width="37.88671875" customWidth="1"/>
    <col min="13" max="13" width="34.88671875" customWidth="1"/>
  </cols>
  <sheetData>
    <row r="1" spans="1:15" ht="23.4" x14ac:dyDescent="0.45">
      <c r="A1" s="330" t="s">
        <v>0</v>
      </c>
      <c r="B1" s="331"/>
      <c r="C1" s="331"/>
      <c r="D1" s="331"/>
      <c r="E1" s="331"/>
      <c r="F1" s="331"/>
      <c r="G1" s="331"/>
      <c r="H1" s="331"/>
      <c r="I1" s="331"/>
      <c r="J1" s="331"/>
      <c r="K1" s="331"/>
      <c r="L1" s="331"/>
      <c r="M1" s="331"/>
      <c r="N1" s="331"/>
      <c r="O1" s="332"/>
    </row>
    <row r="2" spans="1:15" ht="23.4" x14ac:dyDescent="0.45">
      <c r="A2" s="333" t="s">
        <v>1</v>
      </c>
      <c r="B2" s="334"/>
      <c r="C2" s="334"/>
      <c r="D2" s="334"/>
      <c r="E2" s="334"/>
      <c r="F2" s="334"/>
      <c r="G2" s="334"/>
      <c r="H2" s="334"/>
      <c r="I2" s="334"/>
      <c r="J2" s="334"/>
      <c r="K2" s="334"/>
      <c r="L2" s="334"/>
      <c r="M2" s="334"/>
      <c r="N2" s="334"/>
      <c r="O2" s="335"/>
    </row>
    <row r="3" spans="1:15" ht="15.6" x14ac:dyDescent="0.3">
      <c r="A3" s="336" t="s">
        <v>2</v>
      </c>
      <c r="B3" s="337"/>
      <c r="C3" s="337"/>
      <c r="D3" s="337"/>
      <c r="E3" s="337"/>
      <c r="F3" s="337"/>
      <c r="G3" s="337"/>
      <c r="H3" s="337"/>
      <c r="I3" s="337"/>
      <c r="J3" s="337"/>
      <c r="K3" s="337"/>
      <c r="L3" s="337"/>
      <c r="M3" s="337"/>
      <c r="N3" s="337"/>
      <c r="O3" s="338"/>
    </row>
    <row r="4" spans="1:15" ht="15.6" x14ac:dyDescent="0.3">
      <c r="A4" s="339" t="s">
        <v>3</v>
      </c>
      <c r="B4" s="340"/>
      <c r="C4" s="340"/>
      <c r="D4" s="340"/>
      <c r="E4" s="340"/>
      <c r="F4" s="340"/>
      <c r="G4" s="340"/>
      <c r="H4" s="340"/>
      <c r="I4" s="340"/>
      <c r="J4" s="340"/>
      <c r="K4" s="340"/>
      <c r="L4" s="340"/>
      <c r="M4" s="340"/>
      <c r="N4" s="340"/>
      <c r="O4" s="341"/>
    </row>
    <row r="5" spans="1:15" ht="15.6" x14ac:dyDescent="0.3">
      <c r="A5" s="322" t="s">
        <v>4</v>
      </c>
      <c r="B5" s="323"/>
      <c r="C5" s="323"/>
      <c r="D5" s="323"/>
      <c r="E5" s="323"/>
      <c r="F5" s="323"/>
      <c r="G5" s="323"/>
      <c r="H5" s="323"/>
      <c r="I5" s="323"/>
      <c r="J5" s="323"/>
      <c r="K5" s="323"/>
      <c r="L5" s="323"/>
      <c r="M5" s="323"/>
      <c r="N5" s="323"/>
      <c r="O5" s="324"/>
    </row>
    <row r="6" spans="1:15" ht="15.6" x14ac:dyDescent="0.3">
      <c r="A6" s="322" t="s">
        <v>5</v>
      </c>
      <c r="B6" s="323"/>
      <c r="C6" s="323"/>
      <c r="D6" s="323"/>
      <c r="E6" s="323"/>
      <c r="F6" s="323"/>
      <c r="G6" s="323"/>
      <c r="H6" s="323"/>
      <c r="I6" s="323"/>
      <c r="J6" s="323"/>
      <c r="K6" s="323"/>
      <c r="L6" s="323"/>
      <c r="M6" s="323"/>
      <c r="N6" s="323"/>
      <c r="O6" s="324"/>
    </row>
    <row r="7" spans="1:15" ht="15.6" x14ac:dyDescent="0.3">
      <c r="A7" s="325" t="s">
        <v>6</v>
      </c>
      <c r="B7" s="326"/>
      <c r="C7" s="326"/>
      <c r="D7" s="326"/>
      <c r="E7" s="326"/>
      <c r="F7" s="326"/>
      <c r="G7" s="326"/>
      <c r="H7" s="326"/>
      <c r="I7" s="326"/>
      <c r="J7" s="326"/>
      <c r="K7" s="326"/>
      <c r="L7" s="326"/>
      <c r="M7" s="326"/>
      <c r="N7" s="326"/>
      <c r="O7" s="327"/>
    </row>
    <row r="9" spans="1:15" ht="104.25" customHeight="1" x14ac:dyDescent="0.3">
      <c r="A9" s="4"/>
      <c r="B9" s="328" t="s">
        <v>7</v>
      </c>
      <c r="C9" s="328"/>
      <c r="D9" s="328"/>
      <c r="E9" s="328"/>
      <c r="F9" s="328"/>
      <c r="G9" s="328"/>
      <c r="H9" s="328"/>
      <c r="I9" s="328"/>
      <c r="J9" s="328"/>
      <c r="K9" s="328"/>
      <c r="L9" s="328"/>
      <c r="M9" s="328"/>
      <c r="N9" s="328"/>
      <c r="O9" s="5"/>
    </row>
    <row r="10" spans="1:15" ht="15.6" x14ac:dyDescent="0.3">
      <c r="A10" s="4"/>
      <c r="B10" s="4"/>
      <c r="C10" s="4"/>
      <c r="D10" s="4"/>
      <c r="E10" s="4"/>
      <c r="F10" s="4"/>
      <c r="G10" s="4"/>
      <c r="H10" s="4"/>
      <c r="I10" s="4"/>
      <c r="J10" s="4"/>
      <c r="K10" s="4"/>
      <c r="L10" s="4"/>
      <c r="M10" s="4"/>
      <c r="N10" s="4"/>
      <c r="O10" s="4"/>
    </row>
    <row r="11" spans="1:15" ht="86.25" customHeight="1" x14ac:dyDescent="0.3">
      <c r="A11" s="4"/>
      <c r="B11" s="329" t="s">
        <v>8</v>
      </c>
      <c r="C11" s="329"/>
      <c r="D11" s="329"/>
      <c r="E11" s="329"/>
      <c r="F11" s="329"/>
      <c r="G11" s="329"/>
      <c r="H11" s="329"/>
      <c r="I11" s="329"/>
      <c r="J11" s="329"/>
      <c r="K11" s="329"/>
      <c r="L11" s="329"/>
      <c r="M11" s="329"/>
      <c r="N11" s="329"/>
      <c r="O11" s="4"/>
    </row>
    <row r="12" spans="1:15" ht="15.6" x14ac:dyDescent="0.3">
      <c r="A12" s="4"/>
      <c r="B12" s="318"/>
      <c r="C12" s="318"/>
      <c r="D12" s="318"/>
      <c r="E12" s="318"/>
      <c r="F12" s="318"/>
      <c r="G12" s="318"/>
      <c r="H12" s="318"/>
      <c r="I12" s="318"/>
      <c r="J12" s="318"/>
      <c r="K12" s="318"/>
      <c r="L12" s="318"/>
      <c r="M12" s="318"/>
      <c r="N12" s="318"/>
      <c r="O12" s="4"/>
    </row>
    <row r="13" spans="1:15" ht="51" customHeight="1" x14ac:dyDescent="0.3">
      <c r="A13" s="4"/>
      <c r="B13" s="329" t="s">
        <v>9</v>
      </c>
      <c r="C13" s="329"/>
      <c r="D13" s="329"/>
      <c r="E13" s="329"/>
      <c r="F13" s="329"/>
      <c r="G13" s="329"/>
      <c r="H13" s="329"/>
      <c r="I13" s="329"/>
      <c r="J13" s="329"/>
      <c r="K13" s="329"/>
      <c r="L13" s="329"/>
      <c r="M13" s="329"/>
      <c r="N13" s="329"/>
      <c r="O13" s="4"/>
    </row>
    <row r="14" spans="1:15" ht="15.6" x14ac:dyDescent="0.3">
      <c r="A14" s="4"/>
      <c r="B14" s="6"/>
      <c r="C14" s="6"/>
      <c r="D14" s="6"/>
      <c r="E14" s="6"/>
      <c r="F14" s="6"/>
      <c r="G14" s="6"/>
      <c r="H14" s="6"/>
      <c r="I14" s="6"/>
      <c r="J14" s="6"/>
      <c r="K14" s="6"/>
      <c r="L14" s="6"/>
      <c r="M14" s="6"/>
      <c r="N14" s="6"/>
      <c r="O14" s="4"/>
    </row>
    <row r="15" spans="1:15" ht="23.25" customHeight="1" x14ac:dyDescent="0.3">
      <c r="A15" s="4"/>
      <c r="B15" s="348" t="s">
        <v>10</v>
      </c>
      <c r="C15" s="348"/>
      <c r="D15" s="348"/>
      <c r="E15" s="348"/>
      <c r="F15" s="348"/>
      <c r="G15" s="348"/>
      <c r="H15" s="348"/>
      <c r="I15" s="348"/>
      <c r="J15" s="348"/>
      <c r="K15" s="348"/>
      <c r="L15" s="348"/>
      <c r="M15" s="348"/>
      <c r="N15" s="348"/>
      <c r="O15" s="4"/>
    </row>
    <row r="16" spans="1:15" ht="36" customHeight="1" x14ac:dyDescent="0.3">
      <c r="B16" s="349" t="s">
        <v>11</v>
      </c>
      <c r="C16" s="343"/>
      <c r="D16" s="343"/>
      <c r="E16" s="343"/>
      <c r="F16" s="343"/>
      <c r="G16" s="343"/>
      <c r="H16" s="343"/>
      <c r="I16" s="343"/>
      <c r="J16" s="343"/>
      <c r="K16" s="343"/>
      <c r="L16" s="343"/>
      <c r="M16" s="343"/>
      <c r="N16" s="344"/>
    </row>
    <row r="17" spans="1:15" ht="33" customHeight="1" x14ac:dyDescent="0.3">
      <c r="B17" s="349" t="s">
        <v>12</v>
      </c>
      <c r="C17" s="343"/>
      <c r="D17" s="343"/>
      <c r="E17" s="343"/>
      <c r="F17" s="343"/>
      <c r="G17" s="343"/>
      <c r="H17" s="343"/>
      <c r="I17" s="343"/>
      <c r="J17" s="343"/>
      <c r="K17" s="343"/>
      <c r="L17" s="343"/>
      <c r="M17" s="343"/>
      <c r="N17" s="344"/>
    </row>
    <row r="18" spans="1:15" ht="69" customHeight="1" x14ac:dyDescent="0.3">
      <c r="B18" s="342" t="s">
        <v>13</v>
      </c>
      <c r="C18" s="343"/>
      <c r="D18" s="343"/>
      <c r="E18" s="343"/>
      <c r="F18" s="343"/>
      <c r="G18" s="343"/>
      <c r="H18" s="343"/>
      <c r="I18" s="343"/>
      <c r="J18" s="343"/>
      <c r="K18" s="343"/>
      <c r="L18" s="343"/>
      <c r="M18" s="343"/>
      <c r="N18" s="344"/>
    </row>
    <row r="19" spans="1:15" ht="49.5" customHeight="1" x14ac:dyDescent="0.3">
      <c r="A19" s="7"/>
      <c r="B19" s="345" t="s">
        <v>14</v>
      </c>
      <c r="C19" s="346"/>
      <c r="D19" s="346"/>
      <c r="E19" s="346"/>
      <c r="F19" s="346"/>
      <c r="G19" s="346"/>
      <c r="H19" s="346"/>
      <c r="I19" s="346"/>
      <c r="J19" s="346"/>
      <c r="K19" s="346"/>
      <c r="L19" s="346"/>
      <c r="M19" s="346"/>
      <c r="N19" s="347"/>
      <c r="O19" s="7"/>
    </row>
    <row r="20" spans="1:15" ht="15.6" x14ac:dyDescent="0.3">
      <c r="B20" s="8"/>
      <c r="C20" s="8"/>
      <c r="D20" s="8"/>
      <c r="E20" s="8"/>
      <c r="F20" s="8"/>
      <c r="G20" s="8"/>
      <c r="H20" s="8"/>
      <c r="I20" s="8"/>
      <c r="J20" s="8"/>
      <c r="K20" s="8"/>
      <c r="L20" s="8"/>
      <c r="M20" s="8"/>
      <c r="N20" s="8"/>
    </row>
    <row r="21" spans="1:15" ht="15.6" x14ac:dyDescent="0.3">
      <c r="C21" s="8"/>
      <c r="D21" s="8"/>
      <c r="E21" s="8"/>
      <c r="F21" s="8"/>
      <c r="G21" s="8"/>
      <c r="H21" s="8"/>
      <c r="I21" s="8"/>
      <c r="J21" s="8"/>
      <c r="K21" s="8"/>
      <c r="L21" s="8"/>
      <c r="M21" s="8"/>
      <c r="N21" s="8"/>
    </row>
  </sheetData>
  <mergeCells count="15">
    <mergeCell ref="B18:N18"/>
    <mergeCell ref="B19:N19"/>
    <mergeCell ref="B15:N15"/>
    <mergeCell ref="B16:N16"/>
    <mergeCell ref="B17:N17"/>
    <mergeCell ref="A1:O1"/>
    <mergeCell ref="A2:O2"/>
    <mergeCell ref="A3:O3"/>
    <mergeCell ref="A4:O4"/>
    <mergeCell ref="A5:O5"/>
    <mergeCell ref="A6:O6"/>
    <mergeCell ref="A7:O7"/>
    <mergeCell ref="B9:N9"/>
    <mergeCell ref="B11:N11"/>
    <mergeCell ref="B13:N13"/>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R70"/>
  <sheetViews>
    <sheetView topLeftCell="A11" zoomScaleNormal="100" workbookViewId="0">
      <selection activeCell="B12" sqref="B12"/>
    </sheetView>
  </sheetViews>
  <sheetFormatPr defaultColWidth="9.109375" defaultRowHeight="14.4" x14ac:dyDescent="0.3"/>
  <cols>
    <col min="1" max="1" width="72.109375" style="20" customWidth="1"/>
    <col min="2" max="2" width="27.5546875" style="20" customWidth="1"/>
    <col min="3" max="3" width="40.6640625" style="20" customWidth="1"/>
    <col min="4" max="4" width="27.109375" style="20" customWidth="1"/>
    <col min="5" max="5" width="15.88671875" style="20" customWidth="1"/>
    <col min="6" max="6" width="17" style="20" customWidth="1"/>
    <col min="7" max="7" width="15.109375" style="20" customWidth="1"/>
    <col min="8" max="8" width="14.33203125" style="20" customWidth="1"/>
    <col min="9" max="9" width="9.109375" style="20"/>
    <col min="10" max="10" width="52.5546875" style="20" customWidth="1"/>
    <col min="11" max="11" width="9.109375" style="20"/>
    <col min="12" max="12" width="15.33203125" style="20" customWidth="1"/>
    <col min="13" max="13" width="16" style="20" customWidth="1"/>
    <col min="14" max="18" width="9.109375" style="20" customWidth="1"/>
    <col min="19" max="16384" width="9.109375" style="20"/>
  </cols>
  <sheetData>
    <row r="1" spans="1:18" ht="23.4" x14ac:dyDescent="0.45">
      <c r="A1" s="69"/>
      <c r="B1" s="69"/>
      <c r="C1" s="69" t="s">
        <v>15</v>
      </c>
      <c r="D1" s="69"/>
      <c r="E1" s="69"/>
      <c r="F1" s="69"/>
      <c r="G1" s="69"/>
      <c r="H1" s="69"/>
      <c r="I1" s="69"/>
      <c r="J1" s="133"/>
      <c r="K1" s="21"/>
      <c r="L1" s="28">
        <v>3</v>
      </c>
      <c r="M1" s="28" t="s">
        <v>16</v>
      </c>
      <c r="N1" s="28"/>
      <c r="R1" s="20" t="str">
        <f>IF(L1=1,M1,(IF(L1=2,M2,M3)))</f>
        <v>Fixed-Bed Carbon Adsorber with Steam Regeneration</v>
      </c>
    </row>
    <row r="2" spans="1:18" ht="23.4" x14ac:dyDescent="0.45">
      <c r="A2" s="57" t="s">
        <v>17</v>
      </c>
      <c r="B2" s="27"/>
      <c r="C2" s="27"/>
      <c r="D2" s="27"/>
      <c r="E2" s="27"/>
      <c r="F2" s="27"/>
      <c r="G2" s="27"/>
      <c r="H2" s="27"/>
      <c r="I2" s="27"/>
      <c r="J2" s="134"/>
      <c r="K2" s="21"/>
      <c r="L2" s="28"/>
      <c r="M2" s="28" t="s">
        <v>18</v>
      </c>
      <c r="N2" s="28"/>
    </row>
    <row r="3" spans="1:18" ht="23.4" x14ac:dyDescent="0.45">
      <c r="A3" s="66"/>
      <c r="B3" s="67"/>
      <c r="C3" s="66"/>
      <c r="D3" s="27"/>
      <c r="E3" s="27"/>
      <c r="F3" s="27"/>
      <c r="G3" s="27"/>
      <c r="H3" s="27"/>
      <c r="I3" s="27"/>
      <c r="J3" s="134"/>
      <c r="K3" s="21"/>
      <c r="L3" s="28"/>
      <c r="M3" s="28" t="s">
        <v>19</v>
      </c>
      <c r="N3" s="28"/>
    </row>
    <row r="4" spans="1:18" ht="23.4" x14ac:dyDescent="0.45">
      <c r="A4" s="272" t="s">
        <v>20</v>
      </c>
      <c r="B4" s="67"/>
      <c r="C4" s="66"/>
      <c r="D4" s="27"/>
      <c r="E4" s="27"/>
      <c r="F4" s="27"/>
      <c r="G4" s="27"/>
      <c r="H4" s="27"/>
      <c r="I4" s="27"/>
      <c r="J4" s="134"/>
      <c r="K4" s="21"/>
      <c r="L4" s="28"/>
      <c r="M4" s="28"/>
      <c r="N4" s="28"/>
      <c r="O4" s="229" t="s">
        <v>21</v>
      </c>
      <c r="P4" s="229" t="s">
        <v>22</v>
      </c>
    </row>
    <row r="5" spans="1:18" ht="23.4" x14ac:dyDescent="0.45">
      <c r="A5" s="66" t="s">
        <v>23</v>
      </c>
      <c r="B5" s="67"/>
      <c r="C5" s="66"/>
      <c r="D5" s="27"/>
      <c r="E5" s="27"/>
      <c r="F5" s="27"/>
      <c r="G5" s="27"/>
      <c r="H5" s="27"/>
      <c r="I5" s="27"/>
      <c r="J5" s="134"/>
      <c r="K5" s="21"/>
      <c r="L5" s="28">
        <v>2</v>
      </c>
      <c r="M5" s="28" t="s">
        <v>24</v>
      </c>
      <c r="N5" s="30"/>
      <c r="O5" s="222">
        <v>1</v>
      </c>
      <c r="P5" s="230">
        <v>0</v>
      </c>
      <c r="Q5" s="20">
        <f>IF($L$5=1, 0,  0)</f>
        <v>0</v>
      </c>
      <c r="R5" s="20" t="str">
        <f>IF($L$5=1, "Not Applicable"," ")</f>
        <v xml:space="preserve"> </v>
      </c>
    </row>
    <row r="6" spans="1:18" ht="36.75" customHeight="1" x14ac:dyDescent="0.45">
      <c r="A6" s="57" t="s">
        <v>25</v>
      </c>
      <c r="B6" s="67"/>
      <c r="C6" s="66"/>
      <c r="D6" s="27"/>
      <c r="E6" s="27"/>
      <c r="F6" s="27"/>
      <c r="G6" s="27"/>
      <c r="H6" s="27"/>
      <c r="I6" s="27"/>
      <c r="J6" s="134"/>
      <c r="K6" s="21"/>
      <c r="L6" s="28"/>
      <c r="M6" s="221" t="s">
        <v>26</v>
      </c>
      <c r="N6" s="221"/>
      <c r="O6" s="224">
        <v>2</v>
      </c>
      <c r="P6" s="228">
        <v>1</v>
      </c>
      <c r="Q6" s="20">
        <f>IF($L$5=2, 1,  0)</f>
        <v>1</v>
      </c>
      <c r="R6" s="20" t="str">
        <f>IF($L$5=2, "(* Stainless Steel, 304)", " ")</f>
        <v>(* Stainless Steel, 304)</v>
      </c>
    </row>
    <row r="7" spans="1:18" ht="35.25" customHeight="1" x14ac:dyDescent="0.45">
      <c r="A7" s="57" t="s">
        <v>27</v>
      </c>
      <c r="B7" s="67"/>
      <c r="C7" s="66"/>
      <c r="D7" s="27"/>
      <c r="E7" s="27"/>
      <c r="F7" s="27"/>
      <c r="G7" s="27"/>
      <c r="H7" s="27"/>
      <c r="I7" s="27"/>
      <c r="J7" s="134"/>
      <c r="K7" s="21"/>
      <c r="L7" s="28"/>
      <c r="M7" s="221" t="s">
        <v>28</v>
      </c>
      <c r="N7" s="221"/>
      <c r="O7" s="225">
        <v>3</v>
      </c>
      <c r="P7" s="226">
        <v>1.3</v>
      </c>
      <c r="Q7" s="20">
        <f>IF($L$5=3, 1.3,  0)</f>
        <v>0</v>
      </c>
      <c r="R7" s="20" t="str">
        <f>IF($L$5=3, "(* Stainless Steel, 316)", " ")</f>
        <v xml:space="preserve"> </v>
      </c>
    </row>
    <row r="8" spans="1:18" ht="23.4" x14ac:dyDescent="0.45">
      <c r="A8" s="27"/>
      <c r="B8" s="27"/>
      <c r="C8" s="27"/>
      <c r="D8" s="27"/>
      <c r="E8" s="27"/>
      <c r="F8" s="27"/>
      <c r="G8" s="27"/>
      <c r="H8" s="27"/>
      <c r="I8" s="27"/>
      <c r="J8" s="134"/>
      <c r="K8" s="21"/>
      <c r="L8" s="21"/>
      <c r="M8" s="221" t="s">
        <v>29</v>
      </c>
      <c r="N8" s="221"/>
      <c r="O8" s="225">
        <v>4</v>
      </c>
      <c r="P8" s="226">
        <v>1.9</v>
      </c>
      <c r="Q8" s="20">
        <f>IF($L$5=4, 1.9,  0)</f>
        <v>0</v>
      </c>
      <c r="R8" s="20" t="str">
        <f>IF($L$5=4, "(* Carpenter 20 CB-3)", " ")</f>
        <v xml:space="preserve"> </v>
      </c>
    </row>
    <row r="9" spans="1:18" ht="18" x14ac:dyDescent="0.35">
      <c r="A9" s="70" t="str">
        <f>"Enter the design data for the proposed "&amp;R1</f>
        <v>Enter the design data for the proposed Fixed-Bed Carbon Adsorber with Steam Regeneration</v>
      </c>
      <c r="B9" s="70"/>
      <c r="C9" s="70"/>
      <c r="D9" s="70"/>
      <c r="E9" s="70"/>
      <c r="F9" s="70"/>
      <c r="G9" s="70"/>
      <c r="H9" s="70"/>
      <c r="I9" s="70"/>
      <c r="J9" s="70"/>
      <c r="M9" s="221" t="s">
        <v>30</v>
      </c>
      <c r="N9" s="221"/>
      <c r="O9" s="225">
        <v>5</v>
      </c>
      <c r="P9" s="226">
        <v>2.2999999999999998</v>
      </c>
      <c r="Q9" s="20">
        <f>IF($L$5=5, 2.3,  0)</f>
        <v>0</v>
      </c>
      <c r="R9" s="20" t="str">
        <f>IF($L$5=5, "(* Monel-400)", " ")</f>
        <v xml:space="preserve"> </v>
      </c>
    </row>
    <row r="10" spans="1:18" ht="18" x14ac:dyDescent="0.35">
      <c r="A10" s="26"/>
      <c r="B10" s="39"/>
      <c r="C10" s="258"/>
      <c r="D10" s="39"/>
      <c r="E10" s="39"/>
      <c r="F10" s="39"/>
      <c r="G10" s="39"/>
      <c r="H10" s="39"/>
      <c r="I10" s="39"/>
      <c r="J10" s="39"/>
      <c r="M10" s="223" t="s">
        <v>31</v>
      </c>
      <c r="N10" s="223"/>
      <c r="O10" s="225">
        <v>6</v>
      </c>
      <c r="P10" s="226">
        <v>3.2</v>
      </c>
      <c r="Q10" s="20">
        <f>IF($L$5=6,3.2,  0)</f>
        <v>0</v>
      </c>
      <c r="R10" s="20" t="str">
        <f>IF($L$5=6, "(* Nickel-200)", " ")</f>
        <v xml:space="preserve"> </v>
      </c>
    </row>
    <row r="11" spans="1:18" s="23" customFormat="1" ht="20.25" customHeight="1" x14ac:dyDescent="0.4">
      <c r="A11" s="32" t="s">
        <v>32</v>
      </c>
      <c r="B11" s="252">
        <v>1020</v>
      </c>
      <c r="C11" s="51" t="s">
        <v>33</v>
      </c>
      <c r="D11" s="259"/>
      <c r="E11" s="46"/>
      <c r="F11" s="260"/>
      <c r="G11" s="136"/>
      <c r="H11" s="136"/>
      <c r="I11" s="136"/>
      <c r="J11" s="137"/>
      <c r="K11" s="22"/>
      <c r="L11" s="22"/>
      <c r="M11" s="223" t="s">
        <v>34</v>
      </c>
      <c r="N11" s="223"/>
      <c r="O11" s="225">
        <v>7</v>
      </c>
      <c r="P11" s="226">
        <v>4.5</v>
      </c>
      <c r="Q11" s="20">
        <f>IF($L$5=7,4.5,  0)</f>
        <v>0</v>
      </c>
      <c r="R11" s="20" t="str">
        <f>IF($L$5=7, "(* Titanium)", " ")</f>
        <v xml:space="preserve"> </v>
      </c>
    </row>
    <row r="12" spans="1:18" ht="20.25" customHeight="1" x14ac:dyDescent="0.3">
      <c r="A12" s="32" t="s">
        <v>35</v>
      </c>
      <c r="B12" s="169">
        <v>10000</v>
      </c>
      <c r="C12" s="40" t="s">
        <v>36</v>
      </c>
      <c r="D12" s="139" t="s">
        <v>37</v>
      </c>
      <c r="E12" s="39"/>
      <c r="F12" s="39"/>
      <c r="G12" s="39"/>
      <c r="H12" s="39"/>
      <c r="I12" s="39"/>
      <c r="J12" s="138"/>
      <c r="K12" s="12"/>
      <c r="L12" s="12"/>
      <c r="M12" s="12"/>
      <c r="N12" s="12"/>
    </row>
    <row r="13" spans="1:18" ht="20.25" customHeight="1" x14ac:dyDescent="0.4">
      <c r="A13" s="32" t="s">
        <v>38</v>
      </c>
      <c r="B13" s="237">
        <f>630.079</f>
        <v>630.07899999999995</v>
      </c>
      <c r="C13" s="51" t="s">
        <v>39</v>
      </c>
      <c r="D13" s="139"/>
      <c r="E13" s="39"/>
      <c r="F13" s="39"/>
      <c r="G13" s="39"/>
      <c r="H13" s="39"/>
      <c r="I13" s="39"/>
      <c r="J13" s="138"/>
      <c r="K13" s="12"/>
      <c r="L13" s="12"/>
      <c r="M13" s="12" t="s">
        <v>40</v>
      </c>
      <c r="N13" s="12"/>
      <c r="P13" s="230">
        <f>SUM(Q5:Q11)</f>
        <v>1</v>
      </c>
    </row>
    <row r="14" spans="1:18" s="23" customFormat="1" ht="20.25" customHeight="1" x14ac:dyDescent="0.35">
      <c r="A14" s="19"/>
      <c r="B14" s="19"/>
      <c r="C14" s="19"/>
      <c r="D14" s="139"/>
      <c r="E14" s="26"/>
      <c r="F14" s="26"/>
      <c r="G14" s="26"/>
      <c r="H14" s="26"/>
      <c r="I14" s="26"/>
      <c r="J14" s="26"/>
      <c r="M14" s="11"/>
      <c r="N14" s="11"/>
      <c r="P14" s="308" t="str">
        <f>R5&amp;R6&amp;R7&amp;R8&amp;R9&amp;R10&amp;R11</f>
        <v xml:space="preserve"> (* Stainless Steel, 304)     </v>
      </c>
    </row>
    <row r="15" spans="1:18" s="23" customFormat="1" ht="20.25" customHeight="1" x14ac:dyDescent="0.35">
      <c r="A15" s="32" t="s">
        <v>41</v>
      </c>
      <c r="B15" s="170">
        <v>97</v>
      </c>
      <c r="C15" s="51" t="str">
        <f>"percent"&amp;(IF(B15=98, "*",""))</f>
        <v>percent</v>
      </c>
      <c r="D15" s="139" t="str">
        <f>IF(B15=98,"* 98 percent is a default control efficiency. User should enter actual value, if known."," ")</f>
        <v xml:space="preserve"> </v>
      </c>
      <c r="E15" s="26"/>
      <c r="F15" s="26"/>
      <c r="G15" s="26"/>
      <c r="H15" s="26"/>
      <c r="I15" s="26"/>
      <c r="J15" s="26"/>
      <c r="L15" s="23">
        <v>2</v>
      </c>
      <c r="M15" s="11" t="s">
        <v>24</v>
      </c>
      <c r="N15" s="11"/>
      <c r="P15" s="23" t="str">
        <f>IF(L15=1, "Not Applicable", IF(L15=2,"Horizontal", "Vertical"))</f>
        <v>Horizontal</v>
      </c>
    </row>
    <row r="16" spans="1:18" s="23" customFormat="1" ht="18.600000000000001" x14ac:dyDescent="0.4">
      <c r="A16" s="32" t="s">
        <v>42</v>
      </c>
      <c r="B16" s="171">
        <v>75</v>
      </c>
      <c r="C16" s="40" t="s">
        <v>43</v>
      </c>
      <c r="D16" s="139" t="str">
        <f>IF(B16=0.65,"* 0.65 Btu/lb-mole-°F is a default value. User should enter actual value, if known."," ")</f>
        <v xml:space="preserve"> </v>
      </c>
      <c r="E16" s="26"/>
      <c r="F16" s="26"/>
      <c r="G16" s="26"/>
      <c r="H16" s="26"/>
      <c r="I16" s="26"/>
      <c r="J16" s="26"/>
      <c r="M16" s="11" t="s">
        <v>44</v>
      </c>
      <c r="N16" s="11"/>
    </row>
    <row r="17" spans="1:16" s="23" customFormat="1" ht="20.25" customHeight="1" x14ac:dyDescent="0.35">
      <c r="A17" s="146" t="str">
        <f>"Estimated equipment life of"&amp;(IF(L1&gt;1," adsorber vessels and auxiliary Equipment (n)"," auxiliary Equipment (n)"))</f>
        <v>Estimated equipment life of adsorber vessels and auxiliary Equipment (n)</v>
      </c>
      <c r="B17" s="170">
        <v>15</v>
      </c>
      <c r="C17" s="51" t="str">
        <f>"Years"&amp;IF(B17=15,"*","")</f>
        <v>Years*</v>
      </c>
      <c r="D17" s="139" t="str">
        <f>IF(AND(B17=15,L1&gt;1),"* 15 years is a default equipment life. User should enter actual value, if known.",(IF(AND(B17=10,L1=1), "*10 years is a default equipment life. User should enter actual value , if known.")))</f>
        <v>* 15 years is a default equipment life. User should enter actual value, if known.</v>
      </c>
      <c r="E17" s="26"/>
      <c r="F17" s="26"/>
      <c r="G17" s="26"/>
      <c r="H17" s="26"/>
      <c r="I17" s="26"/>
      <c r="J17" s="26"/>
      <c r="M17" s="11" t="s">
        <v>45</v>
      </c>
      <c r="N17" s="11"/>
    </row>
    <row r="18" spans="1:16" s="23" customFormat="1" ht="18" x14ac:dyDescent="0.35">
      <c r="A18" s="32" t="s">
        <v>46</v>
      </c>
      <c r="B18" s="170">
        <v>5</v>
      </c>
      <c r="C18" s="51" t="s">
        <v>47</v>
      </c>
      <c r="D18" s="139"/>
      <c r="E18" s="26"/>
      <c r="F18" s="26"/>
      <c r="G18" s="26"/>
      <c r="H18" s="26"/>
      <c r="I18" s="26"/>
      <c r="J18" s="26"/>
      <c r="M18" s="11"/>
      <c r="N18" s="11"/>
    </row>
    <row r="19" spans="1:16" ht="18" x14ac:dyDescent="0.35">
      <c r="A19" s="39" t="s">
        <v>48</v>
      </c>
      <c r="B19" s="170">
        <v>3</v>
      </c>
      <c r="C19" s="249" t="str">
        <f>IF(B19=3,"Beds*", "Beds")</f>
        <v>Beds*</v>
      </c>
      <c r="D19" s="139" t="str">
        <f>IF(B19=3,"* 3 beds is the default. User should enter actual number of beds, if known."," ")</f>
        <v>* 3 beds is the default. User should enter actual number of beds, if known.</v>
      </c>
      <c r="E19" s="39"/>
      <c r="F19" s="39"/>
      <c r="G19" s="39"/>
      <c r="H19" s="39"/>
      <c r="I19" s="39"/>
      <c r="J19" s="39"/>
      <c r="L19" s="247">
        <v>2</v>
      </c>
      <c r="M19" s="20" t="s">
        <v>24</v>
      </c>
      <c r="P19" s="20" t="str">
        <f>IF(L19=2, "Continuous Operation", (IF(L19=3, "Intermittent Operation", "Not Applicable")))</f>
        <v>Continuous Operation</v>
      </c>
    </row>
    <row r="20" spans="1:16" ht="18" x14ac:dyDescent="0.35">
      <c r="A20" s="39" t="s">
        <v>49</v>
      </c>
      <c r="B20" s="170">
        <v>2</v>
      </c>
      <c r="C20" s="249" t="str">
        <f>IF(B20=2,"Beds*", "Beds")</f>
        <v>Beds*</v>
      </c>
      <c r="D20" s="139" t="str">
        <f>IF(B20=2,"* 2 beds is the default. User should enter actual number of beds, if known."," ")</f>
        <v>* 2 beds is the default. User should enter actual number of beds, if known.</v>
      </c>
      <c r="E20" s="39"/>
      <c r="F20" s="39"/>
      <c r="G20" s="39"/>
      <c r="H20" s="39"/>
      <c r="I20" s="39"/>
      <c r="J20" s="39"/>
      <c r="M20" s="247" t="s">
        <v>50</v>
      </c>
    </row>
    <row r="21" spans="1:16" ht="18.600000000000001" x14ac:dyDescent="0.4">
      <c r="A21" s="32" t="s">
        <v>51</v>
      </c>
      <c r="B21" s="169">
        <v>12</v>
      </c>
      <c r="C21" s="249" t="str">
        <f>IF(B21=12,"hours*", "hours")</f>
        <v>hours*</v>
      </c>
      <c r="D21" s="139" t="str">
        <f>IF(B21=12,"* 12 hours is a default value. User should enter actual value, if known."," ")</f>
        <v>* 12 hours is a default value. User should enter actual value, if known.</v>
      </c>
      <c r="E21" s="39"/>
      <c r="F21" s="39"/>
      <c r="G21" s="39"/>
      <c r="H21" s="39"/>
      <c r="I21" s="39"/>
      <c r="J21" s="39"/>
      <c r="M21" s="247" t="s">
        <v>52</v>
      </c>
    </row>
    <row r="22" spans="1:16" ht="18.600000000000001" x14ac:dyDescent="0.4">
      <c r="A22" s="32" t="s">
        <v>53</v>
      </c>
      <c r="B22" s="251">
        <v>5</v>
      </c>
      <c r="C22" s="249" t="str">
        <f>IF(B22=5,"hours*", "hours")</f>
        <v>hours*</v>
      </c>
      <c r="D22" s="139" t="str">
        <f>IF(B22=5,"* 5 hours is a default value. User should enter actual value, if known."," ")</f>
        <v>* 5 hours is a default value. User should enter actual value, if known.</v>
      </c>
      <c r="E22" s="39"/>
      <c r="F22" s="39"/>
      <c r="G22" s="39"/>
      <c r="H22" s="39"/>
      <c r="I22" s="39"/>
      <c r="J22" s="39"/>
      <c r="M22" s="247"/>
    </row>
    <row r="23" spans="1:16" s="23" customFormat="1" ht="18" x14ac:dyDescent="0.35">
      <c r="A23" s="46" t="s">
        <v>54</v>
      </c>
      <c r="B23" s="248">
        <v>379</v>
      </c>
      <c r="C23" s="40" t="str">
        <f>IF(B23=379,"lbs/hour*","lbs/hour")</f>
        <v>lbs/hour*</v>
      </c>
      <c r="D23" s="139" t="str">
        <f>IF(B23=379,"* 379 lbs./hour is a default value. User should enter actual value, if known."," ")</f>
        <v>* 379 lbs./hour is a default value. User should enter actual value, if known.</v>
      </c>
      <c r="E23" s="26"/>
      <c r="F23" s="26"/>
      <c r="G23" s="26"/>
      <c r="H23" s="26"/>
      <c r="I23" s="26"/>
      <c r="J23" s="26"/>
      <c r="N23" s="11"/>
    </row>
    <row r="24" spans="1:16" s="23" customFormat="1" ht="20.25" hidden="1" customHeight="1" x14ac:dyDescent="0.35">
      <c r="A24" s="32" t="s">
        <v>55</v>
      </c>
      <c r="B24" s="170">
        <v>3000</v>
      </c>
      <c r="C24" s="249" t="str">
        <f>IF(B24=3000,"lbs carbon per canister*", "lbs of carbon per canister")</f>
        <v>lbs carbon per canister*</v>
      </c>
      <c r="D24" s="139" t="str">
        <f>IF(B24=3000,"* 3000 lbs of carbon per canister is a default value. User should enter prefered canister size, if known."," ")</f>
        <v>* 3000 lbs of carbon per canister is a default value. User should enter prefered canister size, if known.</v>
      </c>
      <c r="E24" s="26"/>
      <c r="F24" s="26"/>
      <c r="G24" s="26"/>
      <c r="H24" s="26"/>
      <c r="I24" s="26"/>
      <c r="J24" s="26"/>
      <c r="M24" s="11"/>
      <c r="N24" s="11"/>
    </row>
    <row r="25" spans="1:16" s="135" customFormat="1" ht="18.600000000000001" hidden="1" x14ac:dyDescent="0.4">
      <c r="A25" s="46" t="s">
        <v>56</v>
      </c>
      <c r="B25" s="170">
        <v>4380</v>
      </c>
      <c r="C25" s="275" t="s">
        <v>57</v>
      </c>
      <c r="D25" s="263"/>
      <c r="E25" s="263"/>
      <c r="F25" s="263"/>
      <c r="G25" s="263"/>
      <c r="H25" s="263"/>
      <c r="I25" s="263"/>
      <c r="J25" s="263"/>
      <c r="M25" s="309"/>
      <c r="N25" s="309"/>
    </row>
    <row r="26" spans="1:16" s="23" customFormat="1" ht="20.25" customHeight="1" x14ac:dyDescent="0.35">
      <c r="A26" s="91"/>
      <c r="M26" s="11"/>
      <c r="N26" s="11"/>
    </row>
    <row r="27" spans="1:16" ht="18" x14ac:dyDescent="0.35">
      <c r="A27" s="70" t="s">
        <v>58</v>
      </c>
      <c r="B27" s="70"/>
      <c r="C27" s="70"/>
      <c r="D27" s="70"/>
      <c r="E27" s="70"/>
      <c r="F27" s="70"/>
      <c r="G27" s="70"/>
      <c r="H27" s="70"/>
      <c r="I27" s="70"/>
      <c r="J27" s="70"/>
    </row>
    <row r="29" spans="1:16" ht="28.5" customHeight="1" x14ac:dyDescent="0.3">
      <c r="A29" s="48" t="s">
        <v>59</v>
      </c>
      <c r="B29" s="246" t="s">
        <v>60</v>
      </c>
      <c r="C29" s="46"/>
      <c r="D29" s="32"/>
      <c r="E29" s="39"/>
      <c r="F29" s="33"/>
      <c r="G29" s="33"/>
      <c r="H29" s="33"/>
      <c r="I29" s="33"/>
      <c r="J29" s="33"/>
      <c r="K29" s="141"/>
      <c r="L29" s="141"/>
      <c r="M29" s="141"/>
      <c r="N29" s="141"/>
    </row>
    <row r="30" spans="1:16" s="23" customFormat="1" ht="20.25" customHeight="1" x14ac:dyDescent="0.35">
      <c r="A30" s="32" t="str">
        <f>"Partial Pressure of "&amp;B29&amp;" in waste gas stream"</f>
        <v>Partial Pressure of Benzene in waste gas stream</v>
      </c>
      <c r="B30" s="170">
        <v>2.52E-2</v>
      </c>
      <c r="C30" s="51" t="s">
        <v>61</v>
      </c>
      <c r="D30" s="139"/>
      <c r="E30" s="26"/>
      <c r="F30" s="26"/>
      <c r="G30" s="26"/>
      <c r="H30" s="26"/>
      <c r="I30" s="26"/>
      <c r="J30" s="26"/>
      <c r="M30" s="11"/>
      <c r="N30" s="11"/>
    </row>
    <row r="31" spans="1:16" ht="15.6" x14ac:dyDescent="0.3">
      <c r="A31" s="261" t="str">
        <f>"Parameter ""k"" for "&amp;B29</f>
        <v>Parameter "k" for Benzene</v>
      </c>
      <c r="B31" s="170">
        <v>0.59699999999999998</v>
      </c>
      <c r="C31" s="238" t="s">
        <v>62</v>
      </c>
      <c r="D31" s="46"/>
      <c r="E31" s="179"/>
      <c r="F31" s="179"/>
      <c r="G31" s="179"/>
      <c r="H31" s="33"/>
      <c r="I31" s="33"/>
      <c r="J31" s="33"/>
      <c r="K31" s="141"/>
      <c r="L31" s="141"/>
      <c r="M31" s="141"/>
      <c r="N31" s="141"/>
    </row>
    <row r="32" spans="1:16" ht="28.8" x14ac:dyDescent="0.3">
      <c r="A32" s="261" t="str">
        <f>"Parameter ""m"" for "&amp;B29</f>
        <v>Parameter "m" for Benzene</v>
      </c>
      <c r="B32" s="237">
        <v>0.17599999999999999</v>
      </c>
      <c r="C32" s="239" t="s">
        <v>63</v>
      </c>
      <c r="D32" s="46"/>
      <c r="E32" s="179"/>
      <c r="F32" s="179"/>
      <c r="G32" s="179"/>
      <c r="H32" s="33"/>
      <c r="I32" s="33"/>
      <c r="J32" s="33"/>
      <c r="K32" s="141"/>
      <c r="L32" s="141"/>
      <c r="M32" s="141"/>
      <c r="N32" s="141"/>
    </row>
    <row r="33" spans="1:14" s="23" customFormat="1" ht="20.25" customHeight="1" x14ac:dyDescent="0.35">
      <c r="A33" s="135"/>
      <c r="B33" s="140"/>
      <c r="C33" s="135"/>
      <c r="M33" s="11"/>
      <c r="N33" s="11"/>
    </row>
    <row r="34" spans="1:14" ht="18" x14ac:dyDescent="0.35">
      <c r="A34" s="70" t="s">
        <v>64</v>
      </c>
      <c r="B34" s="70"/>
      <c r="C34" s="70"/>
      <c r="D34" s="70"/>
      <c r="E34" s="70"/>
      <c r="F34" s="70"/>
      <c r="G34" s="70"/>
      <c r="H34" s="70"/>
      <c r="I34" s="70"/>
      <c r="J34" s="70"/>
    </row>
    <row r="35" spans="1:14" ht="18" x14ac:dyDescent="0.35">
      <c r="A35" s="132"/>
      <c r="B35" s="132"/>
      <c r="C35" s="132"/>
      <c r="D35" s="132"/>
      <c r="E35" s="132"/>
      <c r="F35" s="132"/>
      <c r="G35" s="132"/>
      <c r="H35" s="132"/>
      <c r="I35" s="132"/>
      <c r="J35" s="132"/>
    </row>
    <row r="36" spans="1:14" ht="32.25" customHeight="1" x14ac:dyDescent="0.3">
      <c r="A36" s="32" t="s">
        <v>65</v>
      </c>
      <c r="B36" s="176">
        <v>2021</v>
      </c>
      <c r="C36" s="46"/>
      <c r="D36" s="46"/>
      <c r="E36" s="46"/>
      <c r="F36" s="46"/>
      <c r="G36" s="39"/>
      <c r="H36" s="39"/>
      <c r="I36" s="39"/>
      <c r="J36" s="39"/>
      <c r="M36" s="29"/>
      <c r="N36" s="29"/>
    </row>
    <row r="37" spans="1:14" ht="20.25" customHeight="1" x14ac:dyDescent="0.3">
      <c r="A37" s="46" t="str">
        <f>"CEPCI* for " &amp; B36</f>
        <v>CEPCI* for 2021</v>
      </c>
      <c r="B37" s="176">
        <v>708</v>
      </c>
      <c r="C37" s="56" t="str">
        <f>"CEPCI value for "&amp;B36</f>
        <v>CEPCI value for 2021</v>
      </c>
      <c r="D37" s="52"/>
      <c r="E37" s="200">
        <v>390.6</v>
      </c>
      <c r="F37" s="201">
        <v>1999</v>
      </c>
      <c r="G37" s="39"/>
      <c r="H37" s="39"/>
      <c r="I37" s="39"/>
      <c r="J37" s="39"/>
      <c r="M37" s="29"/>
      <c r="N37" s="29"/>
    </row>
    <row r="38" spans="1:14" ht="15.6" x14ac:dyDescent="0.3">
      <c r="A38" s="46" t="s">
        <v>66</v>
      </c>
      <c r="B38" s="170">
        <v>5.5</v>
      </c>
      <c r="C38" s="168" t="str">
        <f>(IF(B38&lt;&gt;5,"percent (Current bank prime rate)","percent*"))</f>
        <v>percent (Current bank prime rate)</v>
      </c>
      <c r="D38" s="350" t="str">
        <f>IF(B38=5,"* 5 percent is a default value. User should enter current prime bank rate.", "")</f>
        <v/>
      </c>
      <c r="E38" s="351"/>
      <c r="F38" s="351"/>
      <c r="G38" s="351"/>
      <c r="H38" s="351"/>
      <c r="I38" s="351"/>
      <c r="J38" s="148"/>
      <c r="K38" s="29"/>
      <c r="L38" s="29"/>
      <c r="M38" s="29"/>
      <c r="N38" s="29"/>
    </row>
    <row r="39" spans="1:14" x14ac:dyDescent="0.3">
      <c r="A39" s="39"/>
      <c r="B39" s="39"/>
      <c r="C39" s="39"/>
      <c r="D39" s="39"/>
      <c r="E39" s="39"/>
      <c r="F39" s="39"/>
      <c r="G39" s="39"/>
      <c r="H39" s="39"/>
      <c r="I39" s="39"/>
      <c r="J39" s="39"/>
    </row>
    <row r="40" spans="1:14" ht="48.75" customHeight="1" x14ac:dyDescent="0.3">
      <c r="A40" s="359" t="s">
        <v>67</v>
      </c>
      <c r="B40" s="359"/>
      <c r="C40" s="359"/>
      <c r="D40" s="359"/>
      <c r="E40" s="359"/>
      <c r="F40" s="359"/>
      <c r="G40" s="359"/>
    </row>
    <row r="41" spans="1:14" ht="21" customHeight="1" x14ac:dyDescent="0.3">
      <c r="A41" s="301"/>
      <c r="B41" s="300"/>
      <c r="C41" s="300"/>
      <c r="D41" s="300"/>
      <c r="E41" s="300"/>
      <c r="F41" s="300"/>
    </row>
    <row r="42" spans="1:14" ht="18" hidden="1" x14ac:dyDescent="0.35">
      <c r="A42" s="32" t="s">
        <v>68</v>
      </c>
      <c r="B42" s="298">
        <v>13400</v>
      </c>
      <c r="C42" s="275" t="str">
        <f>"per canister (in "&amp;B36&amp;" dollars)"</f>
        <v>per canister (in 2021 dollars)</v>
      </c>
      <c r="D42" s="30" t="s">
        <v>69</v>
      </c>
      <c r="E42" s="23"/>
      <c r="F42" s="23"/>
    </row>
    <row r="43" spans="1:14" ht="18" x14ac:dyDescent="0.4">
      <c r="A43" s="46" t="s">
        <v>70</v>
      </c>
      <c r="B43" s="172">
        <v>6.7599999999999993E-2</v>
      </c>
      <c r="C43" s="131" t="str">
        <f>"per kWh"&amp;IF(B43=0.0676, "*","")</f>
        <v>per kWh*</v>
      </c>
      <c r="D43" s="143" t="str">
        <f>IF(B43=0.0676,"* $0.0676/kWh is a default value. User should enter actual value, if known.","")</f>
        <v>* $0.0676/kWh is a default value. User should enter actual value, if known.</v>
      </c>
      <c r="E43" s="144"/>
      <c r="F43" s="144"/>
      <c r="G43" s="144"/>
      <c r="H43" s="144"/>
      <c r="I43" s="144"/>
      <c r="J43" s="144"/>
    </row>
    <row r="44" spans="1:14" ht="18" x14ac:dyDescent="0.4">
      <c r="A44" s="46" t="s">
        <v>71</v>
      </c>
      <c r="B44" s="202">
        <v>5</v>
      </c>
      <c r="C44" s="131" t="str">
        <f>"per 1,000 lbs"&amp;IF(B44=5, "*","")</f>
        <v>per 1,000 lbs*</v>
      </c>
      <c r="D44" s="143" t="str">
        <f>IF(B44=5,"* $5.00/1,000 lbs is a default value. User should enter actual value, if known.","")</f>
        <v>* $5.00/1,000 lbs is a default value. User should enter actual value, if known.</v>
      </c>
      <c r="E44" s="144"/>
      <c r="F44" s="144"/>
      <c r="G44" s="144"/>
      <c r="H44" s="144"/>
      <c r="I44" s="144"/>
      <c r="J44" s="144"/>
    </row>
    <row r="45" spans="1:14" ht="18" x14ac:dyDescent="0.4">
      <c r="A45" s="46" t="s">
        <v>72</v>
      </c>
      <c r="B45" s="203">
        <v>3.55</v>
      </c>
      <c r="C45" s="131" t="str">
        <f>"per 1,000 gallons of water"&amp;IF(B45=3.55, "*","")</f>
        <v>per 1,000 gallons of water*</v>
      </c>
      <c r="D45" s="143" t="str">
        <f>IF(B45=3.55,"* $3.55/1,000 gallons is a default value. User should enter actual value, if known.","")</f>
        <v>* $3.55/1,000 gallons is a default value. User should enter actual value, if known.</v>
      </c>
      <c r="E45" s="144"/>
      <c r="F45" s="144"/>
      <c r="G45" s="144"/>
      <c r="H45" s="144"/>
      <c r="I45" s="144"/>
      <c r="J45" s="144"/>
    </row>
    <row r="46" spans="1:14" ht="15.6" x14ac:dyDescent="0.3">
      <c r="A46" s="32" t="s">
        <v>73</v>
      </c>
      <c r="B46" s="173">
        <v>27.48</v>
      </c>
      <c r="C46" s="52" t="str">
        <f>"per hour"&amp;IF(B46=27.48,"*","")</f>
        <v>per hour*</v>
      </c>
      <c r="D46" s="143" t="str">
        <f>IF(B46=27.48,"* $27.48/hour is a default value. User should enter actual value, if known.","")</f>
        <v>* $27.48/hour is a default value. User should enter actual value, if known.</v>
      </c>
      <c r="E46" s="144"/>
      <c r="F46" s="144"/>
      <c r="G46" s="144"/>
      <c r="H46" s="144"/>
      <c r="I46" s="144"/>
      <c r="J46" s="144"/>
    </row>
    <row r="47" spans="1:14" ht="15.6" x14ac:dyDescent="0.3">
      <c r="A47" s="32" t="s">
        <v>74</v>
      </c>
      <c r="B47" s="173">
        <v>30.23</v>
      </c>
      <c r="C47" s="52" t="str">
        <f>"per hour"&amp;IF(B47=30.23,"*","")</f>
        <v>per hour*</v>
      </c>
      <c r="D47" s="143" t="str">
        <f>IF(B47=30.23,"* $30.23/hour is a default value. User should enter actual value, if known. If the rate is not known, use 1.10 x operator labor rate.","")</f>
        <v>* $30.23/hour is a default value. User should enter actual value, if known. If the rate is not known, use 1.10 x operator labor rate.</v>
      </c>
      <c r="E47" s="144"/>
      <c r="F47" s="144"/>
      <c r="G47" s="144"/>
      <c r="H47" s="144"/>
      <c r="I47" s="144"/>
      <c r="J47" s="144"/>
    </row>
    <row r="48" spans="1:14" ht="15.6" x14ac:dyDescent="0.3">
      <c r="A48" s="32" t="s">
        <v>75</v>
      </c>
      <c r="B48" s="173">
        <v>4.2</v>
      </c>
      <c r="C48" s="52" t="str">
        <f>"per lb"&amp;IF(B48=1.9,"*","")</f>
        <v>per lb</v>
      </c>
      <c r="D48" s="143" t="str">
        <f>IF(B48=4.2,"* $4.20/lb is a default value based on 2018 market price. User should enter actual value, if known.","")</f>
        <v>* $4.20/lb is a default value based on 2018 market price. User should enter actual value, if known.</v>
      </c>
      <c r="E48" s="39"/>
      <c r="F48" s="39"/>
      <c r="G48" s="39"/>
      <c r="H48" s="39"/>
      <c r="I48" s="39"/>
      <c r="J48" s="39"/>
    </row>
    <row r="49" spans="1:14" x14ac:dyDescent="0.3">
      <c r="A49" s="39"/>
      <c r="B49" s="39"/>
      <c r="C49" s="39"/>
      <c r="D49" s="39"/>
      <c r="E49" s="39"/>
      <c r="F49" s="39"/>
      <c r="G49" s="39"/>
      <c r="H49" s="39"/>
      <c r="I49" s="39"/>
      <c r="J49" s="39"/>
    </row>
    <row r="50" spans="1:14" ht="18" x14ac:dyDescent="0.4">
      <c r="A50" s="32" t="s">
        <v>76</v>
      </c>
      <c r="B50" s="173">
        <v>0.33</v>
      </c>
      <c r="C50" s="52" t="str">
        <f>"per lb"&amp;IF(B50=0.33,"*","")</f>
        <v>per lb*</v>
      </c>
      <c r="D50" s="350" t="str">
        <f>IF(B50=0.33,"* $0.33/lb is a default value for recovered toluene based on 2018 data. User should enter actual value of recovered VOC/HAP, if known. Enter zero if the recovered VOC/HAP cannot be sold or re-used onsite.","")</f>
        <v>* $0.33/lb is a default value for recovered toluene based on 2018 data. User should enter actual value of recovered VOC/HAP, if known. Enter zero if the recovered VOC/HAP cannot be sold or re-used onsite.</v>
      </c>
      <c r="E50" s="351"/>
      <c r="F50" s="351"/>
      <c r="G50" s="351"/>
      <c r="H50" s="351"/>
      <c r="I50" s="351"/>
      <c r="J50" s="192"/>
    </row>
    <row r="51" spans="1:14" ht="18" x14ac:dyDescent="0.4">
      <c r="A51" s="32" t="s">
        <v>77</v>
      </c>
      <c r="B51" s="173">
        <v>0</v>
      </c>
      <c r="C51" s="52" t="str">
        <f>"per lb"&amp;IF(B51=0,"*","")</f>
        <v>per lb*</v>
      </c>
      <c r="D51" s="350" t="str">
        <f>IF(B51=0,"* $0/lb is a default value for disposal and/or treatment of recovered VOC/HAP. User should enter actual value,  if known. Enter zero if the recovered VOC/HAP can be sold or re-used onsite without additional treatment.","")</f>
        <v>* $0/lb is a default value for disposal and/or treatment of recovered VOC/HAP. User should enter actual value,  if known. Enter zero if the recovered VOC/HAP can be sold or re-used onsite without additional treatment.</v>
      </c>
      <c r="E51" s="351"/>
      <c r="F51" s="351"/>
      <c r="G51" s="351"/>
      <c r="H51" s="351"/>
      <c r="I51" s="351"/>
      <c r="J51" s="192"/>
    </row>
    <row r="52" spans="1:14" ht="15.75" customHeight="1" x14ac:dyDescent="0.3">
      <c r="A52" s="32"/>
      <c r="B52" s="188"/>
      <c r="C52" s="46"/>
      <c r="D52" s="147"/>
      <c r="E52" s="144"/>
      <c r="F52" s="144"/>
      <c r="G52" s="144"/>
      <c r="H52" s="144"/>
      <c r="I52" s="144"/>
      <c r="J52" s="144"/>
    </row>
    <row r="53" spans="1:14" ht="15.6" x14ac:dyDescent="0.3">
      <c r="A53" s="32" t="s">
        <v>78</v>
      </c>
      <c r="B53" s="32"/>
      <c r="C53" s="39"/>
      <c r="D53" s="39"/>
      <c r="E53" s="39"/>
      <c r="F53" s="39"/>
      <c r="G53" s="39"/>
      <c r="H53" s="39"/>
      <c r="I53" s="39"/>
      <c r="J53" s="39"/>
    </row>
    <row r="54" spans="1:14" ht="15.6" x14ac:dyDescent="0.3">
      <c r="A54" s="145" t="s">
        <v>79</v>
      </c>
      <c r="B54" s="174">
        <v>0</v>
      </c>
      <c r="C54" s="143" t="str">
        <f>IF(B54=0, "* Default value. User should enter actual value, if known."," ")</f>
        <v>* Default value. User should enter actual value, if known.</v>
      </c>
      <c r="D54" s="147"/>
      <c r="E54" s="147"/>
      <c r="F54" s="147"/>
      <c r="G54" s="147"/>
      <c r="H54" s="147"/>
      <c r="I54" s="147"/>
      <c r="J54" s="39"/>
    </row>
    <row r="55" spans="1:14" ht="15.6" x14ac:dyDescent="0.3">
      <c r="A55" s="145" t="s">
        <v>80</v>
      </c>
      <c r="B55" s="175">
        <v>0</v>
      </c>
      <c r="C55" s="143" t="str">
        <f t="shared" ref="C55" si="0">IF(B55=0, "* Default value. User should enter actual value, if known."," ")</f>
        <v>* Default value. User should enter actual value, if known.</v>
      </c>
      <c r="D55" s="147"/>
      <c r="E55" s="147"/>
      <c r="F55" s="147"/>
      <c r="G55" s="147"/>
      <c r="H55" s="147"/>
      <c r="I55" s="147"/>
      <c r="J55" s="39"/>
    </row>
    <row r="56" spans="1:14" ht="36" customHeight="1" x14ac:dyDescent="0.4">
      <c r="A56" s="146" t="s">
        <v>81</v>
      </c>
      <c r="B56" s="174">
        <v>32000</v>
      </c>
      <c r="C56" s="143" t="str">
        <f>IF(OR(B56=32000,B56=2000), "* Default value. User should enter actual value, if known."," ")</f>
        <v>* Default value. User should enter actual value, if known.</v>
      </c>
      <c r="D56" s="147"/>
      <c r="E56" s="147"/>
      <c r="F56" s="147"/>
      <c r="G56" s="147"/>
      <c r="H56" s="147"/>
      <c r="I56" s="147"/>
      <c r="J56" s="39"/>
    </row>
    <row r="57" spans="1:14" ht="17.25" customHeight="1" x14ac:dyDescent="0.35">
      <c r="A57" s="32" t="s">
        <v>82</v>
      </c>
      <c r="B57" s="177">
        <v>10</v>
      </c>
      <c r="C57" s="52" t="str">
        <f>"percent"&amp;IF(B57=10,"*","")</f>
        <v>percent*</v>
      </c>
      <c r="D57" s="143" t="str">
        <f>IF(B57=10,"* 10 percent is a default value. The contingency factor should be between 5 and 15 percent.","")</f>
        <v>* 10 percent is a default value. The contingency factor should be between 5 and 15 percent.</v>
      </c>
      <c r="E57" s="39"/>
      <c r="F57" s="39"/>
      <c r="G57" s="39"/>
      <c r="H57" s="39"/>
      <c r="I57" s="39"/>
      <c r="J57" s="149"/>
      <c r="K57" s="24"/>
      <c r="L57" s="24"/>
    </row>
    <row r="58" spans="1:14" s="142" customFormat="1" ht="15.6" x14ac:dyDescent="0.3">
      <c r="A58" s="54"/>
      <c r="B58" s="55"/>
      <c r="C58" s="53"/>
      <c r="D58" s="53"/>
      <c r="E58" s="53"/>
      <c r="F58" s="53"/>
      <c r="G58" s="53"/>
      <c r="H58" s="53"/>
      <c r="I58" s="53"/>
      <c r="J58" s="33"/>
      <c r="K58" s="141"/>
      <c r="L58" s="141"/>
      <c r="M58" s="141"/>
      <c r="N58" s="141"/>
    </row>
    <row r="60" spans="1:14" s="4" customFormat="1" ht="18" x14ac:dyDescent="0.35">
      <c r="A60" s="70" t="s">
        <v>83</v>
      </c>
      <c r="B60" s="70"/>
      <c r="C60" s="70"/>
      <c r="D60" s="70"/>
      <c r="E60" s="70"/>
      <c r="F60" s="70"/>
      <c r="G60" s="70"/>
      <c r="H60" s="70"/>
      <c r="I60" s="70"/>
      <c r="J60" s="70"/>
      <c r="K60" s="132"/>
      <c r="L60" s="132"/>
      <c r="M60" s="132"/>
      <c r="N60" s="132"/>
    </row>
    <row r="61" spans="1:14" customFormat="1" ht="16.5" customHeight="1" x14ac:dyDescent="0.3">
      <c r="A61" s="20"/>
      <c r="B61" s="20"/>
      <c r="C61" s="20"/>
      <c r="D61" s="20"/>
      <c r="E61" s="20"/>
      <c r="F61" s="20"/>
      <c r="G61" s="20"/>
      <c r="H61" s="20"/>
      <c r="I61" s="20"/>
      <c r="J61" s="20"/>
      <c r="K61" s="20"/>
      <c r="L61" s="12"/>
      <c r="M61" s="12"/>
      <c r="N61" s="12"/>
    </row>
    <row r="62" spans="1:14" customFormat="1" ht="47.25" customHeight="1" x14ac:dyDescent="0.3">
      <c r="A62" s="122" t="s">
        <v>84</v>
      </c>
      <c r="B62" s="123" t="s">
        <v>85</v>
      </c>
      <c r="C62" s="369" t="s">
        <v>86</v>
      </c>
      <c r="D62" s="370"/>
      <c r="E62" s="363" t="s">
        <v>87</v>
      </c>
      <c r="F62" s="364"/>
      <c r="G62" s="364"/>
      <c r="H62" s="364"/>
      <c r="I62" s="365"/>
      <c r="J62" s="124" t="s">
        <v>88</v>
      </c>
      <c r="K62" s="20"/>
      <c r="L62" s="20"/>
      <c r="M62" s="20"/>
      <c r="N62" s="20"/>
    </row>
    <row r="63" spans="1:14" customFormat="1" ht="70.5" customHeight="1" x14ac:dyDescent="0.3">
      <c r="A63" s="187" t="s">
        <v>89</v>
      </c>
      <c r="B63" s="191">
        <v>1.9</v>
      </c>
      <c r="C63" s="352" t="s">
        <v>90</v>
      </c>
      <c r="D63" s="353"/>
      <c r="E63" s="356" t="s">
        <v>91</v>
      </c>
      <c r="F63" s="357"/>
      <c r="G63" s="357"/>
      <c r="H63" s="357"/>
      <c r="I63" s="358"/>
      <c r="J63" s="126" t="s">
        <v>92</v>
      </c>
      <c r="K63" s="20"/>
      <c r="L63" s="20"/>
      <c r="M63" s="20"/>
      <c r="N63" s="20"/>
    </row>
    <row r="64" spans="1:14" customFormat="1" ht="57.6" x14ac:dyDescent="0.3">
      <c r="A64" s="129" t="s">
        <v>93</v>
      </c>
      <c r="B64" s="204">
        <v>27.48</v>
      </c>
      <c r="C64" s="354" t="s">
        <v>94</v>
      </c>
      <c r="D64" s="355"/>
      <c r="E64" s="360" t="s">
        <v>91</v>
      </c>
      <c r="F64" s="361"/>
      <c r="G64" s="361"/>
      <c r="H64" s="361"/>
      <c r="I64" s="362"/>
      <c r="J64" s="127" t="s">
        <v>95</v>
      </c>
      <c r="K64" s="20"/>
      <c r="L64" s="20"/>
      <c r="M64" s="20"/>
      <c r="N64" s="20"/>
    </row>
    <row r="65" spans="1:14" customFormat="1" ht="107.25" customHeight="1" x14ac:dyDescent="0.3">
      <c r="A65" s="307" t="s">
        <v>96</v>
      </c>
      <c r="B65" s="204">
        <v>30.23</v>
      </c>
      <c r="C65" s="354" t="s">
        <v>97</v>
      </c>
      <c r="D65" s="355"/>
      <c r="E65" s="360" t="s">
        <v>91</v>
      </c>
      <c r="F65" s="361"/>
      <c r="G65" s="361"/>
      <c r="H65" s="361"/>
      <c r="I65" s="362"/>
      <c r="J65" s="127" t="s">
        <v>98</v>
      </c>
      <c r="K65" s="20"/>
      <c r="L65" s="20"/>
      <c r="M65" s="20"/>
      <c r="N65" s="20"/>
    </row>
    <row r="66" spans="1:14" customFormat="1" ht="74.25" customHeight="1" x14ac:dyDescent="0.3">
      <c r="A66" s="128" t="s">
        <v>99</v>
      </c>
      <c r="B66" s="191">
        <v>0.33</v>
      </c>
      <c r="C66" s="352" t="s">
        <v>100</v>
      </c>
      <c r="D66" s="353"/>
      <c r="E66" s="360" t="s">
        <v>91</v>
      </c>
      <c r="F66" s="361"/>
      <c r="G66" s="361"/>
      <c r="H66" s="361"/>
      <c r="I66" s="362"/>
      <c r="J66" s="126" t="s">
        <v>101</v>
      </c>
      <c r="K66" s="20"/>
      <c r="L66" s="20"/>
      <c r="M66" s="20"/>
      <c r="N66" s="20"/>
    </row>
    <row r="67" spans="1:14" customFormat="1" ht="70.5" customHeight="1" x14ac:dyDescent="0.3">
      <c r="A67" s="190" t="s">
        <v>102</v>
      </c>
      <c r="B67" s="191">
        <v>0</v>
      </c>
      <c r="C67" s="352" t="s">
        <v>103</v>
      </c>
      <c r="D67" s="353"/>
      <c r="E67" s="366" t="s">
        <v>91</v>
      </c>
      <c r="F67" s="367"/>
      <c r="G67" s="367"/>
      <c r="H67" s="367"/>
      <c r="I67" s="368"/>
      <c r="J67" s="127" t="s">
        <v>104</v>
      </c>
      <c r="K67" s="20"/>
      <c r="L67" s="20"/>
      <c r="M67" s="20"/>
      <c r="N67" s="20"/>
    </row>
    <row r="68" spans="1:14" customFormat="1" ht="132" customHeight="1" x14ac:dyDescent="0.3">
      <c r="A68" s="190" t="s">
        <v>105</v>
      </c>
      <c r="B68" s="191">
        <v>5</v>
      </c>
      <c r="C68" s="352" t="s">
        <v>106</v>
      </c>
      <c r="D68" s="353"/>
      <c r="E68" s="366" t="s">
        <v>91</v>
      </c>
      <c r="F68" s="367"/>
      <c r="G68" s="367"/>
      <c r="H68" s="367"/>
      <c r="I68" s="368"/>
      <c r="J68" s="127" t="s">
        <v>107</v>
      </c>
      <c r="K68" s="20"/>
      <c r="L68" s="20"/>
      <c r="M68" s="20"/>
      <c r="N68" s="20"/>
    </row>
    <row r="69" spans="1:14" customFormat="1" ht="115.2" x14ac:dyDescent="0.3">
      <c r="A69" s="190" t="s">
        <v>108</v>
      </c>
      <c r="B69" s="191">
        <v>3.55</v>
      </c>
      <c r="C69" s="352" t="s">
        <v>109</v>
      </c>
      <c r="D69" s="353"/>
      <c r="E69" s="366" t="s">
        <v>91</v>
      </c>
      <c r="F69" s="367"/>
      <c r="G69" s="367"/>
      <c r="H69" s="367"/>
      <c r="I69" s="368"/>
      <c r="J69" s="127" t="s">
        <v>107</v>
      </c>
      <c r="K69" s="20"/>
      <c r="L69" s="20"/>
      <c r="M69" s="20"/>
      <c r="N69" s="20"/>
    </row>
    <row r="70" spans="1:14" customFormat="1" ht="70.5" customHeight="1" x14ac:dyDescent="0.3">
      <c r="A70" s="125" t="s">
        <v>110</v>
      </c>
      <c r="B70" s="191">
        <v>6.7599999999999993E-2</v>
      </c>
      <c r="C70" s="352" t="s">
        <v>111</v>
      </c>
      <c r="D70" s="353"/>
      <c r="E70" s="360" t="s">
        <v>91</v>
      </c>
      <c r="F70" s="361"/>
      <c r="G70" s="361"/>
      <c r="H70" s="361"/>
      <c r="I70" s="362"/>
      <c r="J70" s="127" t="s">
        <v>112</v>
      </c>
      <c r="K70" s="20"/>
      <c r="L70" s="20"/>
      <c r="M70" s="20"/>
      <c r="N70" s="20"/>
    </row>
  </sheetData>
  <mergeCells count="22">
    <mergeCell ref="D51:I51"/>
    <mergeCell ref="C68:D68"/>
    <mergeCell ref="E68:I68"/>
    <mergeCell ref="C65:D65"/>
    <mergeCell ref="C66:D66"/>
    <mergeCell ref="C62:D62"/>
    <mergeCell ref="D38:I38"/>
    <mergeCell ref="C70:D70"/>
    <mergeCell ref="C64:D64"/>
    <mergeCell ref="C63:D63"/>
    <mergeCell ref="E63:I63"/>
    <mergeCell ref="A40:G40"/>
    <mergeCell ref="E70:I70"/>
    <mergeCell ref="E64:I64"/>
    <mergeCell ref="E65:I65"/>
    <mergeCell ref="E66:I66"/>
    <mergeCell ref="E62:I62"/>
    <mergeCell ref="C69:D69"/>
    <mergeCell ref="E69:I69"/>
    <mergeCell ref="C67:D67"/>
    <mergeCell ref="E67:I67"/>
    <mergeCell ref="D50:I50"/>
  </mergeCells>
  <dataValidations count="2">
    <dataValidation type="decimal" allowBlank="1" showInputMessage="1" showErrorMessage="1" prompt="Value must be between 0 and 100. Typical efficiency is 98%" sqref="B15" xr:uid="{00000000-0002-0000-0100-000000000000}">
      <formula1>0</formula1>
      <formula2>100</formula2>
    </dataValidation>
    <dataValidation type="decimal" operator="greaterThan" allowBlank="1" showInputMessage="1" showErrorMessage="1" sqref="B38" xr:uid="{00000000-0002-0000-0100-000001000000}">
      <formula1>0</formula1>
    </dataValidation>
  </dataValidations>
  <pageMargins left="0.7" right="0.7" top="0.75" bottom="0.75" header="0.3" footer="0.3"/>
  <pageSetup orientation="portrait" r:id="rId1"/>
  <ignoredErrors>
    <ignoredError sqref="C21"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3073" r:id="rId4" name="Drop Down 1">
              <controlPr defaultSize="0" autoLine="0" autoPict="0" macro="[0]!DropDown1_Change">
                <anchor moveWithCells="1">
                  <from>
                    <xdr:col>2</xdr:col>
                    <xdr:colOff>967740</xdr:colOff>
                    <xdr:row>1</xdr:row>
                    <xdr:rowOff>91440</xdr:rowOff>
                  </from>
                  <to>
                    <xdr:col>3</xdr:col>
                    <xdr:colOff>1714500</xdr:colOff>
                    <xdr:row>2</xdr:row>
                    <xdr:rowOff>106680</xdr:rowOff>
                  </to>
                </anchor>
              </controlPr>
            </control>
          </mc:Choice>
        </mc:AlternateContent>
        <mc:AlternateContent xmlns:mc="http://schemas.openxmlformats.org/markup-compatibility/2006">
          <mc:Choice Requires="x14">
            <control shapeId="3075" r:id="rId5" name="Button 3">
              <controlPr defaultSize="0" print="0" autoFill="0" autoPict="0" macro="[0]!Reset">
                <anchor moveWithCells="1">
                  <from>
                    <xdr:col>6</xdr:col>
                    <xdr:colOff>259080</xdr:colOff>
                    <xdr:row>1</xdr:row>
                    <xdr:rowOff>259080</xdr:rowOff>
                  </from>
                  <to>
                    <xdr:col>7</xdr:col>
                    <xdr:colOff>304800</xdr:colOff>
                    <xdr:row>3</xdr:row>
                    <xdr:rowOff>15240</xdr:rowOff>
                  </to>
                </anchor>
              </controlPr>
            </control>
          </mc:Choice>
        </mc:AlternateContent>
        <mc:AlternateContent xmlns:mc="http://schemas.openxmlformats.org/markup-compatibility/2006">
          <mc:Choice Requires="x14">
            <control shapeId="3078" r:id="rId6" name="Drop Down 6">
              <controlPr defaultSize="0" autoLine="0" autoPict="0" macro="[0]!Fab_Factor">
                <anchor moveWithCells="1">
                  <from>
                    <xdr:col>2</xdr:col>
                    <xdr:colOff>937260</xdr:colOff>
                    <xdr:row>5</xdr:row>
                    <xdr:rowOff>106680</xdr:rowOff>
                  </from>
                  <to>
                    <xdr:col>3</xdr:col>
                    <xdr:colOff>106680</xdr:colOff>
                    <xdr:row>5</xdr:row>
                    <xdr:rowOff>441960</xdr:rowOff>
                  </to>
                </anchor>
              </controlPr>
            </control>
          </mc:Choice>
        </mc:AlternateContent>
        <mc:AlternateContent xmlns:mc="http://schemas.openxmlformats.org/markup-compatibility/2006">
          <mc:Choice Requires="x14">
            <control shapeId="3079" r:id="rId7" name="Drop Down 7">
              <controlPr defaultSize="0" autoLine="0" autoPict="0" macro="[0]!Orientation">
                <anchor moveWithCells="1">
                  <from>
                    <xdr:col>2</xdr:col>
                    <xdr:colOff>906780</xdr:colOff>
                    <xdr:row>6</xdr:row>
                    <xdr:rowOff>190500</xdr:rowOff>
                  </from>
                  <to>
                    <xdr:col>3</xdr:col>
                    <xdr:colOff>137160</xdr:colOff>
                    <xdr:row>7</xdr:row>
                    <xdr:rowOff>53340</xdr:rowOff>
                  </to>
                </anchor>
              </controlPr>
            </control>
          </mc:Choice>
        </mc:AlternateContent>
        <mc:AlternateContent xmlns:mc="http://schemas.openxmlformats.org/markup-compatibility/2006">
          <mc:Choice Requires="x14">
            <control shapeId="3080" r:id="rId8" name="Drop Down 8">
              <controlPr defaultSize="0" autoLine="0" autoPict="0" macro="[0]!OP_METHOD">
                <anchor moveWithCells="1">
                  <from>
                    <xdr:col>2</xdr:col>
                    <xdr:colOff>937260</xdr:colOff>
                    <xdr:row>3</xdr:row>
                    <xdr:rowOff>266700</xdr:rowOff>
                  </from>
                  <to>
                    <xdr:col>3</xdr:col>
                    <xdr:colOff>99060</xdr:colOff>
                    <xdr:row>4</xdr:row>
                    <xdr:rowOff>266700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Q70"/>
  <sheetViews>
    <sheetView topLeftCell="A15" workbookViewId="0">
      <selection activeCell="C9" sqref="C9"/>
    </sheetView>
  </sheetViews>
  <sheetFormatPr defaultColWidth="9.109375" defaultRowHeight="14.4" x14ac:dyDescent="0.3"/>
  <cols>
    <col min="1" max="1" width="75.5546875" style="20" customWidth="1"/>
    <col min="2" max="2" width="81.6640625" style="20" customWidth="1"/>
    <col min="3" max="3" width="52.44140625" style="20" customWidth="1"/>
    <col min="4" max="4" width="25.88671875" style="20" customWidth="1"/>
    <col min="5" max="5" width="26.33203125" style="20" customWidth="1"/>
    <col min="6" max="6" width="22.6640625" style="20" customWidth="1"/>
    <col min="7" max="10" width="9.109375" style="20"/>
    <col min="11" max="11" width="2.6640625" style="20" customWidth="1"/>
    <col min="12" max="12" width="9.109375" style="20" customWidth="1"/>
    <col min="13" max="16384" width="9.109375" style="20"/>
  </cols>
  <sheetData>
    <row r="1" spans="1:17" s="15" customFormat="1" ht="23.4" x14ac:dyDescent="0.45">
      <c r="A1" s="372" t="s">
        <v>113</v>
      </c>
      <c r="B1" s="372"/>
      <c r="C1" s="372"/>
      <c r="D1" s="372"/>
      <c r="E1" s="372"/>
      <c r="F1" s="372"/>
      <c r="G1" s="14"/>
      <c r="H1" s="14"/>
      <c r="I1" s="14"/>
      <c r="J1" s="14"/>
      <c r="K1" s="14"/>
      <c r="L1" s="14"/>
      <c r="M1" s="14"/>
      <c r="O1" s="14"/>
      <c r="P1" s="14"/>
      <c r="Q1" s="14"/>
    </row>
    <row r="2" spans="1:17" s="17" customFormat="1" ht="15.6" x14ac:dyDescent="0.3">
      <c r="A2" s="25"/>
      <c r="B2" s="25"/>
      <c r="C2" s="25"/>
    </row>
    <row r="3" spans="1:17" s="17" customFormat="1" ht="31.5" customHeight="1" x14ac:dyDescent="0.3">
      <c r="A3" s="373" t="s">
        <v>114</v>
      </c>
      <c r="B3" s="373"/>
      <c r="C3" s="373"/>
      <c r="D3" s="373"/>
      <c r="E3" s="373"/>
      <c r="F3" s="373"/>
    </row>
    <row r="4" spans="1:17" s="30" customFormat="1" ht="25.5" customHeight="1" x14ac:dyDescent="0.3">
      <c r="A4" s="305" t="s">
        <v>115</v>
      </c>
      <c r="B4" s="304" t="str">
        <f>'Data Inputs'!R1</f>
        <v>Fixed-Bed Carbon Adsorber with Steam Regeneration</v>
      </c>
      <c r="D4" s="152"/>
      <c r="E4" s="153"/>
      <c r="F4" s="153"/>
    </row>
    <row r="5" spans="1:17" s="30" customFormat="1" ht="28.5" customHeight="1" x14ac:dyDescent="0.3">
      <c r="A5" s="305" t="s">
        <v>116</v>
      </c>
      <c r="B5" s="304" t="str">
        <f>'Data Inputs'!B29</f>
        <v>Benzene</v>
      </c>
      <c r="C5" s="243"/>
      <c r="D5" s="244"/>
    </row>
    <row r="6" spans="1:17" s="30" customFormat="1" ht="15.6" x14ac:dyDescent="0.3">
      <c r="A6" s="141"/>
      <c r="B6" s="141"/>
      <c r="C6" s="150"/>
      <c r="D6" s="151"/>
      <c r="E6" s="19"/>
      <c r="F6" s="19"/>
    </row>
    <row r="7" spans="1:17" s="16" customFormat="1" ht="18" customHeight="1" x14ac:dyDescent="0.3">
      <c r="A7" s="36" t="s">
        <v>117</v>
      </c>
      <c r="B7" s="49" t="s">
        <v>118</v>
      </c>
      <c r="C7" s="36" t="s">
        <v>119</v>
      </c>
      <c r="D7" s="36" t="s">
        <v>120</v>
      </c>
      <c r="E7" s="36"/>
      <c r="F7" s="36"/>
      <c r="G7" s="17"/>
      <c r="H7" s="17"/>
      <c r="I7" s="17"/>
      <c r="J7" s="17"/>
      <c r="K7" s="17"/>
      <c r="L7" s="17"/>
      <c r="M7" s="17"/>
      <c r="O7" s="17"/>
      <c r="P7" s="17"/>
      <c r="Q7" s="17"/>
    </row>
    <row r="8" spans="1:17" s="9" customFormat="1" ht="15.6" x14ac:dyDescent="0.3">
      <c r="A8" s="59" t="str">
        <f>IF('Data Inputs'!B29=" ", "Quantity of VOC Recovered:", IF('Data Inputs'!L1&lt;3,"Quantity of "&amp;'Data Inputs'!B29&amp;" Removed:","Quantity of "&amp;'Data Inputs'!B29&amp;" Recovered:" ))</f>
        <v>Quantity of Benzene Recovered:</v>
      </c>
      <c r="B8" s="59"/>
      <c r="C8" s="60"/>
      <c r="D8" s="59"/>
      <c r="E8" s="61"/>
      <c r="F8" s="62"/>
    </row>
    <row r="9" spans="1:17" s="30" customFormat="1" ht="18" x14ac:dyDescent="0.4">
      <c r="A9" s="32" t="str">
        <f>IF('Data Inputs'!B29=" ","Quantity of VOC Recovered (Wvoc) =",IF('Data Inputs'!L1&lt;3,"Quantity of "&amp;'Data Inputs'!B29&amp;" Removed (Wvoc) =","Quantity of "&amp;'Data Inputs'!B29&amp;" Recovered (Wvoc) ="))</f>
        <v>Quantity of Benzene Recovered (Wvoc) =</v>
      </c>
      <c r="B9" s="265" t="s">
        <v>121</v>
      </c>
      <c r="C9" s="35">
        <f>('Data Inputs'!B13*'Data Inputs'!B11*('Data Inputs'!B15/100))/2000</f>
        <v>311.70008129999997</v>
      </c>
      <c r="D9" s="32" t="s">
        <v>122</v>
      </c>
      <c r="E9" s="266"/>
      <c r="F9" s="32"/>
    </row>
    <row r="10" spans="1:17" s="23" customFormat="1" ht="20.25" customHeight="1" x14ac:dyDescent="0.4">
      <c r="A10" s="32" t="s">
        <v>123</v>
      </c>
      <c r="B10" s="26"/>
      <c r="C10" s="242">
        <f>'Data Inputs'!B22</f>
        <v>5</v>
      </c>
      <c r="D10" s="46" t="s">
        <v>57</v>
      </c>
      <c r="E10" s="263"/>
      <c r="F10" s="26"/>
      <c r="G10" s="26"/>
      <c r="H10" s="26"/>
      <c r="I10" s="26"/>
      <c r="J10" s="26"/>
      <c r="M10" s="11"/>
      <c r="N10" s="11"/>
    </row>
    <row r="11" spans="1:17" s="23" customFormat="1" ht="20.25" customHeight="1" x14ac:dyDescent="0.4">
      <c r="A11" s="46" t="s">
        <v>124</v>
      </c>
      <c r="B11" s="26"/>
      <c r="C11" s="273">
        <f>'Data Inputs'!B21</f>
        <v>12</v>
      </c>
      <c r="D11" s="46" t="s">
        <v>57</v>
      </c>
      <c r="E11" s="263"/>
      <c r="F11" s="26"/>
      <c r="G11" s="26"/>
      <c r="H11" s="26"/>
      <c r="I11" s="26"/>
      <c r="J11" s="26"/>
      <c r="M11" s="11"/>
      <c r="N11" s="11"/>
    </row>
    <row r="12" spans="1:17" s="23" customFormat="1" ht="20.25" customHeight="1" x14ac:dyDescent="0.4">
      <c r="A12" s="46" t="s">
        <v>125</v>
      </c>
      <c r="B12" s="262" t="s">
        <v>126</v>
      </c>
      <c r="C12" s="242">
        <f>C11*C19/C20</f>
        <v>6</v>
      </c>
      <c r="D12" s="46" t="s">
        <v>57</v>
      </c>
      <c r="E12" s="263"/>
      <c r="F12" s="26"/>
      <c r="G12" s="26"/>
      <c r="H12" s="26"/>
      <c r="I12" s="26"/>
      <c r="J12" s="26"/>
      <c r="M12" s="11"/>
      <c r="N12" s="11"/>
    </row>
    <row r="13" spans="1:17" s="30" customFormat="1" ht="15.6" x14ac:dyDescent="0.3">
      <c r="A13" s="32"/>
      <c r="B13" s="32"/>
      <c r="C13" s="253" t="str">
        <f>IF(C10&gt;C12, "* Warning: Time required for desorption is less than the amount of time available.", " ")</f>
        <v xml:space="preserve"> </v>
      </c>
      <c r="D13" s="264"/>
      <c r="E13" s="31"/>
      <c r="F13" s="31"/>
    </row>
    <row r="14" spans="1:17" s="30" customFormat="1" ht="15.6" x14ac:dyDescent="0.3">
      <c r="A14" s="32"/>
      <c r="B14" s="32"/>
      <c r="C14" s="266"/>
      <c r="D14" s="32"/>
      <c r="E14" s="267"/>
      <c r="F14" s="32"/>
    </row>
    <row r="15" spans="1:17" s="30" customFormat="1" ht="15.6" x14ac:dyDescent="0.3">
      <c r="A15" s="59" t="s">
        <v>127</v>
      </c>
      <c r="B15" s="63"/>
      <c r="C15" s="64"/>
      <c r="D15" s="59"/>
      <c r="E15" s="59"/>
      <c r="F15" s="62"/>
    </row>
    <row r="16" spans="1:17" s="30" customFormat="1" ht="18.600000000000001" x14ac:dyDescent="0.4">
      <c r="A16" s="32" t="s">
        <v>128</v>
      </c>
      <c r="B16" s="236" t="s">
        <v>129</v>
      </c>
      <c r="C16" s="274">
        <f>'Data Inputs'!B31*('Data Inputs'!B30)^'Data Inputs'!B32</f>
        <v>0.31233512418174508</v>
      </c>
      <c r="D16" s="32" t="s">
        <v>130</v>
      </c>
      <c r="E16" s="32"/>
      <c r="F16" s="32"/>
    </row>
    <row r="17" spans="1:6" s="30" customFormat="1" ht="18" x14ac:dyDescent="0.4">
      <c r="A17" s="32" t="s">
        <v>131</v>
      </c>
      <c r="B17" s="32" t="s">
        <v>132</v>
      </c>
      <c r="C17" s="35">
        <f>0.5*C16</f>
        <v>0.15616756209087254</v>
      </c>
      <c r="D17" s="32" t="s">
        <v>130</v>
      </c>
      <c r="E17" s="32"/>
      <c r="F17" s="32"/>
    </row>
    <row r="18" spans="1:6" s="30" customFormat="1" ht="19.5" customHeight="1" x14ac:dyDescent="0.4">
      <c r="A18" s="268" t="s">
        <v>133</v>
      </c>
      <c r="B18" s="269"/>
      <c r="C18" s="218">
        <f>'Data Inputs'!P13</f>
        <v>1</v>
      </c>
      <c r="D18" s="269" t="str">
        <f>'Data Inputs'!P14</f>
        <v xml:space="preserve"> (* Stainless Steel, 304)     </v>
      </c>
      <c r="E18" s="32"/>
      <c r="F18" s="32"/>
    </row>
    <row r="19" spans="1:6" s="30" customFormat="1" ht="17.25" customHeight="1" x14ac:dyDescent="0.4">
      <c r="A19" s="268" t="s">
        <v>134</v>
      </c>
      <c r="B19" s="32" t="s">
        <v>135</v>
      </c>
      <c r="C19" s="250">
        <f>'Data Inputs'!B19-'Data Inputs'!B20</f>
        <v>1</v>
      </c>
      <c r="D19" s="219" t="s">
        <v>136</v>
      </c>
      <c r="E19" s="32"/>
      <c r="F19" s="32"/>
    </row>
    <row r="20" spans="1:6" s="30" customFormat="1" ht="18" x14ac:dyDescent="0.4">
      <c r="A20" s="32" t="s">
        <v>137</v>
      </c>
      <c r="B20" s="32"/>
      <c r="C20" s="38">
        <f>'Data Inputs'!B20</f>
        <v>2</v>
      </c>
      <c r="D20" s="32" t="s">
        <v>136</v>
      </c>
      <c r="E20" s="32"/>
      <c r="F20" s="32"/>
    </row>
    <row r="21" spans="1:6" ht="15.6" x14ac:dyDescent="0.3">
      <c r="A21" s="32"/>
      <c r="B21" s="39"/>
      <c r="C21" s="39"/>
      <c r="D21" s="39"/>
      <c r="E21" s="39"/>
      <c r="F21" s="39"/>
    </row>
    <row r="22" spans="1:6" ht="16.2" x14ac:dyDescent="0.35">
      <c r="A22" s="32" t="s">
        <v>138</v>
      </c>
      <c r="B22" s="232" t="s">
        <v>139</v>
      </c>
      <c r="C22" s="205">
        <f>'Data Inputs'!B12/'Design Parameters'!C20</f>
        <v>5000</v>
      </c>
      <c r="D22" s="39" t="s">
        <v>140</v>
      </c>
      <c r="E22" s="39"/>
      <c r="F22" s="39"/>
    </row>
    <row r="23" spans="1:6" ht="18" x14ac:dyDescent="0.4">
      <c r="A23" s="32" t="s">
        <v>141</v>
      </c>
      <c r="B23" s="206" t="s">
        <v>142</v>
      </c>
      <c r="C23" s="234">
        <f>(C29/30)/(C22/'Data Inputs'!B16)</f>
        <v>12.10390285083715</v>
      </c>
      <c r="D23" s="39" t="s">
        <v>143</v>
      </c>
      <c r="E23" s="39"/>
      <c r="F23" s="39"/>
    </row>
    <row r="24" spans="1:6" ht="18.600000000000001" x14ac:dyDescent="0.4">
      <c r="A24" s="32" t="s">
        <v>144</v>
      </c>
      <c r="B24" s="206" t="s">
        <v>145</v>
      </c>
      <c r="C24" s="256">
        <f>1+(C23*((0.03679*'Data Inputs'!B16)+((0.0001107)*('Data Inputs'!B16^2))))</f>
        <v>41.934642947603066</v>
      </c>
      <c r="D24" s="39" t="s">
        <v>146</v>
      </c>
      <c r="E24" s="39"/>
      <c r="F24" s="39"/>
    </row>
    <row r="25" spans="1:6" ht="18" x14ac:dyDescent="0.4">
      <c r="A25" s="32" t="s">
        <v>147</v>
      </c>
      <c r="B25" s="206" t="s">
        <v>148</v>
      </c>
      <c r="C25" s="205">
        <f>0.4*C10*(C20*'Data Inputs'!B11)/'Design Parameters'!C11</f>
        <v>340</v>
      </c>
      <c r="D25" s="39" t="s">
        <v>57</v>
      </c>
      <c r="E25" s="39"/>
      <c r="F25" s="39"/>
    </row>
    <row r="26" spans="1:6" s="30" customFormat="1" ht="15.6" x14ac:dyDescent="0.3">
      <c r="A26" s="59" t="s">
        <v>149</v>
      </c>
      <c r="B26" s="59"/>
      <c r="C26" s="61"/>
      <c r="D26" s="59"/>
      <c r="E26" s="59"/>
      <c r="F26" s="62"/>
    </row>
    <row r="27" spans="1:6" s="30" customFormat="1" ht="18" x14ac:dyDescent="0.4">
      <c r="A27" s="32" t="s">
        <v>150</v>
      </c>
      <c r="B27" s="32" t="s">
        <v>151</v>
      </c>
      <c r="C27" s="205">
        <f>('Data Inputs'!B13/C17)*'Data Inputs'!B21*(1+'Design Parameters'!C19/'Design Parameters'!C20)</f>
        <v>72623.417105022905</v>
      </c>
      <c r="D27" s="32" t="s">
        <v>152</v>
      </c>
      <c r="E27" s="32"/>
      <c r="F27" s="32"/>
    </row>
    <row r="28" spans="1:6" s="30" customFormat="1" ht="18" hidden="1" x14ac:dyDescent="0.4">
      <c r="A28" s="32" t="s">
        <v>153</v>
      </c>
      <c r="B28" s="32" t="s">
        <v>154</v>
      </c>
      <c r="C28" s="205">
        <f>('Data Inputs'!B13/'Design Parameters'!C17)*'Data Inputs'!B21</f>
        <v>48415.611403348601</v>
      </c>
      <c r="D28" s="32" t="s">
        <v>152</v>
      </c>
      <c r="E28" s="32"/>
      <c r="F28" s="32"/>
    </row>
    <row r="29" spans="1:6" ht="16.2" x14ac:dyDescent="0.35">
      <c r="A29" s="39" t="s">
        <v>155</v>
      </c>
      <c r="B29" s="232" t="s">
        <v>156</v>
      </c>
      <c r="C29" s="205">
        <f>IF('Data Inputs'!L19=2,(C27/(C19+C20)),IF('Data Inputs'!L19=3,(C28),0))</f>
        <v>24207.805701674301</v>
      </c>
      <c r="D29" s="39" t="s">
        <v>157</v>
      </c>
      <c r="E29" s="39"/>
      <c r="F29" s="39"/>
    </row>
    <row r="30" spans="1:6" ht="15.6" x14ac:dyDescent="0.3">
      <c r="A30" s="39"/>
      <c r="B30" s="232"/>
      <c r="C30" s="205"/>
      <c r="D30" s="39"/>
      <c r="E30" s="39"/>
      <c r="F30" s="39"/>
    </row>
    <row r="31" spans="1:6" s="30" customFormat="1" ht="15.6" x14ac:dyDescent="0.3">
      <c r="A31" s="59" t="s">
        <v>158</v>
      </c>
      <c r="B31" s="63"/>
      <c r="C31" s="64"/>
      <c r="D31" s="59"/>
      <c r="E31" s="59"/>
      <c r="F31" s="62"/>
    </row>
    <row r="32" spans="1:6" s="91" customFormat="1" ht="15.6" x14ac:dyDescent="0.3">
      <c r="A32" s="255" t="s">
        <v>159</v>
      </c>
      <c r="B32" s="32"/>
      <c r="C32" s="235" t="str">
        <f>'Data Inputs'!P15</f>
        <v>Horizontal</v>
      </c>
      <c r="D32" s="209"/>
      <c r="E32" s="209"/>
      <c r="F32" s="32"/>
    </row>
    <row r="33" spans="1:6" s="9" customFormat="1" ht="18" x14ac:dyDescent="0.4">
      <c r="A33" s="255" t="s">
        <v>160</v>
      </c>
      <c r="B33" s="270" t="s">
        <v>161</v>
      </c>
      <c r="C33" s="233">
        <f>(0.127*C29*'Data Inputs'!B16)/C22</f>
        <v>46.115869861689539</v>
      </c>
      <c r="D33" s="255" t="s">
        <v>162</v>
      </c>
      <c r="E33" s="255"/>
      <c r="F33" s="255"/>
    </row>
    <row r="34" spans="1:6" s="9" customFormat="1" ht="18.600000000000001" x14ac:dyDescent="0.4">
      <c r="A34" s="255" t="s">
        <v>163</v>
      </c>
      <c r="B34" s="271" t="s">
        <v>164</v>
      </c>
      <c r="C34" s="233">
        <f>(7.87/C29)*(C22/'Data Inputs'!B16)^2</f>
        <v>1.4448966671670946</v>
      </c>
      <c r="D34" s="255" t="s">
        <v>162</v>
      </c>
      <c r="E34" s="255"/>
      <c r="F34" s="255"/>
    </row>
    <row r="35" spans="1:6" s="30" customFormat="1" ht="15.6" x14ac:dyDescent="0.3">
      <c r="A35" s="39" t="s">
        <v>165</v>
      </c>
      <c r="B35" s="232" t="s">
        <v>166</v>
      </c>
      <c r="C35" s="38">
        <f>PI()*C33*(C34+C33/2)</f>
        <v>3549.9035445112445</v>
      </c>
      <c r="D35" s="32" t="s">
        <v>167</v>
      </c>
      <c r="E35" s="32"/>
      <c r="F35" s="32"/>
    </row>
    <row r="36" spans="1:6" s="9" customFormat="1" ht="18" hidden="1" x14ac:dyDescent="0.4">
      <c r="A36" s="255" t="s">
        <v>160</v>
      </c>
      <c r="B36" s="270" t="s">
        <v>168</v>
      </c>
      <c r="C36" s="233">
        <f>((4*C22)/(PI()*'Data Inputs'!B16))^0.5</f>
        <v>9.2131773192356121</v>
      </c>
      <c r="D36" s="255" t="s">
        <v>162</v>
      </c>
      <c r="E36" s="255"/>
      <c r="F36" s="255"/>
    </row>
    <row r="37" spans="1:6" s="9" customFormat="1" ht="18" hidden="1" x14ac:dyDescent="0.4">
      <c r="A37" s="255" t="s">
        <v>163</v>
      </c>
      <c r="B37" s="271" t="s">
        <v>169</v>
      </c>
      <c r="C37" s="233">
        <f xml:space="preserve"> C23+4</f>
        <v>16.103902850837152</v>
      </c>
      <c r="D37" s="255" t="s">
        <v>162</v>
      </c>
      <c r="E37" s="255"/>
      <c r="F37" s="255"/>
    </row>
    <row r="38" spans="1:6" s="30" customFormat="1" ht="15.6" hidden="1" x14ac:dyDescent="0.3">
      <c r="A38" s="39" t="s">
        <v>165</v>
      </c>
      <c r="B38" s="232" t="s">
        <v>166</v>
      </c>
      <c r="C38" s="38">
        <f>PI()*C36*(C37+C36/2)</f>
        <v>599.44550557934224</v>
      </c>
      <c r="D38" s="32" t="s">
        <v>167</v>
      </c>
      <c r="E38" s="32"/>
      <c r="F38" s="32"/>
    </row>
    <row r="39" spans="1:6" s="30" customFormat="1" ht="15.6" x14ac:dyDescent="0.3">
      <c r="A39" s="32"/>
      <c r="B39" s="32"/>
      <c r="C39" s="34"/>
      <c r="D39" s="32"/>
      <c r="E39" s="32"/>
      <c r="F39" s="32"/>
    </row>
    <row r="40" spans="1:6" s="30" customFormat="1" ht="15.6" x14ac:dyDescent="0.3">
      <c r="A40" s="59" t="s">
        <v>170</v>
      </c>
      <c r="B40" s="59"/>
      <c r="C40" s="61"/>
      <c r="D40" s="59"/>
      <c r="E40" s="59"/>
      <c r="F40" s="62"/>
    </row>
    <row r="41" spans="1:6" s="30" customFormat="1" ht="18.600000000000001" x14ac:dyDescent="0.4">
      <c r="A41" s="255" t="s">
        <v>171</v>
      </c>
      <c r="B41" s="255" t="s">
        <v>172</v>
      </c>
      <c r="C41" s="257">
        <f>0.746*(0.00025)*C24*'Data Inputs'!B12*'Data Inputs'!B11</f>
        <v>79772.27127922533</v>
      </c>
      <c r="D41" s="255" t="s">
        <v>173</v>
      </c>
      <c r="E41" s="209"/>
      <c r="F41" s="32"/>
    </row>
    <row r="42" spans="1:6" s="30" customFormat="1" ht="18.600000000000001" x14ac:dyDescent="0.4">
      <c r="A42" s="255" t="s">
        <v>174</v>
      </c>
      <c r="B42" s="255" t="s">
        <v>175</v>
      </c>
      <c r="C42" s="257">
        <f>0.746*(0.00025)*C24*3000*C25</f>
        <v>7977.2271279225315</v>
      </c>
      <c r="D42" s="255" t="s">
        <v>173</v>
      </c>
      <c r="E42" s="209"/>
      <c r="F42" s="32"/>
    </row>
    <row r="43" spans="1:6" s="30" customFormat="1" ht="18.600000000000001" x14ac:dyDescent="0.4">
      <c r="A43" s="255" t="s">
        <v>176</v>
      </c>
      <c r="B43" s="255" t="s">
        <v>177</v>
      </c>
      <c r="C43" s="257">
        <f>(0.746)*((0.000252*100)/0.63)*(C51/((0.6*C10*C20*'Data Inputs'!B11)/'Design Parameters'!C11)*60)</f>
        <v>27085.523532816002</v>
      </c>
      <c r="D43" s="255" t="s">
        <v>173</v>
      </c>
      <c r="E43" s="209"/>
      <c r="F43" s="32"/>
    </row>
    <row r="44" spans="1:6" s="30" customFormat="1" ht="18" x14ac:dyDescent="0.4">
      <c r="A44" s="32" t="s">
        <v>178</v>
      </c>
      <c r="B44" s="32" t="s">
        <v>179</v>
      </c>
      <c r="C44" s="205">
        <f>C41+C42+C43</f>
        <v>114835.02193996386</v>
      </c>
      <c r="D44" s="32" t="s">
        <v>173</v>
      </c>
      <c r="E44" s="32"/>
      <c r="F44" s="32"/>
    </row>
    <row r="45" spans="1:6" s="30" customFormat="1" ht="15.6" x14ac:dyDescent="0.3">
      <c r="A45" s="32"/>
      <c r="B45" s="32"/>
      <c r="C45" s="34"/>
      <c r="D45" s="32"/>
      <c r="E45" s="32"/>
      <c r="F45" s="32"/>
    </row>
    <row r="46" spans="1:6" s="30" customFormat="1" ht="15.6" x14ac:dyDescent="0.3">
      <c r="A46" s="59" t="s">
        <v>180</v>
      </c>
      <c r="B46" s="59"/>
      <c r="C46" s="61"/>
      <c r="D46" s="59"/>
      <c r="E46" s="59"/>
      <c r="F46" s="62"/>
    </row>
    <row r="47" spans="1:6" s="30" customFormat="1" ht="18" x14ac:dyDescent="0.4">
      <c r="A47" s="32" t="s">
        <v>181</v>
      </c>
      <c r="B47" s="206" t="s">
        <v>182</v>
      </c>
      <c r="C47" s="205">
        <f>3.5*'Data Inputs'!B13*'Data Inputs'!B11</f>
        <v>2249382.0299999998</v>
      </c>
      <c r="D47" s="32" t="s">
        <v>183</v>
      </c>
      <c r="E47" s="32"/>
      <c r="F47" s="32"/>
    </row>
    <row r="48" spans="1:6" s="30" customFormat="1" ht="15.6" x14ac:dyDescent="0.3">
      <c r="A48" s="32"/>
      <c r="B48" s="39"/>
      <c r="C48" s="34"/>
      <c r="D48" s="32"/>
      <c r="E48" s="32"/>
      <c r="F48" s="32"/>
    </row>
    <row r="49" spans="1:17" s="30" customFormat="1" ht="15.6" x14ac:dyDescent="0.3">
      <c r="A49" s="32"/>
      <c r="B49" s="32"/>
      <c r="C49" s="34"/>
      <c r="D49" s="32"/>
      <c r="E49" s="32"/>
      <c r="F49" s="32"/>
    </row>
    <row r="50" spans="1:17" s="30" customFormat="1" ht="15.6" x14ac:dyDescent="0.3">
      <c r="A50" s="59" t="s">
        <v>184</v>
      </c>
      <c r="B50" s="59"/>
      <c r="C50" s="61"/>
      <c r="D50" s="59"/>
      <c r="E50" s="59"/>
      <c r="F50" s="62"/>
    </row>
    <row r="51" spans="1:17" s="30" customFormat="1" ht="18" x14ac:dyDescent="0.4">
      <c r="A51" s="32" t="s">
        <v>185</v>
      </c>
      <c r="B51" s="206" t="s">
        <v>186</v>
      </c>
      <c r="C51" s="205">
        <f>C47*3.43</f>
        <v>7715380.3629000001</v>
      </c>
      <c r="D51" s="32" t="s">
        <v>187</v>
      </c>
      <c r="E51" s="32"/>
      <c r="F51" s="32"/>
    </row>
    <row r="52" spans="1:17" s="30" customFormat="1" ht="15.6" x14ac:dyDescent="0.3">
      <c r="A52" s="32"/>
      <c r="B52" s="206"/>
      <c r="C52" s="205"/>
      <c r="D52" s="32"/>
      <c r="E52" s="32"/>
      <c r="F52" s="32"/>
    </row>
    <row r="53" spans="1:17" s="30" customFormat="1" ht="18" hidden="1" x14ac:dyDescent="0.35">
      <c r="A53" s="91"/>
      <c r="B53" s="26"/>
      <c r="C53" s="273"/>
      <c r="D53" s="46"/>
      <c r="E53" s="263"/>
      <c r="F53" s="26"/>
    </row>
    <row r="54" spans="1:17" s="30" customFormat="1" ht="18.600000000000001" hidden="1" x14ac:dyDescent="0.4">
      <c r="A54" s="19" t="s">
        <v>188</v>
      </c>
      <c r="B54" s="311" t="s">
        <v>189</v>
      </c>
      <c r="C54" s="273">
        <f>'Data Inputs'!B11/'Data Inputs'!B25</f>
        <v>0.23287671232876711</v>
      </c>
      <c r="D54" s="46"/>
      <c r="E54" s="263"/>
      <c r="F54" s="26"/>
    </row>
    <row r="55" spans="1:17" s="30" customFormat="1" ht="15.6" hidden="1" x14ac:dyDescent="0.3">
      <c r="A55" s="32"/>
      <c r="B55" s="265"/>
      <c r="C55" s="38"/>
      <c r="D55" s="32"/>
      <c r="E55" s="266"/>
      <c r="F55" s="32"/>
    </row>
    <row r="56" spans="1:17" s="30" customFormat="1" ht="15.6" hidden="1" x14ac:dyDescent="0.3">
      <c r="A56" s="59" t="s">
        <v>190</v>
      </c>
      <c r="B56" s="63"/>
      <c r="C56" s="64"/>
      <c r="D56" s="59"/>
      <c r="E56" s="59"/>
      <c r="F56" s="62"/>
    </row>
    <row r="57" spans="1:17" s="30" customFormat="1" ht="18" hidden="1" x14ac:dyDescent="0.4">
      <c r="A57" s="46" t="s">
        <v>124</v>
      </c>
      <c r="B57" s="265" t="s">
        <v>191</v>
      </c>
      <c r="C57" s="273">
        <f>'Data Inputs'!B25</f>
        <v>4380</v>
      </c>
      <c r="D57" s="46" t="s">
        <v>57</v>
      </c>
      <c r="E57" s="209"/>
      <c r="F57" s="32"/>
    </row>
    <row r="58" spans="1:17" s="18" customFormat="1" ht="18.600000000000001" hidden="1" x14ac:dyDescent="0.4">
      <c r="A58" s="32" t="s">
        <v>128</v>
      </c>
      <c r="B58" s="236" t="s">
        <v>129</v>
      </c>
      <c r="C58" s="274">
        <f>'Data Inputs'!B31*('Data Inputs'!B30)^'Data Inputs'!B32</f>
        <v>0.31233512418174508</v>
      </c>
      <c r="D58" s="32" t="s">
        <v>130</v>
      </c>
      <c r="E58" s="32"/>
      <c r="F58" s="32"/>
      <c r="G58" s="19"/>
      <c r="H58" s="19"/>
      <c r="I58" s="19"/>
      <c r="J58" s="19"/>
      <c r="K58" s="19"/>
      <c r="L58" s="19"/>
      <c r="M58" s="19"/>
      <c r="O58" s="19"/>
      <c r="P58" s="19"/>
      <c r="Q58" s="19"/>
    </row>
    <row r="59" spans="1:17" s="17" customFormat="1" ht="18" hidden="1" customHeight="1" x14ac:dyDescent="0.4">
      <c r="A59" s="32" t="s">
        <v>131</v>
      </c>
      <c r="B59" s="32" t="s">
        <v>132</v>
      </c>
      <c r="C59" s="35">
        <f>0.5*C58</f>
        <v>0.15616756209087254</v>
      </c>
      <c r="D59" s="32" t="s">
        <v>130</v>
      </c>
      <c r="E59" s="32"/>
      <c r="F59" s="32"/>
    </row>
    <row r="60" spans="1:17" s="17" customFormat="1" ht="18" hidden="1" customHeight="1" x14ac:dyDescent="0.4">
      <c r="A60" s="32" t="s">
        <v>192</v>
      </c>
      <c r="B60" s="32" t="s">
        <v>154</v>
      </c>
      <c r="C60" s="205">
        <f>('Data Inputs'!B13/'Design Parameters'!C58)*C57</f>
        <v>8835849.0811111201</v>
      </c>
      <c r="D60" s="32" t="s">
        <v>152</v>
      </c>
      <c r="E60" s="266"/>
      <c r="F60" s="32"/>
    </row>
    <row r="61" spans="1:17" s="17" customFormat="1" ht="18" hidden="1" customHeight="1" x14ac:dyDescent="0.4">
      <c r="A61" s="32" t="s">
        <v>193</v>
      </c>
      <c r="B61" s="32" t="s">
        <v>194</v>
      </c>
      <c r="C61" s="205">
        <f>ROUNDUP((C60/'Data Inputs'!B24),0.1)</f>
        <v>2946</v>
      </c>
      <c r="D61" s="32" t="s">
        <v>195</v>
      </c>
      <c r="E61" s="266"/>
      <c r="F61" s="32"/>
    </row>
    <row r="62" spans="1:17" s="17" customFormat="1" ht="18" hidden="1" customHeight="1" x14ac:dyDescent="0.3">
      <c r="A62" s="32" t="str">
        <f>"Total Quantity of Carbon Required for "&amp;C61&amp;" Canisters ="</f>
        <v>Total Quantity of Carbon Required for 2946 Canisters =</v>
      </c>
      <c r="B62" s="32" t="s">
        <v>196</v>
      </c>
      <c r="C62" s="205">
        <f>C61*'Data Inputs'!B24</f>
        <v>8838000</v>
      </c>
      <c r="D62" s="32" t="s">
        <v>152</v>
      </c>
      <c r="E62" s="266"/>
      <c r="F62" s="32"/>
    </row>
    <row r="63" spans="1:17" s="30" customFormat="1" ht="15.6" x14ac:dyDescent="0.3">
      <c r="A63" s="58" t="s">
        <v>197</v>
      </c>
      <c r="B63" s="65"/>
      <c r="C63" s="65"/>
      <c r="D63" s="65"/>
      <c r="E63" s="65"/>
      <c r="F63" s="65"/>
    </row>
    <row r="64" spans="1:17" ht="15" customHeight="1" x14ac:dyDescent="0.3">
      <c r="A64" s="374" t="str">
        <f>"Capital Recovery Factor for "&amp;(IF('Data Inputs'!L1&gt;1,"adsorber vessels and auxiliary equipment (CFRabsorber)=","auxiliary equipment (CFRaux) ="))</f>
        <v>Capital Recovery Factor for adsorber vessels and auxiliary equipment (CFRabsorber)=</v>
      </c>
      <c r="B64" s="155" t="s">
        <v>198</v>
      </c>
      <c r="C64" s="118">
        <f>(('Data Inputs'!B38/100)*(1+('Data Inputs'!B38/100))^'Data Inputs'!B17)/(((1+('Data Inputs'!B38/100))^'Data Inputs'!B17)-1)</f>
        <v>9.9625597604811239E-2</v>
      </c>
      <c r="D64" s="154"/>
      <c r="E64" s="47"/>
      <c r="F64" s="47"/>
    </row>
    <row r="65" spans="1:6" ht="15.6" x14ac:dyDescent="0.3">
      <c r="A65" s="374"/>
      <c r="B65" s="154" t="s">
        <v>199</v>
      </c>
      <c r="C65" s="118"/>
      <c r="D65" s="154"/>
      <c r="E65" s="156"/>
      <c r="F65" s="47"/>
    </row>
    <row r="66" spans="1:6" ht="17.399999999999999" x14ac:dyDescent="0.3">
      <c r="A66" s="371" t="s">
        <v>200</v>
      </c>
      <c r="B66" s="155" t="s">
        <v>198</v>
      </c>
      <c r="C66" s="118">
        <f>((('Data Inputs'!B38/100)*(1+('Data Inputs'!B38/100))^'Data Inputs'!B18)/(((1+('Data Inputs'!B38/100))^'Data Inputs'!B18)-1))</f>
        <v>0.2341764361857932</v>
      </c>
      <c r="D66" s="154"/>
      <c r="E66" s="47"/>
      <c r="F66" s="47"/>
    </row>
    <row r="67" spans="1:6" ht="15.6" x14ac:dyDescent="0.3">
      <c r="A67" s="371"/>
      <c r="B67" s="154" t="s">
        <v>201</v>
      </c>
      <c r="C67" s="118"/>
      <c r="D67" s="154"/>
      <c r="E67" s="156"/>
      <c r="F67" s="47"/>
    </row>
    <row r="68" spans="1:6" ht="17.399999999999999" hidden="1" x14ac:dyDescent="0.3">
      <c r="A68" s="371" t="s">
        <v>202</v>
      </c>
      <c r="B68" s="155" t="s">
        <v>198</v>
      </c>
      <c r="C68" s="118">
        <f>IF(C54&gt;1, "Not applicable: Canisters are replaced "&amp;C54&amp;" times/year", ((('Data Inputs'!B38/100)*(1+('Data Inputs'!B38/100))^(1/C54))/(((1+('Data Inputs'!B38/100))^(1/C54))-1)))</f>
        <v>0.2677765064348116</v>
      </c>
      <c r="D68" s="154"/>
      <c r="E68" s="47"/>
      <c r="F68" s="47"/>
    </row>
    <row r="69" spans="1:6" ht="15.6" hidden="1" x14ac:dyDescent="0.3">
      <c r="A69" s="371"/>
      <c r="B69" s="154" t="s">
        <v>203</v>
      </c>
      <c r="C69" s="312"/>
      <c r="D69" s="154"/>
      <c r="E69" s="156"/>
      <c r="F69" s="47"/>
    </row>
    <row r="70" spans="1:6" ht="15.6" x14ac:dyDescent="0.3">
      <c r="D70" s="25"/>
      <c r="E70" s="17"/>
      <c r="F70" s="17"/>
    </row>
  </sheetData>
  <mergeCells count="5">
    <mergeCell ref="A66:A67"/>
    <mergeCell ref="A1:F1"/>
    <mergeCell ref="A3:F3"/>
    <mergeCell ref="A64:A65"/>
    <mergeCell ref="A68:A69"/>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X229"/>
  <sheetViews>
    <sheetView showGridLines="0" topLeftCell="A60" zoomScaleNormal="100" workbookViewId="0">
      <selection activeCell="C47" sqref="C47"/>
    </sheetView>
  </sheetViews>
  <sheetFormatPr defaultColWidth="9.109375" defaultRowHeight="14.4" x14ac:dyDescent="0.3"/>
  <cols>
    <col min="1" max="1" width="63.5546875" customWidth="1"/>
    <col min="2" max="2" width="74.44140625" customWidth="1"/>
    <col min="3" max="3" width="19.88671875" style="2" customWidth="1"/>
    <col min="4" max="4" width="55" customWidth="1"/>
    <col min="5" max="5" width="19.44140625" customWidth="1"/>
    <col min="6" max="6" width="16" customWidth="1"/>
    <col min="12" max="12" width="9.109375" customWidth="1"/>
    <col min="13" max="13" width="29.5546875" customWidth="1"/>
    <col min="14" max="24" width="9.109375" customWidth="1"/>
  </cols>
  <sheetData>
    <row r="1" spans="1:24" ht="23.4" x14ac:dyDescent="0.45">
      <c r="A1" s="375" t="s">
        <v>204</v>
      </c>
      <c r="B1" s="375"/>
      <c r="C1" s="375"/>
      <c r="D1" s="375"/>
      <c r="L1">
        <v>3</v>
      </c>
      <c r="P1" s="130"/>
    </row>
    <row r="2" spans="1:24" s="3" customFormat="1" ht="23.4" x14ac:dyDescent="0.45">
      <c r="A2" s="45"/>
      <c r="B2" s="45"/>
      <c r="C2" s="45"/>
      <c r="M2" s="231"/>
      <c r="N2" s="231"/>
      <c r="O2" s="231"/>
      <c r="P2" s="231"/>
      <c r="Q2" s="231"/>
      <c r="R2" s="231"/>
      <c r="S2" s="231"/>
      <c r="T2" s="231"/>
      <c r="U2" s="231"/>
      <c r="V2" s="231"/>
      <c r="W2" s="231"/>
      <c r="X2"/>
    </row>
    <row r="3" spans="1:24" ht="21" x14ac:dyDescent="0.4">
      <c r="A3" s="376" t="s">
        <v>205</v>
      </c>
      <c r="B3" s="376"/>
      <c r="C3" s="376"/>
      <c r="D3" s="376"/>
      <c r="E3" s="1"/>
      <c r="F3" s="1"/>
    </row>
    <row r="4" spans="1:24" s="4" customFormat="1" ht="15.6" x14ac:dyDescent="0.3">
      <c r="A4" s="77"/>
      <c r="B4" s="77"/>
      <c r="C4" s="377"/>
      <c r="D4" s="78"/>
      <c r="E4" s="163"/>
      <c r="F4" s="79"/>
      <c r="M4"/>
      <c r="N4"/>
      <c r="O4"/>
      <c r="P4"/>
      <c r="Q4"/>
      <c r="R4"/>
      <c r="S4"/>
      <c r="T4"/>
      <c r="U4"/>
      <c r="V4"/>
      <c r="W4"/>
      <c r="X4"/>
    </row>
    <row r="5" spans="1:24" s="30" customFormat="1" ht="15.6" x14ac:dyDescent="0.3">
      <c r="A5" s="42" t="str">
        <f>"Estimated capital costs for a "&amp;'Data Inputs'!R1&amp;" with the following characteristics:"</f>
        <v>Estimated capital costs for a Fixed-Bed Carbon Adsorber with Steam Regeneration with the following characteristics:</v>
      </c>
      <c r="B5" s="43"/>
      <c r="C5" s="377"/>
      <c r="D5" s="37"/>
      <c r="L5" s="30">
        <v>2</v>
      </c>
      <c r="M5"/>
      <c r="N5"/>
      <c r="O5"/>
      <c r="P5"/>
      <c r="Q5"/>
      <c r="R5"/>
      <c r="S5"/>
      <c r="T5"/>
      <c r="U5"/>
      <c r="V5"/>
      <c r="W5"/>
      <c r="X5"/>
    </row>
    <row r="6" spans="1:24" s="30" customFormat="1" ht="15.6" x14ac:dyDescent="0.3">
      <c r="A6" s="319" t="s">
        <v>206</v>
      </c>
      <c r="B6" s="80" t="str">
        <f>'Data Inputs'!B29</f>
        <v>Benzene</v>
      </c>
      <c r="C6" s="377"/>
      <c r="D6" s="37"/>
      <c r="M6"/>
      <c r="N6"/>
      <c r="O6"/>
      <c r="P6"/>
      <c r="Q6"/>
      <c r="R6"/>
      <c r="S6"/>
      <c r="T6"/>
      <c r="U6"/>
      <c r="V6"/>
      <c r="W6"/>
      <c r="X6"/>
    </row>
    <row r="7" spans="1:24" s="30" customFormat="1" ht="15.6" x14ac:dyDescent="0.3">
      <c r="A7" s="41" t="s">
        <v>207</v>
      </c>
      <c r="B7" s="74" t="str">
        <f>'Data Inputs'!P15</f>
        <v>Horizontal</v>
      </c>
      <c r="C7" s="377"/>
      <c r="D7" s="37"/>
      <c r="M7"/>
      <c r="N7"/>
      <c r="O7"/>
      <c r="P7"/>
      <c r="Q7"/>
      <c r="R7"/>
      <c r="S7"/>
      <c r="T7"/>
      <c r="U7"/>
      <c r="V7"/>
      <c r="W7"/>
      <c r="X7"/>
    </row>
    <row r="8" spans="1:24" s="30" customFormat="1" ht="15.6" x14ac:dyDescent="0.3">
      <c r="A8" s="41" t="s">
        <v>208</v>
      </c>
      <c r="B8" s="75" t="str">
        <f>'Data Inputs'!P19</f>
        <v>Continuous Operation</v>
      </c>
      <c r="C8" s="377"/>
      <c r="D8" s="50"/>
      <c r="M8"/>
      <c r="N8"/>
      <c r="O8"/>
      <c r="P8"/>
      <c r="Q8"/>
      <c r="R8"/>
      <c r="S8"/>
      <c r="T8"/>
      <c r="U8"/>
      <c r="V8"/>
      <c r="W8"/>
      <c r="X8"/>
    </row>
    <row r="9" spans="1:24" s="30" customFormat="1" ht="15.6" x14ac:dyDescent="0.3">
      <c r="B9" s="157"/>
      <c r="C9" s="158"/>
      <c r="D9" s="159"/>
      <c r="M9" s="20"/>
      <c r="N9" s="20"/>
      <c r="O9" s="20"/>
      <c r="P9" s="20"/>
      <c r="Q9" s="20"/>
      <c r="R9" s="20"/>
      <c r="S9" s="20"/>
      <c r="T9" s="20"/>
      <c r="U9" s="20"/>
      <c r="V9" s="20"/>
      <c r="W9" s="20"/>
      <c r="X9" s="20"/>
    </row>
    <row r="10" spans="1:24" s="4" customFormat="1" ht="15.6" x14ac:dyDescent="0.3">
      <c r="A10" s="71" t="str">
        <f>"Total Capital Investment (TCI) (in "&amp;'Data Inputs'!B36&amp;" dollars)"</f>
        <v>Total Capital Investment (TCI) (in 2021 dollars)</v>
      </c>
      <c r="B10" s="71"/>
      <c r="C10" s="71"/>
      <c r="D10" s="71"/>
      <c r="E10" s="79"/>
      <c r="F10" s="79"/>
      <c r="M10"/>
      <c r="N10"/>
      <c r="O10"/>
      <c r="P10"/>
      <c r="Q10"/>
      <c r="R10"/>
      <c r="S10"/>
      <c r="T10"/>
      <c r="U10"/>
      <c r="V10"/>
      <c r="W10"/>
      <c r="X10"/>
    </row>
    <row r="11" spans="1:24" s="4" customFormat="1" ht="15.6" x14ac:dyDescent="0.3">
      <c r="A11" s="81" t="s">
        <v>117</v>
      </c>
      <c r="B11" s="81" t="s">
        <v>118</v>
      </c>
      <c r="C11" s="82" t="s">
        <v>209</v>
      </c>
      <c r="D11" s="83"/>
      <c r="E11" s="79"/>
      <c r="F11" s="79"/>
      <c r="M11"/>
      <c r="N11"/>
      <c r="O11"/>
      <c r="P11"/>
      <c r="Q11"/>
      <c r="R11"/>
      <c r="S11"/>
      <c r="T11"/>
      <c r="U11"/>
      <c r="V11"/>
      <c r="W11"/>
      <c r="X11"/>
    </row>
    <row r="12" spans="1:24" s="30" customFormat="1" ht="18.600000000000001" x14ac:dyDescent="0.4">
      <c r="A12" s="30" t="s">
        <v>210</v>
      </c>
      <c r="B12" s="30" t="s">
        <v>211</v>
      </c>
      <c r="C12" s="87">
        <f>271*'Design Parameters'!C18*(IF('Data Inputs'!L15=2, ('Design Parameters'!C35^0.778), IF('Data Inputs'!L15=3, ('Design Parameters'!C38^0.778), 0)))*('Data Inputs'!B37/'Data Inputs'!E37)</f>
        <v>284013.37176344858</v>
      </c>
    </row>
    <row r="13" spans="1:24" s="30" customFormat="1" ht="18.600000000000001" x14ac:dyDescent="0.4">
      <c r="A13" s="30" t="s">
        <v>212</v>
      </c>
      <c r="B13" s="91" t="s">
        <v>213</v>
      </c>
      <c r="C13" s="87">
        <f>5.82*('Data Inputs'!B12^-0.133)*(('Data Inputs'!B48*'Design Parameters'!C27)+(('Design Parameters'!C19+'Design Parameters'!C20)*C12))</f>
        <v>1978236.8587018731</v>
      </c>
      <c r="N13" s="227"/>
      <c r="O13" s="227"/>
    </row>
    <row r="14" spans="1:24" s="4" customFormat="1" ht="18.600000000000001" x14ac:dyDescent="0.4">
      <c r="A14" s="30" t="s">
        <v>214</v>
      </c>
      <c r="B14" s="91" t="s">
        <v>215</v>
      </c>
      <c r="C14" s="87">
        <f>'Data Inputs'!B56</f>
        <v>32000</v>
      </c>
      <c r="M14" s="221"/>
      <c r="N14" s="224"/>
      <c r="O14" s="228"/>
    </row>
    <row r="15" spans="1:24" s="4" customFormat="1" ht="18.600000000000001" x14ac:dyDescent="0.4">
      <c r="A15" s="37" t="s">
        <v>216</v>
      </c>
      <c r="B15" s="220" t="s">
        <v>217</v>
      </c>
      <c r="C15" s="87">
        <f>C13+C14</f>
        <v>2010236.8587018731</v>
      </c>
      <c r="D15" s="89"/>
      <c r="E15" s="90"/>
      <c r="F15" s="90"/>
      <c r="G15" s="91"/>
      <c r="H15" s="91"/>
      <c r="I15" s="91"/>
      <c r="J15" s="91"/>
      <c r="K15" s="91"/>
      <c r="L15" s="91">
        <v>2</v>
      </c>
      <c r="M15" s="221"/>
      <c r="N15" s="225"/>
      <c r="O15" s="226"/>
      <c r="P15" s="4" t="s">
        <v>44</v>
      </c>
    </row>
    <row r="16" spans="1:24" s="92" customFormat="1" ht="18" x14ac:dyDescent="0.35">
      <c r="A16" s="210"/>
      <c r="B16" s="210"/>
      <c r="C16" s="164"/>
      <c r="D16" s="93"/>
      <c r="E16" s="94"/>
      <c r="F16" s="94"/>
      <c r="G16" s="95"/>
      <c r="H16" s="95"/>
      <c r="I16" s="95"/>
      <c r="J16" s="95"/>
      <c r="K16" s="95"/>
      <c r="L16" s="95"/>
      <c r="M16" s="221"/>
      <c r="N16" s="225"/>
      <c r="O16" s="226"/>
    </row>
    <row r="17" spans="1:15" s="4" customFormat="1" ht="18" x14ac:dyDescent="0.35">
      <c r="A17" s="30" t="s">
        <v>218</v>
      </c>
      <c r="B17" s="30" t="s">
        <v>219</v>
      </c>
      <c r="C17" s="87" t="s">
        <v>220</v>
      </c>
      <c r="D17" s="91"/>
      <c r="E17" s="91"/>
      <c r="F17" s="90"/>
      <c r="G17" s="91"/>
      <c r="H17" s="91"/>
      <c r="I17" s="91"/>
      <c r="J17" s="91"/>
      <c r="K17" s="91"/>
      <c r="L17" s="91"/>
      <c r="M17" s="221"/>
      <c r="N17" s="225"/>
      <c r="O17" s="226"/>
    </row>
    <row r="18" spans="1:15" s="4" customFormat="1" ht="18" x14ac:dyDescent="0.35">
      <c r="A18" s="30" t="s">
        <v>221</v>
      </c>
      <c r="B18" s="30" t="s">
        <v>222</v>
      </c>
      <c r="C18" s="87">
        <f>0.03*C15</f>
        <v>60307.105761056191</v>
      </c>
      <c r="D18" s="91"/>
      <c r="E18" s="91"/>
      <c r="F18" s="91"/>
      <c r="G18" s="91"/>
      <c r="H18" s="91"/>
      <c r="I18" s="91"/>
      <c r="J18" s="91"/>
      <c r="K18" s="91"/>
      <c r="L18" s="91"/>
      <c r="M18" s="223"/>
      <c r="N18" s="225"/>
      <c r="O18" s="226"/>
    </row>
    <row r="19" spans="1:15" s="4" customFormat="1" ht="18" x14ac:dyDescent="0.35">
      <c r="A19" s="30" t="s">
        <v>223</v>
      </c>
      <c r="B19" s="30" t="s">
        <v>224</v>
      </c>
      <c r="C19" s="87">
        <f>0.05*C15</f>
        <v>100511.84293509366</v>
      </c>
      <c r="D19" s="91"/>
      <c r="E19" s="91"/>
      <c r="F19" s="91"/>
      <c r="G19" s="91"/>
      <c r="H19" s="91"/>
      <c r="I19" s="91"/>
      <c r="J19" s="91"/>
      <c r="K19" s="91"/>
      <c r="L19" s="91">
        <v>2</v>
      </c>
      <c r="M19" s="223"/>
      <c r="N19" s="225"/>
      <c r="O19" s="226"/>
    </row>
    <row r="20" spans="1:15" s="4" customFormat="1" ht="15.6" x14ac:dyDescent="0.3">
      <c r="C20" s="96"/>
      <c r="D20" s="91"/>
      <c r="E20" s="91"/>
      <c r="F20" s="91"/>
      <c r="G20" s="91"/>
      <c r="H20" s="91"/>
      <c r="I20" s="91"/>
      <c r="J20" s="91"/>
      <c r="K20" s="91"/>
      <c r="L20" s="91"/>
      <c r="M20" s="91"/>
      <c r="N20" s="91"/>
      <c r="O20" s="91"/>
    </row>
    <row r="21" spans="1:15" s="4" customFormat="1" ht="16.5" customHeight="1" x14ac:dyDescent="0.3">
      <c r="A21" s="378" t="s">
        <v>225</v>
      </c>
      <c r="B21" s="378"/>
      <c r="C21" s="85">
        <f>C15+C18+C19</f>
        <v>2171055.8073980231</v>
      </c>
    </row>
    <row r="22" spans="1:15" s="4" customFormat="1" ht="14.25" customHeight="1" x14ac:dyDescent="0.3">
      <c r="C22" s="88"/>
    </row>
    <row r="23" spans="1:15" s="4" customFormat="1" ht="15.6" x14ac:dyDescent="0.3">
      <c r="A23" s="72" t="str">
        <f>"Direct Installation Costs (in "&amp;'Data Inputs'!B36&amp;" dollars)"</f>
        <v>Direct Installation Costs (in 2021 dollars)</v>
      </c>
      <c r="B23" s="72"/>
      <c r="C23" s="76"/>
      <c r="D23" s="72"/>
    </row>
    <row r="24" spans="1:15" s="4" customFormat="1" ht="15.6" x14ac:dyDescent="0.3">
      <c r="A24" s="81" t="s">
        <v>117</v>
      </c>
      <c r="B24" s="81" t="s">
        <v>118</v>
      </c>
      <c r="C24" s="82" t="s">
        <v>209</v>
      </c>
      <c r="D24" s="83"/>
      <c r="E24" s="79"/>
      <c r="F24" s="79"/>
    </row>
    <row r="25" spans="1:15" s="4" customFormat="1" ht="15.6" x14ac:dyDescent="0.3">
      <c r="A25" s="30" t="s">
        <v>226</v>
      </c>
      <c r="B25" s="30" t="s">
        <v>227</v>
      </c>
      <c r="C25" s="87">
        <f>0.08*C21</f>
        <v>173684.46459184185</v>
      </c>
    </row>
    <row r="26" spans="1:15" s="4" customFormat="1" ht="15.6" x14ac:dyDescent="0.3">
      <c r="A26" s="30" t="s">
        <v>228</v>
      </c>
      <c r="B26" s="30" t="s">
        <v>229</v>
      </c>
      <c r="C26" s="87">
        <f>0.14*C21</f>
        <v>303947.81303572329</v>
      </c>
    </row>
    <row r="27" spans="1:15" s="4" customFormat="1" ht="15.6" x14ac:dyDescent="0.3">
      <c r="A27" s="30" t="s">
        <v>230</v>
      </c>
      <c r="B27" s="30" t="s">
        <v>231</v>
      </c>
      <c r="C27" s="87">
        <f>0.04*C21</f>
        <v>86842.232295920927</v>
      </c>
    </row>
    <row r="28" spans="1:15" s="4" customFormat="1" ht="15.6" x14ac:dyDescent="0.3">
      <c r="A28" s="30" t="s">
        <v>232</v>
      </c>
      <c r="B28" s="30" t="s">
        <v>233</v>
      </c>
      <c r="C28" s="87">
        <f>0.02*C21</f>
        <v>43421.116147960463</v>
      </c>
    </row>
    <row r="29" spans="1:15" s="4" customFormat="1" ht="15.6" x14ac:dyDescent="0.3">
      <c r="A29" s="30" t="s">
        <v>234</v>
      </c>
      <c r="B29" s="30" t="s">
        <v>235</v>
      </c>
      <c r="C29" s="87">
        <f>0.01*C21</f>
        <v>21710.558073980232</v>
      </c>
    </row>
    <row r="30" spans="1:15" s="4" customFormat="1" ht="15.6" x14ac:dyDescent="0.3">
      <c r="A30" s="30" t="s">
        <v>236</v>
      </c>
      <c r="B30" s="30" t="s">
        <v>235</v>
      </c>
      <c r="C30" s="87">
        <f>0.01*C21</f>
        <v>21710.558073980232</v>
      </c>
    </row>
    <row r="31" spans="1:15" s="4" customFormat="1" ht="15.6" x14ac:dyDescent="0.3">
      <c r="A31" s="189" t="s">
        <v>79</v>
      </c>
      <c r="B31" s="211"/>
      <c r="C31" s="87">
        <f>'Data Inputs'!B54</f>
        <v>0</v>
      </c>
    </row>
    <row r="32" spans="1:15" s="4" customFormat="1" ht="15.6" x14ac:dyDescent="0.3">
      <c r="A32" s="189" t="s">
        <v>80</v>
      </c>
      <c r="B32" s="211"/>
      <c r="C32" s="87">
        <f>'Data Inputs'!B55</f>
        <v>0</v>
      </c>
    </row>
    <row r="33" spans="1:6" s="4" customFormat="1" ht="15.6" x14ac:dyDescent="0.3">
      <c r="A33" s="44"/>
      <c r="B33" s="44"/>
      <c r="C33" s="98"/>
    </row>
    <row r="34" spans="1:6" s="4" customFormat="1" ht="15.6" x14ac:dyDescent="0.3">
      <c r="A34" s="80"/>
      <c r="B34" s="319" t="s">
        <v>237</v>
      </c>
      <c r="C34" s="85">
        <f>SUM(C25:C32)+C21</f>
        <v>2822372.5496174302</v>
      </c>
    </row>
    <row r="35" spans="1:6" s="4" customFormat="1" ht="15.6" x14ac:dyDescent="0.3">
      <c r="A35" s="44"/>
      <c r="B35" s="44"/>
      <c r="C35" s="88"/>
    </row>
    <row r="36" spans="1:6" s="4" customFormat="1" ht="15.6" x14ac:dyDescent="0.3">
      <c r="A36" s="72" t="str">
        <f>"Total Indirect Installation Costs (in "&amp;'Data Inputs'!B36&amp;" dollars)"</f>
        <v>Total Indirect Installation Costs (in 2021 dollars)</v>
      </c>
      <c r="B36" s="72"/>
      <c r="C36" s="76"/>
      <c r="D36" s="72"/>
    </row>
    <row r="37" spans="1:6" s="4" customFormat="1" ht="15.6" x14ac:dyDescent="0.3">
      <c r="A37" s="81" t="s">
        <v>117</v>
      </c>
      <c r="B37" s="81" t="s">
        <v>118</v>
      </c>
      <c r="C37" s="82" t="s">
        <v>209</v>
      </c>
      <c r="D37" s="83"/>
      <c r="E37" s="79"/>
      <c r="F37" s="79"/>
    </row>
    <row r="38" spans="1:6" s="4" customFormat="1" ht="15.6" x14ac:dyDescent="0.3">
      <c r="A38" s="189" t="s">
        <v>238</v>
      </c>
      <c r="B38" s="212" t="s">
        <v>239</v>
      </c>
      <c r="C38" s="87">
        <f>(0.1*C$21)</f>
        <v>217105.58073980233</v>
      </c>
    </row>
    <row r="39" spans="1:6" s="4" customFormat="1" ht="15.6" x14ac:dyDescent="0.3">
      <c r="A39" s="189" t="s">
        <v>240</v>
      </c>
      <c r="B39" s="212" t="s">
        <v>241</v>
      </c>
      <c r="C39" s="87">
        <f>(0.05*C$21)</f>
        <v>108552.79036990117</v>
      </c>
    </row>
    <row r="40" spans="1:6" s="4" customFormat="1" ht="15.6" x14ac:dyDescent="0.3">
      <c r="A40" s="189" t="s">
        <v>242</v>
      </c>
      <c r="B40" s="212" t="s">
        <v>239</v>
      </c>
      <c r="C40" s="87">
        <f>(0.1*C$21)</f>
        <v>217105.58073980233</v>
      </c>
    </row>
    <row r="41" spans="1:6" s="4" customFormat="1" ht="15.6" x14ac:dyDescent="0.3">
      <c r="A41" s="189" t="s">
        <v>243</v>
      </c>
      <c r="B41" s="212" t="s">
        <v>233</v>
      </c>
      <c r="C41" s="87">
        <f>(0.02*C$21)</f>
        <v>43421.116147960463</v>
      </c>
    </row>
    <row r="42" spans="1:6" s="4" customFormat="1" ht="15.6" x14ac:dyDescent="0.3">
      <c r="A42" s="189" t="s">
        <v>244</v>
      </c>
      <c r="B42" s="212" t="s">
        <v>235</v>
      </c>
      <c r="C42" s="87">
        <f>(0.01*C$21)</f>
        <v>21710.558073980232</v>
      </c>
    </row>
    <row r="43" spans="1:6" s="91" customFormat="1" ht="15.6" x14ac:dyDescent="0.3">
      <c r="A43" s="99"/>
      <c r="B43" s="100"/>
      <c r="C43" s="96"/>
    </row>
    <row r="44" spans="1:6" s="4" customFormat="1" ht="15.6" x14ac:dyDescent="0.3">
      <c r="A44" s="378" t="s">
        <v>245</v>
      </c>
      <c r="B44" s="378"/>
      <c r="C44" s="85">
        <f>(SUM(C38:C42))</f>
        <v>607895.62607144646</v>
      </c>
    </row>
    <row r="45" spans="1:6" s="91" customFormat="1" ht="15.6" x14ac:dyDescent="0.3">
      <c r="A45" s="178" t="s">
        <v>246</v>
      </c>
      <c r="B45" s="178" t="s">
        <v>247</v>
      </c>
      <c r="C45" s="85">
        <f>(C34+C44)*('Data Inputs'!B57/100)</f>
        <v>343026.81756888772</v>
      </c>
    </row>
    <row r="46" spans="1:6" s="30" customFormat="1" ht="15.6" x14ac:dyDescent="0.3">
      <c r="A46" s="254"/>
      <c r="B46" s="254"/>
      <c r="C46" s="163"/>
    </row>
    <row r="47" spans="1:6" s="4" customFormat="1" ht="15.6" x14ac:dyDescent="0.3">
      <c r="A47" s="101" t="s">
        <v>248</v>
      </c>
      <c r="B47" s="102" t="s">
        <v>249</v>
      </c>
      <c r="C47" s="111">
        <f>C34+C44+C45</f>
        <v>3773294.9932577647</v>
      </c>
      <c r="D47" s="103" t="str">
        <f>"in "&amp;'Data Inputs'!$B$36&amp;" dollars"</f>
        <v>in 2021 dollars</v>
      </c>
    </row>
    <row r="48" spans="1:6" s="91" customFormat="1" ht="15.6" x14ac:dyDescent="0.3">
      <c r="A48" s="178"/>
      <c r="B48" s="178"/>
      <c r="C48" s="86"/>
    </row>
    <row r="49" spans="1:6" s="4" customFormat="1" ht="21" x14ac:dyDescent="0.4">
      <c r="A49" s="376" t="s">
        <v>250</v>
      </c>
      <c r="B49" s="376"/>
      <c r="C49" s="376"/>
      <c r="D49" s="376"/>
    </row>
    <row r="50" spans="1:6" s="91" customFormat="1" ht="15.6" x14ac:dyDescent="0.3">
      <c r="A50" s="104"/>
      <c r="B50" s="105"/>
      <c r="C50" s="106"/>
    </row>
    <row r="51" spans="1:6" s="4" customFormat="1" ht="15.6" x14ac:dyDescent="0.3">
      <c r="A51" s="72" t="s">
        <v>251</v>
      </c>
      <c r="B51" s="72"/>
      <c r="C51" s="72"/>
      <c r="D51" s="72"/>
    </row>
    <row r="52" spans="1:6" s="4" customFormat="1" ht="15.6" x14ac:dyDescent="0.3">
      <c r="A52" s="81" t="s">
        <v>117</v>
      </c>
      <c r="B52" s="81" t="s">
        <v>118</v>
      </c>
      <c r="C52" s="82" t="s">
        <v>209</v>
      </c>
      <c r="D52" s="83"/>
      <c r="E52" s="79"/>
      <c r="F52" s="79"/>
    </row>
    <row r="53" spans="1:6" s="4" customFormat="1" ht="18" x14ac:dyDescent="0.4">
      <c r="A53" s="4" t="s">
        <v>252</v>
      </c>
      <c r="B53" s="207" t="s">
        <v>253</v>
      </c>
      <c r="C53" s="87">
        <f>'Data Inputs'!B43*'Design Parameters'!C44</f>
        <v>7762.847483141556</v>
      </c>
    </row>
    <row r="54" spans="1:6" s="4" customFormat="1" ht="18" x14ac:dyDescent="0.4">
      <c r="A54" s="4" t="s">
        <v>254</v>
      </c>
      <c r="B54" s="107" t="s">
        <v>255</v>
      </c>
      <c r="C54" s="87">
        <f>('Design Parameters'!C47/1000)*'Data Inputs'!B44</f>
        <v>11246.91015</v>
      </c>
    </row>
    <row r="55" spans="1:6" s="4" customFormat="1" ht="18" x14ac:dyDescent="0.4">
      <c r="A55" s="4" t="s">
        <v>256</v>
      </c>
      <c r="B55" s="107" t="s">
        <v>257</v>
      </c>
      <c r="C55" s="87">
        <f>('Design Parameters'!C51/1000)*'Data Inputs'!B45</f>
        <v>27389.600288295002</v>
      </c>
    </row>
    <row r="56" spans="1:6" s="4" customFormat="1" ht="15.6" x14ac:dyDescent="0.3">
      <c r="A56" s="4" t="s">
        <v>258</v>
      </c>
      <c r="B56" s="108" t="s">
        <v>259</v>
      </c>
      <c r="C56" s="87">
        <f>0.5*'Data Inputs'!B46*'Data Inputs'!B11/8</f>
        <v>1751.8500000000001</v>
      </c>
      <c r="D56" s="109"/>
    </row>
    <row r="57" spans="1:6" s="4" customFormat="1" ht="15.6" x14ac:dyDescent="0.3">
      <c r="B57" s="108" t="s">
        <v>260</v>
      </c>
      <c r="C57" s="87">
        <f>(0.15*C56)</f>
        <v>262.77750000000003</v>
      </c>
      <c r="D57" s="109"/>
    </row>
    <row r="58" spans="1:6" s="4" customFormat="1" ht="15.6" x14ac:dyDescent="0.3">
      <c r="A58" s="4" t="s">
        <v>261</v>
      </c>
      <c r="B58" s="108" t="s">
        <v>262</v>
      </c>
      <c r="C58" s="87">
        <f>(0.5*'Data Inputs'!B47*'Data Inputs'!B11/8)</f>
        <v>1927.1625000000001</v>
      </c>
      <c r="D58" s="109"/>
    </row>
    <row r="59" spans="1:6" s="4" customFormat="1" ht="15.6" x14ac:dyDescent="0.3">
      <c r="B59" s="108" t="s">
        <v>263</v>
      </c>
      <c r="C59" s="87">
        <f>C58</f>
        <v>1927.1625000000001</v>
      </c>
      <c r="D59" s="109"/>
    </row>
    <row r="60" spans="1:6" s="4" customFormat="1" ht="18" x14ac:dyDescent="0.4">
      <c r="A60" s="30" t="s">
        <v>264</v>
      </c>
      <c r="B60" s="214" t="s">
        <v>265</v>
      </c>
      <c r="C60" s="299">
        <f>IF(B8="Continuous Operation",'Design Parameters'!C66*(('Data Inputs'!B47*'Design Parameters'!C27)/'Data Inputs'!B23),'Design Parameters'!C66*(('Data Inputs'!B47*'Design Parameters'!C28)/'Data Inputs'!B23))</f>
        <v>1356.4969114220462</v>
      </c>
      <c r="D60" s="109"/>
    </row>
    <row r="61" spans="1:6" s="4" customFormat="1" ht="18" x14ac:dyDescent="0.4">
      <c r="A61" s="30"/>
      <c r="B61" s="214" t="s">
        <v>266</v>
      </c>
      <c r="C61" s="299">
        <f>IF(B8="Continuous Operation",'Design Parameters'!C66*'Data Inputs'!B48*'Design Parameters'!C27*1.08, 'Design Parameters'!C66*'Data Inputs'!B48*'Design Parameters'!C27*1.08)</f>
        <v>77142.35945384526</v>
      </c>
      <c r="D61" s="109"/>
    </row>
    <row r="62" spans="1:6" s="4" customFormat="1" ht="15.6" x14ac:dyDescent="0.3">
      <c r="C62" s="37"/>
      <c r="D62" s="109"/>
    </row>
    <row r="63" spans="1:6" s="4" customFormat="1" ht="15.6" x14ac:dyDescent="0.3">
      <c r="B63" s="108"/>
      <c r="C63" s="110"/>
      <c r="D63" s="109"/>
    </row>
    <row r="64" spans="1:6" s="4" customFormat="1" ht="15.6" x14ac:dyDescent="0.3">
      <c r="A64" s="101" t="s">
        <v>267</v>
      </c>
      <c r="B64" s="102"/>
      <c r="C64" s="111">
        <f>SUM(C53:C61)</f>
        <v>130767.16678670386</v>
      </c>
      <c r="D64" s="103" t="str">
        <f>"in "&amp;'Data Inputs'!$B$36&amp;" dollars"</f>
        <v>in 2021 dollars</v>
      </c>
    </row>
    <row r="65" spans="1:6" s="4" customFormat="1" ht="15.6" x14ac:dyDescent="0.3">
      <c r="B65" s="108"/>
      <c r="C65" s="110"/>
      <c r="D65" s="109"/>
    </row>
    <row r="66" spans="1:6" s="4" customFormat="1" ht="15.6" x14ac:dyDescent="0.3">
      <c r="A66" s="72" t="s">
        <v>268</v>
      </c>
      <c r="B66" s="72"/>
      <c r="C66" s="72"/>
      <c r="D66" s="72"/>
    </row>
    <row r="67" spans="1:6" s="4" customFormat="1" ht="15.6" x14ac:dyDescent="0.3">
      <c r="A67" s="81" t="s">
        <v>117</v>
      </c>
      <c r="B67" s="81" t="s">
        <v>118</v>
      </c>
      <c r="C67" s="82" t="s">
        <v>209</v>
      </c>
      <c r="D67" s="83"/>
      <c r="E67" s="79"/>
      <c r="F67" s="79"/>
    </row>
    <row r="68" spans="1:6" s="112" customFormat="1" ht="31.2" x14ac:dyDescent="0.3">
      <c r="A68" s="84" t="s">
        <v>269</v>
      </c>
      <c r="B68" s="213" t="s">
        <v>270</v>
      </c>
      <c r="C68" s="85">
        <f>(0.6*(C56+C57+C58+C59))</f>
        <v>3521.3715000000002</v>
      </c>
      <c r="D68" s="114"/>
    </row>
    <row r="69" spans="1:6" s="112" customFormat="1" ht="15.6" x14ac:dyDescent="0.3">
      <c r="A69" s="84" t="s">
        <v>271</v>
      </c>
      <c r="B69" s="213" t="s">
        <v>272</v>
      </c>
      <c r="C69" s="85">
        <f>(0.02*C47)</f>
        <v>75465.899865155297</v>
      </c>
      <c r="D69" s="114"/>
    </row>
    <row r="70" spans="1:6" s="112" customFormat="1" ht="15.6" x14ac:dyDescent="0.3">
      <c r="A70" s="84" t="s">
        <v>273</v>
      </c>
      <c r="B70" s="213" t="s">
        <v>274</v>
      </c>
      <c r="C70" s="85">
        <f>0.01*C47</f>
        <v>37732.949932577649</v>
      </c>
      <c r="D70" s="114"/>
    </row>
    <row r="71" spans="1:6" s="112" customFormat="1" ht="15.6" x14ac:dyDescent="0.3">
      <c r="A71" s="84" t="s">
        <v>275</v>
      </c>
      <c r="B71" s="213" t="s">
        <v>274</v>
      </c>
      <c r="C71" s="85">
        <f>0.01*C47</f>
        <v>37732.949932577649</v>
      </c>
      <c r="D71" s="114"/>
    </row>
    <row r="72" spans="1:6" s="4" customFormat="1" ht="18" x14ac:dyDescent="0.4">
      <c r="A72" s="84" t="s">
        <v>276</v>
      </c>
      <c r="B72" s="213" t="s">
        <v>277</v>
      </c>
      <c r="C72" s="87">
        <f>'Design Parameters'!$C$64*(C47-((C61/'Design Parameters'!C66)+(C60/'Design Parameters'!C66)))</f>
        <v>342521.02821681392</v>
      </c>
      <c r="D72" s="109"/>
    </row>
    <row r="73" spans="1:6" s="4" customFormat="1" ht="15.6" x14ac:dyDescent="0.3">
      <c r="A73" s="112"/>
      <c r="B73" s="113"/>
      <c r="C73" s="166"/>
      <c r="D73" s="109"/>
    </row>
    <row r="74" spans="1:6" s="4" customFormat="1" ht="15.6" x14ac:dyDescent="0.3">
      <c r="A74" s="101" t="s">
        <v>278</v>
      </c>
      <c r="B74" s="102"/>
      <c r="C74" s="111">
        <f>SUM(C68:C72)</f>
        <v>496974.1994471245</v>
      </c>
      <c r="D74" s="103" t="str">
        <f>"in "&amp;'Data Inputs'!$B$36&amp;" dollars"</f>
        <v>in 2021 dollars</v>
      </c>
    </row>
    <row r="75" spans="1:6" s="91" customFormat="1" ht="15.6" x14ac:dyDescent="0.3">
      <c r="A75" s="104"/>
      <c r="B75" s="105"/>
      <c r="C75" s="195"/>
      <c r="D75" s="196"/>
    </row>
    <row r="76" spans="1:6" s="4" customFormat="1" ht="15.6" x14ac:dyDescent="0.3">
      <c r="A76" s="101" t="s">
        <v>279</v>
      </c>
      <c r="B76" s="102"/>
      <c r="C76" s="111"/>
      <c r="D76" s="103"/>
    </row>
    <row r="77" spans="1:6" s="30" customFormat="1" ht="15.6" x14ac:dyDescent="0.3">
      <c r="A77" s="160"/>
      <c r="B77" s="161"/>
      <c r="C77" s="185"/>
      <c r="D77" s="162"/>
    </row>
    <row r="78" spans="1:6" ht="15.6" x14ac:dyDescent="0.3">
      <c r="A78" s="72" t="s">
        <v>280</v>
      </c>
      <c r="B78" s="197"/>
      <c r="C78" s="198"/>
      <c r="D78" s="194"/>
    </row>
    <row r="79" spans="1:6" s="4" customFormat="1" ht="15.6" x14ac:dyDescent="0.3">
      <c r="A79" s="81" t="s">
        <v>117</v>
      </c>
      <c r="B79" s="81" t="s">
        <v>118</v>
      </c>
      <c r="C79" s="82" t="s">
        <v>209</v>
      </c>
      <c r="D79" s="83"/>
      <c r="E79" s="79"/>
      <c r="F79" s="79"/>
    </row>
    <row r="80" spans="1:6" s="183" customFormat="1" ht="15.6" x14ac:dyDescent="0.35">
      <c r="A80" s="186" t="s">
        <v>281</v>
      </c>
      <c r="B80" s="193" t="s">
        <v>282</v>
      </c>
      <c r="C80" s="215">
        <f>'Design Parameters'!C9*2000*'Data Inputs'!B51</f>
        <v>0</v>
      </c>
      <c r="D80" s="184"/>
    </row>
    <row r="81" spans="1:21" s="183" customFormat="1" x14ac:dyDescent="0.3">
      <c r="A81" s="180"/>
      <c r="B81" s="181"/>
      <c r="C81" s="182"/>
      <c r="D81" s="184"/>
    </row>
    <row r="82" spans="1:21" s="4" customFormat="1" ht="15.6" x14ac:dyDescent="0.3">
      <c r="A82" s="112"/>
      <c r="B82" s="113"/>
      <c r="C82" s="115"/>
      <c r="D82" s="109"/>
    </row>
    <row r="83" spans="1:21" s="4" customFormat="1" ht="15.6" x14ac:dyDescent="0.3">
      <c r="A83" s="72" t="s">
        <v>283</v>
      </c>
      <c r="B83" s="72"/>
      <c r="C83" s="72"/>
      <c r="D83" s="72"/>
    </row>
    <row r="84" spans="1:21" s="4" customFormat="1" ht="15.6" x14ac:dyDescent="0.3">
      <c r="A84" s="81" t="s">
        <v>117</v>
      </c>
      <c r="B84" s="81" t="s">
        <v>118</v>
      </c>
      <c r="C84" s="82" t="s">
        <v>209</v>
      </c>
      <c r="D84" s="83"/>
      <c r="E84" s="79"/>
      <c r="F84" s="79"/>
    </row>
    <row r="85" spans="1:21" s="4" customFormat="1" ht="18" x14ac:dyDescent="0.4">
      <c r="A85" s="112" t="s">
        <v>284</v>
      </c>
      <c r="B85" s="199" t="s">
        <v>285</v>
      </c>
      <c r="C85" s="116">
        <f>'Design Parameters'!C9*2000*'Data Inputs'!B50</f>
        <v>205722.05365799999</v>
      </c>
      <c r="D85" s="97"/>
    </row>
    <row r="86" spans="1:21" s="4" customFormat="1" ht="15.6" x14ac:dyDescent="0.3">
      <c r="A86" s="112"/>
      <c r="B86" s="113"/>
      <c r="C86" s="117"/>
      <c r="D86" s="109"/>
    </row>
    <row r="87" spans="1:21" s="4" customFormat="1" ht="18" x14ac:dyDescent="0.4">
      <c r="A87" s="101" t="s">
        <v>286</v>
      </c>
      <c r="B87" s="102" t="s">
        <v>287</v>
      </c>
      <c r="C87" s="111">
        <f>C74+C64+C80-C85</f>
        <v>422019.3125758284</v>
      </c>
      <c r="D87" s="103" t="str">
        <f>"in "&amp;'Data Inputs'!$B$36&amp;" dollars"</f>
        <v>in 2021 dollars</v>
      </c>
    </row>
    <row r="88" spans="1:21" s="4" customFormat="1" ht="15.6" x14ac:dyDescent="0.3">
      <c r="C88" s="44"/>
    </row>
    <row r="89" spans="1:21" s="4" customFormat="1" ht="21" x14ac:dyDescent="0.4">
      <c r="A89" s="376" t="s">
        <v>288</v>
      </c>
      <c r="B89" s="376"/>
      <c r="C89" s="376"/>
      <c r="D89" s="376"/>
      <c r="E89" s="9"/>
      <c r="F89" s="9"/>
      <c r="G89" s="9"/>
      <c r="H89" s="9"/>
      <c r="I89" s="9"/>
      <c r="J89" s="9"/>
      <c r="K89" s="9"/>
      <c r="L89" s="9"/>
      <c r="M89" s="9"/>
      <c r="N89" s="9"/>
      <c r="O89" s="9"/>
      <c r="P89" s="9"/>
      <c r="Q89" s="9"/>
      <c r="R89" s="9"/>
      <c r="S89" s="9"/>
      <c r="T89" s="9"/>
      <c r="U89" s="10"/>
    </row>
    <row r="90" spans="1:21" s="30" customFormat="1" ht="15.6" x14ac:dyDescent="0.3">
      <c r="C90" s="211"/>
      <c r="D90" s="9"/>
      <c r="E90" s="9"/>
      <c r="F90" s="9"/>
      <c r="G90" s="9"/>
      <c r="H90" s="9"/>
      <c r="I90" s="9"/>
      <c r="J90" s="9"/>
      <c r="K90" s="9"/>
      <c r="L90" s="9"/>
      <c r="M90" s="9"/>
      <c r="N90" s="9"/>
      <c r="O90" s="9"/>
      <c r="P90" s="9"/>
      <c r="Q90" s="9"/>
      <c r="R90" s="9"/>
      <c r="S90" s="9"/>
      <c r="T90" s="9"/>
      <c r="U90" s="9"/>
    </row>
    <row r="91" spans="1:21" s="4" customFormat="1" ht="15.6" x14ac:dyDescent="0.3">
      <c r="A91" s="73" t="s">
        <v>289</v>
      </c>
      <c r="B91" s="73"/>
      <c r="C91" s="73"/>
      <c r="D91" s="73"/>
      <c r="E91" s="9"/>
      <c r="F91" s="9"/>
      <c r="G91" s="9"/>
      <c r="H91" s="9"/>
      <c r="I91" s="9"/>
      <c r="J91" s="9"/>
      <c r="K91" s="9"/>
      <c r="L91" s="9"/>
      <c r="M91" s="9"/>
      <c r="N91" s="9"/>
      <c r="O91" s="9"/>
      <c r="P91" s="9"/>
      <c r="Q91" s="9"/>
      <c r="R91" s="9"/>
      <c r="S91" s="9"/>
      <c r="T91" s="9"/>
      <c r="U91" s="10"/>
    </row>
    <row r="92" spans="1:21" s="4" customFormat="1" ht="15.6" x14ac:dyDescent="0.3">
      <c r="A92" s="81" t="s">
        <v>117</v>
      </c>
      <c r="B92" s="81" t="s">
        <v>118</v>
      </c>
      <c r="C92" s="82" t="s">
        <v>209</v>
      </c>
      <c r="D92" s="121"/>
      <c r="E92" s="79"/>
      <c r="F92" s="79"/>
    </row>
    <row r="93" spans="1:21" s="4" customFormat="1" ht="15.6" x14ac:dyDescent="0.3">
      <c r="A93" s="13" t="s">
        <v>290</v>
      </c>
      <c r="B93" s="18" t="s">
        <v>291</v>
      </c>
      <c r="C93" s="119">
        <f>C87</f>
        <v>422019.3125758284</v>
      </c>
      <c r="D93" s="120" t="str">
        <f>"per year in "&amp;'Data Inputs'!B36&amp; " dollars"</f>
        <v>per year in 2021 dollars</v>
      </c>
      <c r="E93" s="9"/>
      <c r="F93" s="9"/>
      <c r="G93" s="9"/>
      <c r="H93" s="9"/>
      <c r="I93" s="9"/>
      <c r="J93" s="9"/>
      <c r="K93" s="9"/>
      <c r="L93" s="9"/>
      <c r="M93" s="9"/>
      <c r="N93" s="9"/>
      <c r="O93" s="9"/>
      <c r="P93" s="9"/>
      <c r="Q93" s="9"/>
      <c r="R93" s="9"/>
      <c r="S93" s="9"/>
      <c r="T93" s="9"/>
      <c r="U93" s="10"/>
    </row>
    <row r="94" spans="1:21" s="4" customFormat="1" ht="18" x14ac:dyDescent="0.4">
      <c r="A94" s="13" t="s">
        <v>292</v>
      </c>
      <c r="B94" s="208" t="s">
        <v>121</v>
      </c>
      <c r="C94" s="216">
        <f>'Data Inputs'!B13*'Data Inputs'!B11*('Data Inputs'!B15/100)*(1/2000)</f>
        <v>311.70008129999997</v>
      </c>
      <c r="D94" s="68" t="s">
        <v>122</v>
      </c>
      <c r="E94" s="9"/>
      <c r="F94" s="9"/>
      <c r="G94" s="9"/>
      <c r="H94" s="9"/>
      <c r="I94" s="9"/>
      <c r="J94" s="9"/>
      <c r="K94" s="9"/>
      <c r="L94" s="9"/>
      <c r="M94" s="9"/>
      <c r="N94" s="9"/>
      <c r="O94" s="9"/>
      <c r="P94" s="9"/>
      <c r="Q94" s="9"/>
      <c r="R94" s="9"/>
      <c r="S94" s="9"/>
      <c r="T94" s="9"/>
      <c r="U94" s="10"/>
    </row>
    <row r="95" spans="1:21" s="4" customFormat="1" ht="15.6" x14ac:dyDescent="0.3">
      <c r="A95" s="165" t="s">
        <v>293</v>
      </c>
      <c r="B95" s="18" t="s">
        <v>294</v>
      </c>
      <c r="C95" s="217">
        <f>C93/C94</f>
        <v>1353.9275024110443</v>
      </c>
      <c r="D95" s="68" t="str">
        <f>"per ton of pollutants removed/recovered in "&amp;'Data Inputs'!B36&amp; " dollars"</f>
        <v>per ton of pollutants removed/recovered in 2021 dollars</v>
      </c>
      <c r="E95" s="167"/>
      <c r="F95" s="9"/>
      <c r="G95" s="9"/>
      <c r="H95" s="9"/>
      <c r="I95" s="9"/>
      <c r="J95" s="9"/>
      <c r="K95" s="9"/>
      <c r="L95" s="9"/>
      <c r="M95" s="9"/>
      <c r="N95" s="9"/>
      <c r="O95" s="9"/>
      <c r="P95" s="9"/>
      <c r="Q95" s="9"/>
      <c r="R95" s="9"/>
      <c r="S95" s="9"/>
      <c r="T95" s="9"/>
      <c r="U95" s="10"/>
    </row>
    <row r="96" spans="1:21" s="30" customFormat="1" ht="16.2" thickBot="1" x14ac:dyDescent="0.35">
      <c r="A96" s="245"/>
      <c r="B96" s="245"/>
      <c r="C96" s="245"/>
      <c r="D96" s="245"/>
    </row>
    <row r="97" spans="1:15" s="30" customFormat="1" ht="15.6" hidden="1" x14ac:dyDescent="0.3">
      <c r="A97" s="316"/>
      <c r="B97" s="316"/>
      <c r="C97" s="317"/>
      <c r="D97" s="316"/>
    </row>
    <row r="98" spans="1:15" s="30" customFormat="1" ht="18" hidden="1" x14ac:dyDescent="0.4">
      <c r="A98" s="30" t="s">
        <v>295</v>
      </c>
      <c r="B98" s="297" t="s">
        <v>296</v>
      </c>
      <c r="C98" s="299">
        <f>'Design Parameters'!C61*'Data Inputs'!B42</f>
        <v>39476400</v>
      </c>
      <c r="D98" s="379"/>
      <c r="N98" s="227"/>
      <c r="O98" s="227"/>
    </row>
    <row r="99" spans="1:15" s="4" customFormat="1" ht="18.600000000000001" hidden="1" x14ac:dyDescent="0.4">
      <c r="A99" s="30" t="s">
        <v>214</v>
      </c>
      <c r="B99" s="91" t="s">
        <v>215</v>
      </c>
      <c r="C99" s="87">
        <f>'Data Inputs'!B56</f>
        <v>32000</v>
      </c>
      <c r="D99" s="379"/>
      <c r="M99" s="221"/>
      <c r="N99" s="224"/>
      <c r="O99" s="228"/>
    </row>
    <row r="100" spans="1:15" s="4" customFormat="1" ht="18.600000000000001" hidden="1" x14ac:dyDescent="0.4">
      <c r="A100" s="37" t="s">
        <v>216</v>
      </c>
      <c r="B100" s="220" t="s">
        <v>217</v>
      </c>
      <c r="C100" s="87">
        <f>C98+C99</f>
        <v>39508400</v>
      </c>
      <c r="D100" s="379"/>
      <c r="E100" s="90"/>
      <c r="F100" s="90"/>
      <c r="G100" s="91"/>
      <c r="H100" s="91"/>
      <c r="I100" s="91"/>
      <c r="J100" s="91"/>
      <c r="K100" s="91"/>
      <c r="L100" s="91"/>
      <c r="M100" s="221"/>
      <c r="N100" s="225"/>
      <c r="O100" s="226"/>
    </row>
    <row r="101" spans="1:15" s="92" customFormat="1" ht="18" hidden="1" x14ac:dyDescent="0.35">
      <c r="A101" s="210"/>
      <c r="B101" s="210"/>
      <c r="C101" s="164"/>
      <c r="D101" s="379"/>
      <c r="E101" s="94"/>
      <c r="F101" s="94"/>
      <c r="G101" s="95"/>
      <c r="H101" s="95"/>
      <c r="I101" s="95"/>
      <c r="J101" s="95"/>
      <c r="K101" s="95"/>
      <c r="L101" s="95"/>
      <c r="M101" s="221"/>
      <c r="N101" s="225"/>
      <c r="O101" s="226"/>
    </row>
    <row r="102" spans="1:15" s="4" customFormat="1" ht="18" hidden="1" x14ac:dyDescent="0.35">
      <c r="A102" s="30" t="s">
        <v>218</v>
      </c>
      <c r="B102" s="30" t="s">
        <v>219</v>
      </c>
      <c r="C102" s="87">
        <f>0.1*C100</f>
        <v>3950840</v>
      </c>
      <c r="D102" s="379"/>
      <c r="E102" s="91"/>
      <c r="F102" s="90"/>
      <c r="G102" s="91"/>
      <c r="H102" s="91"/>
      <c r="I102" s="91"/>
      <c r="J102" s="91"/>
      <c r="K102" s="91"/>
      <c r="L102" s="91"/>
      <c r="M102" s="221"/>
      <c r="N102" s="225"/>
      <c r="O102" s="226"/>
    </row>
    <row r="103" spans="1:15" s="4" customFormat="1" ht="18" hidden="1" x14ac:dyDescent="0.35">
      <c r="A103" s="30" t="s">
        <v>221</v>
      </c>
      <c r="B103" s="30" t="s">
        <v>222</v>
      </c>
      <c r="C103" s="87">
        <f>0.03*C100</f>
        <v>1185252</v>
      </c>
      <c r="D103" s="379"/>
      <c r="E103" s="91"/>
      <c r="F103" s="91"/>
      <c r="G103" s="91"/>
      <c r="H103" s="91"/>
      <c r="I103" s="91"/>
      <c r="J103" s="91"/>
      <c r="K103" s="91"/>
      <c r="L103" s="91"/>
      <c r="M103" s="223"/>
      <c r="N103" s="225"/>
      <c r="O103" s="226"/>
    </row>
    <row r="104" spans="1:15" s="4" customFormat="1" ht="18" hidden="1" x14ac:dyDescent="0.35">
      <c r="A104" s="30" t="s">
        <v>223</v>
      </c>
      <c r="B104" s="30" t="s">
        <v>224</v>
      </c>
      <c r="C104" s="87">
        <f>0.05*C100</f>
        <v>1975420</v>
      </c>
      <c r="D104" s="379"/>
      <c r="E104" s="91"/>
      <c r="F104" s="91"/>
      <c r="G104" s="91"/>
      <c r="H104" s="91"/>
      <c r="I104" s="91"/>
      <c r="J104" s="91"/>
      <c r="K104" s="91"/>
      <c r="L104" s="91"/>
      <c r="M104" s="223"/>
      <c r="N104" s="225"/>
      <c r="O104" s="226"/>
    </row>
    <row r="105" spans="1:15" s="4" customFormat="1" ht="15.6" hidden="1" x14ac:dyDescent="0.3">
      <c r="C105" s="96"/>
      <c r="D105" s="91"/>
      <c r="E105" s="91"/>
      <c r="F105" s="91"/>
      <c r="G105" s="91"/>
      <c r="H105" s="91"/>
      <c r="I105" s="91"/>
      <c r="J105" s="91"/>
      <c r="K105" s="91"/>
      <c r="L105" s="91"/>
      <c r="M105" s="91"/>
      <c r="N105" s="91"/>
      <c r="O105" s="91"/>
    </row>
    <row r="106" spans="1:15" s="4" customFormat="1" ht="16.5" hidden="1" customHeight="1" x14ac:dyDescent="0.3">
      <c r="A106" s="378" t="s">
        <v>225</v>
      </c>
      <c r="B106" s="378"/>
      <c r="C106" s="85">
        <f>C100+C102+C103+C104</f>
        <v>46619912</v>
      </c>
    </row>
    <row r="107" spans="1:15" s="4" customFormat="1" ht="14.25" hidden="1" customHeight="1" x14ac:dyDescent="0.3">
      <c r="C107" s="88"/>
    </row>
    <row r="108" spans="1:15" s="4" customFormat="1" ht="15.6" hidden="1" x14ac:dyDescent="0.3">
      <c r="A108" s="72" t="str">
        <f>"Installation Costs (in "&amp;'Data Inputs'!B36&amp;" dollars)"</f>
        <v>Installation Costs (in 2021 dollars)</v>
      </c>
      <c r="B108" s="72"/>
      <c r="C108" s="76"/>
      <c r="D108" s="72"/>
    </row>
    <row r="109" spans="1:15" s="4" customFormat="1" ht="15.6" hidden="1" x14ac:dyDescent="0.3">
      <c r="A109" s="81" t="s">
        <v>117</v>
      </c>
      <c r="B109" s="81" t="s">
        <v>118</v>
      </c>
      <c r="C109" s="82" t="s">
        <v>209</v>
      </c>
      <c r="D109" s="83"/>
      <c r="E109" s="79"/>
      <c r="F109" s="79"/>
    </row>
    <row r="110" spans="1:15" s="4" customFormat="1" ht="15.6" hidden="1" x14ac:dyDescent="0.3">
      <c r="A110" s="30" t="s">
        <v>297</v>
      </c>
      <c r="B110" s="30" t="s">
        <v>298</v>
      </c>
      <c r="C110" s="87">
        <f>0.08*C106</f>
        <v>3729592.96</v>
      </c>
    </row>
    <row r="111" spans="1:15" s="4" customFormat="1" ht="15.6" hidden="1" x14ac:dyDescent="0.3">
      <c r="A111" s="189" t="s">
        <v>79</v>
      </c>
      <c r="B111" s="211"/>
      <c r="C111" s="87">
        <f>'Data Inputs'!B133</f>
        <v>0</v>
      </c>
    </row>
    <row r="112" spans="1:15" s="4" customFormat="1" ht="15.6" hidden="1" x14ac:dyDescent="0.3">
      <c r="A112" s="189" t="s">
        <v>80</v>
      </c>
      <c r="B112" s="211"/>
      <c r="C112" s="87">
        <f>'Data Inputs'!B134</f>
        <v>0</v>
      </c>
    </row>
    <row r="113" spans="1:6" s="4" customFormat="1" ht="15.6" hidden="1" x14ac:dyDescent="0.3">
      <c r="A113" s="44"/>
      <c r="B113" s="44"/>
      <c r="C113" s="98"/>
    </row>
    <row r="114" spans="1:6" s="4" customFormat="1" ht="15.6" hidden="1" x14ac:dyDescent="0.3">
      <c r="A114" s="378" t="s">
        <v>299</v>
      </c>
      <c r="B114" s="378"/>
      <c r="C114" s="85">
        <f>(SUM(C110:C112))</f>
        <v>3729592.96</v>
      </c>
    </row>
    <row r="115" spans="1:6" s="91" customFormat="1" ht="15.6" hidden="1" x14ac:dyDescent="0.3">
      <c r="A115" s="178" t="s">
        <v>246</v>
      </c>
      <c r="B115" s="178" t="s">
        <v>300</v>
      </c>
      <c r="C115" s="85">
        <f>(C114+C106)*('Data Inputs'!B57/100)</f>
        <v>5034950.4960000003</v>
      </c>
    </row>
    <row r="116" spans="1:6" s="30" customFormat="1" ht="15.6" hidden="1" x14ac:dyDescent="0.3">
      <c r="A116" s="254"/>
      <c r="B116" s="254"/>
      <c r="C116" s="163"/>
    </row>
    <row r="117" spans="1:6" s="4" customFormat="1" ht="15.6" hidden="1" x14ac:dyDescent="0.3">
      <c r="A117" s="101" t="s">
        <v>248</v>
      </c>
      <c r="B117" s="102" t="s">
        <v>301</v>
      </c>
      <c r="C117" s="111">
        <f>C106+C114+C115</f>
        <v>55384455.456</v>
      </c>
      <c r="D117" s="103" t="str">
        <f>"in "&amp;'Data Inputs'!$B$36&amp;" dollars"</f>
        <v>in 2021 dollars</v>
      </c>
    </row>
    <row r="118" spans="1:6" s="91" customFormat="1" ht="15.6" hidden="1" x14ac:dyDescent="0.3">
      <c r="A118" s="178"/>
      <c r="B118" s="178"/>
      <c r="C118" s="86"/>
    </row>
    <row r="119" spans="1:6" s="4" customFormat="1" ht="21" hidden="1" x14ac:dyDescent="0.4">
      <c r="A119" s="376" t="s">
        <v>250</v>
      </c>
      <c r="B119" s="376"/>
      <c r="C119" s="376"/>
      <c r="D119" s="376"/>
    </row>
    <row r="120" spans="1:6" s="91" customFormat="1" ht="15.6" hidden="1" x14ac:dyDescent="0.3">
      <c r="A120" s="104"/>
      <c r="B120" s="105"/>
      <c r="C120" s="106"/>
    </row>
    <row r="121" spans="1:6" s="4" customFormat="1" ht="15.6" hidden="1" x14ac:dyDescent="0.3">
      <c r="A121" s="72" t="s">
        <v>251</v>
      </c>
      <c r="B121" s="72"/>
      <c r="C121" s="72"/>
      <c r="D121" s="72"/>
    </row>
    <row r="122" spans="1:6" s="4" customFormat="1" ht="15.6" hidden="1" x14ac:dyDescent="0.3">
      <c r="A122" s="81" t="s">
        <v>117</v>
      </c>
      <c r="B122" s="81" t="s">
        <v>118</v>
      </c>
      <c r="C122" s="82" t="s">
        <v>209</v>
      </c>
      <c r="D122" s="83"/>
      <c r="E122" s="79"/>
      <c r="F122" s="79"/>
    </row>
    <row r="123" spans="1:6" s="4" customFormat="1" ht="23.25" hidden="1" customHeight="1" x14ac:dyDescent="0.3">
      <c r="A123" s="4" t="s">
        <v>258</v>
      </c>
      <c r="B123" s="108" t="s">
        <v>259</v>
      </c>
      <c r="C123" s="87">
        <f>0.5*'Data Inputs'!B46*'Data Inputs'!B11/8</f>
        <v>1751.8500000000001</v>
      </c>
      <c r="D123" s="380"/>
    </row>
    <row r="124" spans="1:6" s="4" customFormat="1" ht="15.6" hidden="1" x14ac:dyDescent="0.3">
      <c r="B124" s="108" t="s">
        <v>260</v>
      </c>
      <c r="C124" s="87">
        <f>(0.15*C123)</f>
        <v>262.77750000000003</v>
      </c>
      <c r="D124" s="380"/>
    </row>
    <row r="125" spans="1:6" s="4" customFormat="1" ht="15.6" hidden="1" x14ac:dyDescent="0.3">
      <c r="A125" s="4" t="s">
        <v>261</v>
      </c>
      <c r="B125" s="108" t="s">
        <v>262</v>
      </c>
      <c r="C125" s="87">
        <f>(0.5*'Data Inputs'!B47*'Data Inputs'!B11/8)</f>
        <v>1927.1625000000001</v>
      </c>
      <c r="D125" s="380"/>
    </row>
    <row r="126" spans="1:6" s="4" customFormat="1" ht="15.6" hidden="1" x14ac:dyDescent="0.3">
      <c r="B126" s="108" t="s">
        <v>263</v>
      </c>
      <c r="C126" s="87">
        <f>C125</f>
        <v>1927.1625000000001</v>
      </c>
      <c r="D126" s="380"/>
    </row>
    <row r="127" spans="1:6" s="4" customFormat="1" ht="18" hidden="1" x14ac:dyDescent="0.4">
      <c r="A127" s="30" t="s">
        <v>264</v>
      </c>
      <c r="B127" s="214" t="s">
        <v>302</v>
      </c>
      <c r="C127" s="299">
        <f>'Design Parameters'!C66*'Data Inputs'!B46*'Design Parameters'!C62/'Data Inputs'!B23</f>
        <v>150063.37442194173</v>
      </c>
      <c r="D127" s="109"/>
    </row>
    <row r="128" spans="1:6" s="4" customFormat="1" ht="18" hidden="1" x14ac:dyDescent="0.4">
      <c r="A128" s="30"/>
      <c r="B128" s="214" t="s">
        <v>303</v>
      </c>
      <c r="C128" s="299">
        <f>'Design Parameters'!C66*'Data Inputs'!B48*'Design Parameters'!C62*1.08</f>
        <v>9387938.4918935448</v>
      </c>
      <c r="D128" s="109"/>
    </row>
    <row r="129" spans="1:6" s="4" customFormat="1" ht="15.6" hidden="1" x14ac:dyDescent="0.3">
      <c r="C129" s="30"/>
      <c r="D129" s="109"/>
    </row>
    <row r="130" spans="1:6" s="4" customFormat="1" ht="15.6" hidden="1" x14ac:dyDescent="0.3">
      <c r="B130" s="108"/>
      <c r="C130" s="110"/>
      <c r="D130" s="109"/>
    </row>
    <row r="131" spans="1:6" s="4" customFormat="1" ht="15.6" hidden="1" x14ac:dyDescent="0.3">
      <c r="A131" s="101" t="s">
        <v>267</v>
      </c>
      <c r="B131" s="102"/>
      <c r="C131" s="111">
        <f>SUM(C123:C128)</f>
        <v>9543870.8188154865</v>
      </c>
      <c r="D131" s="103" t="str">
        <f>"in "&amp;'Data Inputs'!$B$36&amp;" dollars"</f>
        <v>in 2021 dollars</v>
      </c>
    </row>
    <row r="132" spans="1:6" s="4" customFormat="1" ht="15.6" hidden="1" x14ac:dyDescent="0.3">
      <c r="B132" s="108"/>
      <c r="C132" s="110"/>
      <c r="D132" s="109"/>
    </row>
    <row r="133" spans="1:6" s="4" customFormat="1" ht="15.6" hidden="1" x14ac:dyDescent="0.3">
      <c r="A133" s="72" t="s">
        <v>268</v>
      </c>
      <c r="B133" s="72"/>
      <c r="C133" s="72"/>
      <c r="D133" s="72"/>
    </row>
    <row r="134" spans="1:6" s="4" customFormat="1" ht="15.6" hidden="1" x14ac:dyDescent="0.3">
      <c r="A134" s="81" t="s">
        <v>117</v>
      </c>
      <c r="B134" s="81" t="s">
        <v>118</v>
      </c>
      <c r="C134" s="82" t="s">
        <v>209</v>
      </c>
      <c r="D134" s="83"/>
      <c r="E134" s="79"/>
      <c r="F134" s="79"/>
    </row>
    <row r="135" spans="1:6" s="112" customFormat="1" ht="31.2" hidden="1" x14ac:dyDescent="0.3">
      <c r="A135" s="84" t="s">
        <v>269</v>
      </c>
      <c r="B135" s="213" t="s">
        <v>270</v>
      </c>
      <c r="C135" s="85">
        <f>(0.6*(C123+C124+C125+C126))</f>
        <v>3521.3715000000002</v>
      </c>
      <c r="D135" s="310"/>
    </row>
    <row r="136" spans="1:6" s="112" customFormat="1" ht="15.6" hidden="1" x14ac:dyDescent="0.3">
      <c r="A136" s="84" t="s">
        <v>271</v>
      </c>
      <c r="B136" s="213" t="s">
        <v>272</v>
      </c>
      <c r="C136" s="85">
        <f>(0.02*C117)</f>
        <v>1107689.1091199999</v>
      </c>
      <c r="D136" s="114"/>
    </row>
    <row r="137" spans="1:6" s="112" customFormat="1" ht="15.6" hidden="1" x14ac:dyDescent="0.3">
      <c r="A137" s="84" t="s">
        <v>273</v>
      </c>
      <c r="B137" s="213" t="s">
        <v>274</v>
      </c>
      <c r="C137" s="85">
        <f>0.01*C117</f>
        <v>553844.55455999996</v>
      </c>
      <c r="D137" s="114"/>
    </row>
    <row r="138" spans="1:6" s="112" customFormat="1" ht="15.6" hidden="1" x14ac:dyDescent="0.3">
      <c r="A138" s="84" t="s">
        <v>275</v>
      </c>
      <c r="B138" s="213" t="s">
        <v>274</v>
      </c>
      <c r="C138" s="85">
        <f>0.01*C117</f>
        <v>553844.55455999996</v>
      </c>
      <c r="D138" s="114"/>
    </row>
    <row r="139" spans="1:6" s="4" customFormat="1" ht="18" hidden="1" x14ac:dyDescent="0.4">
      <c r="A139" s="84" t="s">
        <v>276</v>
      </c>
      <c r="B139" s="213" t="s">
        <v>304</v>
      </c>
      <c r="C139" s="87">
        <f>'Design Parameters'!$C$64*(C117-((1.08*'Data Inputs'!B48*'Design Parameters'!C62)+('Data Inputs'!B47*'Design Parameters'!C62/'Data Inputs'!B23)))</f>
        <v>1453571.9583909374</v>
      </c>
      <c r="D139" s="109"/>
    </row>
    <row r="140" spans="1:6" s="4" customFormat="1" ht="15.6" hidden="1" x14ac:dyDescent="0.3">
      <c r="A140" s="112"/>
      <c r="B140" s="113"/>
      <c r="C140" s="166"/>
      <c r="D140" s="109"/>
    </row>
    <row r="141" spans="1:6" s="4" customFormat="1" ht="15.6" hidden="1" x14ac:dyDescent="0.3">
      <c r="A141" s="101" t="s">
        <v>278</v>
      </c>
      <c r="B141" s="102"/>
      <c r="C141" s="111">
        <f>SUM(C135:C139)</f>
        <v>3672471.5481309369</v>
      </c>
      <c r="D141" s="103" t="str">
        <f>"in "&amp;'Data Inputs'!$B$36&amp;" dollars"</f>
        <v>in 2021 dollars</v>
      </c>
    </row>
    <row r="142" spans="1:6" s="4" customFormat="1" ht="15.6" hidden="1" x14ac:dyDescent="0.3">
      <c r="A142" s="112"/>
      <c r="B142" s="113"/>
      <c r="C142" s="117"/>
      <c r="D142" s="109"/>
    </row>
    <row r="143" spans="1:6" s="4" customFormat="1" ht="15.6" hidden="1" x14ac:dyDescent="0.3">
      <c r="A143" s="101" t="s">
        <v>286</v>
      </c>
      <c r="B143" s="102" t="s">
        <v>305</v>
      </c>
      <c r="C143" s="111">
        <f>C141+C131</f>
        <v>13216342.366946423</v>
      </c>
      <c r="D143" s="103" t="str">
        <f>"in "&amp;'Data Inputs'!$B$36&amp;" dollars"</f>
        <v>in 2021 dollars</v>
      </c>
    </row>
    <row r="144" spans="1:6" s="4" customFormat="1" ht="15.6" hidden="1" x14ac:dyDescent="0.3">
      <c r="C144" s="44"/>
    </row>
    <row r="145" spans="1:21" s="4" customFormat="1" ht="21" hidden="1" x14ac:dyDescent="0.4">
      <c r="A145" s="376" t="s">
        <v>288</v>
      </c>
      <c r="B145" s="376"/>
      <c r="C145" s="376"/>
      <c r="D145" s="376"/>
      <c r="E145" s="9"/>
      <c r="F145" s="9"/>
      <c r="G145" s="9"/>
      <c r="H145" s="9"/>
      <c r="I145" s="9"/>
      <c r="J145" s="9"/>
      <c r="K145" s="9"/>
      <c r="L145" s="9"/>
      <c r="M145" s="9"/>
      <c r="N145" s="9"/>
      <c r="O145" s="9"/>
      <c r="P145" s="9"/>
      <c r="Q145" s="9"/>
      <c r="R145" s="9"/>
      <c r="S145" s="9"/>
      <c r="T145" s="9"/>
      <c r="U145" s="10"/>
    </row>
    <row r="146" spans="1:21" s="30" customFormat="1" ht="15.6" hidden="1" x14ac:dyDescent="0.3">
      <c r="C146" s="211"/>
      <c r="D146" s="9"/>
      <c r="E146" s="9"/>
      <c r="F146" s="9"/>
      <c r="G146" s="9"/>
      <c r="H146" s="9"/>
      <c r="I146" s="9"/>
      <c r="J146" s="9"/>
      <c r="K146" s="9"/>
      <c r="L146" s="9"/>
      <c r="M146" s="9"/>
      <c r="N146" s="9"/>
      <c r="O146" s="9"/>
      <c r="P146" s="9"/>
      <c r="Q146" s="9"/>
      <c r="R146" s="9"/>
      <c r="S146" s="9"/>
      <c r="T146" s="9"/>
      <c r="U146" s="9"/>
    </row>
    <row r="147" spans="1:21" s="4" customFormat="1" ht="15.6" hidden="1" x14ac:dyDescent="0.3">
      <c r="A147" s="73" t="s">
        <v>289</v>
      </c>
      <c r="B147" s="73"/>
      <c r="C147" s="73"/>
      <c r="D147" s="73"/>
      <c r="E147" s="9"/>
      <c r="F147" s="9"/>
      <c r="G147" s="9"/>
      <c r="H147" s="9"/>
      <c r="I147" s="9"/>
      <c r="J147" s="9"/>
      <c r="K147" s="9"/>
      <c r="L147" s="9"/>
      <c r="M147" s="9"/>
      <c r="N147" s="9"/>
      <c r="O147" s="9"/>
      <c r="P147" s="9"/>
      <c r="Q147" s="9"/>
      <c r="R147" s="9"/>
      <c r="S147" s="9"/>
      <c r="T147" s="9"/>
      <c r="U147" s="10"/>
    </row>
    <row r="148" spans="1:21" s="4" customFormat="1" ht="15.6" hidden="1" x14ac:dyDescent="0.3">
      <c r="A148" s="81" t="s">
        <v>117</v>
      </c>
      <c r="B148" s="81" t="s">
        <v>118</v>
      </c>
      <c r="C148" s="82" t="s">
        <v>209</v>
      </c>
      <c r="D148" s="121"/>
      <c r="E148" s="79"/>
      <c r="F148" s="79"/>
    </row>
    <row r="149" spans="1:21" s="4" customFormat="1" ht="15.6" hidden="1" x14ac:dyDescent="0.3">
      <c r="A149" s="13" t="s">
        <v>290</v>
      </c>
      <c r="B149" s="18" t="s">
        <v>291</v>
      </c>
      <c r="C149" s="119">
        <f>C143</f>
        <v>13216342.366946423</v>
      </c>
      <c r="D149" s="120" t="str">
        <f>"per year in "&amp;'Data Inputs'!B36&amp; " dollars"</f>
        <v>per year in 2021 dollars</v>
      </c>
      <c r="E149" s="9"/>
      <c r="F149" s="9"/>
      <c r="G149" s="9"/>
      <c r="H149" s="9"/>
      <c r="I149" s="9"/>
      <c r="J149" s="9"/>
      <c r="K149" s="9"/>
      <c r="L149" s="9"/>
      <c r="M149" s="9"/>
      <c r="N149" s="9"/>
      <c r="O149" s="9"/>
      <c r="P149" s="9"/>
      <c r="Q149" s="9"/>
      <c r="R149" s="9"/>
      <c r="S149" s="9"/>
      <c r="T149" s="9"/>
      <c r="U149" s="10"/>
    </row>
    <row r="150" spans="1:21" s="4" customFormat="1" ht="18" hidden="1" x14ac:dyDescent="0.4">
      <c r="A150" s="13" t="s">
        <v>306</v>
      </c>
      <c r="B150" s="208" t="s">
        <v>121</v>
      </c>
      <c r="C150" s="306">
        <f>'Design Parameters'!C9</f>
        <v>311.70008129999997</v>
      </c>
      <c r="D150" s="68" t="s">
        <v>122</v>
      </c>
      <c r="E150" s="9"/>
      <c r="F150" s="9"/>
      <c r="G150" s="9"/>
      <c r="H150" s="9"/>
      <c r="I150" s="9"/>
      <c r="J150" s="9"/>
      <c r="K150" s="9"/>
      <c r="L150" s="9"/>
      <c r="M150" s="9"/>
      <c r="N150" s="9"/>
      <c r="O150" s="9"/>
      <c r="P150" s="9"/>
      <c r="Q150" s="9"/>
      <c r="R150" s="9"/>
      <c r="S150" s="9"/>
      <c r="T150" s="9"/>
      <c r="U150" s="10"/>
    </row>
    <row r="151" spans="1:21" s="4" customFormat="1" ht="15.6" hidden="1" x14ac:dyDescent="0.3">
      <c r="A151" s="165" t="s">
        <v>293</v>
      </c>
      <c r="B151" s="18" t="s">
        <v>294</v>
      </c>
      <c r="C151" s="119">
        <f>C149/C150</f>
        <v>42400.830669742994</v>
      </c>
      <c r="D151" s="68" t="str">
        <f>"per ton of pollutants removed in "&amp;'Data Inputs'!B36&amp; " dollars"</f>
        <v>per ton of pollutants removed in 2021 dollars</v>
      </c>
      <c r="E151" s="167"/>
      <c r="F151" s="9"/>
      <c r="G151" s="9"/>
      <c r="H151" s="9"/>
      <c r="I151" s="9"/>
      <c r="J151" s="9"/>
      <c r="K151" s="9"/>
      <c r="L151" s="9"/>
      <c r="M151" s="9"/>
      <c r="N151" s="9"/>
      <c r="O151" s="9"/>
      <c r="P151" s="9"/>
      <c r="Q151" s="9"/>
      <c r="R151" s="9"/>
      <c r="S151" s="9"/>
      <c r="T151" s="9"/>
      <c r="U151" s="10"/>
    </row>
    <row r="152" spans="1:21" s="30" customFormat="1" ht="17.25" hidden="1" customHeight="1" thickBot="1" x14ac:dyDescent="0.35">
      <c r="A152" s="245"/>
      <c r="B152" s="245"/>
      <c r="C152" s="245"/>
      <c r="D152" s="245"/>
    </row>
    <row r="153" spans="1:21" ht="15.6" hidden="1" x14ac:dyDescent="0.3">
      <c r="A153" s="313" t="s">
        <v>307</v>
      </c>
      <c r="B153" s="314"/>
      <c r="C153" s="315"/>
      <c r="D153" s="314"/>
    </row>
    <row r="154" spans="1:21" s="30" customFormat="1" ht="18" hidden="1" x14ac:dyDescent="0.4">
      <c r="A154" s="30" t="s">
        <v>295</v>
      </c>
      <c r="B154" s="297" t="s">
        <v>296</v>
      </c>
      <c r="C154" s="299">
        <f>'Design Parameters'!C61*'Data Inputs'!B42</f>
        <v>39476400</v>
      </c>
      <c r="D154" s="381"/>
      <c r="N154" s="227"/>
      <c r="O154" s="227"/>
    </row>
    <row r="155" spans="1:21" s="4" customFormat="1" ht="18.600000000000001" hidden="1" x14ac:dyDescent="0.4">
      <c r="A155" s="30" t="s">
        <v>214</v>
      </c>
      <c r="B155" s="91" t="s">
        <v>215</v>
      </c>
      <c r="C155" s="87">
        <f>'Data Inputs'!B56</f>
        <v>32000</v>
      </c>
      <c r="D155" s="381"/>
      <c r="M155" s="221"/>
      <c r="N155" s="224"/>
      <c r="O155" s="228"/>
    </row>
    <row r="156" spans="1:21" s="4" customFormat="1" ht="18.600000000000001" hidden="1" x14ac:dyDescent="0.4">
      <c r="A156" s="37" t="s">
        <v>216</v>
      </c>
      <c r="B156" s="220" t="s">
        <v>217</v>
      </c>
      <c r="C156" s="87">
        <f>C154+C155</f>
        <v>39508400</v>
      </c>
      <c r="D156" s="381"/>
      <c r="E156" s="90"/>
      <c r="F156" s="90"/>
      <c r="G156" s="91"/>
      <c r="H156" s="91"/>
      <c r="I156" s="91"/>
      <c r="J156" s="91"/>
      <c r="K156" s="91"/>
      <c r="L156" s="91"/>
      <c r="M156" s="221"/>
      <c r="N156" s="225"/>
      <c r="O156" s="226"/>
    </row>
    <row r="157" spans="1:21" s="92" customFormat="1" ht="18" hidden="1" x14ac:dyDescent="0.35">
      <c r="A157" s="210"/>
      <c r="B157" s="210"/>
      <c r="C157" s="164"/>
      <c r="D157" s="381"/>
      <c r="E157" s="94"/>
      <c r="F157" s="94"/>
      <c r="G157" s="95"/>
      <c r="H157" s="95"/>
      <c r="I157" s="95"/>
      <c r="J157" s="95"/>
      <c r="K157" s="95"/>
      <c r="L157" s="95"/>
      <c r="M157" s="221"/>
      <c r="N157" s="225"/>
      <c r="O157" s="226"/>
    </row>
    <row r="158" spans="1:21" s="4" customFormat="1" ht="18" hidden="1" x14ac:dyDescent="0.35">
      <c r="A158" s="30" t="s">
        <v>218</v>
      </c>
      <c r="B158" s="30" t="s">
        <v>219</v>
      </c>
      <c r="C158" s="87">
        <f>0.1*C156</f>
        <v>3950840</v>
      </c>
      <c r="D158" s="381"/>
      <c r="E158" s="91"/>
      <c r="F158" s="90"/>
      <c r="G158" s="91"/>
      <c r="H158" s="91"/>
      <c r="I158" s="91"/>
      <c r="J158" s="91"/>
      <c r="K158" s="91"/>
      <c r="L158" s="91"/>
      <c r="M158" s="221"/>
      <c r="N158" s="225"/>
      <c r="O158" s="226"/>
    </row>
    <row r="159" spans="1:21" s="4" customFormat="1" ht="18" hidden="1" x14ac:dyDescent="0.35">
      <c r="A159" s="30" t="s">
        <v>221</v>
      </c>
      <c r="B159" s="30" t="s">
        <v>222</v>
      </c>
      <c r="C159" s="87">
        <f>0.03*C156</f>
        <v>1185252</v>
      </c>
      <c r="D159" s="381"/>
      <c r="E159" s="91"/>
      <c r="F159" s="91"/>
      <c r="G159" s="91"/>
      <c r="H159" s="91"/>
      <c r="I159" s="91"/>
      <c r="J159" s="91"/>
      <c r="K159" s="91"/>
      <c r="L159" s="91"/>
      <c r="M159" s="223"/>
      <c r="N159" s="225"/>
      <c r="O159" s="226"/>
    </row>
    <row r="160" spans="1:21" s="4" customFormat="1" ht="18" hidden="1" x14ac:dyDescent="0.35">
      <c r="A160" s="30" t="s">
        <v>223</v>
      </c>
      <c r="B160" s="30" t="s">
        <v>224</v>
      </c>
      <c r="C160" s="87">
        <f>0.05*C156</f>
        <v>1975420</v>
      </c>
      <c r="D160" s="91"/>
      <c r="E160" s="91"/>
      <c r="F160" s="91"/>
      <c r="G160" s="91"/>
      <c r="H160" s="91"/>
      <c r="I160" s="91"/>
      <c r="J160" s="91"/>
      <c r="K160" s="91"/>
      <c r="L160" s="91"/>
      <c r="M160" s="223"/>
      <c r="N160" s="225"/>
      <c r="O160" s="226"/>
    </row>
    <row r="161" spans="1:15" s="4" customFormat="1" ht="15.6" hidden="1" x14ac:dyDescent="0.3">
      <c r="C161" s="96"/>
      <c r="D161" s="91"/>
      <c r="E161" s="91"/>
      <c r="F161" s="91"/>
      <c r="G161" s="91"/>
      <c r="H161" s="91"/>
      <c r="I161" s="91"/>
      <c r="J161" s="91"/>
      <c r="K161" s="91"/>
      <c r="L161" s="91"/>
      <c r="M161" s="91"/>
      <c r="N161" s="91"/>
      <c r="O161" s="91"/>
    </row>
    <row r="162" spans="1:15" s="4" customFormat="1" ht="15.6" hidden="1" x14ac:dyDescent="0.3">
      <c r="A162" s="378" t="s">
        <v>225</v>
      </c>
      <c r="B162" s="378"/>
      <c r="C162" s="85">
        <f>C156+C159+C160</f>
        <v>42669072</v>
      </c>
    </row>
    <row r="163" spans="1:15" s="4" customFormat="1" ht="15.6" hidden="1" x14ac:dyDescent="0.3">
      <c r="C163" s="88"/>
    </row>
    <row r="164" spans="1:15" s="4" customFormat="1" ht="15.6" hidden="1" x14ac:dyDescent="0.3">
      <c r="A164" s="72" t="str">
        <f>"Installation Costs (in "&amp;'Data Inputs'!B36&amp;" dollars)"</f>
        <v>Installation Costs (in 2021 dollars)</v>
      </c>
      <c r="B164" s="72"/>
      <c r="C164" s="76"/>
      <c r="D164" s="72"/>
    </row>
    <row r="165" spans="1:15" s="4" customFormat="1" ht="15.6" hidden="1" x14ac:dyDescent="0.3">
      <c r="A165" s="81" t="s">
        <v>117</v>
      </c>
      <c r="B165" s="81" t="s">
        <v>118</v>
      </c>
      <c r="C165" s="82" t="s">
        <v>209</v>
      </c>
      <c r="D165" s="83"/>
      <c r="E165" s="79"/>
      <c r="F165" s="79"/>
    </row>
    <row r="166" spans="1:15" s="4" customFormat="1" ht="15.6" hidden="1" x14ac:dyDescent="0.3">
      <c r="A166" s="30" t="s">
        <v>308</v>
      </c>
      <c r="B166" s="30" t="s">
        <v>298</v>
      </c>
      <c r="C166" s="87">
        <f>0.2*C162</f>
        <v>8533814.4000000004</v>
      </c>
      <c r="D166" s="382"/>
    </row>
    <row r="167" spans="1:15" s="4" customFormat="1" ht="15.6" hidden="1" x14ac:dyDescent="0.3">
      <c r="A167" s="189" t="s">
        <v>79</v>
      </c>
      <c r="B167" s="211"/>
      <c r="C167" s="87">
        <f>'Data Inputs'!B54</f>
        <v>0</v>
      </c>
      <c r="D167" s="382"/>
    </row>
    <row r="168" spans="1:15" s="4" customFormat="1" ht="15.6" hidden="1" x14ac:dyDescent="0.3">
      <c r="A168" s="189" t="s">
        <v>80</v>
      </c>
      <c r="B168" s="211"/>
      <c r="C168" s="87">
        <f>'Data Inputs'!B55</f>
        <v>0</v>
      </c>
      <c r="D168" s="382"/>
    </row>
    <row r="169" spans="1:15" s="4" customFormat="1" ht="15.6" hidden="1" x14ac:dyDescent="0.3">
      <c r="A169" s="44"/>
      <c r="B169" s="44"/>
      <c r="C169" s="98"/>
      <c r="D169" s="382"/>
    </row>
    <row r="170" spans="1:15" s="4" customFormat="1" ht="15.6" hidden="1" x14ac:dyDescent="0.3">
      <c r="A170" s="378" t="s">
        <v>299</v>
      </c>
      <c r="B170" s="378"/>
      <c r="C170" s="85">
        <f>SUM(C166:C168)</f>
        <v>8533814.4000000004</v>
      </c>
    </row>
    <row r="171" spans="1:15" s="91" customFormat="1" ht="15.6" hidden="1" x14ac:dyDescent="0.3">
      <c r="A171" s="178" t="s">
        <v>246</v>
      </c>
      <c r="B171" s="178" t="s">
        <v>300</v>
      </c>
      <c r="C171" s="85">
        <f>(C162+C170)*('Data Inputs'!B57/100)</f>
        <v>5120288.6400000006</v>
      </c>
    </row>
    <row r="172" spans="1:15" s="30" customFormat="1" ht="15.6" hidden="1" x14ac:dyDescent="0.3">
      <c r="A172" s="254"/>
      <c r="B172" s="254"/>
      <c r="C172" s="163"/>
    </row>
    <row r="173" spans="1:15" s="4" customFormat="1" ht="15.6" hidden="1" x14ac:dyDescent="0.3">
      <c r="A173" s="101" t="s">
        <v>248</v>
      </c>
      <c r="B173" s="102" t="s">
        <v>301</v>
      </c>
      <c r="C173" s="111">
        <f>C162+C170+C171</f>
        <v>56323175.039999999</v>
      </c>
      <c r="D173" s="103" t="str">
        <f>"in "&amp;'Data Inputs'!$B$36&amp;" dollars"</f>
        <v>in 2021 dollars</v>
      </c>
    </row>
    <row r="174" spans="1:15" s="91" customFormat="1" ht="15.6" hidden="1" x14ac:dyDescent="0.3">
      <c r="A174" s="178"/>
      <c r="B174" s="178"/>
      <c r="C174" s="86"/>
    </row>
    <row r="175" spans="1:15" s="4" customFormat="1" ht="21" hidden="1" x14ac:dyDescent="0.4">
      <c r="A175" s="376" t="s">
        <v>250</v>
      </c>
      <c r="B175" s="376"/>
      <c r="C175" s="376"/>
      <c r="D175" s="376"/>
    </row>
    <row r="176" spans="1:15" s="91" customFormat="1" ht="15.6" hidden="1" x14ac:dyDescent="0.3">
      <c r="A176" s="104"/>
      <c r="B176" s="105"/>
      <c r="C176" s="106"/>
    </row>
    <row r="177" spans="1:6" s="4" customFormat="1" ht="15.6" hidden="1" x14ac:dyDescent="0.3">
      <c r="A177" s="72" t="s">
        <v>251</v>
      </c>
      <c r="B177" s="72"/>
      <c r="C177" s="72"/>
      <c r="D177" s="72"/>
    </row>
    <row r="178" spans="1:6" s="4" customFormat="1" ht="15.6" hidden="1" x14ac:dyDescent="0.3">
      <c r="A178" s="81" t="s">
        <v>117</v>
      </c>
      <c r="B178" s="81" t="s">
        <v>118</v>
      </c>
      <c r="C178" s="82" t="s">
        <v>209</v>
      </c>
      <c r="D178" s="83"/>
      <c r="E178" s="79"/>
      <c r="F178" s="79"/>
    </row>
    <row r="179" spans="1:6" s="4" customFormat="1" ht="15.6" hidden="1" x14ac:dyDescent="0.3">
      <c r="A179" s="4" t="s">
        <v>261</v>
      </c>
      <c r="B179" s="108" t="s">
        <v>309</v>
      </c>
      <c r="C179" s="87">
        <f>C173*0.06</f>
        <v>3379390.5023999996</v>
      </c>
      <c r="D179" s="380"/>
    </row>
    <row r="180" spans="1:6" s="4" customFormat="1" ht="39" hidden="1" customHeight="1" x14ac:dyDescent="0.3">
      <c r="A180" s="30" t="s">
        <v>310</v>
      </c>
      <c r="B180" s="214" t="str">
        <f>IF('Design Parameters'!C54&lt;1,"Installation Cost = 0.2 x Number of Canisters x Cost per Canister x CRF  =", "Installation Cost = 0.2 x Number of Canisters x Cost per canister x Number of times replaced/year =")</f>
        <v>Installation Cost = 0.2 x Number of Canisters x Cost per Canister x CRF  =</v>
      </c>
      <c r="C180" s="299">
        <f>IF('Design Parameters'!C54&lt;1,0.2*'Design Parameters'!C61*'Data Inputs'!B42*'Design Parameters'!C68,0.2*'Design Parameters'!C61*'Data Inputs'!B42*'Design Parameters'!C54)</f>
        <v>2114170.4957246394</v>
      </c>
      <c r="D180" s="380"/>
    </row>
    <row r="181" spans="1:6" s="4" customFormat="1" ht="36.75" hidden="1" customHeight="1" x14ac:dyDescent="0.3">
      <c r="A181" s="30"/>
      <c r="B181" s="214" t="str">
        <f>IF('Design Parameters'!C54&lt;1,"Canisters = number of canisters x Cost per Canister x 1.08 x CRF = ", "Canisters = number of canisters x Cost per canister x 1.08 x Number of times replacemed/year = ")</f>
        <v xml:space="preserve">Canisters = number of canisters x Cost per Canister x 1.08 x CRF = </v>
      </c>
      <c r="C181" s="299">
        <f>IF('Design Parameters'!C54&lt;1,'Design Parameters'!C61*'Data Inputs'!B42*1.08*'Design Parameters'!C68,'Design Parameters'!C61*'Data Inputs'!B42*1.08*'Design Parameters'!C54)</f>
        <v>11416520.676913053</v>
      </c>
      <c r="D181" s="380"/>
    </row>
    <row r="182" spans="1:6" s="4" customFormat="1" ht="15.6" hidden="1" x14ac:dyDescent="0.3">
      <c r="C182" s="30"/>
      <c r="D182" s="109"/>
    </row>
    <row r="183" spans="1:6" s="4" customFormat="1" ht="15.6" hidden="1" x14ac:dyDescent="0.3">
      <c r="B183" s="108"/>
      <c r="C183" s="110"/>
      <c r="D183" s="109"/>
    </row>
    <row r="184" spans="1:6" s="4" customFormat="1" ht="15.6" hidden="1" x14ac:dyDescent="0.3">
      <c r="A184" s="101" t="s">
        <v>267</v>
      </c>
      <c r="B184" s="102"/>
      <c r="C184" s="111">
        <f>SUM(C179:C181)</f>
        <v>16910081.67503769</v>
      </c>
      <c r="D184" s="103" t="str">
        <f>"in "&amp;'Data Inputs'!$B$36&amp;" dollars"</f>
        <v>in 2021 dollars</v>
      </c>
    </row>
    <row r="185" spans="1:6" s="4" customFormat="1" ht="15.6" hidden="1" x14ac:dyDescent="0.3">
      <c r="B185" s="108"/>
      <c r="C185" s="110"/>
      <c r="D185" s="109"/>
    </row>
    <row r="186" spans="1:6" s="4" customFormat="1" ht="15.6" hidden="1" x14ac:dyDescent="0.3">
      <c r="A186" s="72" t="s">
        <v>268</v>
      </c>
      <c r="B186" s="72"/>
      <c r="C186" s="72"/>
      <c r="D186" s="72"/>
    </row>
    <row r="187" spans="1:6" s="4" customFormat="1" ht="15.6" hidden="1" x14ac:dyDescent="0.3">
      <c r="A187" s="81" t="s">
        <v>117</v>
      </c>
      <c r="B187" s="81" t="s">
        <v>118</v>
      </c>
      <c r="C187" s="82" t="s">
        <v>209</v>
      </c>
      <c r="D187" s="83"/>
      <c r="E187" s="79"/>
      <c r="F187" s="79"/>
    </row>
    <row r="188" spans="1:6" s="112" customFormat="1" ht="15.6" hidden="1" x14ac:dyDescent="0.3">
      <c r="A188" s="84" t="s">
        <v>271</v>
      </c>
      <c r="B188" s="213" t="s">
        <v>272</v>
      </c>
      <c r="C188" s="85">
        <f>(0.02*C173)</f>
        <v>1126463.5008</v>
      </c>
      <c r="D188" s="383"/>
    </row>
    <row r="189" spans="1:6" s="112" customFormat="1" ht="15.6" hidden="1" x14ac:dyDescent="0.3">
      <c r="A189" s="84" t="s">
        <v>273</v>
      </c>
      <c r="B189" s="213" t="s">
        <v>274</v>
      </c>
      <c r="C189" s="85">
        <f>0.01*C173</f>
        <v>563231.75040000002</v>
      </c>
      <c r="D189" s="383"/>
    </row>
    <row r="190" spans="1:6" s="112" customFormat="1" ht="15.6" hidden="1" x14ac:dyDescent="0.3">
      <c r="A190" s="84" t="s">
        <v>275</v>
      </c>
      <c r="B190" s="213" t="s">
        <v>274</v>
      </c>
      <c r="C190" s="85">
        <f>0.01*C173</f>
        <v>563231.75040000002</v>
      </c>
      <c r="D190" s="383"/>
    </row>
    <row r="191" spans="1:6" s="4" customFormat="1" ht="15.6" hidden="1" x14ac:dyDescent="0.3">
      <c r="A191" s="84" t="s">
        <v>276</v>
      </c>
      <c r="B191" s="213" t="str">
        <f>IF('Design Parameters'!C54&gt;=1,"= CRFAuxiliary Equipment × (TCI - 1.08(Canister Costs)) =", "= CRFAuxiliary Equipment × (TCI - 1.08(Canister Costs)) =")</f>
        <v>= CRFAuxiliary Equipment × (TCI - 1.08(Canister Costs)) =</v>
      </c>
      <c r="C191" s="87">
        <f>'Design Parameters'!$C$64*(C173-(1.08*C154))</f>
        <v>1363741.2357708921</v>
      </c>
      <c r="D191" s="383"/>
    </row>
    <row r="192" spans="1:6" s="4" customFormat="1" ht="15.6" hidden="1" x14ac:dyDescent="0.3">
      <c r="A192" s="112"/>
      <c r="B192" s="113"/>
      <c r="C192" s="166"/>
      <c r="D192" s="109"/>
    </row>
    <row r="193" spans="1:21" s="4" customFormat="1" ht="15.6" hidden="1" x14ac:dyDescent="0.3">
      <c r="A193" s="101" t="s">
        <v>278</v>
      </c>
      <c r="B193" s="102"/>
      <c r="C193" s="111">
        <f>SUM(C188:C191)</f>
        <v>3616668.2373708924</v>
      </c>
      <c r="D193" s="103" t="str">
        <f>"in "&amp;'Data Inputs'!$B$36&amp;" dollars"</f>
        <v>in 2021 dollars</v>
      </c>
    </row>
    <row r="194" spans="1:21" s="4" customFormat="1" ht="15.6" hidden="1" x14ac:dyDescent="0.3">
      <c r="A194" s="112"/>
      <c r="B194" s="113"/>
      <c r="C194" s="117"/>
      <c r="D194" s="109"/>
    </row>
    <row r="195" spans="1:21" s="4" customFormat="1" ht="15.6" hidden="1" x14ac:dyDescent="0.3">
      <c r="A195" s="101" t="s">
        <v>286</v>
      </c>
      <c r="B195" s="102" t="s">
        <v>305</v>
      </c>
      <c r="C195" s="111">
        <f>C193+C184</f>
        <v>20526749.912408583</v>
      </c>
      <c r="D195" s="103" t="str">
        <f>"in "&amp;'Data Inputs'!$B$36&amp;" dollars"</f>
        <v>in 2021 dollars</v>
      </c>
    </row>
    <row r="196" spans="1:21" s="4" customFormat="1" ht="15.6" hidden="1" x14ac:dyDescent="0.3">
      <c r="C196" s="44"/>
    </row>
    <row r="197" spans="1:21" s="4" customFormat="1" ht="21" hidden="1" x14ac:dyDescent="0.4">
      <c r="A197" s="376" t="s">
        <v>288</v>
      </c>
      <c r="B197" s="376"/>
      <c r="C197" s="376"/>
      <c r="D197" s="376"/>
      <c r="E197" s="9"/>
      <c r="F197" s="9"/>
      <c r="G197" s="9"/>
      <c r="H197" s="9"/>
      <c r="I197" s="9"/>
      <c r="J197" s="9"/>
      <c r="K197" s="9"/>
      <c r="L197" s="9"/>
      <c r="M197" s="9"/>
      <c r="N197" s="9"/>
      <c r="O197" s="9"/>
      <c r="P197" s="9"/>
      <c r="Q197" s="9"/>
      <c r="R197" s="9"/>
      <c r="S197" s="9"/>
      <c r="T197" s="9"/>
      <c r="U197" s="10"/>
    </row>
    <row r="198" spans="1:21" s="30" customFormat="1" ht="15.6" hidden="1" x14ac:dyDescent="0.3">
      <c r="C198" s="211"/>
      <c r="D198" s="9"/>
      <c r="E198" s="9"/>
      <c r="F198" s="9"/>
      <c r="G198" s="9"/>
      <c r="H198" s="9"/>
      <c r="I198" s="9"/>
      <c r="J198" s="9"/>
      <c r="K198" s="9"/>
      <c r="L198" s="9"/>
      <c r="M198" s="9"/>
      <c r="N198" s="9"/>
      <c r="O198" s="9"/>
      <c r="P198" s="9"/>
      <c r="Q198" s="9"/>
      <c r="R198" s="9"/>
      <c r="S198" s="9"/>
      <c r="T198" s="9"/>
      <c r="U198" s="9"/>
    </row>
    <row r="199" spans="1:21" s="4" customFormat="1" ht="15.6" hidden="1" x14ac:dyDescent="0.3">
      <c r="A199" s="73" t="s">
        <v>289</v>
      </c>
      <c r="B199" s="73"/>
      <c r="C199" s="73"/>
      <c r="D199" s="73"/>
      <c r="E199" s="9"/>
      <c r="F199" s="9"/>
      <c r="G199" s="9"/>
      <c r="H199" s="9"/>
      <c r="I199" s="9"/>
      <c r="J199" s="9"/>
      <c r="K199" s="9"/>
      <c r="L199" s="9"/>
      <c r="M199" s="9"/>
      <c r="N199" s="9"/>
      <c r="O199" s="9"/>
      <c r="P199" s="9"/>
      <c r="Q199" s="9"/>
      <c r="R199" s="9"/>
      <c r="S199" s="9"/>
      <c r="T199" s="9"/>
      <c r="U199" s="10"/>
    </row>
    <row r="200" spans="1:21" s="4" customFormat="1" ht="15.6" hidden="1" x14ac:dyDescent="0.3">
      <c r="A200" s="81" t="s">
        <v>117</v>
      </c>
      <c r="B200" s="81" t="s">
        <v>118</v>
      </c>
      <c r="C200" s="82" t="s">
        <v>209</v>
      </c>
      <c r="D200" s="121"/>
      <c r="E200" s="79"/>
      <c r="F200" s="79"/>
    </row>
    <row r="201" spans="1:21" s="4" customFormat="1" ht="15.6" hidden="1" x14ac:dyDescent="0.3">
      <c r="A201" s="13" t="s">
        <v>290</v>
      </c>
      <c r="B201" s="18" t="s">
        <v>291</v>
      </c>
      <c r="C201" s="119">
        <f>C195</f>
        <v>20526749.912408583</v>
      </c>
      <c r="D201" s="120" t="str">
        <f>"per year in "&amp;'Data Inputs'!B36&amp; " dollars"</f>
        <v>per year in 2021 dollars</v>
      </c>
      <c r="E201" s="9"/>
      <c r="F201" s="9"/>
      <c r="G201" s="9"/>
      <c r="H201" s="9"/>
      <c r="I201" s="9"/>
      <c r="J201" s="9"/>
      <c r="K201" s="9"/>
      <c r="L201" s="9"/>
      <c r="M201" s="9"/>
      <c r="N201" s="9"/>
      <c r="O201" s="9"/>
      <c r="P201" s="9"/>
      <c r="Q201" s="9"/>
      <c r="R201" s="9"/>
      <c r="S201" s="9"/>
      <c r="T201" s="9"/>
      <c r="U201" s="10"/>
    </row>
    <row r="202" spans="1:21" s="4" customFormat="1" ht="18" hidden="1" x14ac:dyDescent="0.4">
      <c r="A202" s="13" t="s">
        <v>306</v>
      </c>
      <c r="B202" s="208" t="s">
        <v>121</v>
      </c>
      <c r="C202" s="306">
        <f>'Design Parameters'!C9</f>
        <v>311.70008129999997</v>
      </c>
      <c r="D202" s="68" t="s">
        <v>311</v>
      </c>
      <c r="E202" s="9"/>
      <c r="F202" s="9"/>
      <c r="G202" s="9"/>
      <c r="H202" s="9"/>
      <c r="I202" s="9"/>
      <c r="J202" s="9"/>
      <c r="K202" s="9"/>
      <c r="L202" s="9"/>
      <c r="M202" s="9"/>
      <c r="N202" s="9"/>
      <c r="O202" s="9"/>
      <c r="P202" s="9"/>
      <c r="Q202" s="9"/>
      <c r="R202" s="9"/>
      <c r="S202" s="9"/>
      <c r="T202" s="9"/>
      <c r="U202" s="10"/>
    </row>
    <row r="203" spans="1:21" s="4" customFormat="1" ht="15.6" hidden="1" x14ac:dyDescent="0.3">
      <c r="A203" s="165" t="s">
        <v>293</v>
      </c>
      <c r="B203" s="18" t="s">
        <v>294</v>
      </c>
      <c r="C203" s="119">
        <f>C201/C202</f>
        <v>65854.169260393406</v>
      </c>
      <c r="D203" s="68" t="str">
        <f>"per ton of pollutants removed in "&amp;'Data Inputs'!B102&amp; " dollars"</f>
        <v>per ton of pollutants removed in  dollars</v>
      </c>
      <c r="E203" s="167"/>
      <c r="F203" s="9"/>
      <c r="G203" s="9"/>
      <c r="H203" s="9"/>
      <c r="I203" s="9"/>
      <c r="J203" s="9"/>
      <c r="K203" s="9"/>
      <c r="L203" s="9"/>
      <c r="M203" s="9"/>
      <c r="N203" s="9"/>
      <c r="O203" s="9"/>
      <c r="P203" s="9"/>
      <c r="Q203" s="9"/>
      <c r="R203" s="9"/>
      <c r="S203" s="9"/>
      <c r="T203" s="9"/>
      <c r="U203" s="10"/>
    </row>
    <row r="204" spans="1:21" s="30" customFormat="1" ht="17.25" hidden="1" customHeight="1" thickBot="1" x14ac:dyDescent="0.35">
      <c r="A204" s="245"/>
      <c r="B204" s="245"/>
      <c r="C204" s="245"/>
      <c r="D204" s="245"/>
    </row>
    <row r="205" spans="1:21" hidden="1" x14ac:dyDescent="0.3"/>
    <row r="206" spans="1:21" hidden="1" x14ac:dyDescent="0.3"/>
    <row r="207" spans="1:21" hidden="1" x14ac:dyDescent="0.3"/>
    <row r="208" spans="1:21" hidden="1" x14ac:dyDescent="0.3"/>
    <row r="209" hidden="1" x14ac:dyDescent="0.3"/>
    <row r="210" hidden="1" x14ac:dyDescent="0.3"/>
    <row r="211" hidden="1" x14ac:dyDescent="0.3"/>
    <row r="212" hidden="1" x14ac:dyDescent="0.3"/>
    <row r="213" hidden="1" x14ac:dyDescent="0.3"/>
    <row r="214" hidden="1" x14ac:dyDescent="0.3"/>
    <row r="215" hidden="1" x14ac:dyDescent="0.3"/>
    <row r="216" hidden="1" x14ac:dyDescent="0.3"/>
    <row r="217" hidden="1" x14ac:dyDescent="0.3"/>
    <row r="218" hidden="1" x14ac:dyDescent="0.3"/>
    <row r="219" hidden="1" x14ac:dyDescent="0.3"/>
    <row r="220" hidden="1" x14ac:dyDescent="0.3"/>
    <row r="221" hidden="1" x14ac:dyDescent="0.3"/>
    <row r="222" hidden="1" x14ac:dyDescent="0.3"/>
    <row r="223" hidden="1" x14ac:dyDescent="0.3"/>
    <row r="224" hidden="1" x14ac:dyDescent="0.3"/>
    <row r="225" hidden="1" x14ac:dyDescent="0.3"/>
    <row r="226" hidden="1" x14ac:dyDescent="0.3"/>
    <row r="227" hidden="1" x14ac:dyDescent="0.3"/>
    <row r="228" hidden="1" x14ac:dyDescent="0.3"/>
    <row r="229" hidden="1" x14ac:dyDescent="0.3"/>
  </sheetData>
  <mergeCells count="21">
    <mergeCell ref="D98:D104"/>
    <mergeCell ref="D123:D126"/>
    <mergeCell ref="A170:B170"/>
    <mergeCell ref="A175:D175"/>
    <mergeCell ref="A197:D197"/>
    <mergeCell ref="A106:B106"/>
    <mergeCell ref="A114:B114"/>
    <mergeCell ref="A119:D119"/>
    <mergeCell ref="A145:D145"/>
    <mergeCell ref="A162:B162"/>
    <mergeCell ref="D154:D159"/>
    <mergeCell ref="D166:D169"/>
    <mergeCell ref="D179:D181"/>
    <mergeCell ref="D188:D191"/>
    <mergeCell ref="A1:D1"/>
    <mergeCell ref="A49:D49"/>
    <mergeCell ref="A89:D89"/>
    <mergeCell ref="C4:C8"/>
    <mergeCell ref="A44:B44"/>
    <mergeCell ref="A21:B21"/>
    <mergeCell ref="A3:D3"/>
  </mergeCells>
  <conditionalFormatting sqref="E4">
    <cfRule type="expression" dxfId="0" priority="7">
      <formula>#REF!=1</formula>
    </cfRule>
  </conditionalFormatting>
  <pageMargins left="0.7" right="0.7" top="0.75" bottom="0.75" header="0.3" footer="0.3"/>
  <pageSetup orientation="portrait" r:id="rId1"/>
  <ignoredErrors>
    <ignoredError sqref="C39" formula="1"/>
    <ignoredError sqref="C136:C138 C141 C149 C151" evalError="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dimension ref="A1:E21"/>
  <sheetViews>
    <sheetView workbookViewId="0">
      <selection activeCell="C8" sqref="C8"/>
    </sheetView>
  </sheetViews>
  <sheetFormatPr defaultColWidth="19" defaultRowHeight="15.6" x14ac:dyDescent="0.3"/>
  <cols>
    <col min="1" max="2" width="19" style="30"/>
    <col min="3" max="3" width="29" style="30" customWidth="1"/>
    <col min="4" max="4" width="24.109375" style="30" customWidth="1"/>
    <col min="5" max="16384" width="19" style="30"/>
  </cols>
  <sheetData>
    <row r="1" spans="1:5" ht="26.4" x14ac:dyDescent="0.45">
      <c r="A1" s="241" t="s">
        <v>312</v>
      </c>
      <c r="B1" s="241"/>
      <c r="C1" s="241"/>
      <c r="D1" s="241"/>
      <c r="E1" s="241"/>
    </row>
    <row r="4" spans="1:5" ht="36.75" customHeight="1" x14ac:dyDescent="0.3">
      <c r="A4" s="387" t="s">
        <v>313</v>
      </c>
      <c r="B4" s="389" t="s">
        <v>314</v>
      </c>
      <c r="C4" s="385" t="s">
        <v>315</v>
      </c>
      <c r="D4" s="386"/>
      <c r="E4" s="281" t="s">
        <v>316</v>
      </c>
    </row>
    <row r="5" spans="1:5" x14ac:dyDescent="0.3">
      <c r="A5" s="388"/>
      <c r="B5" s="390"/>
      <c r="C5" s="321" t="s">
        <v>317</v>
      </c>
      <c r="D5" s="321" t="s">
        <v>318</v>
      </c>
      <c r="E5" s="282" t="s">
        <v>319</v>
      </c>
    </row>
    <row r="6" spans="1:5" x14ac:dyDescent="0.3">
      <c r="A6" s="283" t="s">
        <v>320</v>
      </c>
      <c r="B6" s="284">
        <v>100</v>
      </c>
      <c r="C6" s="284">
        <v>0.41199999999999998</v>
      </c>
      <c r="D6" s="285">
        <v>0.38900000000000001</v>
      </c>
      <c r="E6" s="286" t="s">
        <v>321</v>
      </c>
    </row>
    <row r="7" spans="1:5" x14ac:dyDescent="0.3">
      <c r="A7" s="287" t="s">
        <v>322</v>
      </c>
      <c r="B7" s="288">
        <v>100</v>
      </c>
      <c r="C7" s="288">
        <v>0.93500000000000005</v>
      </c>
      <c r="D7" s="289">
        <v>0.42399999999999999</v>
      </c>
      <c r="E7" s="290" t="s">
        <v>323</v>
      </c>
    </row>
    <row r="8" spans="1:5" x14ac:dyDescent="0.3">
      <c r="A8" s="283" t="s">
        <v>60</v>
      </c>
      <c r="B8" s="284">
        <v>77</v>
      </c>
      <c r="C8" s="284">
        <v>0.59699999999999998</v>
      </c>
      <c r="D8" s="285">
        <v>0.17599999999999999</v>
      </c>
      <c r="E8" s="286" t="s">
        <v>321</v>
      </c>
    </row>
    <row r="9" spans="1:5" x14ac:dyDescent="0.3">
      <c r="A9" s="283" t="s">
        <v>324</v>
      </c>
      <c r="B9" s="284">
        <v>77</v>
      </c>
      <c r="C9" s="284">
        <v>1.05</v>
      </c>
      <c r="D9" s="285">
        <v>0.188</v>
      </c>
      <c r="E9" s="286" t="s">
        <v>325</v>
      </c>
    </row>
    <row r="10" spans="1:5" x14ac:dyDescent="0.3">
      <c r="A10" s="287" t="s">
        <v>326</v>
      </c>
      <c r="B10" s="288">
        <v>100</v>
      </c>
      <c r="C10" s="288">
        <v>0.505</v>
      </c>
      <c r="D10" s="289">
        <v>0.21</v>
      </c>
      <c r="E10" s="286" t="s">
        <v>321</v>
      </c>
    </row>
    <row r="11" spans="1:5" x14ac:dyDescent="0.3">
      <c r="A11" s="291" t="s">
        <v>327</v>
      </c>
      <c r="B11" s="292">
        <v>77</v>
      </c>
      <c r="C11" s="292">
        <v>0.97599999999999998</v>
      </c>
      <c r="D11" s="293">
        <v>0.28100000000000003</v>
      </c>
      <c r="E11" s="286" t="s">
        <v>328</v>
      </c>
    </row>
    <row r="12" spans="1:5" x14ac:dyDescent="0.3">
      <c r="A12" s="294" t="s">
        <v>329</v>
      </c>
      <c r="B12" s="292">
        <v>77</v>
      </c>
      <c r="C12" s="292">
        <v>0.70799999999999996</v>
      </c>
      <c r="D12" s="293">
        <v>0.113</v>
      </c>
      <c r="E12" s="286" t="s">
        <v>330</v>
      </c>
    </row>
    <row r="13" spans="1:5" x14ac:dyDescent="0.3">
      <c r="A13" s="283" t="s">
        <v>331</v>
      </c>
      <c r="B13" s="284">
        <v>104</v>
      </c>
      <c r="C13" s="284">
        <v>0.85499999999999998</v>
      </c>
      <c r="D13" s="285">
        <v>0.153</v>
      </c>
      <c r="E13" s="286" t="s">
        <v>332</v>
      </c>
    </row>
    <row r="14" spans="1:5" x14ac:dyDescent="0.3">
      <c r="A14" s="283" t="s">
        <v>333</v>
      </c>
      <c r="B14" s="284">
        <v>77</v>
      </c>
      <c r="C14" s="284">
        <v>0.55100000000000005</v>
      </c>
      <c r="D14" s="285">
        <v>0.11</v>
      </c>
      <c r="E14" s="286" t="s">
        <v>334</v>
      </c>
    </row>
    <row r="15" spans="1:5" x14ac:dyDescent="0.3">
      <c r="A15" s="291" t="s">
        <v>335</v>
      </c>
      <c r="B15" s="292">
        <v>77</v>
      </c>
      <c r="C15" s="292">
        <v>1.06</v>
      </c>
      <c r="D15" s="293">
        <v>0.161</v>
      </c>
      <c r="E15" s="295" t="s">
        <v>328</v>
      </c>
    </row>
    <row r="16" spans="1:5" x14ac:dyDescent="0.3">
      <c r="A16" s="283" t="s">
        <v>336</v>
      </c>
      <c r="B16" s="284">
        <v>100</v>
      </c>
      <c r="C16" s="284">
        <v>0.2</v>
      </c>
      <c r="D16" s="285">
        <v>0.47699999999999998</v>
      </c>
      <c r="E16" s="286" t="s">
        <v>321</v>
      </c>
    </row>
    <row r="18" spans="1:5" ht="48" customHeight="1" x14ac:dyDescent="0.3">
      <c r="A18" s="384" t="s">
        <v>337</v>
      </c>
      <c r="B18" s="384"/>
      <c r="C18" s="384"/>
      <c r="D18" s="384"/>
      <c r="E18" s="384"/>
    </row>
    <row r="19" spans="1:5" ht="17.399999999999999" x14ac:dyDescent="0.3">
      <c r="A19" s="296" t="s">
        <v>338</v>
      </c>
    </row>
    <row r="20" spans="1:5" ht="17.399999999999999" x14ac:dyDescent="0.3">
      <c r="A20" s="296"/>
    </row>
    <row r="21" spans="1:5" ht="18.600000000000001" x14ac:dyDescent="0.3">
      <c r="A21" s="240"/>
    </row>
  </sheetData>
  <sortState xmlns:xlrd2="http://schemas.microsoft.com/office/spreadsheetml/2017/richdata2" ref="A7:E16">
    <sortCondition ref="A6"/>
  </sortState>
  <mergeCells count="4">
    <mergeCell ref="A18:E18"/>
    <mergeCell ref="C4:D4"/>
    <mergeCell ref="A4:A5"/>
    <mergeCell ref="B4:B5"/>
  </mergeCell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L20"/>
  <sheetViews>
    <sheetView workbookViewId="0">
      <selection activeCell="E20" sqref="E20"/>
    </sheetView>
  </sheetViews>
  <sheetFormatPr defaultColWidth="9.109375" defaultRowHeight="14.4" x14ac:dyDescent="0.3"/>
  <cols>
    <col min="1" max="1" width="28.109375" style="20" customWidth="1"/>
    <col min="2" max="2" width="20.88671875" style="20" customWidth="1"/>
    <col min="3" max="3" width="23.33203125" style="20" customWidth="1"/>
    <col min="4" max="4" width="21" style="20" customWidth="1"/>
    <col min="5" max="5" width="21.44140625" style="20" customWidth="1"/>
    <col min="6" max="6" width="23.44140625" style="20" customWidth="1"/>
    <col min="7" max="7" width="35.33203125" style="20" customWidth="1"/>
    <col min="8" max="9" width="9.109375" style="20"/>
    <col min="10" max="10" width="41.44140625" style="20" customWidth="1"/>
    <col min="11" max="11" width="17" style="20" customWidth="1"/>
    <col min="12" max="12" width="19.5546875" style="20" customWidth="1"/>
    <col min="13" max="16384" width="9.109375" style="20"/>
  </cols>
  <sheetData>
    <row r="1" spans="1:12" ht="26.4" x14ac:dyDescent="0.45">
      <c r="A1" s="241" t="s">
        <v>339</v>
      </c>
      <c r="B1" s="241"/>
      <c r="C1" s="241"/>
      <c r="D1" s="241"/>
      <c r="E1" s="241"/>
    </row>
    <row r="2" spans="1:12" ht="15.6" x14ac:dyDescent="0.3">
      <c r="A2" s="30"/>
      <c r="B2" s="30"/>
      <c r="C2" s="30"/>
      <c r="D2" s="30"/>
      <c r="E2" s="30"/>
    </row>
    <row r="3" spans="1:12" ht="65.25" customHeight="1" x14ac:dyDescent="0.3">
      <c r="A3" s="320" t="s">
        <v>340</v>
      </c>
      <c r="B3" s="320" t="s">
        <v>341</v>
      </c>
      <c r="C3" s="320" t="s">
        <v>342</v>
      </c>
      <c r="D3" s="320" t="str">
        <f>"Cost with Virgin Carbon (in "&amp;'Data Inputs'!B36&amp;" dollars)"</f>
        <v>Cost with Virgin Carbon (in 2021 dollars)</v>
      </c>
      <c r="E3" s="320" t="str">
        <f>"Cost with Reactivated Carbon (in "&amp;'Data Inputs'!B36&amp;" dollars)"</f>
        <v>Cost with Reactivated Carbon (in 2021 dollars)</v>
      </c>
      <c r="K3" s="278" t="s">
        <v>343</v>
      </c>
      <c r="L3" s="278" t="s">
        <v>344</v>
      </c>
    </row>
    <row r="4" spans="1:12" ht="15.6" x14ac:dyDescent="0.3">
      <c r="A4" s="279">
        <v>140</v>
      </c>
      <c r="B4" s="279">
        <v>500</v>
      </c>
      <c r="C4" s="279" t="s">
        <v>345</v>
      </c>
      <c r="D4" s="302">
        <f>K4*('Data Inputs'!B$37/'Data Inputs'!E$37)</f>
        <v>1305.0691244239631</v>
      </c>
      <c r="E4" s="280" t="s">
        <v>346</v>
      </c>
      <c r="K4" s="276">
        <v>720</v>
      </c>
      <c r="L4" s="276" t="s">
        <v>346</v>
      </c>
    </row>
    <row r="5" spans="1:12" ht="15.6" x14ac:dyDescent="0.3">
      <c r="A5" s="279">
        <v>140</v>
      </c>
      <c r="B5" s="279">
        <v>500</v>
      </c>
      <c r="C5" s="279" t="s">
        <v>347</v>
      </c>
      <c r="D5" s="302">
        <f>K5*('Data Inputs'!B$37/'Data Inputs'!E$37)</f>
        <v>2002.9185867895544</v>
      </c>
      <c r="E5" s="280" t="s">
        <v>346</v>
      </c>
      <c r="K5" s="277">
        <v>1105</v>
      </c>
      <c r="L5" s="276" t="s">
        <v>346</v>
      </c>
    </row>
    <row r="6" spans="1:12" ht="15.6" x14ac:dyDescent="0.3">
      <c r="A6" s="279">
        <v>170</v>
      </c>
      <c r="B6" s="279">
        <v>300</v>
      </c>
      <c r="C6" s="279" t="s">
        <v>347</v>
      </c>
      <c r="D6" s="302">
        <f>K6*('Data Inputs'!B$37/'Data Inputs'!E$37)</f>
        <v>1975.7296466973885</v>
      </c>
      <c r="E6" s="280" t="s">
        <v>346</v>
      </c>
      <c r="K6" s="277">
        <v>1090</v>
      </c>
      <c r="L6" s="276" t="s">
        <v>346</v>
      </c>
    </row>
    <row r="7" spans="1:12" ht="15.6" x14ac:dyDescent="0.3">
      <c r="A7" s="279">
        <v>180</v>
      </c>
      <c r="B7" s="279">
        <v>100</v>
      </c>
      <c r="C7" s="279" t="s">
        <v>347</v>
      </c>
      <c r="D7" s="302">
        <f>K7*('Data Inputs'!B$37/'Data Inputs'!E$37)</f>
        <v>2900.1536098310289</v>
      </c>
      <c r="E7" s="302">
        <f>L7*('Data Inputs'!B$37/'Data Inputs'!E$37)</f>
        <v>1776.3440860215053</v>
      </c>
      <c r="K7" s="277">
        <v>1600</v>
      </c>
      <c r="L7" s="276">
        <v>980</v>
      </c>
    </row>
    <row r="8" spans="1:12" ht="15.6" x14ac:dyDescent="0.3">
      <c r="A8" s="279">
        <v>200</v>
      </c>
      <c r="B8" s="279">
        <v>100</v>
      </c>
      <c r="C8" s="279" t="s">
        <v>347</v>
      </c>
      <c r="D8" s="302">
        <f>K8*('Data Inputs'!B$37/'Data Inputs'!E$37)</f>
        <v>1422.8878648233485</v>
      </c>
      <c r="E8" s="303" t="s">
        <v>346</v>
      </c>
      <c r="K8" s="276">
        <v>785</v>
      </c>
      <c r="L8" s="276" t="s">
        <v>346</v>
      </c>
    </row>
    <row r="9" spans="1:12" ht="15.6" x14ac:dyDescent="0.3">
      <c r="A9" s="280">
        <v>1000</v>
      </c>
      <c r="B9" s="279">
        <v>600</v>
      </c>
      <c r="C9" s="279" t="s">
        <v>347</v>
      </c>
      <c r="D9" s="302">
        <f>K9*('Data Inputs'!B$37/'Data Inputs'!E$37)</f>
        <v>11963.133640552995</v>
      </c>
      <c r="E9" s="303" t="s">
        <v>346</v>
      </c>
      <c r="K9" s="277">
        <v>6600</v>
      </c>
      <c r="L9" s="276" t="s">
        <v>346</v>
      </c>
    </row>
    <row r="10" spans="1:12" ht="15.6" x14ac:dyDescent="0.3">
      <c r="A10" s="280">
        <v>1000</v>
      </c>
      <c r="B10" s="280">
        <v>1000</v>
      </c>
      <c r="C10" s="279" t="s">
        <v>347</v>
      </c>
      <c r="D10" s="302">
        <f>K10*('Data Inputs'!B$37/'Data Inputs'!E$37)</f>
        <v>20844.85407066052</v>
      </c>
      <c r="E10" s="302">
        <f>L10*('Data Inputs'!B$37/'Data Inputs'!E$37)</f>
        <v>12688.172043010753</v>
      </c>
      <c r="K10" s="277">
        <v>11500</v>
      </c>
      <c r="L10" s="277">
        <v>7000</v>
      </c>
    </row>
    <row r="11" spans="1:12" ht="15.6" x14ac:dyDescent="0.3">
      <c r="A11" s="280">
        <v>2000</v>
      </c>
      <c r="B11" s="280">
        <v>2000</v>
      </c>
      <c r="C11" s="279" t="s">
        <v>347</v>
      </c>
      <c r="D11" s="302">
        <f>K11*('Data Inputs'!B$37/'Data Inputs'!E$37)</f>
        <v>34439.324116743468</v>
      </c>
      <c r="E11" s="302">
        <f>L11*('Data Inputs'!B$37/'Data Inputs'!E$37)</f>
        <v>18125.96006144393</v>
      </c>
      <c r="K11" s="277">
        <v>19000</v>
      </c>
      <c r="L11" s="277">
        <v>10000</v>
      </c>
    </row>
    <row r="12" spans="1:12" ht="15.6" x14ac:dyDescent="0.3">
      <c r="A12" s="280">
        <v>2000</v>
      </c>
      <c r="B12" s="279">
        <v>750</v>
      </c>
      <c r="C12" s="279" t="s">
        <v>348</v>
      </c>
      <c r="D12" s="302">
        <f>K12*('Data Inputs'!B$37/'Data Inputs'!E$37)</f>
        <v>39877.112135176649</v>
      </c>
      <c r="E12" s="302">
        <f>L12*('Data Inputs'!B$37/'Data Inputs'!E$37)</f>
        <v>23926.267281105989</v>
      </c>
      <c r="K12" s="277">
        <v>22000</v>
      </c>
      <c r="L12" s="277">
        <v>13200</v>
      </c>
    </row>
    <row r="13" spans="1:12" ht="15.6" x14ac:dyDescent="0.3">
      <c r="A13" s="280">
        <v>3000</v>
      </c>
      <c r="B13" s="280">
        <v>2000</v>
      </c>
      <c r="C13" s="279" t="s">
        <v>347</v>
      </c>
      <c r="D13" s="302">
        <f>K13*('Data Inputs'!B$37/'Data Inputs'!E$37)</f>
        <v>25195.084485407064</v>
      </c>
      <c r="E13" s="303" t="s">
        <v>346</v>
      </c>
      <c r="K13" s="277">
        <v>13900</v>
      </c>
      <c r="L13" s="276" t="s">
        <v>346</v>
      </c>
    </row>
    <row r="14" spans="1:12" ht="15.6" x14ac:dyDescent="0.3">
      <c r="A14" s="280">
        <v>4100</v>
      </c>
      <c r="B14" s="280">
        <v>8000</v>
      </c>
      <c r="C14" s="279" t="s">
        <v>349</v>
      </c>
      <c r="D14" s="302">
        <f>K14*('Data Inputs'!B$37/'Data Inputs'!E$37)</f>
        <v>81566.820276497689</v>
      </c>
      <c r="E14" s="303" t="s">
        <v>346</v>
      </c>
      <c r="K14" s="277">
        <v>45000</v>
      </c>
      <c r="L14" s="276" t="s">
        <v>346</v>
      </c>
    </row>
    <row r="15" spans="1:12" ht="15.6" x14ac:dyDescent="0.3">
      <c r="A15" s="280">
        <v>5000</v>
      </c>
      <c r="B15" s="280">
        <v>2500</v>
      </c>
      <c r="C15" s="279" t="s">
        <v>348</v>
      </c>
      <c r="D15" s="302">
        <f>K15*('Data Inputs'!B$37/'Data Inputs'!E$37)</f>
        <v>77216.589861751141</v>
      </c>
      <c r="E15" s="302">
        <f>L15*('Data Inputs'!B$37/'Data Inputs'!E$37)</f>
        <v>36433.179723502304</v>
      </c>
      <c r="K15" s="277">
        <v>42600</v>
      </c>
      <c r="L15" s="277">
        <v>20100</v>
      </c>
    </row>
    <row r="16" spans="1:12" ht="15.6" x14ac:dyDescent="0.3">
      <c r="A16" s="280">
        <v>8000</v>
      </c>
      <c r="B16" s="280">
        <v>4500</v>
      </c>
      <c r="C16" s="279" t="s">
        <v>348</v>
      </c>
      <c r="D16" s="302">
        <f>K16*('Data Inputs'!B$37/'Data Inputs'!E$37)</f>
        <v>119631.33640552995</v>
      </c>
      <c r="E16" s="302">
        <f>L16*('Data Inputs'!B$37/'Data Inputs'!E$37)</f>
        <v>54377.880184331792</v>
      </c>
      <c r="K16" s="277">
        <v>66000</v>
      </c>
      <c r="L16" s="277">
        <v>30000</v>
      </c>
    </row>
    <row r="17" spans="1:12" ht="15.6" x14ac:dyDescent="0.3">
      <c r="A17" s="280">
        <v>10000</v>
      </c>
      <c r="B17" s="280">
        <v>18000</v>
      </c>
      <c r="C17" s="279" t="s">
        <v>349</v>
      </c>
      <c r="D17" s="302">
        <f>K17*('Data Inputs'!B$37/'Data Inputs'!E$37)</f>
        <v>171290.32258064515</v>
      </c>
      <c r="E17" s="303" t="s">
        <v>346</v>
      </c>
      <c r="K17" s="277">
        <v>94500</v>
      </c>
      <c r="L17" s="276" t="s">
        <v>346</v>
      </c>
    </row>
    <row r="18" spans="1:12" ht="17.399999999999999" x14ac:dyDescent="0.3">
      <c r="A18" s="384" t="s">
        <v>350</v>
      </c>
      <c r="B18" s="384"/>
      <c r="C18" s="384"/>
      <c r="D18" s="384"/>
      <c r="E18" s="384"/>
    </row>
    <row r="19" spans="1:12" ht="18.600000000000001" x14ac:dyDescent="0.3">
      <c r="A19" s="240"/>
      <c r="B19" s="30"/>
      <c r="C19" s="30"/>
      <c r="D19" s="30"/>
      <c r="E19" s="30"/>
    </row>
    <row r="20" spans="1:12" ht="18.600000000000001" x14ac:dyDescent="0.3">
      <c r="A20" s="240"/>
      <c r="B20" s="30"/>
      <c r="C20" s="30"/>
      <c r="D20" s="30"/>
      <c r="E20" s="30"/>
    </row>
  </sheetData>
  <mergeCells count="1">
    <mergeCell ref="A18:E18"/>
  </mergeCell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89ACEB5CD14E544C890619B1F504DD44" ma:contentTypeVersion="12" ma:contentTypeDescription="Create a new document." ma:contentTypeScope="" ma:versionID="7885eb2a9d71f4f3de64996143593645">
  <xsd:schema xmlns:xsd="http://www.w3.org/2001/XMLSchema" xmlns:xs="http://www.w3.org/2001/XMLSchema" xmlns:p="http://schemas.microsoft.com/office/2006/metadata/properties" xmlns:ns1="http://schemas.microsoft.com/sharepoint/v3" xmlns:ns2="4ffa91fb-a0ff-4ac5-b2db-65c790d184a4" xmlns:ns3="http://schemas.microsoft.com/sharepoint.v3" xmlns:ns4="http://schemas.microsoft.com/sharepoint/v3/fields" xmlns:ns5="bd6563f2-84fd-49bb-ba49-e16e67e66c70" xmlns:ns6="88ca8544-bb20-4614-9b73-bf8401c81147" targetNamespace="http://schemas.microsoft.com/office/2006/metadata/properties" ma:root="true" ma:fieldsID="ec2196ef3727cc2b6ab09906bcc1f931" ns1:_="" ns2:_="" ns3:_="" ns4:_="" ns5:_="" ns6:_="">
    <xsd:import namespace="http://schemas.microsoft.com/sharepoint/v3"/>
    <xsd:import namespace="4ffa91fb-a0ff-4ac5-b2db-65c790d184a4"/>
    <xsd:import namespace="http://schemas.microsoft.com/sharepoint.v3"/>
    <xsd:import namespace="http://schemas.microsoft.com/sharepoint/v3/fields"/>
    <xsd:import namespace="bd6563f2-84fd-49bb-ba49-e16e67e66c70"/>
    <xsd:import namespace="88ca8544-bb20-4614-9b73-bf8401c81147"/>
    <xsd:element name="properties">
      <xsd:complexType>
        <xsd:sequence>
          <xsd:element name="documentManagement">
            <xsd:complexType>
              <xsd:all>
                <xsd:element ref="ns2:Document_x0020_Creation_x0020_Date" minOccurs="0"/>
                <xsd:element ref="ns2:Creator" minOccurs="0"/>
                <xsd:element ref="ns2:EPA_x0020_Office" minOccurs="0"/>
                <xsd:element ref="ns2:Record" minOccurs="0"/>
                <xsd:element ref="ns3:CategoryDescription" minOccurs="0"/>
                <xsd:element ref="ns2:Identifier" minOccurs="0"/>
                <xsd:element ref="ns2:EPA_x0020_Contributor" minOccurs="0"/>
                <xsd:element ref="ns2:External_x0020_Contributor" minOccurs="0"/>
                <xsd:element ref="ns4:_Coverage" minOccurs="0"/>
                <xsd:element ref="ns2:EPA_x0020_Related_x0020_Documents" minOccurs="0"/>
                <xsd:element ref="ns4:_Source" minOccurs="0"/>
                <xsd:element ref="ns2:Rights" minOccurs="0"/>
                <xsd:element ref="ns1:Language" minOccurs="0"/>
                <xsd:element ref="ns2:j747ac98061d40f0aa7bd47e1db5675d" minOccurs="0"/>
                <xsd:element ref="ns2:TaxKeywordTaxHTField" minOccurs="0"/>
                <xsd:element ref="ns2:TaxCatchAllLabel" minOccurs="0"/>
                <xsd:element ref="ns2:TaxCatchAll" minOccurs="0"/>
                <xsd:element ref="ns5:MediaServiceMetadata" minOccurs="0"/>
                <xsd:element ref="ns5:MediaServiceFastMetadata" minOccurs="0"/>
                <xsd:element ref="ns5:MediaServiceObjectDetectorVersions" minOccurs="0"/>
                <xsd:element ref="ns6:SharedWithUsers" minOccurs="0"/>
                <xsd:element ref="ns6:SharedWithDetails" minOccurs="0"/>
                <xsd:element ref="ns5:MediaServiceSearchProperties" minOccurs="0"/>
                <xsd:element ref="ns5:MediaServiceDateTaken" minOccurs="0"/>
                <xsd:element ref="ns5:MediaServiceGenerationTime" minOccurs="0"/>
                <xsd:element ref="ns5:MediaServiceEventHashCode" minOccurs="0"/>
                <xsd:element ref="ns5: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Language" ma:index="17" nillable="true" ma:displayName="Language" ma:default="English" ma:description="Select the document language from the drop down." ma:format="Dropdown" ma:internalName="Language" ma:readOnly="false">
      <xsd:simpleType>
        <xsd:restriction base="dms:Choice">
          <xsd:enumeration value="Arabic (Saudi Arabia)"/>
          <xsd:enumeration value="Bulgarian (Bulgaria)"/>
          <xsd:enumeration value="Chinese (Hong Kong S.A.R.)"/>
          <xsd:enumeration value="Chinese (People's Republic of China)"/>
          <xsd:enumeration value="Chinese (Taiwan)"/>
          <xsd:enumeration value="Croatian (Croatia)"/>
          <xsd:enumeration value="Czech (Czech Republic)"/>
          <xsd:enumeration value="Danish (Denmark)"/>
          <xsd:enumeration value="Dutch (Netherlands)"/>
          <xsd:enumeration value="English"/>
          <xsd:enumeration value="Estonian (Estonia)"/>
          <xsd:enumeration value="Finnish (Finland)"/>
          <xsd:enumeration value="French (France)"/>
          <xsd:enumeration value="German (Germany)"/>
          <xsd:enumeration value="Greek (Greece)"/>
          <xsd:enumeration value="Hebrew (Israel)"/>
          <xsd:enumeration value="Hindi (India)"/>
          <xsd:enumeration value="Hungarian (Hungary)"/>
          <xsd:enumeration value="Indonesian (Indonesia)"/>
          <xsd:enumeration value="Italian (Italy)"/>
          <xsd:enumeration value="Japanese (Japan)"/>
          <xsd:enumeration value="Korean (Korea)"/>
          <xsd:enumeration value="Latvian (Latvia)"/>
          <xsd:enumeration value="Lithuanian (Lithuania)"/>
          <xsd:enumeration value="Malay (Malaysia)"/>
          <xsd:enumeration value="Norwegian (Bokmal) (Norway)"/>
          <xsd:enumeration value="Polish (Poland)"/>
          <xsd:enumeration value="Portuguese (Brazil)"/>
          <xsd:enumeration value="Portuguese (Portugal)"/>
          <xsd:enumeration value="Romanian (Romania)"/>
          <xsd:enumeration value="Russian (Russia)"/>
          <xsd:enumeration value="Serbian (Latin) (Serbia)"/>
          <xsd:enumeration value="Slovak (Slovakia)"/>
          <xsd:enumeration value="Slovenian (Slovenia)"/>
          <xsd:enumeration value="Spanish (Spain)"/>
          <xsd:enumeration value="Swedish (Sweden)"/>
          <xsd:enumeration value="Thai (Thailand)"/>
          <xsd:enumeration value="Turkish (Turkey)"/>
          <xsd:enumeration value="Ukrainian (Ukraine)"/>
          <xsd:enumeration value="Urdu (Islamic Republic of Pakistan)"/>
          <xsd:enumeration value="Vietnamese (Vietnam)"/>
        </xsd:restriction>
      </xsd:simpleType>
    </xsd:element>
  </xsd:schema>
  <xsd:schema xmlns:xsd="http://www.w3.org/2001/XMLSchema" xmlns:xs="http://www.w3.org/2001/XMLSchema" xmlns:dms="http://schemas.microsoft.com/office/2006/documentManagement/types" xmlns:pc="http://schemas.microsoft.com/office/infopath/2007/PartnerControls" targetNamespace="4ffa91fb-a0ff-4ac5-b2db-65c790d184a4" elementFormDefault="qualified">
    <xsd:import namespace="http://schemas.microsoft.com/office/2006/documentManagement/types"/>
    <xsd:import namespace="http://schemas.microsoft.com/office/infopath/2007/PartnerControls"/>
    <xsd:element name="Document_x0020_Creation_x0020_Date" ma:index="2" nillable="true" ma:displayName="Document Date" ma:default="[today]" ma:description="Enter the date this document was last modified. The upload date has been entered by default." ma:format="DateOnly" ma:internalName="Document_x0020_Creation_x0020_Date" ma:readOnly="false">
      <xsd:simpleType>
        <xsd:restriction base="dms:DateTime"/>
      </xsd:simpleType>
    </xsd:element>
    <xsd:element name="Creator" ma:index="3" nillable="true" ma:displayName="Creator" ma:description="Enter the person primarily responsible for the document. The name of the person uploading the document has been entered by default." ma:list="UserInfo" ma:SharePointGroup="0" ma:internalName="Creato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EPA_x0020_Office" ma:index="4" nillable="true" ma:displayName="EPA Office" ma:description="Enter the EPA organization primarily responsible for the document. The office of the person uploading the document has been entered by default." ma:internalName="EPA_x0020_Office" ma:readOnly="false">
      <xsd:simpleType>
        <xsd:restriction base="dms:Text">
          <xsd:maxLength value="255"/>
        </xsd:restriction>
      </xsd:simpleType>
    </xsd:element>
    <xsd:element name="Record" ma:index="5" nillable="true" ma:displayName="Record" ma:default="Shared" ma:description="For documents that provide evidence of EPA decisions and actions, select &quot;Shared&quot; (open access) or &quot;Private&quot; (restricted access)." ma:format="Dropdown" ma:internalName="Record" ma:readOnly="false">
      <xsd:simpleType>
        <xsd:restriction base="dms:Choice">
          <xsd:enumeration value="None"/>
          <xsd:enumeration value="Shared"/>
          <xsd:enumeration value="Private"/>
        </xsd:restriction>
      </xsd:simpleType>
    </xsd:element>
    <xsd:element name="Identifier" ma:index="9" nillable="true" ma:displayName="Identifier" ma:description="Enter all EPA identification numbers applicable to this document, one on each line." ma:internalName="Identifier" ma:readOnly="false">
      <xsd:simpleType>
        <xsd:restriction base="dms:Note">
          <xsd:maxLength value="255"/>
        </xsd:restriction>
      </xsd:simpleType>
    </xsd:element>
    <xsd:element name="EPA_x0020_Contributor" ma:index="11" nillable="true" ma:displayName="EPA Contributor" ma:description="Enter an EPA person who contributed to the creation of the document but is not the primary author." ma:list="UserInfo" ma:SharePointGroup="0" ma:internalName="EPA_x0020_Contributo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External_x0020_Contributor" ma:index="12" nillable="true" ma:displayName="External Contributor" ma:description="Enter a non-EPA person who contributed to the creation of the document but is not the primary author." ma:internalName="External_x0020_Contributor" ma:readOnly="false">
      <xsd:simpleType>
        <xsd:restriction base="dms:Note">
          <xsd:maxLength value="255"/>
        </xsd:restriction>
      </xsd:simpleType>
    </xsd:element>
    <xsd:element name="EPA_x0020_Related_x0020_Documents" ma:index="14" nillable="true" ma:displayName="Other Related Documents" ma:description="Enter any related document." ma:internalName="EPA_x0020_Related_x0020_Documents" ma:readOnly="false">
      <xsd:simpleType>
        <xsd:restriction base="dms:Note">
          <xsd:maxLength value="255"/>
        </xsd:restriction>
      </xsd:simpleType>
    </xsd:element>
    <xsd:element name="Rights" ma:index="16" nillable="true" ma:displayName="Rights" ma:description="Enter information about intellectual property rights held over the document (e.g. copyright, patent, trademark)." ma:internalName="Rights" ma:readOnly="false">
      <xsd:simpleType>
        <xsd:restriction base="dms:Note">
          <xsd:maxLength value="255"/>
        </xsd:restriction>
      </xsd:simpleType>
    </xsd:element>
    <xsd:element name="j747ac98061d40f0aa7bd47e1db5675d" ma:index="19" nillable="true" ma:taxonomy="true" ma:internalName="j747ac98061d40f0aa7bd47e1db5675d" ma:taxonomyFieldName="Document_x0020_Type" ma:displayName="Document Type" ma:readOnly="false" ma:default="" ma:fieldId="{3747ac98-061d-40f0-aa7b-d47e1db5675d}" ma:sspId="29f62856-1543-49d4-a736-4569d363f533" ma:termSetId="e06cd6a9-a175-4da0-81cb-8dba7aa394ab" ma:anchorId="00000000-0000-0000-0000-000000000000" ma:open="false" ma:isKeyword="false">
      <xsd:complexType>
        <xsd:sequence>
          <xsd:element ref="pc:Terms" minOccurs="0" maxOccurs="1"/>
        </xsd:sequence>
      </xsd:complexType>
    </xsd:element>
    <xsd:element name="TaxKeywordTaxHTField" ma:index="21" nillable="true" ma:taxonomy="true" ma:internalName="TaxKeywordTaxHTField" ma:taxonomyFieldName="TaxKeyword" ma:displayName="Enterprise Keywords" ma:readOnly="false" ma:fieldId="{23f27201-bee3-471e-b2e7-b64fd8b7ca38}" ma:taxonomyMulti="true" ma:sspId="29f62856-1543-49d4-a736-4569d363f533" ma:termSetId="00000000-0000-0000-0000-000000000000" ma:anchorId="00000000-0000-0000-0000-000000000000" ma:open="true" ma:isKeyword="true">
      <xsd:complexType>
        <xsd:sequence>
          <xsd:element ref="pc:Terms" minOccurs="0" maxOccurs="1"/>
        </xsd:sequence>
      </xsd:complexType>
    </xsd:element>
    <xsd:element name="TaxCatchAllLabel" ma:index="23" nillable="true" ma:displayName="Taxonomy Catch All Column1" ma:hidden="true" ma:list="{2416a9ae-61a2-4525-842e-f75ab01c9399}" ma:internalName="TaxCatchAllLabel" ma:readOnly="true" ma:showField="CatchAllDataLabel" ma:web="88ca8544-bb20-4614-9b73-bf8401c81147">
      <xsd:complexType>
        <xsd:complexContent>
          <xsd:extension base="dms:MultiChoiceLookup">
            <xsd:sequence>
              <xsd:element name="Value" type="dms:Lookup" maxOccurs="unbounded" minOccurs="0" nillable="true"/>
            </xsd:sequence>
          </xsd:extension>
        </xsd:complexContent>
      </xsd:complexType>
    </xsd:element>
    <xsd:element name="TaxCatchAll" ma:index="24" nillable="true" ma:displayName="Taxonomy Catch All Column" ma:hidden="true" ma:list="{2416a9ae-61a2-4525-842e-f75ab01c9399}" ma:internalName="TaxCatchAll" ma:showField="CatchAllData" ma:web="88ca8544-bb20-4614-9b73-bf8401c81147">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CategoryDescription" ma:index="6" nillable="true" ma:displayName="Description" ma:description="Enter a brief description." ma:internalName="CategoryDescription" ma:readOnly="fals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fields" elementFormDefault="qualified">
    <xsd:import namespace="http://schemas.microsoft.com/office/2006/documentManagement/types"/>
    <xsd:import namespace="http://schemas.microsoft.com/office/infopath/2007/PartnerControls"/>
    <xsd:element name="_Coverage" ma:index="13" nillable="true" ma:displayName="Coverage" ma:description="Enter the geographic location, jurisdiction, or time period for which the document is relevant." ma:internalName="_Coverage" ma:readOnly="false">
      <xsd:simpleType>
        <xsd:restriction base="dms:Text">
          <xsd:maxLength value="255"/>
        </xsd:restriction>
      </xsd:simpleType>
    </xsd:element>
    <xsd:element name="_Source" ma:index="15" nillable="true" ma:displayName="Source" ma:description="Enter a source from which the document is derived." ma:internalName="_Source" ma:readOnly="fals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bd6563f2-84fd-49bb-ba49-e16e67e66c70" elementFormDefault="qualified">
    <xsd:import namespace="http://schemas.microsoft.com/office/2006/documentManagement/types"/>
    <xsd:import namespace="http://schemas.microsoft.com/office/infopath/2007/PartnerControls"/>
    <xsd:element name="MediaServiceMetadata" ma:index="28" nillable="true" ma:displayName="MediaServiceMetadata" ma:hidden="true" ma:internalName="MediaServiceMetadata" ma:readOnly="true">
      <xsd:simpleType>
        <xsd:restriction base="dms:Note"/>
      </xsd:simpleType>
    </xsd:element>
    <xsd:element name="MediaServiceFastMetadata" ma:index="29" nillable="true" ma:displayName="MediaServiceFastMetadata" ma:hidden="true" ma:internalName="MediaServiceFastMetadata" ma:readOnly="true">
      <xsd:simpleType>
        <xsd:restriction base="dms:Note"/>
      </xsd:simpleType>
    </xsd:element>
    <xsd:element name="MediaServiceObjectDetectorVersions" ma:index="30" nillable="true" ma:displayName="MediaServiceObjectDetectorVersions" ma:hidden="true" ma:indexed="true" ma:internalName="MediaServiceObjectDetectorVersions" ma:readOnly="true">
      <xsd:simpleType>
        <xsd:restriction base="dms:Text"/>
      </xsd:simpleType>
    </xsd:element>
    <xsd:element name="MediaServiceSearchProperties" ma:index="33" nillable="true" ma:displayName="MediaServiceSearchProperties" ma:hidden="true" ma:internalName="MediaServiceSearchProperties" ma:readOnly="true">
      <xsd:simpleType>
        <xsd:restriction base="dms:Note"/>
      </xsd:simpleType>
    </xsd:element>
    <xsd:element name="MediaServiceDateTaken" ma:index="34" nillable="true" ma:displayName="MediaServiceDateTaken" ma:hidden="true" ma:indexed="true" ma:internalName="MediaServiceDateTaken" ma:readOnly="true">
      <xsd:simpleType>
        <xsd:restriction base="dms:Text"/>
      </xsd:simpleType>
    </xsd:element>
    <xsd:element name="MediaServiceGenerationTime" ma:index="35" nillable="true" ma:displayName="MediaServiceGenerationTime" ma:hidden="true" ma:internalName="MediaServiceGenerationTime" ma:readOnly="true">
      <xsd:simpleType>
        <xsd:restriction base="dms:Text"/>
      </xsd:simpleType>
    </xsd:element>
    <xsd:element name="MediaServiceEventHashCode" ma:index="36" nillable="true" ma:displayName="MediaServiceEventHashCode" ma:hidden="true" ma:internalName="MediaServiceEventHashCode" ma:readOnly="true">
      <xsd:simpleType>
        <xsd:restriction base="dms:Text"/>
      </xsd:simpleType>
    </xsd:element>
    <xsd:element name="MediaLengthInSeconds" ma:index="37"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88ca8544-bb20-4614-9b73-bf8401c81147" elementFormDefault="qualified">
    <xsd:import namespace="http://schemas.microsoft.com/office/2006/documentManagement/types"/>
    <xsd:import namespace="http://schemas.microsoft.com/office/infopath/2007/PartnerControls"/>
    <xsd:element name="SharedWithUsers" ma:index="3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32"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25"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SharedContentType xmlns="Microsoft.SharePoint.Taxonomy.ContentTypeSync" SourceId="29f62856-1543-49d4-a736-4569d363f533" ContentTypeId="0x0101" PreviousValue="false"/>
</file>

<file path=customXml/item3.xml><?xml version="1.0" encoding="utf-8"?>
<p:properties xmlns:p="http://schemas.microsoft.com/office/2006/metadata/properties" xmlns:xsi="http://www.w3.org/2001/XMLSchema-instance" xmlns:pc="http://schemas.microsoft.com/office/infopath/2007/PartnerControls">
  <documentManagement>
    <_Source xmlns="http://schemas.microsoft.com/sharepoint/v3/fields" xsi:nil="true"/>
    <Language xmlns="http://schemas.microsoft.com/sharepoint/v3">English</Language>
    <j747ac98061d40f0aa7bd47e1db5675d xmlns="4ffa91fb-a0ff-4ac5-b2db-65c790d184a4">
      <Terms xmlns="http://schemas.microsoft.com/office/infopath/2007/PartnerControls"/>
    </j747ac98061d40f0aa7bd47e1db5675d>
    <External_x0020_Contributor xmlns="4ffa91fb-a0ff-4ac5-b2db-65c790d184a4" xsi:nil="true"/>
    <TaxKeywordTaxHTField xmlns="4ffa91fb-a0ff-4ac5-b2db-65c790d184a4">
      <Terms xmlns="http://schemas.microsoft.com/office/infopath/2007/PartnerControls"/>
    </TaxKeywordTaxHTField>
    <Record xmlns="4ffa91fb-a0ff-4ac5-b2db-65c790d184a4">Shared</Record>
    <Rights xmlns="4ffa91fb-a0ff-4ac5-b2db-65c790d184a4" xsi:nil="true"/>
    <Document_x0020_Creation_x0020_Date xmlns="4ffa91fb-a0ff-4ac5-b2db-65c790d184a4">2025-02-14T00:18:26+00:00</Document_x0020_Creation_x0020_Date>
    <EPA_x0020_Office xmlns="4ffa91fb-a0ff-4ac5-b2db-65c790d184a4" xsi:nil="true"/>
    <CategoryDescription xmlns="http://schemas.microsoft.com/sharepoint.v3" xsi:nil="true"/>
    <Identifier xmlns="4ffa91fb-a0ff-4ac5-b2db-65c790d184a4" xsi:nil="true"/>
    <_Coverage xmlns="http://schemas.microsoft.com/sharepoint/v3/fields" xsi:nil="true"/>
    <Creator xmlns="4ffa91fb-a0ff-4ac5-b2db-65c790d184a4">
      <UserInfo>
        <DisplayName/>
        <AccountId xsi:nil="true"/>
        <AccountType/>
      </UserInfo>
    </Creator>
    <EPA_x0020_Related_x0020_Documents xmlns="4ffa91fb-a0ff-4ac5-b2db-65c790d184a4" xsi:nil="true"/>
    <EPA_x0020_Contributor xmlns="4ffa91fb-a0ff-4ac5-b2db-65c790d184a4">
      <UserInfo>
        <DisplayName/>
        <AccountId xsi:nil="true"/>
        <AccountType/>
      </UserInfo>
    </EPA_x0020_Contributor>
    <TaxCatchAll xmlns="4ffa91fb-a0ff-4ac5-b2db-65c790d184a4" xsi:nil="true"/>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E85774AA-AE76-47FC-9FED-0028BD3464E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4ffa91fb-a0ff-4ac5-b2db-65c790d184a4"/>
    <ds:schemaRef ds:uri="http://schemas.microsoft.com/sharepoint.v3"/>
    <ds:schemaRef ds:uri="http://schemas.microsoft.com/sharepoint/v3/fields"/>
    <ds:schemaRef ds:uri="bd6563f2-84fd-49bb-ba49-e16e67e66c70"/>
    <ds:schemaRef ds:uri="88ca8544-bb20-4614-9b73-bf8401c8114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B09D94E-3A38-474F-90E6-4ABEDCF1F041}">
  <ds:schemaRefs>
    <ds:schemaRef ds:uri="Microsoft.SharePoint.Taxonomy.ContentTypeSync"/>
  </ds:schemaRefs>
</ds:datastoreItem>
</file>

<file path=customXml/itemProps3.xml><?xml version="1.0" encoding="utf-8"?>
<ds:datastoreItem xmlns:ds="http://schemas.openxmlformats.org/officeDocument/2006/customXml" ds:itemID="{584846C5-7E18-494D-8950-ACCFACA4D324}">
  <ds:schemaRefs>
    <ds:schemaRef ds:uri="http://schemas.microsoft.com/office/2006/metadata/properties"/>
    <ds:schemaRef ds:uri="http://schemas.microsoft.com/office/infopath/2007/PartnerControls"/>
    <ds:schemaRef ds:uri="http://schemas.microsoft.com/sharepoint/v3/fields"/>
    <ds:schemaRef ds:uri="http://schemas.microsoft.com/sharepoint/v3"/>
    <ds:schemaRef ds:uri="4ffa91fb-a0ff-4ac5-b2db-65c790d184a4"/>
    <ds:schemaRef ds:uri="http://schemas.microsoft.com/sharepoint.v3"/>
  </ds:schemaRefs>
</ds:datastoreItem>
</file>

<file path=customXml/itemProps4.xml><?xml version="1.0" encoding="utf-8"?>
<ds:datastoreItem xmlns:ds="http://schemas.openxmlformats.org/officeDocument/2006/customXml" ds:itemID="{2824CB9C-6D25-489B-ABE9-3F3F6C4695B5}">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Read Me</vt:lpstr>
      <vt:lpstr>Data Inputs</vt:lpstr>
      <vt:lpstr>Design Parameters</vt:lpstr>
      <vt:lpstr>Cost Estimate</vt:lpstr>
      <vt:lpstr>Table A</vt:lpstr>
      <vt:lpstr>Table B</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2018-10-25T13:11:56Z</dcterms:created>
  <dcterms:modified xsi:type="dcterms:W3CDTF">2026-01-12T17:28:03Z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0x01010089ACEB5CD14E544C890619B1F504DD44</vt:lpwstr>
  </property>
  <property fmtid="{D5CDD505-2E9C-101B-9397-08002B2CF9AE}" pid="3" name="TaxKeyword">
    <vt:lpwstr/>
  </property>
  <property fmtid="{D5CDD505-2E9C-101B-9397-08002B2CF9AE}" pid="4" name="e3f09c3df709400db2417a7161762d62">
    <vt:lpwstr/>
  </property>
  <property fmtid="{D5CDD505-2E9C-101B-9397-08002B2CF9AE}" pid="5" name="EPA_x0020_Subject">
    <vt:lpwstr/>
  </property>
  <property fmtid="{D5CDD505-2E9C-101B-9397-08002B2CF9AE}" pid="6" name="Document Type">
    <vt:lpwstr/>
  </property>
  <property fmtid="{D5CDD505-2E9C-101B-9397-08002B2CF9AE}" pid="7" name="EPA Subject">
    <vt:lpwstr/>
  </property>
</Properties>
</file>