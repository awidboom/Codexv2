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rtifile02\ehe\Projects\0217382-EPA_MME\0217382.050-Ref-Dist-Tanks\Technical_Record\MVL\Proposal Docket\"/>
    </mc:Choice>
  </mc:AlternateContent>
  <xr:revisionPtr revIDLastSave="0" documentId="8_{A8158BAF-6BB5-43F2-9535-ED15450E316E}" xr6:coauthVersionLast="47" xr6:coauthVersionMax="47" xr10:uidLastSave="{00000000-0000-0000-0000-000000000000}"/>
  <bookViews>
    <workbookView xWindow="-57720" yWindow="-120" windowWidth="29040" windowHeight="15720" firstSheet="5" activeTab="13" xr2:uid="{61117A4C-774C-4A23-AB49-13673928819B}"/>
  </bookViews>
  <sheets>
    <sheet name="Gasoline MP" sheetId="7" r:id="rId1"/>
    <sheet name="Crude Oil MP" sheetId="12" r:id="rId2"/>
    <sheet name="Benzene_Toluene MP" sheetId="14" r:id="rId3"/>
    <sheet name="Alcohols MP" sheetId="13" r:id="rId4"/>
    <sheet name="Naphtha MP" sheetId="21" r:id="rId5"/>
    <sheet name="Kerosene MP" sheetId="18" r:id="rId6"/>
    <sheet name="Distillate MP" sheetId="19" r:id="rId7"/>
    <sheet name="Residual MP" sheetId="20" r:id="rId8"/>
    <sheet name="VP Costs" sheetId="22" r:id="rId9"/>
    <sheet name="Threshold Costs" sheetId="23" r:id="rId10"/>
    <sheet name="Loading Loss" sheetId="6" r:id="rId11"/>
    <sheet name="Fuel Composition" sheetId="9" r:id="rId12"/>
    <sheet name="Instructions" sheetId="5" r:id="rId13"/>
    <sheet name="AP-42Ch5" sheetId="2" r:id="rId14"/>
    <sheet name="LoadingLoss" sheetId="3" r:id="rId15"/>
  </sheets>
  <externalReferences>
    <externalReference r:id="rId16"/>
  </externalReferences>
  <definedNames>
    <definedName name="degR_degF">[1]Truck_leaks!$K$5</definedName>
    <definedName name="psi_atm">[1]Truck_leaks!$K$4</definedName>
    <definedName name="R__ideal_gas_constant">[1]Truck_leaks!$K$6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 i="19" l="1"/>
  <c r="J19" i="12"/>
  <c r="I19" i="12"/>
  <c r="H19" i="12"/>
  <c r="G19" i="12"/>
  <c r="F19" i="12"/>
  <c r="E19" i="12"/>
  <c r="D19" i="12"/>
  <c r="C19" i="12"/>
  <c r="J18" i="12"/>
  <c r="I18" i="12"/>
  <c r="H18" i="12"/>
  <c r="G18" i="12"/>
  <c r="F18" i="12"/>
  <c r="E18" i="12"/>
  <c r="D18" i="12"/>
  <c r="C18" i="12"/>
  <c r="J17" i="12"/>
  <c r="I17" i="12"/>
  <c r="H17" i="12"/>
  <c r="G17" i="12"/>
  <c r="F17" i="12"/>
  <c r="E17" i="12"/>
  <c r="D17" i="12"/>
  <c r="C17" i="12"/>
  <c r="J16" i="12"/>
  <c r="I16" i="12"/>
  <c r="H16" i="12"/>
  <c r="G16" i="12"/>
  <c r="F16" i="12"/>
  <c r="E16" i="12"/>
  <c r="D16" i="12"/>
  <c r="C16" i="12"/>
  <c r="J14" i="12"/>
  <c r="I14" i="12"/>
  <c r="H14" i="12"/>
  <c r="G14" i="12"/>
  <c r="F14" i="12"/>
  <c r="E14" i="12"/>
  <c r="D14" i="12"/>
  <c r="C14" i="12"/>
  <c r="J13" i="12"/>
  <c r="I13" i="12"/>
  <c r="H13" i="12"/>
  <c r="G13" i="12"/>
  <c r="F13" i="12"/>
  <c r="E13" i="12"/>
  <c r="D13" i="12"/>
  <c r="C13" i="12"/>
  <c r="J12" i="12"/>
  <c r="I12" i="12"/>
  <c r="H12" i="12"/>
  <c r="G12" i="12"/>
  <c r="F12" i="12"/>
  <c r="E12" i="12"/>
  <c r="D12" i="12"/>
  <c r="C12" i="12"/>
  <c r="J11" i="12"/>
  <c r="I11" i="12"/>
  <c r="H11" i="12"/>
  <c r="G11" i="12"/>
  <c r="F11" i="12"/>
  <c r="E11" i="12"/>
  <c r="D11" i="12"/>
  <c r="C11" i="12"/>
  <c r="J9" i="12"/>
  <c r="I9" i="12"/>
  <c r="H9" i="12"/>
  <c r="G9" i="12"/>
  <c r="F9" i="12"/>
  <c r="E9" i="12"/>
  <c r="D9" i="12"/>
  <c r="C9" i="12"/>
  <c r="J8" i="12"/>
  <c r="I8" i="12"/>
  <c r="H8" i="12"/>
  <c r="G8" i="12"/>
  <c r="F8" i="12"/>
  <c r="E8" i="12"/>
  <c r="D8" i="12"/>
  <c r="C8" i="12"/>
  <c r="J7" i="12"/>
  <c r="I7" i="12"/>
  <c r="H7" i="12"/>
  <c r="G7" i="12"/>
  <c r="F7" i="12"/>
  <c r="E7" i="12"/>
  <c r="D7" i="12"/>
  <c r="C7" i="12"/>
  <c r="J6" i="12"/>
  <c r="I6" i="12"/>
  <c r="H6" i="12"/>
  <c r="G6" i="12"/>
  <c r="F6" i="12"/>
  <c r="E6" i="12"/>
  <c r="D6" i="12"/>
  <c r="C6" i="12"/>
  <c r="B6" i="19"/>
  <c r="H7" i="22"/>
  <c r="I7" i="22"/>
  <c r="H8" i="22"/>
  <c r="I8" i="22"/>
  <c r="H9" i="22"/>
  <c r="I9" i="22"/>
  <c r="H11" i="22"/>
  <c r="I11" i="22"/>
  <c r="H12" i="22"/>
  <c r="I12" i="22"/>
  <c r="H13" i="22"/>
  <c r="I13" i="22"/>
  <c r="H14" i="22"/>
  <c r="I14" i="22"/>
  <c r="F7" i="22"/>
  <c r="G7" i="22"/>
  <c r="F8" i="22"/>
  <c r="G8" i="22"/>
  <c r="F9" i="22"/>
  <c r="G9" i="22"/>
  <c r="F11" i="22"/>
  <c r="G11" i="22"/>
  <c r="F12" i="22"/>
  <c r="G12" i="22"/>
  <c r="F13" i="22"/>
  <c r="G13" i="22"/>
  <c r="F14" i="22"/>
  <c r="G14" i="22"/>
  <c r="D7" i="22"/>
  <c r="E7" i="22"/>
  <c r="D8" i="22"/>
  <c r="E8" i="22"/>
  <c r="D9" i="22"/>
  <c r="E9" i="22"/>
  <c r="D11" i="22"/>
  <c r="E11" i="22"/>
  <c r="D12" i="22"/>
  <c r="E12" i="22"/>
  <c r="D13" i="22"/>
  <c r="E13" i="22"/>
  <c r="D14" i="22"/>
  <c r="E14" i="22"/>
  <c r="I6" i="22"/>
  <c r="H6" i="22"/>
  <c r="G6" i="22"/>
  <c r="F6" i="22"/>
  <c r="E6" i="22"/>
  <c r="D6" i="22"/>
  <c r="B12" i="22"/>
  <c r="B13" i="22"/>
  <c r="B14" i="22"/>
  <c r="C12" i="22"/>
  <c r="C13" i="22"/>
  <c r="C14" i="22"/>
  <c r="C7" i="22"/>
  <c r="C8" i="22"/>
  <c r="C9" i="22"/>
  <c r="B7" i="22"/>
  <c r="B8" i="22"/>
  <c r="B9" i="22"/>
  <c r="C11" i="22"/>
  <c r="B11" i="22"/>
  <c r="C6" i="22"/>
  <c r="B6" i="22"/>
  <c r="F29" i="20"/>
  <c r="F30" i="20"/>
  <c r="L29" i="20"/>
  <c r="L30" i="20"/>
  <c r="L25" i="20"/>
  <c r="L26" i="20"/>
  <c r="F25" i="20"/>
  <c r="F26" i="20"/>
  <c r="F28" i="20"/>
  <c r="L28" i="20"/>
  <c r="L24" i="20"/>
  <c r="F24" i="20"/>
  <c r="L29" i="19"/>
  <c r="L30" i="19"/>
  <c r="L25" i="19"/>
  <c r="L26" i="19"/>
  <c r="F29" i="19"/>
  <c r="F30" i="19"/>
  <c r="F25" i="19"/>
  <c r="F26" i="19"/>
  <c r="F28" i="19"/>
  <c r="L28" i="19"/>
  <c r="L27" i="18"/>
  <c r="L28" i="18"/>
  <c r="L23" i="18"/>
  <c r="L24" i="18"/>
  <c r="F27" i="18"/>
  <c r="F28" i="18"/>
  <c r="F23" i="18"/>
  <c r="F24" i="18"/>
  <c r="F26" i="18"/>
  <c r="L26" i="18"/>
  <c r="L22" i="18"/>
  <c r="F22" i="18"/>
  <c r="L27" i="21"/>
  <c r="L28" i="21"/>
  <c r="L23" i="21"/>
  <c r="L24" i="21"/>
  <c r="F27" i="21"/>
  <c r="F28" i="21"/>
  <c r="F23" i="21"/>
  <c r="F24" i="21"/>
  <c r="L26" i="21"/>
  <c r="F26" i="21"/>
  <c r="L22" i="21"/>
  <c r="F22" i="21"/>
  <c r="K29" i="13"/>
  <c r="K30" i="13"/>
  <c r="K31" i="13"/>
  <c r="K24" i="13"/>
  <c r="K25" i="13"/>
  <c r="K26" i="13"/>
  <c r="I45" i="13"/>
  <c r="I46" i="13"/>
  <c r="I47" i="13"/>
  <c r="I40" i="13"/>
  <c r="I41" i="13"/>
  <c r="I42" i="13"/>
  <c r="E45" i="13"/>
  <c r="E46" i="13"/>
  <c r="E47" i="13"/>
  <c r="E40" i="13"/>
  <c r="E41" i="13"/>
  <c r="E42" i="13"/>
  <c r="I44" i="13"/>
  <c r="K28" i="13"/>
  <c r="I39" i="13"/>
  <c r="K23" i="13"/>
  <c r="F29" i="13"/>
  <c r="F30" i="13"/>
  <c r="F31" i="13"/>
  <c r="F24" i="13"/>
  <c r="F25" i="13"/>
  <c r="F26" i="13"/>
  <c r="E44" i="13"/>
  <c r="E39" i="13"/>
  <c r="F23" i="13"/>
  <c r="F28" i="13"/>
  <c r="I42" i="14"/>
  <c r="I43" i="14"/>
  <c r="I38" i="14"/>
  <c r="I39" i="14"/>
  <c r="I41" i="14"/>
  <c r="I37" i="14"/>
  <c r="K22" i="14"/>
  <c r="E42" i="14"/>
  <c r="E43" i="14"/>
  <c r="E38" i="14"/>
  <c r="E39" i="14"/>
  <c r="E41" i="14"/>
  <c r="E37" i="14"/>
  <c r="F22" i="14"/>
  <c r="K27" i="14"/>
  <c r="K28" i="14"/>
  <c r="F27" i="14"/>
  <c r="F28" i="14"/>
  <c r="K26" i="14"/>
  <c r="F26" i="14"/>
  <c r="K23" i="14"/>
  <c r="K24" i="14"/>
  <c r="F23" i="14"/>
  <c r="F24" i="14"/>
  <c r="L30" i="7"/>
  <c r="L31" i="7"/>
  <c r="L32" i="7"/>
  <c r="L29" i="7"/>
  <c r="L25" i="7"/>
  <c r="L26" i="7"/>
  <c r="L27" i="7"/>
  <c r="L24" i="7"/>
  <c r="F30" i="7"/>
  <c r="F31" i="7"/>
  <c r="F32" i="7"/>
  <c r="F29" i="7"/>
  <c r="F25" i="7"/>
  <c r="F26" i="7"/>
  <c r="F27" i="7"/>
  <c r="F24" i="7"/>
  <c r="F40" i="7"/>
  <c r="F41" i="7"/>
  <c r="F42" i="7"/>
  <c r="F43" i="7"/>
  <c r="F44" i="7"/>
  <c r="F45" i="7"/>
  <c r="F46" i="7"/>
  <c r="F39" i="7"/>
  <c r="D40" i="7"/>
  <c r="D41" i="7"/>
  <c r="D42" i="7"/>
  <c r="D43" i="7"/>
  <c r="D44" i="7"/>
  <c r="D45" i="7"/>
  <c r="D46" i="7"/>
  <c r="D39" i="7"/>
  <c r="C46" i="7"/>
  <c r="B46" i="7"/>
  <c r="C45" i="7"/>
  <c r="B45" i="7"/>
  <c r="C44" i="7"/>
  <c r="B44" i="7"/>
  <c r="C43" i="7"/>
  <c r="B43" i="7"/>
  <c r="C42" i="7"/>
  <c r="B42" i="7"/>
  <c r="C41" i="7"/>
  <c r="B41" i="7"/>
  <c r="C40" i="7"/>
  <c r="B40" i="7"/>
  <c r="C39" i="7"/>
  <c r="B39" i="7"/>
  <c r="P9" i="23"/>
  <c r="P10" i="23"/>
  <c r="P11" i="23"/>
  <c r="P12" i="23"/>
  <c r="P13" i="23"/>
  <c r="P14" i="23"/>
  <c r="P15" i="23"/>
  <c r="P8" i="23"/>
  <c r="Q9" i="23"/>
  <c r="Q10" i="23"/>
  <c r="Q11" i="23"/>
  <c r="Q12" i="23"/>
  <c r="Q13" i="23"/>
  <c r="Q14" i="23"/>
  <c r="Q15" i="23"/>
  <c r="Q8" i="23"/>
  <c r="B11" i="23"/>
  <c r="B10" i="23"/>
  <c r="B9" i="23"/>
  <c r="B7" i="23"/>
  <c r="B8" i="23"/>
  <c r="B6" i="23"/>
  <c r="L6" i="23"/>
  <c r="L7" i="23"/>
  <c r="L8" i="23"/>
  <c r="K6" i="23"/>
  <c r="K7" i="23"/>
  <c r="K8" i="23"/>
  <c r="L13" i="23"/>
  <c r="K13" i="23"/>
  <c r="L12" i="23"/>
  <c r="K12" i="23"/>
  <c r="L11" i="23"/>
  <c r="K11" i="23"/>
  <c r="L10" i="23"/>
  <c r="K10" i="23"/>
  <c r="L9" i="23"/>
  <c r="K9" i="23"/>
  <c r="L19" i="23"/>
  <c r="K19" i="23"/>
  <c r="L18" i="23"/>
  <c r="K18" i="23"/>
  <c r="L17" i="23"/>
  <c r="K17" i="23"/>
  <c r="L16" i="23"/>
  <c r="K16" i="23"/>
  <c r="L15" i="23"/>
  <c r="K15" i="23"/>
  <c r="L26" i="23"/>
  <c r="K26" i="23"/>
  <c r="L25" i="23"/>
  <c r="K25" i="23"/>
  <c r="L24" i="23"/>
  <c r="K24" i="23"/>
  <c r="L23" i="23"/>
  <c r="K23" i="23"/>
  <c r="L22" i="23"/>
  <c r="K22" i="23"/>
  <c r="L32" i="23"/>
  <c r="K32" i="23"/>
  <c r="L31" i="23"/>
  <c r="K31" i="23"/>
  <c r="L30" i="23"/>
  <c r="K30" i="23"/>
  <c r="L29" i="23"/>
  <c r="K29" i="23"/>
  <c r="L28" i="23"/>
  <c r="K28" i="23"/>
  <c r="L38" i="23"/>
  <c r="K38" i="23"/>
  <c r="L37" i="23"/>
  <c r="K37" i="23"/>
  <c r="L36" i="23"/>
  <c r="K36" i="23"/>
  <c r="L35" i="23"/>
  <c r="K35" i="23"/>
  <c r="L34" i="23"/>
  <c r="K34" i="23"/>
  <c r="L45" i="23"/>
  <c r="K45" i="23"/>
  <c r="L44" i="23"/>
  <c r="K44" i="23"/>
  <c r="L43" i="23"/>
  <c r="K43" i="23"/>
  <c r="L42" i="23"/>
  <c r="K42" i="23"/>
  <c r="L41" i="23"/>
  <c r="K41" i="23"/>
  <c r="L51" i="23"/>
  <c r="K51" i="23"/>
  <c r="L50" i="23"/>
  <c r="K50" i="23"/>
  <c r="L49" i="23"/>
  <c r="K49" i="23"/>
  <c r="L48" i="23"/>
  <c r="K48" i="23"/>
  <c r="L47" i="23"/>
  <c r="K47" i="23"/>
  <c r="L58" i="23"/>
  <c r="K58" i="23"/>
  <c r="L57" i="23"/>
  <c r="K57" i="23"/>
  <c r="L56" i="23"/>
  <c r="K56" i="23"/>
  <c r="L55" i="23"/>
  <c r="K55" i="23"/>
  <c r="L54" i="23"/>
  <c r="K54" i="23"/>
  <c r="L64" i="23"/>
  <c r="K64" i="23"/>
  <c r="L63" i="23"/>
  <c r="K63" i="23"/>
  <c r="L62" i="23"/>
  <c r="K62" i="23"/>
  <c r="L61" i="23"/>
  <c r="K61" i="23"/>
  <c r="L60" i="23"/>
  <c r="K60" i="23"/>
  <c r="L71" i="23"/>
  <c r="K71" i="23"/>
  <c r="L70" i="23"/>
  <c r="K70" i="23"/>
  <c r="L69" i="23"/>
  <c r="K69" i="23"/>
  <c r="L68" i="23"/>
  <c r="K68" i="23"/>
  <c r="L67" i="23"/>
  <c r="K67" i="23"/>
  <c r="L77" i="23"/>
  <c r="K77" i="23"/>
  <c r="L76" i="23"/>
  <c r="K76" i="23"/>
  <c r="L75" i="23"/>
  <c r="K75" i="23"/>
  <c r="L74" i="23"/>
  <c r="K74" i="23"/>
  <c r="L73" i="23"/>
  <c r="K73" i="23"/>
  <c r="L84" i="23"/>
  <c r="K84" i="23"/>
  <c r="L83" i="23"/>
  <c r="K83" i="23"/>
  <c r="L82" i="23"/>
  <c r="K82" i="23"/>
  <c r="L81" i="23"/>
  <c r="K81" i="23"/>
  <c r="L80" i="23"/>
  <c r="K80" i="23"/>
  <c r="L90" i="23"/>
  <c r="K90" i="23"/>
  <c r="L89" i="23"/>
  <c r="K89" i="23"/>
  <c r="L88" i="23"/>
  <c r="K88" i="23"/>
  <c r="L87" i="23"/>
  <c r="K87" i="23"/>
  <c r="L86" i="23"/>
  <c r="K86" i="23"/>
  <c r="L97" i="23"/>
  <c r="K97" i="23"/>
  <c r="L96" i="23"/>
  <c r="K96" i="23"/>
  <c r="L95" i="23"/>
  <c r="K95" i="23"/>
  <c r="L94" i="23"/>
  <c r="K94" i="23"/>
  <c r="L93" i="23"/>
  <c r="K93" i="23"/>
  <c r="L103" i="23"/>
  <c r="K103" i="23"/>
  <c r="L102" i="23"/>
  <c r="K102" i="23"/>
  <c r="L101" i="23"/>
  <c r="K101" i="23"/>
  <c r="L100" i="23"/>
  <c r="K100" i="23"/>
  <c r="L99" i="23"/>
  <c r="K99" i="23"/>
  <c r="K106" i="23"/>
  <c r="L106" i="23"/>
  <c r="K112" i="23"/>
  <c r="L112" i="23"/>
  <c r="K119" i="23"/>
  <c r="L119" i="23"/>
  <c r="K125" i="23"/>
  <c r="L125" i="23"/>
  <c r="K132" i="23"/>
  <c r="L132" i="23"/>
  <c r="K138" i="23"/>
  <c r="L138" i="23"/>
  <c r="L139" i="23"/>
  <c r="C142" i="23"/>
  <c r="C141" i="23"/>
  <c r="C140" i="23"/>
  <c r="C139" i="23"/>
  <c r="C138" i="23"/>
  <c r="C136" i="23"/>
  <c r="C135" i="23"/>
  <c r="C134" i="23"/>
  <c r="C133" i="23"/>
  <c r="C129" i="23"/>
  <c r="C128" i="23"/>
  <c r="C127" i="23"/>
  <c r="C126" i="23"/>
  <c r="C123" i="23"/>
  <c r="C122" i="23"/>
  <c r="C121" i="23"/>
  <c r="C120" i="23"/>
  <c r="C132" i="23"/>
  <c r="C125" i="23"/>
  <c r="C119" i="23"/>
  <c r="C112" i="23"/>
  <c r="C106" i="23"/>
  <c r="C99" i="23"/>
  <c r="C93" i="23"/>
  <c r="C86" i="23"/>
  <c r="C80" i="23"/>
  <c r="C73" i="23"/>
  <c r="C67" i="23"/>
  <c r="C60" i="23"/>
  <c r="C54" i="23"/>
  <c r="C47" i="23"/>
  <c r="C41" i="23"/>
  <c r="C34" i="23"/>
  <c r="C28" i="23"/>
  <c r="C22" i="23"/>
  <c r="C15" i="23"/>
  <c r="C116" i="23"/>
  <c r="C115" i="23"/>
  <c r="C114" i="23"/>
  <c r="C113" i="23"/>
  <c r="C110" i="23"/>
  <c r="C109" i="23"/>
  <c r="C108" i="23"/>
  <c r="C107" i="23"/>
  <c r="C103" i="23"/>
  <c r="C102" i="23"/>
  <c r="C101" i="23"/>
  <c r="C100" i="23"/>
  <c r="C97" i="23"/>
  <c r="C96" i="23"/>
  <c r="C95" i="23"/>
  <c r="C94" i="23"/>
  <c r="C90" i="23"/>
  <c r="C89" i="23"/>
  <c r="C88" i="23"/>
  <c r="C87" i="23"/>
  <c r="C84" i="23"/>
  <c r="C83" i="23"/>
  <c r="C82" i="23"/>
  <c r="C81" i="23"/>
  <c r="C77" i="23"/>
  <c r="C76" i="23"/>
  <c r="C75" i="23"/>
  <c r="C74" i="23"/>
  <c r="C71" i="23"/>
  <c r="C70" i="23"/>
  <c r="C69" i="23"/>
  <c r="C68" i="23"/>
  <c r="C64" i="23"/>
  <c r="C63" i="23"/>
  <c r="C62" i="23"/>
  <c r="C61" i="23"/>
  <c r="C58" i="23"/>
  <c r="C57" i="23"/>
  <c r="C56" i="23"/>
  <c r="C55" i="23"/>
  <c r="C51" i="23"/>
  <c r="C50" i="23"/>
  <c r="C49" i="23"/>
  <c r="C48" i="23"/>
  <c r="C45" i="23"/>
  <c r="C44" i="23"/>
  <c r="C43" i="23"/>
  <c r="C42" i="23"/>
  <c r="C38" i="23"/>
  <c r="C37" i="23"/>
  <c r="C36" i="23"/>
  <c r="C35" i="23"/>
  <c r="C32" i="23"/>
  <c r="C31" i="23"/>
  <c r="C30" i="23"/>
  <c r="C29" i="23"/>
  <c r="C26" i="23"/>
  <c r="C25" i="23"/>
  <c r="C24" i="23"/>
  <c r="C23" i="23"/>
  <c r="C19" i="23"/>
  <c r="C18" i="23"/>
  <c r="C17" i="23"/>
  <c r="C16" i="23"/>
  <c r="K107" i="23"/>
  <c r="L107" i="23"/>
  <c r="K108" i="23"/>
  <c r="L108" i="23"/>
  <c r="K109" i="23"/>
  <c r="L109" i="23"/>
  <c r="K110" i="23"/>
  <c r="L110" i="23"/>
  <c r="K113" i="23"/>
  <c r="L113" i="23"/>
  <c r="K114" i="23"/>
  <c r="L114" i="23"/>
  <c r="K115" i="23"/>
  <c r="L115" i="23"/>
  <c r="K116" i="23"/>
  <c r="L116" i="23"/>
  <c r="K120" i="23"/>
  <c r="L120" i="23"/>
  <c r="K121" i="23"/>
  <c r="L121" i="23"/>
  <c r="K122" i="23"/>
  <c r="L122" i="23"/>
  <c r="K123" i="23"/>
  <c r="L123" i="23"/>
  <c r="K126" i="23"/>
  <c r="L126" i="23"/>
  <c r="K127" i="23"/>
  <c r="L127" i="23"/>
  <c r="K128" i="23"/>
  <c r="L128" i="23"/>
  <c r="K129" i="23"/>
  <c r="L129" i="23"/>
  <c r="K133" i="23"/>
  <c r="L133" i="23"/>
  <c r="K134" i="23"/>
  <c r="L134" i="23"/>
  <c r="K135" i="23"/>
  <c r="L135" i="23"/>
  <c r="K136" i="23"/>
  <c r="L136" i="23"/>
  <c r="K139" i="23"/>
  <c r="K140" i="23"/>
  <c r="L140" i="23"/>
  <c r="K141" i="23"/>
  <c r="L141" i="23"/>
  <c r="K142" i="23"/>
  <c r="L142" i="23"/>
  <c r="C21" i="21"/>
  <c r="C25" i="21"/>
  <c r="C23" i="20"/>
  <c r="C27" i="20"/>
  <c r="C23" i="19"/>
  <c r="C27" i="19"/>
  <c r="C22" i="13"/>
  <c r="C27" i="13"/>
  <c r="H21" i="14"/>
  <c r="H25" i="14"/>
  <c r="H22" i="13"/>
  <c r="H27" i="13"/>
  <c r="C29" i="12"/>
  <c r="C34" i="12"/>
  <c r="C39" i="12"/>
  <c r="C28" i="7"/>
  <c r="C23" i="7"/>
  <c r="C25" i="14"/>
  <c r="C21" i="14"/>
  <c r="J27" i="20"/>
  <c r="J23" i="20"/>
  <c r="U136" i="9"/>
  <c r="U137" i="9"/>
  <c r="U138" i="9"/>
  <c r="U139" i="9"/>
  <c r="U140" i="9"/>
  <c r="U141" i="9"/>
  <c r="U142" i="9"/>
  <c r="U143" i="9"/>
  <c r="U144" i="9"/>
  <c r="U145" i="9"/>
  <c r="U146" i="9"/>
  <c r="U135" i="9"/>
  <c r="T136" i="9"/>
  <c r="T137" i="9"/>
  <c r="T138" i="9"/>
  <c r="T139" i="9"/>
  <c r="T140" i="9"/>
  <c r="T141" i="9"/>
  <c r="T142" i="9"/>
  <c r="T143" i="9"/>
  <c r="T144" i="9"/>
  <c r="T145" i="9"/>
  <c r="T146" i="9"/>
  <c r="T135" i="9"/>
  <c r="J27" i="19"/>
  <c r="J23" i="19"/>
  <c r="J25" i="18"/>
  <c r="J21" i="18"/>
  <c r="J21" i="21"/>
  <c r="J25" i="21"/>
  <c r="G43" i="13"/>
  <c r="G38" i="13"/>
  <c r="C43" i="13"/>
  <c r="C40" i="14"/>
  <c r="C38" i="13"/>
  <c r="Q9" i="6"/>
  <c r="Q10" i="6"/>
  <c r="P10" i="6"/>
  <c r="P9" i="6"/>
  <c r="G40" i="14"/>
  <c r="G36" i="14"/>
  <c r="C36" i="14"/>
  <c r="P8" i="6"/>
  <c r="Q8" i="6"/>
  <c r="Q7" i="6"/>
  <c r="P7" i="6"/>
  <c r="J39" i="12"/>
  <c r="J34" i="12"/>
  <c r="J29" i="12"/>
  <c r="J23" i="7"/>
  <c r="J28" i="7"/>
  <c r="C25" i="18"/>
  <c r="C21" i="18"/>
  <c r="N24" i="6"/>
  <c r="M24" i="6"/>
  <c r="E141" i="9"/>
  <c r="E136" i="9"/>
  <c r="E137" i="9"/>
  <c r="E138" i="9"/>
  <c r="E139" i="9"/>
  <c r="E140" i="9"/>
  <c r="E142" i="9"/>
  <c r="E143" i="9"/>
  <c r="E144" i="9"/>
  <c r="E145" i="9"/>
  <c r="E146" i="9"/>
  <c r="E135" i="9"/>
  <c r="Z140" i="9"/>
  <c r="Z139" i="9"/>
  <c r="Z138" i="9"/>
  <c r="D148" i="9"/>
  <c r="M134" i="9"/>
  <c r="D26" i="9"/>
  <c r="E110" i="9"/>
  <c r="E116" i="9"/>
  <c r="E120" i="9"/>
  <c r="E119" i="9"/>
  <c r="D124" i="9"/>
  <c r="E122" i="9"/>
  <c r="E121" i="9"/>
  <c r="E118" i="9"/>
  <c r="E117" i="9"/>
  <c r="E115" i="9"/>
  <c r="E114" i="9"/>
  <c r="E113" i="9"/>
  <c r="E112" i="9"/>
  <c r="E111" i="9"/>
  <c r="M109" i="9"/>
  <c r="C116" i="9" s="1"/>
  <c r="E88" i="9"/>
  <c r="E89" i="9"/>
  <c r="E90" i="9"/>
  <c r="E91" i="9"/>
  <c r="E92" i="9"/>
  <c r="E93" i="9"/>
  <c r="E94" i="9"/>
  <c r="E95" i="9"/>
  <c r="E96" i="9"/>
  <c r="E97" i="9"/>
  <c r="E98" i="9"/>
  <c r="E87" i="9"/>
  <c r="D100" i="9"/>
  <c r="M86" i="9"/>
  <c r="C97" i="9" s="1"/>
  <c r="E62" i="9"/>
  <c r="E63" i="9"/>
  <c r="E64" i="9"/>
  <c r="E65" i="9"/>
  <c r="E66" i="9"/>
  <c r="E67" i="9"/>
  <c r="E68" i="9"/>
  <c r="E69" i="9"/>
  <c r="E70" i="9"/>
  <c r="E71" i="9"/>
  <c r="E72" i="9"/>
  <c r="E73" i="9"/>
  <c r="E74" i="9"/>
  <c r="E75" i="9"/>
  <c r="E61" i="9"/>
  <c r="D77" i="9"/>
  <c r="M60" i="9"/>
  <c r="C62" i="9" s="1"/>
  <c r="D6" i="23" l="1"/>
  <c r="C6" i="23"/>
  <c r="D8" i="23"/>
  <c r="C8" i="23"/>
  <c r="D7" i="23"/>
  <c r="C7" i="23"/>
  <c r="D9" i="23"/>
  <c r="C9" i="23"/>
  <c r="D10" i="23"/>
  <c r="C10" i="23"/>
  <c r="D11" i="23"/>
  <c r="C11" i="23"/>
  <c r="C141" i="9"/>
  <c r="C136" i="9"/>
  <c r="C137" i="9"/>
  <c r="C138" i="9"/>
  <c r="C139" i="9"/>
  <c r="C140" i="9"/>
  <c r="C142" i="9"/>
  <c r="C143" i="9"/>
  <c r="C144" i="9"/>
  <c r="C145" i="9"/>
  <c r="C146" i="9"/>
  <c r="C135" i="9"/>
  <c r="E148" i="9"/>
  <c r="C115" i="9"/>
  <c r="C114" i="9"/>
  <c r="C112" i="9"/>
  <c r="C110" i="9"/>
  <c r="C122" i="9"/>
  <c r="C119" i="9"/>
  <c r="C118" i="9"/>
  <c r="C113" i="9"/>
  <c r="C121" i="9"/>
  <c r="C120" i="9"/>
  <c r="C117" i="9"/>
  <c r="C111" i="9"/>
  <c r="E124" i="9"/>
  <c r="C93" i="9"/>
  <c r="C70" i="9"/>
  <c r="C73" i="9"/>
  <c r="C69" i="9"/>
  <c r="C95" i="9"/>
  <c r="C72" i="9"/>
  <c r="C96" i="9"/>
  <c r="C94" i="9"/>
  <c r="C71" i="9"/>
  <c r="C91" i="9"/>
  <c r="C68" i="9"/>
  <c r="C92" i="9"/>
  <c r="C90" i="9"/>
  <c r="C67" i="9"/>
  <c r="C89" i="9"/>
  <c r="C66" i="9"/>
  <c r="C88" i="9"/>
  <c r="C65" i="9"/>
  <c r="C87" i="9"/>
  <c r="C61" i="9"/>
  <c r="C64" i="9"/>
  <c r="C98" i="9"/>
  <c r="C75" i="9"/>
  <c r="C63" i="9"/>
  <c r="C74" i="9"/>
  <c r="E100" i="9"/>
  <c r="F95" i="9" s="1"/>
  <c r="E77" i="9"/>
  <c r="F69" i="9" s="1"/>
  <c r="B14" i="7"/>
  <c r="B9" i="7"/>
  <c r="B13" i="7"/>
  <c r="B12" i="7"/>
  <c r="B11" i="7"/>
  <c r="B8" i="7"/>
  <c r="B7" i="7"/>
  <c r="B6" i="7"/>
  <c r="C52" i="9"/>
  <c r="B16" i="6" s="1"/>
  <c r="F16" i="6" s="1"/>
  <c r="J19" i="6" s="1"/>
  <c r="D48" i="9"/>
  <c r="E33" i="9"/>
  <c r="E34" i="9"/>
  <c r="E35" i="9"/>
  <c r="E36" i="9"/>
  <c r="E37" i="9"/>
  <c r="E38" i="9"/>
  <c r="E39" i="9"/>
  <c r="E40" i="9"/>
  <c r="E41" i="9"/>
  <c r="E42" i="9"/>
  <c r="E43" i="9"/>
  <c r="E44" i="9"/>
  <c r="E45" i="9"/>
  <c r="E46" i="9"/>
  <c r="E32" i="9"/>
  <c r="E6" i="9"/>
  <c r="I4" i="6"/>
  <c r="I5" i="6"/>
  <c r="I6" i="6"/>
  <c r="I7" i="6"/>
  <c r="I3" i="6"/>
  <c r="H4" i="6"/>
  <c r="H5" i="6"/>
  <c r="H6" i="6"/>
  <c r="H3" i="6"/>
  <c r="O19" i="6" l="1"/>
  <c r="M3" i="6"/>
  <c r="B11" i="21"/>
  <c r="B12" i="21"/>
  <c r="B10" i="21"/>
  <c r="M6" i="6"/>
  <c r="B10" i="20"/>
  <c r="B11" i="20"/>
  <c r="B12" i="20"/>
  <c r="M5" i="6"/>
  <c r="B11" i="19"/>
  <c r="B12" i="19"/>
  <c r="B10" i="19"/>
  <c r="M4" i="6"/>
  <c r="B10" i="18"/>
  <c r="B11" i="18"/>
  <c r="B12" i="18"/>
  <c r="N3" i="6"/>
  <c r="B7" i="21"/>
  <c r="B8" i="21"/>
  <c r="B6" i="21"/>
  <c r="N7" i="6"/>
  <c r="B8" i="14"/>
  <c r="B7" i="14"/>
  <c r="B6" i="14"/>
  <c r="N6" i="6"/>
  <c r="B6" i="20"/>
  <c r="B7" i="20"/>
  <c r="B8" i="20"/>
  <c r="N5" i="6"/>
  <c r="B7" i="19"/>
  <c r="B8" i="19"/>
  <c r="N4" i="6"/>
  <c r="B7" i="18"/>
  <c r="B8" i="18"/>
  <c r="B6" i="18"/>
  <c r="F135" i="9"/>
  <c r="F146" i="9"/>
  <c r="F145" i="9"/>
  <c r="F144" i="9"/>
  <c r="F143" i="9"/>
  <c r="F142" i="9"/>
  <c r="F140" i="9"/>
  <c r="F139" i="9"/>
  <c r="F138" i="9"/>
  <c r="F137" i="9"/>
  <c r="F136" i="9"/>
  <c r="F141" i="9"/>
  <c r="G146" i="9"/>
  <c r="G145" i="9"/>
  <c r="G144" i="9"/>
  <c r="G143" i="9"/>
  <c r="G142" i="9"/>
  <c r="G140" i="9"/>
  <c r="G139" i="9"/>
  <c r="G138" i="9"/>
  <c r="G137" i="9"/>
  <c r="G136" i="9"/>
  <c r="G141" i="9"/>
  <c r="F118" i="9"/>
  <c r="F121" i="9"/>
  <c r="G121" i="9" s="1"/>
  <c r="F122" i="9"/>
  <c r="F114" i="9"/>
  <c r="F115" i="9"/>
  <c r="F113" i="9"/>
  <c r="G113" i="9" s="1"/>
  <c r="G122" i="9"/>
  <c r="G115" i="9"/>
  <c r="F111" i="9"/>
  <c r="G111" i="9" s="1"/>
  <c r="F117" i="9"/>
  <c r="G117" i="9" s="1"/>
  <c r="G114" i="9"/>
  <c r="F116" i="9"/>
  <c r="F120" i="9"/>
  <c r="G120" i="9" s="1"/>
  <c r="F110" i="9"/>
  <c r="F112" i="9"/>
  <c r="G112" i="9" s="1"/>
  <c r="F119" i="9"/>
  <c r="G119" i="9" s="1"/>
  <c r="G110" i="9"/>
  <c r="F91" i="9"/>
  <c r="G91" i="9" s="1"/>
  <c r="F98" i="9"/>
  <c r="G98" i="9" s="1"/>
  <c r="F87" i="9"/>
  <c r="G87" i="9" s="1"/>
  <c r="F89" i="9"/>
  <c r="G89" i="9" s="1"/>
  <c r="F90" i="9"/>
  <c r="G90" i="9" s="1"/>
  <c r="F92" i="9"/>
  <c r="G92" i="9" s="1"/>
  <c r="F88" i="9"/>
  <c r="G88" i="9" s="1"/>
  <c r="G95" i="9"/>
  <c r="F93" i="9"/>
  <c r="G93" i="9" s="1"/>
  <c r="F96" i="9"/>
  <c r="G96" i="9" s="1"/>
  <c r="F94" i="9"/>
  <c r="G94" i="9" s="1"/>
  <c r="F97" i="9"/>
  <c r="F70" i="9"/>
  <c r="F68" i="9"/>
  <c r="F67" i="9"/>
  <c r="F63" i="9"/>
  <c r="F73" i="9"/>
  <c r="F62" i="9"/>
  <c r="F74" i="9"/>
  <c r="F75" i="9"/>
  <c r="F65" i="9"/>
  <c r="F66" i="9"/>
  <c r="F71" i="9"/>
  <c r="F61" i="9"/>
  <c r="F72" i="9"/>
  <c r="F64" i="9"/>
  <c r="B19" i="12"/>
  <c r="B17" i="12"/>
  <c r="B18" i="12"/>
  <c r="B16" i="12"/>
  <c r="E48" i="9"/>
  <c r="H19" i="6"/>
  <c r="I19" i="6"/>
  <c r="M31" i="9"/>
  <c r="F160" i="9"/>
  <c r="F161" i="9"/>
  <c r="F162" i="9"/>
  <c r="F159" i="9"/>
  <c r="E160" i="9"/>
  <c r="E161" i="9"/>
  <c r="E162" i="9"/>
  <c r="E159" i="9"/>
  <c r="N19" i="6" l="1"/>
  <c r="M19" i="6"/>
  <c r="G102" i="9"/>
  <c r="C33" i="9"/>
  <c r="F148" i="9"/>
  <c r="G135" i="9"/>
  <c r="G150" i="9" s="1"/>
  <c r="G118" i="9"/>
  <c r="G116" i="9"/>
  <c r="G126" i="9" s="1"/>
  <c r="F100" i="9"/>
  <c r="G97" i="9"/>
  <c r="G100" i="9" s="1"/>
  <c r="G73" i="9"/>
  <c r="G62" i="9"/>
  <c r="G74" i="9"/>
  <c r="G63" i="9"/>
  <c r="G75" i="9"/>
  <c r="G64" i="9"/>
  <c r="G61" i="9"/>
  <c r="G65" i="9"/>
  <c r="C32" i="9"/>
  <c r="G66" i="9"/>
  <c r="G67" i="9"/>
  <c r="G71" i="9"/>
  <c r="G72" i="9"/>
  <c r="F42" i="9"/>
  <c r="F41" i="9"/>
  <c r="F33" i="9"/>
  <c r="F34" i="9"/>
  <c r="F46" i="9"/>
  <c r="F45" i="9"/>
  <c r="F35" i="9"/>
  <c r="F36" i="9"/>
  <c r="F37" i="9"/>
  <c r="F38" i="9"/>
  <c r="B14" i="12"/>
  <c r="B11" i="12"/>
  <c r="B12" i="12"/>
  <c r="B13" i="12"/>
  <c r="F43" i="9"/>
  <c r="F44" i="9"/>
  <c r="C41" i="9"/>
  <c r="C43" i="9"/>
  <c r="C42" i="9"/>
  <c r="C44" i="9"/>
  <c r="C36" i="9"/>
  <c r="C45" i="9"/>
  <c r="C35" i="9"/>
  <c r="C34" i="9"/>
  <c r="C46" i="9"/>
  <c r="C37" i="9"/>
  <c r="C38" i="9"/>
  <c r="C39" i="9"/>
  <c r="C40" i="9"/>
  <c r="F32" i="9"/>
  <c r="F39" i="9"/>
  <c r="B6" i="12"/>
  <c r="B7" i="12"/>
  <c r="B8" i="12"/>
  <c r="B9" i="12"/>
  <c r="F40" i="9"/>
  <c r="E163" i="9"/>
  <c r="F163" i="9"/>
  <c r="I8" i="6"/>
  <c r="I9" i="6"/>
  <c r="I10" i="6"/>
  <c r="H7" i="6"/>
  <c r="H8" i="6"/>
  <c r="H9" i="6"/>
  <c r="H10" i="6"/>
  <c r="M5" i="9"/>
  <c r="D23" i="9"/>
  <c r="D25" i="9" s="1"/>
  <c r="E22" i="9"/>
  <c r="E21" i="9"/>
  <c r="E20" i="9"/>
  <c r="E19" i="9"/>
  <c r="E18" i="9"/>
  <c r="E17" i="9"/>
  <c r="E16" i="9"/>
  <c r="E15" i="9"/>
  <c r="E14" i="9"/>
  <c r="E13" i="9"/>
  <c r="E12" i="9"/>
  <c r="E11" i="9"/>
  <c r="E10" i="9"/>
  <c r="E9" i="9"/>
  <c r="E8" i="9"/>
  <c r="E7" i="9"/>
  <c r="M10" i="6" l="1"/>
  <c r="C12" i="13"/>
  <c r="C13" i="13"/>
  <c r="C14" i="13"/>
  <c r="C11" i="13"/>
  <c r="M9" i="6"/>
  <c r="B12" i="13"/>
  <c r="B13" i="13"/>
  <c r="B14" i="13"/>
  <c r="B11" i="13"/>
  <c r="M8" i="6"/>
  <c r="C12" i="14"/>
  <c r="C11" i="14"/>
  <c r="C10" i="14"/>
  <c r="M7" i="6"/>
  <c r="B12" i="14"/>
  <c r="B11" i="14"/>
  <c r="B10" i="14"/>
  <c r="N10" i="6"/>
  <c r="C7" i="13"/>
  <c r="C8" i="13"/>
  <c r="C9" i="13"/>
  <c r="C6" i="13"/>
  <c r="N9" i="6"/>
  <c r="B9" i="13"/>
  <c r="B7" i="13"/>
  <c r="B8" i="13"/>
  <c r="B6" i="13"/>
  <c r="N8" i="6"/>
  <c r="C8" i="14"/>
  <c r="C7" i="14"/>
  <c r="C6" i="14"/>
  <c r="G148" i="9"/>
  <c r="H92" i="9"/>
  <c r="I92" i="9" s="1"/>
  <c r="H91" i="9"/>
  <c r="I91" i="9" s="1"/>
  <c r="H98" i="9"/>
  <c r="I98" i="9" s="1"/>
  <c r="H90" i="9"/>
  <c r="I90" i="9" s="1"/>
  <c r="H95" i="9"/>
  <c r="I95" i="9" s="1"/>
  <c r="H93" i="9"/>
  <c r="I93" i="9" s="1"/>
  <c r="H94" i="9"/>
  <c r="I94" i="9" s="1"/>
  <c r="H89" i="9"/>
  <c r="I89" i="9" s="1"/>
  <c r="H96" i="9"/>
  <c r="I96" i="9" s="1"/>
  <c r="H97" i="9"/>
  <c r="I97" i="9" s="1"/>
  <c r="H87" i="9"/>
  <c r="H88" i="9"/>
  <c r="I88" i="9" s="1"/>
  <c r="G70" i="9"/>
  <c r="G69" i="9"/>
  <c r="G68" i="9"/>
  <c r="G79" i="9" s="1"/>
  <c r="G42" i="9"/>
  <c r="C6" i="9"/>
  <c r="G34" i="9"/>
  <c r="G39" i="9"/>
  <c r="G37" i="9"/>
  <c r="G32" i="9"/>
  <c r="G46" i="9"/>
  <c r="G35" i="9"/>
  <c r="G36" i="9"/>
  <c r="G45" i="9"/>
  <c r="G33" i="9"/>
  <c r="G40" i="9"/>
  <c r="G43" i="9"/>
  <c r="G38" i="9"/>
  <c r="G41" i="9"/>
  <c r="F48" i="9"/>
  <c r="G44" i="9"/>
  <c r="C7" i="9"/>
  <c r="C12" i="9"/>
  <c r="C13" i="9"/>
  <c r="C15" i="9"/>
  <c r="C16" i="9"/>
  <c r="C10" i="9"/>
  <c r="C8" i="9"/>
  <c r="C20" i="9"/>
  <c r="C18" i="9"/>
  <c r="C21" i="9"/>
  <c r="C23" i="9"/>
  <c r="C22" i="9"/>
  <c r="C9" i="9"/>
  <c r="C19" i="9"/>
  <c r="C11" i="9"/>
  <c r="C17" i="9"/>
  <c r="E23" i="9"/>
  <c r="G50" i="9" l="1"/>
  <c r="H141" i="9"/>
  <c r="H136" i="9"/>
  <c r="H137" i="9"/>
  <c r="H138" i="9"/>
  <c r="H139" i="9"/>
  <c r="H140" i="9"/>
  <c r="H142" i="9"/>
  <c r="H143" i="9"/>
  <c r="H144" i="9"/>
  <c r="H145" i="9"/>
  <c r="H146" i="9"/>
  <c r="H135" i="9"/>
  <c r="I87" i="9"/>
  <c r="I100" i="9" s="1"/>
  <c r="J88" i="9" s="1"/>
  <c r="H100" i="9"/>
  <c r="G48" i="9"/>
  <c r="E25" i="9"/>
  <c r="U88" i="9" l="1"/>
  <c r="T88" i="9"/>
  <c r="D7" i="18"/>
  <c r="D8" i="18"/>
  <c r="D10" i="18"/>
  <c r="D11" i="18"/>
  <c r="D12" i="18"/>
  <c r="D6" i="18"/>
  <c r="I135" i="9"/>
  <c r="I146" i="9"/>
  <c r="I145" i="9"/>
  <c r="I144" i="9"/>
  <c r="I143" i="9"/>
  <c r="I142" i="9"/>
  <c r="I140" i="9"/>
  <c r="I139" i="9"/>
  <c r="I138" i="9"/>
  <c r="I137" i="9"/>
  <c r="I136" i="9"/>
  <c r="I141" i="9"/>
  <c r="F124" i="9"/>
  <c r="G124" i="9"/>
  <c r="J95" i="9"/>
  <c r="J96" i="9"/>
  <c r="J87" i="9"/>
  <c r="J90" i="9"/>
  <c r="J89" i="9"/>
  <c r="J92" i="9"/>
  <c r="J91" i="9"/>
  <c r="J97" i="9"/>
  <c r="J98" i="9"/>
  <c r="J94" i="9"/>
  <c r="J93" i="9"/>
  <c r="F6" i="9"/>
  <c r="G6" i="9" s="1"/>
  <c r="F77" i="9"/>
  <c r="H34" i="9"/>
  <c r="I34" i="9" s="1"/>
  <c r="H44" i="9"/>
  <c r="I44" i="9" s="1"/>
  <c r="H38" i="9"/>
  <c r="I38" i="9" s="1"/>
  <c r="H37" i="9"/>
  <c r="I37" i="9" s="1"/>
  <c r="H32" i="9"/>
  <c r="I32" i="9" s="1"/>
  <c r="H43" i="9"/>
  <c r="I43" i="9" s="1"/>
  <c r="H46" i="9"/>
  <c r="I46" i="9" s="1"/>
  <c r="H35" i="9"/>
  <c r="I35" i="9" s="1"/>
  <c r="H36" i="9"/>
  <c r="I36" i="9" s="1"/>
  <c r="H42" i="9"/>
  <c r="I42" i="9" s="1"/>
  <c r="H41" i="9"/>
  <c r="I41" i="9" s="1"/>
  <c r="H40" i="9"/>
  <c r="I40" i="9" s="1"/>
  <c r="H33" i="9"/>
  <c r="I33" i="9" s="1"/>
  <c r="H39" i="9"/>
  <c r="I39" i="9" s="1"/>
  <c r="H45" i="9"/>
  <c r="I45" i="9" s="1"/>
  <c r="F13" i="9"/>
  <c r="F22" i="9"/>
  <c r="F7" i="9"/>
  <c r="F16" i="9"/>
  <c r="F8" i="9"/>
  <c r="F17" i="9"/>
  <c r="F19" i="9"/>
  <c r="F9" i="9"/>
  <c r="F18" i="9"/>
  <c r="F10" i="9"/>
  <c r="F21" i="9"/>
  <c r="F11" i="9"/>
  <c r="F20" i="9"/>
  <c r="F15" i="9"/>
  <c r="F12" i="9"/>
  <c r="F14" i="9"/>
  <c r="F23" i="9"/>
  <c r="U93" i="9" l="1"/>
  <c r="T93" i="9"/>
  <c r="U94" i="9"/>
  <c r="T94" i="9"/>
  <c r="U98" i="9"/>
  <c r="T98" i="9"/>
  <c r="U97" i="9"/>
  <c r="T97" i="9"/>
  <c r="U91" i="9"/>
  <c r="T91" i="9"/>
  <c r="U92" i="9"/>
  <c r="T92" i="9"/>
  <c r="U89" i="9"/>
  <c r="T89" i="9"/>
  <c r="U90" i="9"/>
  <c r="T90" i="9"/>
  <c r="U87" i="9"/>
  <c r="T87" i="9"/>
  <c r="U96" i="9"/>
  <c r="T96" i="9"/>
  <c r="U95" i="9"/>
  <c r="T95" i="9"/>
  <c r="I7" i="18"/>
  <c r="I8" i="18"/>
  <c r="I10" i="18"/>
  <c r="I11" i="18"/>
  <c r="I12" i="18"/>
  <c r="I6" i="18"/>
  <c r="J7" i="18"/>
  <c r="J8" i="18"/>
  <c r="J10" i="18"/>
  <c r="J11" i="18"/>
  <c r="J12" i="18"/>
  <c r="J6" i="18"/>
  <c r="G7" i="18"/>
  <c r="G8" i="18"/>
  <c r="G10" i="18"/>
  <c r="G11" i="18"/>
  <c r="G12" i="18"/>
  <c r="G6" i="18"/>
  <c r="H7" i="18"/>
  <c r="H8" i="18"/>
  <c r="H10" i="18"/>
  <c r="H11" i="18"/>
  <c r="H12" i="18"/>
  <c r="H6" i="18"/>
  <c r="E7" i="18"/>
  <c r="E8" i="18"/>
  <c r="E10" i="18"/>
  <c r="E11" i="18"/>
  <c r="E12" i="18"/>
  <c r="E6" i="18"/>
  <c r="F7" i="18"/>
  <c r="F8" i="18"/>
  <c r="F10" i="18"/>
  <c r="F11" i="18"/>
  <c r="F12" i="18"/>
  <c r="F6" i="18"/>
  <c r="C7" i="18"/>
  <c r="C8" i="18"/>
  <c r="C10" i="18"/>
  <c r="C11" i="18"/>
  <c r="K11" i="18" s="1"/>
  <c r="C12" i="18"/>
  <c r="C6" i="18"/>
  <c r="K6" i="18" s="1"/>
  <c r="H118" i="9"/>
  <c r="H122" i="9"/>
  <c r="H119" i="9"/>
  <c r="H110" i="9"/>
  <c r="H114" i="9"/>
  <c r="H121" i="9"/>
  <c r="H115" i="9"/>
  <c r="H111" i="9"/>
  <c r="H112" i="9"/>
  <c r="H113" i="9"/>
  <c r="H120" i="9"/>
  <c r="H116" i="9"/>
  <c r="H117" i="9"/>
  <c r="J102" i="9"/>
  <c r="J100" i="9"/>
  <c r="H48" i="9"/>
  <c r="I48" i="9"/>
  <c r="G18" i="9"/>
  <c r="G14" i="9"/>
  <c r="G21" i="9"/>
  <c r="G10" i="9"/>
  <c r="G9" i="9"/>
  <c r="G19" i="9"/>
  <c r="G17" i="9"/>
  <c r="G23" i="9"/>
  <c r="G8" i="9"/>
  <c r="G16" i="9"/>
  <c r="G12" i="9"/>
  <c r="G7" i="9"/>
  <c r="G15" i="9"/>
  <c r="F25" i="9"/>
  <c r="G20" i="9"/>
  <c r="G22" i="9"/>
  <c r="G11" i="9"/>
  <c r="G13" i="9"/>
  <c r="K8" i="18" l="1"/>
  <c r="K12" i="18"/>
  <c r="K10" i="18"/>
  <c r="K7" i="18"/>
  <c r="I116" i="9"/>
  <c r="I113" i="9"/>
  <c r="I120" i="9"/>
  <c r="I112" i="9"/>
  <c r="I115" i="9"/>
  <c r="I110" i="9"/>
  <c r="I122" i="9"/>
  <c r="I111" i="9"/>
  <c r="I121" i="9"/>
  <c r="I114" i="9"/>
  <c r="I119" i="9"/>
  <c r="I117" i="9"/>
  <c r="I118" i="9"/>
  <c r="G77" i="9"/>
  <c r="J38" i="9"/>
  <c r="J33" i="9"/>
  <c r="J34" i="9"/>
  <c r="J37" i="9"/>
  <c r="J35" i="9"/>
  <c r="J46" i="9"/>
  <c r="J45" i="9"/>
  <c r="J39" i="9"/>
  <c r="J44" i="9"/>
  <c r="J43" i="9"/>
  <c r="J42" i="9"/>
  <c r="J36" i="9"/>
  <c r="J40" i="9"/>
  <c r="J32" i="9"/>
  <c r="J41" i="9"/>
  <c r="G25" i="9"/>
  <c r="V41" i="9" l="1"/>
  <c r="U41" i="9"/>
  <c r="T41" i="9"/>
  <c r="V32" i="9"/>
  <c r="U32" i="9"/>
  <c r="T32" i="9"/>
  <c r="V40" i="9"/>
  <c r="U40" i="9"/>
  <c r="T40" i="9"/>
  <c r="V36" i="9"/>
  <c r="U36" i="9"/>
  <c r="T36" i="9"/>
  <c r="V42" i="9"/>
  <c r="U42" i="9"/>
  <c r="T42" i="9"/>
  <c r="V43" i="9"/>
  <c r="U43" i="9"/>
  <c r="T43" i="9"/>
  <c r="V44" i="9"/>
  <c r="U44" i="9"/>
  <c r="T44" i="9"/>
  <c r="V39" i="9"/>
  <c r="U39" i="9"/>
  <c r="T39" i="9"/>
  <c r="V45" i="9"/>
  <c r="U45" i="9"/>
  <c r="T45" i="9"/>
  <c r="V46" i="9"/>
  <c r="U46" i="9"/>
  <c r="T46" i="9"/>
  <c r="V35" i="9"/>
  <c r="U35" i="9"/>
  <c r="T35" i="9"/>
  <c r="V37" i="9"/>
  <c r="U37" i="9"/>
  <c r="T37" i="9"/>
  <c r="V34" i="9"/>
  <c r="U34" i="9"/>
  <c r="T34" i="9"/>
  <c r="V33" i="9"/>
  <c r="U33" i="9"/>
  <c r="T33" i="9"/>
  <c r="V38" i="9"/>
  <c r="U38" i="9"/>
  <c r="T38" i="9"/>
  <c r="I148" i="9"/>
  <c r="H148" i="9"/>
  <c r="H124" i="9"/>
  <c r="H66" i="9"/>
  <c r="H64" i="9"/>
  <c r="H65" i="9"/>
  <c r="H75" i="9"/>
  <c r="H73" i="9"/>
  <c r="H69" i="9"/>
  <c r="H72" i="9"/>
  <c r="H63" i="9"/>
  <c r="H61" i="9"/>
  <c r="H62" i="9"/>
  <c r="H67" i="9"/>
  <c r="H68" i="9"/>
  <c r="H74" i="9"/>
  <c r="H71" i="9"/>
  <c r="H70" i="9"/>
  <c r="H6" i="9"/>
  <c r="J48" i="9"/>
  <c r="J50" i="9"/>
  <c r="H18" i="9"/>
  <c r="H17" i="9"/>
  <c r="H15" i="9"/>
  <c r="H23" i="9"/>
  <c r="H14" i="9"/>
  <c r="H16" i="9"/>
  <c r="H9" i="9"/>
  <c r="H21" i="9"/>
  <c r="H20" i="9"/>
  <c r="H22" i="9"/>
  <c r="H12" i="9"/>
  <c r="H7" i="9"/>
  <c r="H8" i="9"/>
  <c r="H19" i="9"/>
  <c r="H13" i="9"/>
  <c r="H10" i="9"/>
  <c r="H11" i="9"/>
  <c r="I6" i="9" l="1"/>
  <c r="J135" i="9"/>
  <c r="J146" i="9"/>
  <c r="J145" i="9"/>
  <c r="J144" i="9"/>
  <c r="J143" i="9"/>
  <c r="J142" i="9"/>
  <c r="J140" i="9"/>
  <c r="J139" i="9"/>
  <c r="J138" i="9"/>
  <c r="J137" i="9"/>
  <c r="J136" i="9"/>
  <c r="J141" i="9"/>
  <c r="I124" i="9"/>
  <c r="I67" i="9"/>
  <c r="I62" i="9"/>
  <c r="I63" i="9"/>
  <c r="I68" i="9"/>
  <c r="I69" i="9"/>
  <c r="I73" i="9"/>
  <c r="I61" i="9"/>
  <c r="I72" i="9"/>
  <c r="I75" i="9"/>
  <c r="I70" i="9"/>
  <c r="I65" i="9"/>
  <c r="I71" i="9"/>
  <c r="I64" i="9"/>
  <c r="I74" i="9"/>
  <c r="I66" i="9"/>
  <c r="H77" i="9"/>
  <c r="K17" i="12"/>
  <c r="K9" i="12"/>
  <c r="K18" i="12"/>
  <c r="K12" i="12"/>
  <c r="K16" i="12"/>
  <c r="K11" i="12"/>
  <c r="K8" i="12"/>
  <c r="K7" i="12"/>
  <c r="K14" i="12"/>
  <c r="K6" i="12"/>
  <c r="K19" i="12"/>
  <c r="K13" i="12"/>
  <c r="I20" i="9"/>
  <c r="I22" i="9"/>
  <c r="I9" i="9"/>
  <c r="I11" i="9"/>
  <c r="I14" i="9"/>
  <c r="I17" i="9"/>
  <c r="I12" i="9"/>
  <c r="I21" i="9"/>
  <c r="I16" i="9"/>
  <c r="H25" i="9"/>
  <c r="H27" i="9"/>
  <c r="I10" i="9"/>
  <c r="I13" i="9"/>
  <c r="I23" i="9"/>
  <c r="I19" i="9"/>
  <c r="I15" i="9"/>
  <c r="I8" i="9"/>
  <c r="I7" i="9"/>
  <c r="I18" i="9"/>
  <c r="F31" i="12" l="1"/>
  <c r="B18" i="22" s="1"/>
  <c r="L31" i="12"/>
  <c r="C18" i="22" s="1"/>
  <c r="L37" i="12"/>
  <c r="C24" i="22" s="1"/>
  <c r="F37" i="12"/>
  <c r="B24" i="22" s="1"/>
  <c r="F43" i="12"/>
  <c r="B30" i="22" s="1"/>
  <c r="L43" i="12"/>
  <c r="C30" i="22" s="1"/>
  <c r="F30" i="12"/>
  <c r="B17" i="22" s="1"/>
  <c r="L30" i="12"/>
  <c r="C17" i="22" s="1"/>
  <c r="F33" i="12"/>
  <c r="B20" i="22" s="1"/>
  <c r="L33" i="12"/>
  <c r="C20" i="22" s="1"/>
  <c r="L38" i="12"/>
  <c r="C25" i="22" s="1"/>
  <c r="F38" i="12"/>
  <c r="B25" i="22" s="1"/>
  <c r="L41" i="12"/>
  <c r="C28" i="22" s="1"/>
  <c r="F41" i="12"/>
  <c r="B28" i="22" s="1"/>
  <c r="L35" i="12"/>
  <c r="C22" i="22" s="1"/>
  <c r="F35" i="12"/>
  <c r="B22" i="22" s="1"/>
  <c r="F32" i="12"/>
  <c r="B19" i="22" s="1"/>
  <c r="L32" i="12"/>
  <c r="C19" i="22" s="1"/>
  <c r="F40" i="12"/>
  <c r="B27" i="22" s="1"/>
  <c r="L40" i="12"/>
  <c r="C27" i="22" s="1"/>
  <c r="L36" i="12"/>
  <c r="C23" i="22" s="1"/>
  <c r="F36" i="12"/>
  <c r="B23" i="22" s="1"/>
  <c r="F42" i="12"/>
  <c r="B29" i="22" s="1"/>
  <c r="L42" i="12"/>
  <c r="C29" i="22" s="1"/>
  <c r="D8" i="20"/>
  <c r="D7" i="20"/>
  <c r="D6" i="20"/>
  <c r="D12" i="20"/>
  <c r="D11" i="20"/>
  <c r="D10" i="20"/>
  <c r="E8" i="20"/>
  <c r="E7" i="20"/>
  <c r="E6" i="20"/>
  <c r="E12" i="20"/>
  <c r="E11" i="20"/>
  <c r="E10" i="20"/>
  <c r="F8" i="20"/>
  <c r="F7" i="20"/>
  <c r="F6" i="20"/>
  <c r="F12" i="20"/>
  <c r="F11" i="20"/>
  <c r="F10" i="20"/>
  <c r="G8" i="20"/>
  <c r="G7" i="20"/>
  <c r="G6" i="20"/>
  <c r="G12" i="20"/>
  <c r="G11" i="20"/>
  <c r="G10" i="20"/>
  <c r="H8" i="20"/>
  <c r="H7" i="20"/>
  <c r="H6" i="20"/>
  <c r="H12" i="20"/>
  <c r="H11" i="20"/>
  <c r="H10" i="20"/>
  <c r="C8" i="20"/>
  <c r="I8" i="20" s="1"/>
  <c r="C7" i="20"/>
  <c r="I7" i="20" s="1"/>
  <c r="C6" i="20"/>
  <c r="I6" i="20" s="1"/>
  <c r="C12" i="20"/>
  <c r="I12" i="20" s="1"/>
  <c r="C11" i="20"/>
  <c r="I11" i="20" s="1"/>
  <c r="C10" i="20"/>
  <c r="I10" i="20" s="1"/>
  <c r="J116" i="9"/>
  <c r="J122" i="9"/>
  <c r="J118" i="9"/>
  <c r="J121" i="9"/>
  <c r="J114" i="9"/>
  <c r="J111" i="9"/>
  <c r="J112" i="9"/>
  <c r="J115" i="9"/>
  <c r="J119" i="9"/>
  <c r="J113" i="9"/>
  <c r="J117" i="9"/>
  <c r="J120" i="9"/>
  <c r="J110" i="9"/>
  <c r="I77" i="9"/>
  <c r="I25" i="9"/>
  <c r="J6" i="9" s="1"/>
  <c r="T6" i="9" s="1"/>
  <c r="D22" i="22" l="1"/>
  <c r="H22" i="22"/>
  <c r="F22" i="22"/>
  <c r="E28" i="22"/>
  <c r="G28" i="22"/>
  <c r="I28" i="22"/>
  <c r="F30" i="22"/>
  <c r="D30" i="22"/>
  <c r="H30" i="22"/>
  <c r="H17" i="22"/>
  <c r="F17" i="22"/>
  <c r="D17" i="22"/>
  <c r="F28" i="22"/>
  <c r="H28" i="22"/>
  <c r="D28" i="22"/>
  <c r="E27" i="22"/>
  <c r="G27" i="22"/>
  <c r="I27" i="22"/>
  <c r="H24" i="22"/>
  <c r="D24" i="22"/>
  <c r="F24" i="22"/>
  <c r="I17" i="22"/>
  <c r="E17" i="22"/>
  <c r="G17" i="22"/>
  <c r="E22" i="22"/>
  <c r="G22" i="22"/>
  <c r="I22" i="22"/>
  <c r="I30" i="22"/>
  <c r="E30" i="22"/>
  <c r="G30" i="22"/>
  <c r="E25" i="22"/>
  <c r="G25" i="22"/>
  <c r="I25" i="22"/>
  <c r="G24" i="22"/>
  <c r="I24" i="22"/>
  <c r="E24" i="22"/>
  <c r="G29" i="22"/>
  <c r="I29" i="22"/>
  <c r="E29" i="22"/>
  <c r="F23" i="22"/>
  <c r="H23" i="22"/>
  <c r="D23" i="22"/>
  <c r="G23" i="22"/>
  <c r="I23" i="22"/>
  <c r="E23" i="22"/>
  <c r="G19" i="22"/>
  <c r="I19" i="22"/>
  <c r="E19" i="22"/>
  <c r="I20" i="22"/>
  <c r="E20" i="22"/>
  <c r="G20" i="22"/>
  <c r="E18" i="22"/>
  <c r="G18" i="22"/>
  <c r="I18" i="22"/>
  <c r="H29" i="22"/>
  <c r="F29" i="22"/>
  <c r="D29" i="22"/>
  <c r="F25" i="22"/>
  <c r="D25" i="22"/>
  <c r="H25" i="22"/>
  <c r="D27" i="22"/>
  <c r="H27" i="22"/>
  <c r="F27" i="22"/>
  <c r="H19" i="22"/>
  <c r="D19" i="22"/>
  <c r="F19" i="22"/>
  <c r="F20" i="22"/>
  <c r="D20" i="22"/>
  <c r="H20" i="22"/>
  <c r="F18" i="22"/>
  <c r="D18" i="22"/>
  <c r="H18" i="22"/>
  <c r="U110" i="9"/>
  <c r="T110" i="9"/>
  <c r="U120" i="9"/>
  <c r="T120" i="9"/>
  <c r="U117" i="9"/>
  <c r="T117" i="9"/>
  <c r="U113" i="9"/>
  <c r="T113" i="9"/>
  <c r="U119" i="9"/>
  <c r="T119" i="9"/>
  <c r="U115" i="9"/>
  <c r="T115" i="9"/>
  <c r="U112" i="9"/>
  <c r="T112" i="9"/>
  <c r="U111" i="9"/>
  <c r="T111" i="9"/>
  <c r="U114" i="9"/>
  <c r="T114" i="9"/>
  <c r="U121" i="9"/>
  <c r="T121" i="9"/>
  <c r="U118" i="9"/>
  <c r="T118" i="9"/>
  <c r="U122" i="9"/>
  <c r="T122" i="9"/>
  <c r="U116" i="9"/>
  <c r="T116" i="9"/>
  <c r="U6" i="9"/>
  <c r="C6" i="19"/>
  <c r="C8" i="19"/>
  <c r="C7" i="19"/>
  <c r="C10" i="19"/>
  <c r="C12" i="19"/>
  <c r="C11" i="19"/>
  <c r="J6" i="19"/>
  <c r="J8" i="19"/>
  <c r="J7" i="19"/>
  <c r="J10" i="19"/>
  <c r="J12" i="19"/>
  <c r="J11" i="19"/>
  <c r="F6" i="19"/>
  <c r="F8" i="19"/>
  <c r="F7" i="19"/>
  <c r="F10" i="19"/>
  <c r="F12" i="19"/>
  <c r="F11" i="19"/>
  <c r="H6" i="19"/>
  <c r="H8" i="19"/>
  <c r="H7" i="19"/>
  <c r="H10" i="19"/>
  <c r="H12" i="19"/>
  <c r="H11" i="19"/>
  <c r="E6" i="19"/>
  <c r="E8" i="19"/>
  <c r="E7" i="19"/>
  <c r="E10" i="19"/>
  <c r="E12" i="19"/>
  <c r="E11" i="19"/>
  <c r="D6" i="19"/>
  <c r="D8" i="19"/>
  <c r="D7" i="19"/>
  <c r="D10" i="19"/>
  <c r="D12" i="19"/>
  <c r="D11" i="19"/>
  <c r="G6" i="19"/>
  <c r="G8" i="19"/>
  <c r="G7" i="19"/>
  <c r="G10" i="19"/>
  <c r="G12" i="19"/>
  <c r="G11" i="19"/>
  <c r="K6" i="19"/>
  <c r="K8" i="19"/>
  <c r="K7" i="19"/>
  <c r="K10" i="19"/>
  <c r="K12" i="19"/>
  <c r="K11" i="19"/>
  <c r="I6" i="19"/>
  <c r="I8" i="19"/>
  <c r="I7" i="19"/>
  <c r="I10" i="19"/>
  <c r="I12" i="19"/>
  <c r="I11" i="19"/>
  <c r="J150" i="9"/>
  <c r="J148" i="9"/>
  <c r="J126" i="9"/>
  <c r="J124" i="9"/>
  <c r="J67" i="9"/>
  <c r="J63" i="9"/>
  <c r="J75" i="9"/>
  <c r="J68" i="9"/>
  <c r="J61" i="9"/>
  <c r="J64" i="9"/>
  <c r="J62" i="9"/>
  <c r="J72" i="9"/>
  <c r="J74" i="9"/>
  <c r="J70" i="9"/>
  <c r="J71" i="9"/>
  <c r="J66" i="9"/>
  <c r="J69" i="9"/>
  <c r="J65" i="9"/>
  <c r="J73" i="9"/>
  <c r="C7" i="21"/>
  <c r="J20" i="9"/>
  <c r="J7" i="9"/>
  <c r="J22" i="9"/>
  <c r="J11" i="9"/>
  <c r="J8" i="9"/>
  <c r="J14" i="9"/>
  <c r="J16" i="9"/>
  <c r="J13" i="9"/>
  <c r="J19" i="9"/>
  <c r="J12" i="9"/>
  <c r="J23" i="9"/>
  <c r="J17" i="9"/>
  <c r="J18" i="9"/>
  <c r="J10" i="9"/>
  <c r="J15" i="9"/>
  <c r="J21" i="9"/>
  <c r="J9" i="9"/>
  <c r="U73" i="9" l="1"/>
  <c r="T73" i="9"/>
  <c r="U65" i="9"/>
  <c r="T65" i="9"/>
  <c r="U69" i="9"/>
  <c r="T69" i="9"/>
  <c r="U66" i="9"/>
  <c r="T66" i="9"/>
  <c r="U71" i="9"/>
  <c r="T71" i="9"/>
  <c r="U70" i="9"/>
  <c r="T70" i="9"/>
  <c r="U74" i="9"/>
  <c r="T74" i="9"/>
  <c r="U72" i="9"/>
  <c r="T72" i="9"/>
  <c r="U62" i="9"/>
  <c r="T62" i="9"/>
  <c r="U64" i="9"/>
  <c r="T64" i="9"/>
  <c r="U61" i="9"/>
  <c r="T61" i="9"/>
  <c r="U68" i="9"/>
  <c r="T68" i="9"/>
  <c r="U75" i="9"/>
  <c r="T75" i="9"/>
  <c r="U63" i="9"/>
  <c r="T63" i="9"/>
  <c r="U67" i="9"/>
  <c r="T67" i="9"/>
  <c r="U9" i="9"/>
  <c r="T9" i="9"/>
  <c r="U21" i="9"/>
  <c r="T21" i="9"/>
  <c r="U15" i="9"/>
  <c r="T15" i="9"/>
  <c r="U10" i="9"/>
  <c r="T10" i="9"/>
  <c r="U18" i="9"/>
  <c r="T18" i="9"/>
  <c r="U17" i="9"/>
  <c r="T17" i="9"/>
  <c r="U23" i="9"/>
  <c r="T23" i="9"/>
  <c r="U12" i="9"/>
  <c r="T12" i="9"/>
  <c r="U19" i="9"/>
  <c r="T19" i="9"/>
  <c r="U13" i="9"/>
  <c r="T13" i="9"/>
  <c r="U16" i="9"/>
  <c r="T16" i="9"/>
  <c r="U14" i="9"/>
  <c r="T14" i="9"/>
  <c r="U8" i="9"/>
  <c r="T8" i="9"/>
  <c r="U11" i="9"/>
  <c r="T11" i="9"/>
  <c r="U22" i="9"/>
  <c r="T22" i="9"/>
  <c r="U7" i="9"/>
  <c r="T7" i="9"/>
  <c r="U20" i="9"/>
  <c r="T20" i="9"/>
  <c r="L11" i="19"/>
  <c r="L12" i="19"/>
  <c r="L10" i="19"/>
  <c r="L7" i="19"/>
  <c r="L8" i="19"/>
  <c r="J77" i="9"/>
  <c r="J79" i="9"/>
  <c r="C6" i="21"/>
  <c r="C12" i="21"/>
  <c r="C10" i="21"/>
  <c r="C9" i="7"/>
  <c r="C11" i="21"/>
  <c r="C14" i="7"/>
  <c r="C8" i="21"/>
  <c r="J27" i="9"/>
  <c r="I9" i="7"/>
  <c r="I14" i="7"/>
  <c r="J9" i="7"/>
  <c r="J14" i="7"/>
  <c r="E14" i="7"/>
  <c r="E12" i="21"/>
  <c r="E6" i="21"/>
  <c r="E7" i="21"/>
  <c r="E10" i="21"/>
  <c r="E11" i="21"/>
  <c r="E8" i="21"/>
  <c r="E9" i="7"/>
  <c r="F12" i="21"/>
  <c r="F14" i="7"/>
  <c r="F6" i="21"/>
  <c r="F11" i="21"/>
  <c r="F7" i="21"/>
  <c r="F10" i="21"/>
  <c r="F8" i="21"/>
  <c r="F9" i="7"/>
  <c r="H14" i="7"/>
  <c r="H9" i="7"/>
  <c r="G12" i="21"/>
  <c r="G14" i="7"/>
  <c r="G6" i="21"/>
  <c r="G11" i="21"/>
  <c r="G7" i="21"/>
  <c r="G10" i="21"/>
  <c r="G9" i="7"/>
  <c r="G8" i="21"/>
  <c r="D10" i="21"/>
  <c r="D12" i="21"/>
  <c r="D6" i="21"/>
  <c r="D14" i="7"/>
  <c r="D8" i="21"/>
  <c r="D7" i="21"/>
  <c r="D11" i="21"/>
  <c r="D9" i="7"/>
  <c r="C11" i="7"/>
  <c r="C12" i="7"/>
  <c r="C7" i="7"/>
  <c r="C6" i="7"/>
  <c r="C8" i="7"/>
  <c r="C13" i="7"/>
  <c r="G7" i="7"/>
  <c r="G8" i="7"/>
  <c r="G11" i="7"/>
  <c r="G6" i="7"/>
  <c r="G13" i="7"/>
  <c r="G12" i="7"/>
  <c r="I13" i="7"/>
  <c r="I12" i="7"/>
  <c r="I7" i="7"/>
  <c r="I8" i="7"/>
  <c r="I6" i="7"/>
  <c r="I11" i="7"/>
  <c r="J13" i="7"/>
  <c r="J8" i="7"/>
  <c r="J12" i="7"/>
  <c r="J7" i="7"/>
  <c r="J6" i="7"/>
  <c r="J11" i="7"/>
  <c r="F6" i="7"/>
  <c r="F11" i="7"/>
  <c r="F13" i="7"/>
  <c r="F12" i="7"/>
  <c r="F7" i="7"/>
  <c r="F8" i="7"/>
  <c r="E13" i="7"/>
  <c r="E12" i="7"/>
  <c r="E6" i="7"/>
  <c r="E11" i="7"/>
  <c r="E7" i="7"/>
  <c r="E8" i="7"/>
  <c r="H13" i="7"/>
  <c r="H6" i="7"/>
  <c r="H7" i="7"/>
  <c r="H12" i="7"/>
  <c r="H11" i="7"/>
  <c r="H8" i="7"/>
  <c r="D11" i="7"/>
  <c r="D8" i="7"/>
  <c r="D12" i="7"/>
  <c r="D7" i="7"/>
  <c r="D6" i="7"/>
  <c r="D13" i="7"/>
  <c r="J25" i="9"/>
  <c r="H6" i="21" l="1"/>
  <c r="K14" i="7"/>
  <c r="H7" i="21"/>
  <c r="H12" i="21"/>
  <c r="H11" i="21"/>
  <c r="H8" i="21"/>
  <c r="H10" i="21"/>
  <c r="K13" i="7"/>
  <c r="K12" i="7"/>
  <c r="K9" i="7"/>
  <c r="K11" i="7"/>
  <c r="K8" i="7"/>
  <c r="K6" i="7"/>
  <c r="K7" i="7"/>
  <c r="K8" i="3"/>
  <c r="D4" i="3" s="1"/>
  <c r="C8" i="3" s="1"/>
  <c r="F24" i="19" l="1"/>
  <c r="L24" i="19"/>
  <c r="C20" i="3"/>
</calcChain>
</file>

<file path=xl/sharedStrings.xml><?xml version="1.0" encoding="utf-8"?>
<sst xmlns="http://schemas.openxmlformats.org/spreadsheetml/2006/main" count="931" uniqueCount="279">
  <si>
    <t>Loading Threshold (1000 gal/yr)</t>
  </si>
  <si>
    <t>Gasoline</t>
  </si>
  <si>
    <t>Loading Loss (TPY)</t>
  </si>
  <si>
    <t>Emissions</t>
  </si>
  <si>
    <t>Number of Facilities Greater than Threshold</t>
  </si>
  <si>
    <t>Benzene (TPY)</t>
  </si>
  <si>
    <t>Hexane (TPY)</t>
  </si>
  <si>
    <t>Toluene (TPY)</t>
  </si>
  <si>
    <t>Xylene (TPY)</t>
  </si>
  <si>
    <t>Ethylbenzene (TPY)</t>
  </si>
  <si>
    <t>2,2,4-Trimethyl-pentane (isooctane) (TPY)</t>
  </si>
  <si>
    <t>Cumene (TPY)</t>
  </si>
  <si>
    <t>Naphthalene (TPY)</t>
  </si>
  <si>
    <t>Total HAP (TPY)</t>
  </si>
  <si>
    <t>Typical MTVLO Facility</t>
  </si>
  <si>
    <t>Barges</t>
  </si>
  <si>
    <t>Ships</t>
  </si>
  <si>
    <t>Carbon Adsorber</t>
  </si>
  <si>
    <t>Recuperative Oxidizer</t>
  </si>
  <si>
    <t>Costs (2021 dollars)</t>
  </si>
  <si>
    <t>Cost Effectiveness ($/ton)</t>
  </si>
  <si>
    <t>Capital (TCI)</t>
  </si>
  <si>
    <t>Annual Costs</t>
  </si>
  <si>
    <t>Solvent Recovery Credit</t>
  </si>
  <si>
    <t>Total Annual Cost (TAC)</t>
  </si>
  <si>
    <t>5000 bbl/hr</t>
  </si>
  <si>
    <t>Tons/Yr Emissions</t>
  </si>
  <si>
    <t>Hours/yr</t>
  </si>
  <si>
    <t>Tons VOC Removed</t>
  </si>
  <si>
    <t>Tons HAP removed</t>
  </si>
  <si>
    <t>Annual Cost</t>
  </si>
  <si>
    <t>Cost/Ton Removed</t>
  </si>
  <si>
    <t>Crude Oil</t>
  </si>
  <si>
    <t>Biphenyl (TPY)</t>
  </si>
  <si>
    <t>n-Hexane (TPY)</t>
  </si>
  <si>
    <t>Phenol (TPY)</t>
  </si>
  <si>
    <t>Uncleaned</t>
  </si>
  <si>
    <t>Ballasted</t>
  </si>
  <si>
    <t>Cleaned/Gas-Freed</t>
  </si>
  <si>
    <t>Chemicals</t>
  </si>
  <si>
    <t>Number of Facilites Greater than Threshold</t>
  </si>
  <si>
    <t>Carbon Adsorber (Benzene)</t>
  </si>
  <si>
    <t>Carbon Adsorber (Toluene)</t>
  </si>
  <si>
    <t>Recuperative Oxidizer (Benzene)</t>
  </si>
  <si>
    <t>Recuperative Oxidizer (Toluene)</t>
  </si>
  <si>
    <t>Alcohols</t>
  </si>
  <si>
    <t>Methanol (TPY)</t>
  </si>
  <si>
    <t>Ethylene Glycol (TPY)</t>
  </si>
  <si>
    <t>Carbon Adsorber (Methanol)</t>
  </si>
  <si>
    <t>Carbon Adsorber (Ethylene Glycol)</t>
  </si>
  <si>
    <t>Recuperative Oxidizer (Methanol)</t>
  </si>
  <si>
    <t>Recuperative Oxidizer (Ethylene Glycol)</t>
  </si>
  <si>
    <t>Naphtha</t>
  </si>
  <si>
    <t>Kerosene</t>
  </si>
  <si>
    <t>Distillate Fuel Oil (No. 2)</t>
  </si>
  <si>
    <t>Styrene (TPY)</t>
  </si>
  <si>
    <t>Residual Fuel Oil (No. 6)</t>
  </si>
  <si>
    <t>Chlorine (TPY)</t>
  </si>
  <si>
    <t>Vapor Pressure Exemption Limit - $/Ton Removed</t>
  </si>
  <si>
    <t>Loading Thresholds (1000 gal/yr)</t>
  </si>
  <si>
    <t>Exemption &lt; 1 psia</t>
  </si>
  <si>
    <t>Exemption &lt; 0.5 psia</t>
  </si>
  <si>
    <t>No exemption</t>
  </si>
  <si>
    <t>Exemption &lt; 1.5 psia (no change)</t>
  </si>
  <si>
    <t>Gasoline (No additional costs - VP exceeds current exemption threshold)</t>
  </si>
  <si>
    <t>add in submerged fill costs</t>
  </si>
  <si>
    <t>Crude Oil (No additional costs - VP exceeds current exemption threshold)</t>
  </si>
  <si>
    <t>separate costs for the submerged fill and the controls</t>
  </si>
  <si>
    <t>Benzene</t>
  </si>
  <si>
    <t>Exempt</t>
  </si>
  <si>
    <t>Toluene</t>
  </si>
  <si>
    <t>Methanol (No additional costs - VP exceeds current exemption threshold)</t>
  </si>
  <si>
    <t>Ethylene Glycol</t>
  </si>
  <si>
    <t>Naphtha (No additional costs - VP exceeds current exemption threshold)</t>
  </si>
  <si>
    <t>Kerosene (No additional costs - VP exceeds current exemption threshold)</t>
  </si>
  <si>
    <t>Distillate Fuel Oil</t>
  </si>
  <si>
    <t>Residual Fuel Oil</t>
  </si>
  <si>
    <t>Vapor Pressure Exemption Limit</t>
  </si>
  <si>
    <t>Loading Rate (bbl/hr)</t>
  </si>
  <si>
    <t>Lb/hr</t>
  </si>
  <si>
    <t>TPY (PTE)</t>
  </si>
  <si>
    <t>TPY (Actual)</t>
  </si>
  <si>
    <t>Actual Basis</t>
  </si>
  <si>
    <t>Potential To Emit</t>
  </si>
  <si>
    <t>Tons Removed</t>
  </si>
  <si>
    <t>Methanol</t>
  </si>
  <si>
    <t>Commodities</t>
  </si>
  <si>
    <t>Saturation Factor (S)</t>
  </si>
  <si>
    <t>True Vapor Pressure (P)</t>
  </si>
  <si>
    <t>Molecular Weight</t>
  </si>
  <si>
    <t>Temperature</t>
  </si>
  <si>
    <t>Density</t>
  </si>
  <si>
    <t>Loading Loss (ships)</t>
  </si>
  <si>
    <t>Loading Loss (Barges)</t>
  </si>
  <si>
    <t>Reid Vapor Pressure</t>
  </si>
  <si>
    <t>ships</t>
  </si>
  <si>
    <t>barges</t>
  </si>
  <si>
    <t>psia</t>
  </si>
  <si>
    <t>lb/lb-mole</t>
  </si>
  <si>
    <t>°R</t>
  </si>
  <si>
    <t>lb/gal</t>
  </si>
  <si>
    <t>lb/1000 gal</t>
  </si>
  <si>
    <t>lb/hr</t>
  </si>
  <si>
    <t>Naptha and Solvents</t>
  </si>
  <si>
    <t>Distillate Oil No. 2</t>
  </si>
  <si>
    <t>Residual Oil No. 6</t>
  </si>
  <si>
    <t xml:space="preserve">Toluene </t>
  </si>
  <si>
    <t>Ethylene glycol</t>
  </si>
  <si>
    <t>*assume 5000 bbl/hr</t>
  </si>
  <si>
    <t>Vapor Growth Factor</t>
  </si>
  <si>
    <t>CG</t>
  </si>
  <si>
    <t>Arrival Emission Factor (uncleaned)</t>
  </si>
  <si>
    <t>Arrival Emisson Factor (ballasted)</t>
  </si>
  <si>
    <t>Arrival Emisson Factor (cleaned or gas-freed)</t>
  </si>
  <si>
    <t>Crude Oil (RVP5)</t>
  </si>
  <si>
    <t>Loading Loss (uncleaned)</t>
  </si>
  <si>
    <t>Loading Loss (Ballasted)</t>
  </si>
  <si>
    <t>Loading Loss (cleaned or gas-freed)</t>
  </si>
  <si>
    <t>Gasoline (RVP 6)</t>
  </si>
  <si>
    <t>API PERF data - Reformulated Gasoline (added Ethanol)</t>
  </si>
  <si>
    <t>wt%/wt frac liq</t>
  </si>
  <si>
    <t>n liq</t>
  </si>
  <si>
    <t>x</t>
  </si>
  <si>
    <t>y</t>
  </si>
  <si>
    <t>wt frac vapor</t>
  </si>
  <si>
    <t>Antoine Eqn coefficients</t>
  </si>
  <si>
    <t>MW</t>
  </si>
  <si>
    <t>VP, pure component, psia</t>
  </si>
  <si>
    <t>Gasoline, Liquid, wt%</t>
  </si>
  <si>
    <t>Gasoline, Liquid, moles</t>
  </si>
  <si>
    <t>Gasoline, Liquid, mole frac</t>
  </si>
  <si>
    <t>Gasoline, Partial Pressure, Pi, psia</t>
  </si>
  <si>
    <t>Gasoline, Vapor, mole frac</t>
  </si>
  <si>
    <t>Avg MW vapor = y(i)*MW(i)</t>
  </si>
  <si>
    <t>Gasoline, Vapor, wt%</t>
  </si>
  <si>
    <t>T =</t>
  </si>
  <si>
    <t>F</t>
  </si>
  <si>
    <t>A</t>
  </si>
  <si>
    <t>B</t>
  </si>
  <si>
    <t>C</t>
  </si>
  <si>
    <t xml:space="preserve">Ships </t>
  </si>
  <si>
    <t>ppm</t>
  </si>
  <si>
    <t>Hexane</t>
  </si>
  <si>
    <t>Xylene</t>
  </si>
  <si>
    <t>Ethylbenzene</t>
  </si>
  <si>
    <t>2,2,4-Trimethylpentane (isooctane)</t>
  </si>
  <si>
    <t>Cumene</t>
  </si>
  <si>
    <t>Naphthalene</t>
  </si>
  <si>
    <t>Ethanol</t>
  </si>
  <si>
    <t>n-Butane</t>
  </si>
  <si>
    <t>Isobutane</t>
  </si>
  <si>
    <t>Pentane</t>
  </si>
  <si>
    <t>Isopentane</t>
  </si>
  <si>
    <t>2-Methylpentane (surrogate for C6 cpds)</t>
  </si>
  <si>
    <t>2-Methylhexane (surrogate for C7 cpds)</t>
  </si>
  <si>
    <t>2,3,4-Trimethylpentane (surrogate for C8 cpds)</t>
  </si>
  <si>
    <t>1,2,4-Trimethylbenzene (surrogate for C9 cpds)</t>
  </si>
  <si>
    <t>Other VOC (assume Heptane is the surrogate for Other VOC)</t>
  </si>
  <si>
    <t>Total VP of mixture</t>
  </si>
  <si>
    <t>wt%HAP in liq</t>
  </si>
  <si>
    <t>HAP only %</t>
  </si>
  <si>
    <t>Crude Oil, Liquid, wt%</t>
  </si>
  <si>
    <t>Crude Oil, Liquid, moles</t>
  </si>
  <si>
    <t>Crude Oil, Liquid, mole frac</t>
  </si>
  <si>
    <t>Crude Oil, Partial Pressure, Pi, psia</t>
  </si>
  <si>
    <t>Crude Oil, Vapor, mole frac</t>
  </si>
  <si>
    <t>Crude Oil, Vapor, wt%</t>
  </si>
  <si>
    <t>Cleaned or gas-freed</t>
  </si>
  <si>
    <t>Biphenyl</t>
  </si>
  <si>
    <t>Cyclohexane</t>
  </si>
  <si>
    <t>n-Hexane</t>
  </si>
  <si>
    <t>PAC (Thiophene used as surrogate)</t>
  </si>
  <si>
    <t>Phenol</t>
  </si>
  <si>
    <t>1,2,4-Trimethylbenzene</t>
  </si>
  <si>
    <t>2-Methylhexane (surrogate for hexanes)</t>
  </si>
  <si>
    <t>Other VOC/Heptane Plus (assume Heptane is the surrogate for Other VOC)</t>
  </si>
  <si>
    <t>Crude Oil True Vapor Pressure:</t>
  </si>
  <si>
    <t>EPCRA Section 313 Industry Guidance for Petroleum Terminals and Bulk Storage Facilities</t>
  </si>
  <si>
    <t>Antoine coefficient table | PDF</t>
  </si>
  <si>
    <t>Crude oil Composition and Properties | Download Table</t>
  </si>
  <si>
    <t>Naphtha, Liquid, wt%</t>
  </si>
  <si>
    <t>Naphtha, Liquid, moles</t>
  </si>
  <si>
    <t>Naphtha, Liquid, mole frac</t>
  </si>
  <si>
    <t>Naphtha, Partial Pressure, Pi, psia</t>
  </si>
  <si>
    <t>Naphtha, Vapor, mole frac</t>
  </si>
  <si>
    <t>Naphtha, Vapor, wt%</t>
  </si>
  <si>
    <t>Cyclopentane</t>
  </si>
  <si>
    <t>Heptane</t>
  </si>
  <si>
    <t>Decane</t>
  </si>
  <si>
    <t>1. Typical composition of a naphtha feed containing 10 wt% aromatics [DSM] | Download Table</t>
  </si>
  <si>
    <t>Kerosene, Liquid, wt%</t>
  </si>
  <si>
    <t>Kerosene, Liquid, moles</t>
  </si>
  <si>
    <t>Kerosene, Liquid, mole frac</t>
  </si>
  <si>
    <t>Kerosene, Partial Pressure, Pi, psia</t>
  </si>
  <si>
    <t>Kerosene, Vapor, mole frac</t>
  </si>
  <si>
    <t>Kerosene, Vapor, wt%</t>
  </si>
  <si>
    <t>Decane + (decane used as surrogate)</t>
  </si>
  <si>
    <t>WO2004050804A1 - Kerosene composition - Google Patents</t>
  </si>
  <si>
    <t>Diesel, Liquid, wt%</t>
  </si>
  <si>
    <t>Diesel, Liquid, moles</t>
  </si>
  <si>
    <t>Diesel, Liquid, mole frac</t>
  </si>
  <si>
    <t>Diesel, Partial Pressure, Pi, psia</t>
  </si>
  <si>
    <t>Diesel, Vapor, mole frac</t>
  </si>
  <si>
    <t>Diesel, Vapor, wt%</t>
  </si>
  <si>
    <t>Styrene</t>
  </si>
  <si>
    <t>C10 cpds+ (decane used as surrogate)</t>
  </si>
  <si>
    <t>Setup of composition of diesel (mass %). | Download Scientific Diagram</t>
  </si>
  <si>
    <t>Residual, Liquid, wt%</t>
  </si>
  <si>
    <t>Residual, Liquid, moles</t>
  </si>
  <si>
    <t>Residual, Liquid, mole frac</t>
  </si>
  <si>
    <t>Residual, Partial Pressure, Pi, psia</t>
  </si>
  <si>
    <t>Residual, Vapor, mole frac</t>
  </si>
  <si>
    <t>Residual, Vapor, wt%</t>
  </si>
  <si>
    <t>chlorine</t>
  </si>
  <si>
    <t>C8-12</t>
  </si>
  <si>
    <t>C6-C12</t>
  </si>
  <si>
    <t>c6-c11</t>
  </si>
  <si>
    <t>C13-c25</t>
  </si>
  <si>
    <t>c13-c23</t>
  </si>
  <si>
    <t>c12-18</t>
  </si>
  <si>
    <t>Composition of oil fractions for heavy fuel oil ‎ [16] | Download Scientific Diagram</t>
  </si>
  <si>
    <t>Valdez Test Data</t>
  </si>
  <si>
    <t>Oil Loaded (bbl)</t>
  </si>
  <si>
    <t>Benzene Emissions (Tons)</t>
  </si>
  <si>
    <t>(Toluene Emissions)</t>
  </si>
  <si>
    <t>Lb/bbl</t>
  </si>
  <si>
    <t>lb/bbl</t>
  </si>
  <si>
    <t>Average</t>
  </si>
  <si>
    <t>Test Data obtained from: J. Sandstedt, State of Alaska Department of Environmental Conservation, to R. Nicholson, MRI. June 4, 1990. Regulatory Strategy to Reduce Hydrocarbon Emissions Resulting from Loading Crude Oil and other Petroleum Liquids into Tank Ships. [A-90-44-II-D-10]</t>
  </si>
  <si>
    <t>Methane*</t>
  </si>
  <si>
    <t>Ethane</t>
  </si>
  <si>
    <t>Propane</t>
  </si>
  <si>
    <t>Butane</t>
  </si>
  <si>
    <t>Octane</t>
  </si>
  <si>
    <t>Nonane</t>
  </si>
  <si>
    <t>Ethylene**</t>
  </si>
  <si>
    <t>Propylene</t>
  </si>
  <si>
    <t>Benzene**</t>
  </si>
  <si>
    <t>Toluene**</t>
  </si>
  <si>
    <t>Methyl Chloride (Chloromethane)**</t>
  </si>
  <si>
    <t>Crude oil</t>
  </si>
  <si>
    <t>Generated emission factor</t>
  </si>
  <si>
    <t>Symbol</t>
  </si>
  <si>
    <t xml:space="preserve"> Variable</t>
  </si>
  <si>
    <t>Units</t>
  </si>
  <si>
    <t>Input</t>
  </si>
  <si>
    <r>
      <t>C</t>
    </r>
    <r>
      <rPr>
        <b/>
        <vertAlign val="subscript"/>
        <sz val="11"/>
        <color indexed="8"/>
        <rFont val="Arial"/>
        <family val="2"/>
      </rPr>
      <t>a</t>
    </r>
  </si>
  <si>
    <t>Arrival emission factor</t>
  </si>
  <si>
    <t>Ib/^3</t>
  </si>
  <si>
    <t>P</t>
  </si>
  <si>
    <t>true vapor pressure of loaded crude oil</t>
  </si>
  <si>
    <r>
      <t>C</t>
    </r>
    <r>
      <rPr>
        <b/>
        <vertAlign val="subscript"/>
        <sz val="11"/>
        <color indexed="8"/>
        <rFont val="Arial"/>
        <family val="2"/>
      </rPr>
      <t>g</t>
    </r>
  </si>
  <si>
    <t>M</t>
  </si>
  <si>
    <t>molecular weight of vapors</t>
  </si>
  <si>
    <t>G</t>
  </si>
  <si>
    <t>vapor growth factor</t>
  </si>
  <si>
    <t>Unitless</t>
  </si>
  <si>
    <t>T</t>
  </si>
  <si>
    <t>temperature of vapors</t>
  </si>
  <si>
    <t>deg R</t>
  </si>
  <si>
    <r>
      <t>C</t>
    </r>
    <r>
      <rPr>
        <b/>
        <vertAlign val="subscript"/>
        <sz val="11"/>
        <color indexed="8"/>
        <rFont val="Arial"/>
        <family val="2"/>
      </rPr>
      <t>L</t>
    </r>
  </si>
  <si>
    <t>Total loading loss, (Ib/^3 gal), AP-42, Eq. 5-2</t>
  </si>
  <si>
    <t xml:space="preserve">Petroleum </t>
  </si>
  <si>
    <t>Sample from AP-42 5.2-7</t>
  </si>
  <si>
    <t>User Input</t>
  </si>
  <si>
    <t>S</t>
  </si>
  <si>
    <t>Saturation factor</t>
  </si>
  <si>
    <t>Calculated/Default from AP-42</t>
  </si>
  <si>
    <t>True vapor pressure of liquid loaded</t>
  </si>
  <si>
    <t>Molecular weight of vapors</t>
  </si>
  <si>
    <t>Ib/Ib-mole</t>
  </si>
  <si>
    <t>Temperature of bulk liquid</t>
  </si>
  <si>
    <t>eff</t>
  </si>
  <si>
    <t xml:space="preserve">Overall reduction efficiency </t>
  </si>
  <si>
    <t>percent</t>
  </si>
  <si>
    <t>Cargo Tank Volume</t>
  </si>
  <si>
    <t>gal</t>
  </si>
  <si>
    <r>
      <t>L</t>
    </r>
    <r>
      <rPr>
        <b/>
        <vertAlign val="subscript"/>
        <sz val="11"/>
        <color indexed="8"/>
        <rFont val="Arial"/>
        <family val="2"/>
      </rPr>
      <t>L</t>
    </r>
  </si>
  <si>
    <t>Loading Loss (Ib), AP-42, Eq. 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</si>
</sst>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General_)"/>
    <numFmt numFmtId="165" formatCode="0.000"/>
    <numFmt numFmtId="166" formatCode="#,##0.000"/>
    <numFmt numFmtId="167" formatCode="0.0"/>
    <numFmt numFmtId="168" formatCode="_(* #,##0.0000_);_(* \(#,##0.0000\);_(* &quot;-&quot;??_);_(@_)"/>
    <numFmt numFmtId="169" formatCode="_(* #,##0.000_);_(* \(#,##0.000\);_(* &quot;-&quot;??_);_(@_)"/>
    <numFmt numFmtId="170" formatCode="_(* #,##0.000_);_(* \(#,##0.000\);_(* &quot;-&quot;???_);_(@_)"/>
    <numFmt numFmtId="171" formatCode="_(* #,##0.0000_);_(* \(#,##0.0000\);_(* &quot;-&quot;????_);_(@_)"/>
    <numFmt numFmtId="172" formatCode="0.0000"/>
    <numFmt numFmtId="173" formatCode="0.00000"/>
    <numFmt numFmtId="174" formatCode="#,##0.0"/>
    <numFmt numFmtId="175" formatCode="_(* #,##0.00000_);_(* \(#,##0.00000\);_(* &quot;-&quot;?????_);_(@_)"/>
    <numFmt numFmtId="176" formatCode="_(* #,##0.000000_);_(* \(#,##0.000000\);_(* &quot;-&quot;??????_);_(@_)"/>
    <numFmt numFmtId="177" formatCode="_(* #,##0.0000000_);_(* \(#,##0.0000000\);_(* &quot;-&quot;???????_);_(@_)"/>
  </numFmts>
  <fonts count="21" x14ac:knownFonts="1">
    <font>
      <sz val="11"/>
      <color theme="1"/>
      <name val="Calibri"/>
      <family val="2"/>
      <scheme val="minor"/>
    </font>
    <font>
      <b/>
      <sz val="11"/>
      <color theme="1"/>
      <name val="Calibri"/>
      <family val="2"/>
      <scheme val="minor"/>
    </font>
    <font>
      <sz val="8"/>
      <color indexed="8"/>
      <name val="Calibri"/>
      <family val="2"/>
      <scheme val="minor"/>
    </font>
    <font>
      <b/>
      <sz val="11"/>
      <color indexed="8"/>
      <name val="Arial"/>
      <family val="2"/>
    </font>
    <font>
      <b/>
      <vertAlign val="subscript"/>
      <sz val="11"/>
      <color indexed="8"/>
      <name val="Arial"/>
      <family val="2"/>
    </font>
    <font>
      <sz val="11"/>
      <color indexed="8"/>
      <name val="Arial"/>
      <family val="2"/>
    </font>
    <font>
      <b/>
      <sz val="11"/>
      <color theme="1"/>
      <name val="Times New Roman"/>
      <family val="1"/>
    </font>
    <font>
      <sz val="8"/>
      <name val="Calibri"/>
      <family val="2"/>
      <scheme val="minor"/>
    </font>
    <font>
      <sz val="11"/>
      <color theme="1"/>
      <name val="Calibri"/>
      <family val="2"/>
      <scheme val="minor"/>
    </font>
    <font>
      <b/>
      <sz val="10"/>
      <color rgb="FFFF0000"/>
      <name val="Arial"/>
      <family val="2"/>
    </font>
    <font>
      <b/>
      <sz val="10"/>
      <name val="Arial"/>
      <family val="2"/>
    </font>
    <font>
      <b/>
      <sz val="9"/>
      <color indexed="10"/>
      <name val="Arial"/>
      <family val="2"/>
    </font>
    <font>
      <sz val="10"/>
      <color indexed="10"/>
      <name val="Arial"/>
      <family val="2"/>
    </font>
    <font>
      <sz val="10"/>
      <name val="Arial"/>
      <family val="2"/>
    </font>
    <font>
      <sz val="11"/>
      <name val="Calibri"/>
      <family val="2"/>
      <scheme val="minor"/>
    </font>
    <font>
      <u/>
      <sz val="11"/>
      <color theme="10"/>
      <name val="Calibri"/>
      <family val="2"/>
      <scheme val="minor"/>
    </font>
    <font>
      <i/>
      <sz val="11"/>
      <color theme="1"/>
      <name val="Calibri"/>
      <family val="2"/>
      <scheme val="minor"/>
    </font>
    <font>
      <i/>
      <sz val="11"/>
      <color theme="1"/>
      <name val="Calibri"/>
      <family val="2"/>
    </font>
    <font>
      <sz val="11"/>
      <name val="Calibri"/>
      <family val="2"/>
    </font>
    <font>
      <sz val="11"/>
      <color rgb="FF000000"/>
      <name val="Calibri"/>
      <family val="2"/>
    </font>
    <font>
      <b/>
      <i/>
      <sz val="11"/>
      <color theme="1"/>
      <name val="Calibri"/>
      <family val="2"/>
      <scheme val="minor"/>
    </font>
  </fonts>
  <fills count="14">
    <fill>
      <patternFill patternType="none"/>
    </fill>
    <fill>
      <patternFill patternType="gray125"/>
    </fill>
    <fill>
      <patternFill patternType="solid">
        <fgColor theme="0" tint="-4.9989318521683403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indexed="47"/>
        <bgColor indexed="64"/>
      </patternFill>
    </fill>
    <fill>
      <patternFill patternType="solid">
        <fgColor indexed="42"/>
        <bgColor indexed="64"/>
      </patternFill>
    </fill>
    <fill>
      <patternFill patternType="solid">
        <fgColor rgb="FFCCFFCC"/>
        <bgColor indexed="64"/>
      </patternFill>
    </fill>
    <fill>
      <patternFill patternType="solid">
        <fgColor rgb="FFFFFF00"/>
        <bgColor indexed="64"/>
      </patternFill>
    </fill>
    <fill>
      <patternFill patternType="solid">
        <fgColor theme="9" tint="0.79998168889431442"/>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bottom style="thin">
        <color indexed="64"/>
      </bottom>
      <diagonal/>
    </border>
    <border>
      <left style="medium">
        <color indexed="64"/>
      </left>
      <right style="medium">
        <color indexed="64"/>
      </right>
      <top style="medium">
        <color indexed="64"/>
      </top>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bottom style="thin">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style="medium">
        <color indexed="64"/>
      </right>
      <top style="medium">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style="thin">
        <color rgb="FF000000"/>
      </left>
      <right/>
      <top style="medium">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thin">
        <color rgb="FF000000"/>
      </left>
      <right/>
      <top style="thin">
        <color rgb="FF000000"/>
      </top>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thin">
        <color rgb="FF000000"/>
      </top>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bottom/>
      <diagonal/>
    </border>
  </borders>
  <cellStyleXfs count="4">
    <xf numFmtId="0" fontId="0" fillId="0" borderId="0"/>
    <xf numFmtId="164" fontId="2" fillId="0" borderId="0"/>
    <xf numFmtId="43" fontId="8" fillId="0" borderId="0" applyFont="0" applyFill="0" applyBorder="0" applyAlignment="0" applyProtection="0"/>
    <xf numFmtId="0" fontId="15" fillId="0" borderId="0" applyNumberFormat="0" applyFill="0" applyBorder="0" applyAlignment="0" applyProtection="0"/>
  </cellStyleXfs>
  <cellXfs count="219">
    <xf numFmtId="0" fontId="0" fillId="0" borderId="0" xfId="0"/>
    <xf numFmtId="164" fontId="3" fillId="2" borderId="1" xfId="1" applyFont="1" applyFill="1" applyBorder="1" applyAlignment="1">
      <alignment horizontal="center" vertical="center"/>
    </xf>
    <xf numFmtId="0" fontId="3" fillId="2" borderId="1" xfId="1" applyNumberFormat="1" applyFont="1" applyFill="1" applyBorder="1" applyAlignment="1">
      <alignment horizontal="center" vertical="center"/>
    </xf>
    <xf numFmtId="165" fontId="5" fillId="0" borderId="0" xfId="1" applyNumberFormat="1" applyFont="1" applyAlignment="1">
      <alignment horizontal="left" vertical="center"/>
    </xf>
    <xf numFmtId="165" fontId="5" fillId="3" borderId="0" xfId="1" applyNumberFormat="1" applyFont="1" applyFill="1" applyAlignment="1">
      <alignment horizontal="left" vertical="center"/>
    </xf>
    <xf numFmtId="0" fontId="0" fillId="0" borderId="1" xfId="0" applyBorder="1"/>
    <xf numFmtId="0" fontId="0" fillId="3" borderId="1" xfId="0" applyFill="1" applyBorder="1"/>
    <xf numFmtId="164" fontId="3" fillId="0" borderId="1" xfId="1" applyFont="1" applyBorder="1" applyAlignment="1">
      <alignment horizontal="left" vertical="center"/>
    </xf>
    <xf numFmtId="2" fontId="0" fillId="0" borderId="1" xfId="0" applyNumberFormat="1" applyBorder="1"/>
    <xf numFmtId="0" fontId="1" fillId="0" borderId="0" xfId="0" applyFont="1"/>
    <xf numFmtId="0" fontId="0" fillId="0" borderId="0" xfId="0" applyAlignment="1">
      <alignment horizontal="center"/>
    </xf>
    <xf numFmtId="0" fontId="6" fillId="5" borderId="3" xfId="0" applyFont="1" applyFill="1" applyBorder="1" applyAlignment="1">
      <alignment horizontal="center" vertical="center" wrapText="1"/>
    </xf>
    <xf numFmtId="0" fontId="1" fillId="0" borderId="1" xfId="0" applyFont="1" applyBorder="1" applyAlignment="1">
      <alignment horizontal="center"/>
    </xf>
    <xf numFmtId="3" fontId="0" fillId="0" borderId="1" xfId="0" applyNumberFormat="1" applyBorder="1"/>
    <xf numFmtId="0" fontId="0" fillId="0" borderId="2" xfId="0" applyBorder="1"/>
    <xf numFmtId="0" fontId="0" fillId="3" borderId="2" xfId="0" applyFill="1" applyBorder="1"/>
    <xf numFmtId="2" fontId="0" fillId="3" borderId="1" xfId="0" applyNumberFormat="1" applyFill="1" applyBorder="1"/>
    <xf numFmtId="0" fontId="0" fillId="7" borderId="1" xfId="0" applyFill="1" applyBorder="1"/>
    <xf numFmtId="0" fontId="0" fillId="7" borderId="0" xfId="0" applyFill="1"/>
    <xf numFmtId="164" fontId="5" fillId="0" borderId="0" xfId="1" applyFont="1" applyAlignment="1">
      <alignment horizontal="left" vertical="center"/>
    </xf>
    <xf numFmtId="0" fontId="9" fillId="0" borderId="0" xfId="0" applyFont="1"/>
    <xf numFmtId="0" fontId="0" fillId="8" borderId="0" xfId="0" applyFill="1"/>
    <xf numFmtId="0" fontId="10" fillId="0" borderId="0" xfId="0" applyFont="1"/>
    <xf numFmtId="0" fontId="0" fillId="0" borderId="5" xfId="0" applyBorder="1"/>
    <xf numFmtId="0" fontId="11" fillId="0" borderId="5" xfId="0" applyFont="1" applyBorder="1" applyAlignment="1">
      <alignment horizontal="center" wrapText="1"/>
    </xf>
    <xf numFmtId="0" fontId="10" fillId="0" borderId="5" xfId="0" applyFont="1" applyBorder="1" applyAlignment="1">
      <alignment horizontal="center" wrapText="1"/>
    </xf>
    <xf numFmtId="0" fontId="0" fillId="0" borderId="5" xfId="0" applyBorder="1" applyAlignment="1">
      <alignment wrapText="1"/>
    </xf>
    <xf numFmtId="0" fontId="10" fillId="9" borderId="5" xfId="0" applyFont="1" applyFill="1" applyBorder="1" applyAlignment="1">
      <alignment horizontal="center" wrapText="1"/>
    </xf>
    <xf numFmtId="0" fontId="10" fillId="0" borderId="0" xfId="0" applyFont="1" applyAlignment="1">
      <alignment horizontal="center" wrapText="1"/>
    </xf>
    <xf numFmtId="0" fontId="10" fillId="0" borderId="5" xfId="0" applyFont="1" applyBorder="1" applyAlignment="1">
      <alignment horizontal="right" wrapText="1"/>
    </xf>
    <xf numFmtId="3" fontId="0" fillId="8" borderId="5" xfId="0" applyNumberFormat="1" applyFill="1" applyBorder="1"/>
    <xf numFmtId="0" fontId="10" fillId="0" borderId="5" xfId="0" applyFont="1" applyBorder="1" applyAlignment="1">
      <alignment horizontal="left" wrapText="1"/>
    </xf>
    <xf numFmtId="0" fontId="0" fillId="0" borderId="5" xfId="0" applyBorder="1" applyAlignment="1">
      <alignment horizontal="center"/>
    </xf>
    <xf numFmtId="0" fontId="12" fillId="0" borderId="0" xfId="0" applyFont="1"/>
    <xf numFmtId="4" fontId="12" fillId="0" borderId="0" xfId="0" applyNumberFormat="1" applyFont="1" applyAlignment="1">
      <alignment horizontal="center"/>
    </xf>
    <xf numFmtId="166" fontId="12" fillId="10" borderId="0" xfId="0" applyNumberFormat="1" applyFont="1" applyFill="1" applyAlignment="1">
      <alignment horizontal="center"/>
    </xf>
    <xf numFmtId="0" fontId="0" fillId="11" borderId="0" xfId="0" applyFill="1"/>
    <xf numFmtId="11" fontId="0" fillId="11" borderId="0" xfId="0" applyNumberFormat="1" applyFill="1"/>
    <xf numFmtId="11" fontId="0" fillId="0" borderId="0" xfId="0" applyNumberFormat="1"/>
    <xf numFmtId="0" fontId="0" fillId="10" borderId="0" xfId="0" applyFill="1"/>
    <xf numFmtId="2" fontId="0" fillId="0" borderId="0" xfId="0" applyNumberFormat="1"/>
    <xf numFmtId="4" fontId="13" fillId="0" borderId="0" xfId="0" applyNumberFormat="1" applyFont="1" applyAlignment="1">
      <alignment horizontal="center"/>
    </xf>
    <xf numFmtId="166" fontId="13" fillId="0" borderId="0" xfId="0" applyNumberFormat="1" applyFont="1" applyAlignment="1">
      <alignment horizontal="center"/>
    </xf>
    <xf numFmtId="2" fontId="13" fillId="0" borderId="0" xfId="0" applyNumberFormat="1" applyFont="1"/>
    <xf numFmtId="11" fontId="14" fillId="0" borderId="0" xfId="0" applyNumberFormat="1" applyFont="1"/>
    <xf numFmtId="43" fontId="14" fillId="0" borderId="0" xfId="2" applyFont="1" applyFill="1" applyBorder="1"/>
    <xf numFmtId="43" fontId="0" fillId="0" borderId="0" xfId="0" applyNumberFormat="1"/>
    <xf numFmtId="0" fontId="14" fillId="0" borderId="0" xfId="0" applyFont="1"/>
    <xf numFmtId="167" fontId="14" fillId="0" borderId="0" xfId="0" applyNumberFormat="1" applyFont="1"/>
    <xf numFmtId="168" fontId="14" fillId="0" borderId="0" xfId="2" applyNumberFormat="1" applyFont="1" applyFill="1" applyBorder="1"/>
    <xf numFmtId="169" fontId="0" fillId="0" borderId="0" xfId="0" applyNumberFormat="1"/>
    <xf numFmtId="4" fontId="13" fillId="0" borderId="5" xfId="0" applyNumberFormat="1" applyFont="1" applyBorder="1" applyAlignment="1">
      <alignment horizontal="center"/>
    </xf>
    <xf numFmtId="166" fontId="13" fillId="0" borderId="5" xfId="0" applyNumberFormat="1" applyFont="1" applyBorder="1" applyAlignment="1">
      <alignment horizontal="center"/>
    </xf>
    <xf numFmtId="0" fontId="14" fillId="0" borderId="5" xfId="0" applyFont="1" applyBorder="1"/>
    <xf numFmtId="11" fontId="14" fillId="0" borderId="5" xfId="0" applyNumberFormat="1" applyFont="1" applyBorder="1"/>
    <xf numFmtId="168" fontId="14" fillId="0" borderId="5" xfId="2" applyNumberFormat="1" applyFont="1" applyFill="1" applyBorder="1"/>
    <xf numFmtId="3" fontId="0" fillId="0" borderId="0" xfId="0" applyNumberFormat="1"/>
    <xf numFmtId="0" fontId="13" fillId="0" borderId="0" xfId="0" applyFont="1" applyAlignment="1">
      <alignment horizontal="center"/>
    </xf>
    <xf numFmtId="2" fontId="14" fillId="0" borderId="0" xfId="0" applyNumberFormat="1" applyFont="1"/>
    <xf numFmtId="0" fontId="13" fillId="0" borderId="0" xfId="0" applyFont="1"/>
    <xf numFmtId="2" fontId="10" fillId="0" borderId="0" xfId="0" applyNumberFormat="1" applyFont="1"/>
    <xf numFmtId="2" fontId="10" fillId="0" borderId="3" xfId="0" applyNumberFormat="1" applyFont="1" applyBorder="1"/>
    <xf numFmtId="165" fontId="0" fillId="0" borderId="0" xfId="0" applyNumberFormat="1"/>
    <xf numFmtId="43" fontId="0" fillId="0" borderId="1" xfId="0" applyNumberFormat="1" applyBorder="1"/>
    <xf numFmtId="170" fontId="0" fillId="0" borderId="1" xfId="0" applyNumberFormat="1" applyBorder="1"/>
    <xf numFmtId="171" fontId="0" fillId="0" borderId="1" xfId="0" applyNumberFormat="1" applyBorder="1"/>
    <xf numFmtId="0" fontId="1" fillId="0" borderId="4" xfId="0" applyFont="1" applyBorder="1" applyAlignment="1">
      <alignment horizontal="center" vertical="center"/>
    </xf>
    <xf numFmtId="0" fontId="0" fillId="0" borderId="4" xfId="0" applyBorder="1"/>
    <xf numFmtId="0" fontId="15" fillId="0" borderId="0" xfId="3"/>
    <xf numFmtId="166" fontId="12" fillId="0" borderId="0" xfId="0" applyNumberFormat="1" applyFont="1" applyAlignment="1">
      <alignment horizontal="center"/>
    </xf>
    <xf numFmtId="2" fontId="0" fillId="12" borderId="0" xfId="0" applyNumberFormat="1" applyFill="1"/>
    <xf numFmtId="165" fontId="0" fillId="12" borderId="0" xfId="0" applyNumberFormat="1" applyFill="1"/>
    <xf numFmtId="172" fontId="0" fillId="0" borderId="0" xfId="0" applyNumberFormat="1"/>
    <xf numFmtId="172" fontId="0" fillId="12" borderId="0" xfId="0" applyNumberFormat="1" applyFill="1"/>
    <xf numFmtId="2" fontId="10" fillId="12" borderId="3" xfId="0" applyNumberFormat="1" applyFont="1" applyFill="1" applyBorder="1"/>
    <xf numFmtId="0" fontId="0" fillId="0" borderId="0" xfId="0" applyAlignment="1">
      <alignment wrapText="1"/>
    </xf>
    <xf numFmtId="0" fontId="16" fillId="0" borderId="0" xfId="0" applyFont="1" applyAlignment="1">
      <alignment horizontal="center"/>
    </xf>
    <xf numFmtId="0" fontId="17" fillId="0" borderId="0" xfId="0" applyFont="1" applyAlignment="1">
      <alignment horizontal="center"/>
    </xf>
    <xf numFmtId="0" fontId="0" fillId="0" borderId="16" xfId="0" applyBorder="1"/>
    <xf numFmtId="43" fontId="0" fillId="0" borderId="7" xfId="0" applyNumberFormat="1" applyBorder="1"/>
    <xf numFmtId="0" fontId="6" fillId="5" borderId="8" xfId="0" applyFont="1" applyFill="1" applyBorder="1" applyAlignment="1">
      <alignment horizontal="center" vertical="center" wrapText="1"/>
    </xf>
    <xf numFmtId="165" fontId="0" fillId="0" borderId="1" xfId="0" applyNumberFormat="1" applyBorder="1"/>
    <xf numFmtId="2" fontId="0" fillId="0" borderId="7" xfId="0" applyNumberFormat="1" applyBorder="1"/>
    <xf numFmtId="3" fontId="0" fillId="0" borderId="7" xfId="0" applyNumberFormat="1" applyBorder="1"/>
    <xf numFmtId="172" fontId="0" fillId="0" borderId="1" xfId="0" applyNumberFormat="1" applyBorder="1"/>
    <xf numFmtId="173" fontId="0" fillId="0" borderId="1" xfId="0" applyNumberFormat="1" applyBorder="1"/>
    <xf numFmtId="0" fontId="1" fillId="0" borderId="5" xfId="0" applyFont="1" applyBorder="1" applyAlignment="1">
      <alignment wrapText="1"/>
    </xf>
    <xf numFmtId="174" fontId="0" fillId="0" borderId="1" xfId="0" applyNumberFormat="1" applyBorder="1"/>
    <xf numFmtId="175" fontId="0" fillId="0" borderId="1" xfId="0" applyNumberFormat="1" applyBorder="1"/>
    <xf numFmtId="176" fontId="0" fillId="0" borderId="1" xfId="0" applyNumberFormat="1" applyBorder="1"/>
    <xf numFmtId="177" fontId="0" fillId="0" borderId="1" xfId="0" applyNumberFormat="1" applyBorder="1"/>
    <xf numFmtId="0" fontId="16" fillId="0" borderId="0" xfId="0" applyFont="1"/>
    <xf numFmtId="0" fontId="0" fillId="0" borderId="21" xfId="0" applyBorder="1"/>
    <xf numFmtId="43" fontId="0" fillId="0" borderId="21" xfId="0" applyNumberFormat="1" applyBorder="1"/>
    <xf numFmtId="0" fontId="1" fillId="0" borderId="7" xfId="0" applyFont="1" applyBorder="1" applyAlignment="1">
      <alignment horizontal="center"/>
    </xf>
    <xf numFmtId="0" fontId="1" fillId="0" borderId="21" xfId="0" applyFont="1" applyBorder="1" applyAlignment="1">
      <alignment horizontal="center" vertical="center"/>
    </xf>
    <xf numFmtId="3" fontId="0" fillId="0" borderId="21" xfId="0" applyNumberFormat="1" applyBorder="1"/>
    <xf numFmtId="0" fontId="0" fillId="0" borderId="22" xfId="0" applyBorder="1"/>
    <xf numFmtId="0" fontId="1" fillId="0" borderId="21" xfId="0" applyFont="1" applyBorder="1"/>
    <xf numFmtId="0" fontId="1" fillId="0" borderId="21" xfId="0" applyFont="1" applyBorder="1" applyAlignment="1">
      <alignment wrapText="1"/>
    </xf>
    <xf numFmtId="43" fontId="0" fillId="0" borderId="22" xfId="0" applyNumberFormat="1" applyBorder="1"/>
    <xf numFmtId="0" fontId="0" fillId="0" borderId="25" xfId="0" applyBorder="1"/>
    <xf numFmtId="0" fontId="0" fillId="0" borderId="23" xfId="0" applyBorder="1"/>
    <xf numFmtId="0" fontId="18" fillId="0" borderId="1" xfId="0" applyFont="1" applyBorder="1"/>
    <xf numFmtId="0" fontId="18" fillId="0" borderId="4" xfId="0" applyFont="1" applyBorder="1"/>
    <xf numFmtId="0" fontId="19" fillId="0" borderId="4" xfId="0" applyFont="1" applyBorder="1"/>
    <xf numFmtId="0" fontId="19" fillId="0" borderId="26" xfId="0" applyFont="1" applyBorder="1"/>
    <xf numFmtId="3" fontId="18" fillId="0" borderId="1" xfId="0" applyNumberFormat="1" applyFont="1" applyBorder="1"/>
    <xf numFmtId="0" fontId="18" fillId="0" borderId="27" xfId="0" applyFont="1" applyBorder="1" applyAlignment="1">
      <alignment wrapText="1"/>
    </xf>
    <xf numFmtId="3" fontId="18" fillId="0" borderId="4" xfId="0" applyNumberFormat="1" applyFont="1" applyBorder="1"/>
    <xf numFmtId="0" fontId="18" fillId="0" borderId="28" xfId="0" applyFont="1" applyBorder="1" applyAlignment="1">
      <alignment wrapText="1"/>
    </xf>
    <xf numFmtId="3" fontId="18" fillId="0" borderId="28" xfId="0" applyNumberFormat="1" applyFont="1" applyBorder="1" applyAlignment="1">
      <alignment wrapText="1"/>
    </xf>
    <xf numFmtId="3" fontId="19" fillId="0" borderId="4" xfId="0" applyNumberFormat="1" applyFont="1" applyBorder="1"/>
    <xf numFmtId="0" fontId="19" fillId="0" borderId="28" xfId="0" applyFont="1" applyBorder="1"/>
    <xf numFmtId="3" fontId="19" fillId="0" borderId="28" xfId="0" applyNumberFormat="1" applyFont="1" applyBorder="1"/>
    <xf numFmtId="3" fontId="19" fillId="0" borderId="26" xfId="0" applyNumberFormat="1" applyFont="1" applyBorder="1"/>
    <xf numFmtId="0" fontId="19" fillId="0" borderId="29" xfId="0" applyFont="1" applyBorder="1"/>
    <xf numFmtId="0" fontId="18" fillId="0" borderId="0" xfId="0" applyFont="1"/>
    <xf numFmtId="3" fontId="18" fillId="0" borderId="0" xfId="0" applyNumberFormat="1" applyFont="1"/>
    <xf numFmtId="0" fontId="18" fillId="0" borderId="0" xfId="0" applyFont="1" applyAlignment="1">
      <alignment wrapText="1"/>
    </xf>
    <xf numFmtId="3" fontId="18" fillId="0" borderId="0" xfId="0" applyNumberFormat="1" applyFont="1" applyAlignment="1">
      <alignment wrapText="1"/>
    </xf>
    <xf numFmtId="0" fontId="19" fillId="0" borderId="0" xfId="0" applyFont="1"/>
    <xf numFmtId="3" fontId="19" fillId="0" borderId="0" xfId="0" applyNumberFormat="1" applyFont="1"/>
    <xf numFmtId="4" fontId="0" fillId="0" borderId="0" xfId="0" applyNumberFormat="1"/>
    <xf numFmtId="0" fontId="0" fillId="0" borderId="0" xfId="0" applyAlignment="1">
      <alignment horizontal="right"/>
    </xf>
    <xf numFmtId="4" fontId="0" fillId="0" borderId="34" xfId="0" applyNumberFormat="1" applyBorder="1"/>
    <xf numFmtId="4" fontId="0" fillId="0" borderId="35" xfId="0" applyNumberFormat="1" applyBorder="1"/>
    <xf numFmtId="4" fontId="0" fillId="0" borderId="36" xfId="0" applyNumberFormat="1" applyBorder="1"/>
    <xf numFmtId="4" fontId="0" fillId="0" borderId="37" xfId="0" applyNumberFormat="1" applyBorder="1"/>
    <xf numFmtId="0" fontId="0" fillId="0" borderId="30" xfId="0" applyBorder="1"/>
    <xf numFmtId="4" fontId="0" fillId="0" borderId="22" xfId="0" applyNumberFormat="1" applyBorder="1"/>
    <xf numFmtId="0" fontId="1" fillId="5" borderId="30" xfId="0" applyFont="1" applyFill="1" applyBorder="1"/>
    <xf numFmtId="4" fontId="0" fillId="0" borderId="30" xfId="0" applyNumberFormat="1" applyBorder="1"/>
    <xf numFmtId="4" fontId="0" fillId="0" borderId="42" xfId="0" applyNumberFormat="1" applyBorder="1"/>
    <xf numFmtId="0" fontId="0" fillId="0" borderId="32" xfId="0" applyBorder="1"/>
    <xf numFmtId="0" fontId="0" fillId="0" borderId="33" xfId="0" applyBorder="1"/>
    <xf numFmtId="0" fontId="0" fillId="0" borderId="34" xfId="0" applyBorder="1"/>
    <xf numFmtId="0" fontId="0" fillId="0" borderId="35" xfId="0" applyBorder="1"/>
    <xf numFmtId="0" fontId="0" fillId="0" borderId="41" xfId="0" applyBorder="1"/>
    <xf numFmtId="0" fontId="0" fillId="0" borderId="33" xfId="0" applyBorder="1" applyAlignment="1">
      <alignment horizontal="right"/>
    </xf>
    <xf numFmtId="0" fontId="0" fillId="0" borderId="34" xfId="0" applyBorder="1" applyAlignment="1">
      <alignment horizontal="right"/>
    </xf>
    <xf numFmtId="0" fontId="0" fillId="0" borderId="35" xfId="0" applyBorder="1" applyAlignment="1">
      <alignment horizontal="right"/>
    </xf>
    <xf numFmtId="0" fontId="0" fillId="0" borderId="36" xfId="0" applyBorder="1" applyAlignment="1">
      <alignment horizontal="right"/>
    </xf>
    <xf numFmtId="0" fontId="0" fillId="0" borderId="37" xfId="0" applyBorder="1" applyAlignment="1">
      <alignment horizontal="right"/>
    </xf>
    <xf numFmtId="0" fontId="0" fillId="0" borderId="44" xfId="0" applyBorder="1"/>
    <xf numFmtId="4" fontId="0" fillId="0" borderId="45" xfId="0" applyNumberFormat="1" applyBorder="1"/>
    <xf numFmtId="0" fontId="0" fillId="0" borderId="22" xfId="0" applyBorder="1" applyAlignment="1">
      <alignment horizontal="right"/>
    </xf>
    <xf numFmtId="4" fontId="0" fillId="0" borderId="32" xfId="0" applyNumberFormat="1" applyBorder="1"/>
    <xf numFmtId="4" fontId="0" fillId="0" borderId="33" xfId="0" applyNumberFormat="1" applyBorder="1"/>
    <xf numFmtId="0" fontId="0" fillId="0" borderId="44" xfId="0" applyBorder="1" applyAlignment="1">
      <alignment horizontal="right"/>
    </xf>
    <xf numFmtId="0" fontId="0" fillId="0" borderId="45" xfId="0" applyBorder="1" applyAlignment="1">
      <alignment horizontal="right"/>
    </xf>
    <xf numFmtId="4" fontId="0" fillId="0" borderId="41" xfId="0" applyNumberFormat="1" applyBorder="1"/>
    <xf numFmtId="0" fontId="0" fillId="0" borderId="30" xfId="0" applyBorder="1" applyAlignment="1">
      <alignment horizontal="right"/>
    </xf>
    <xf numFmtId="0" fontId="0" fillId="0" borderId="42" xfId="0" applyBorder="1" applyAlignment="1">
      <alignment horizontal="right"/>
    </xf>
    <xf numFmtId="0" fontId="0" fillId="0" borderId="32" xfId="0" applyBorder="1" applyAlignment="1">
      <alignment wrapText="1"/>
    </xf>
    <xf numFmtId="0" fontId="0" fillId="0" borderId="33" xfId="0" applyBorder="1" applyAlignment="1">
      <alignment wrapText="1"/>
    </xf>
    <xf numFmtId="0" fontId="0" fillId="0" borderId="41" xfId="0" applyBorder="1" applyAlignment="1">
      <alignment wrapText="1"/>
    </xf>
    <xf numFmtId="0" fontId="0" fillId="0" borderId="44" xfId="0" applyBorder="1" applyAlignment="1">
      <alignment wrapText="1"/>
    </xf>
    <xf numFmtId="0" fontId="20" fillId="0" borderId="48" xfId="0" applyFont="1" applyBorder="1"/>
    <xf numFmtId="0" fontId="0" fillId="0" borderId="48" xfId="0" applyBorder="1"/>
    <xf numFmtId="0" fontId="0" fillId="0" borderId="49" xfId="0" applyBorder="1"/>
    <xf numFmtId="0" fontId="0" fillId="0" borderId="50" xfId="0" applyBorder="1"/>
    <xf numFmtId="0" fontId="16" fillId="0" borderId="51" xfId="0" applyFont="1" applyBorder="1" applyAlignment="1">
      <alignment wrapText="1"/>
    </xf>
    <xf numFmtId="0" fontId="16" fillId="0" borderId="52" xfId="0" applyFont="1" applyBorder="1" applyAlignment="1">
      <alignment wrapText="1"/>
    </xf>
    <xf numFmtId="0" fontId="16" fillId="0" borderId="47" xfId="0" applyFont="1" applyBorder="1" applyAlignment="1">
      <alignment wrapText="1"/>
    </xf>
    <xf numFmtId="0" fontId="0" fillId="0" borderId="53" xfId="0" applyBorder="1"/>
    <xf numFmtId="4" fontId="0" fillId="0" borderId="54" xfId="0" applyNumberFormat="1" applyBorder="1"/>
    <xf numFmtId="4" fontId="0" fillId="0" borderId="50" xfId="0" applyNumberFormat="1" applyBorder="1"/>
    <xf numFmtId="4" fontId="0" fillId="0" borderId="55" xfId="0" applyNumberFormat="1" applyBorder="1"/>
    <xf numFmtId="4" fontId="0" fillId="0" borderId="25" xfId="0" applyNumberFormat="1" applyBorder="1"/>
    <xf numFmtId="0" fontId="0" fillId="0" borderId="25" xfId="0" applyBorder="1" applyAlignment="1">
      <alignment horizontal="right"/>
    </xf>
    <xf numFmtId="0" fontId="0" fillId="0" borderId="55" xfId="0" applyBorder="1" applyAlignment="1">
      <alignment horizontal="right"/>
    </xf>
    <xf numFmtId="0" fontId="0" fillId="0" borderId="54" xfId="0" applyBorder="1" applyAlignment="1">
      <alignment horizontal="right"/>
    </xf>
    <xf numFmtId="0" fontId="0" fillId="0" borderId="50" xfId="0" applyBorder="1" applyAlignment="1">
      <alignment horizontal="right"/>
    </xf>
    <xf numFmtId="43" fontId="0" fillId="0" borderId="21" xfId="0" applyNumberFormat="1" applyBorder="1" applyAlignment="1">
      <alignment wrapText="1"/>
    </xf>
    <xf numFmtId="43" fontId="0" fillId="0" borderId="22" xfId="0" applyNumberFormat="1" applyBorder="1" applyAlignment="1">
      <alignment wrapText="1"/>
    </xf>
    <xf numFmtId="0" fontId="1" fillId="0" borderId="21" xfId="0" applyFont="1" applyBorder="1" applyAlignment="1">
      <alignment horizontal="center"/>
    </xf>
    <xf numFmtId="0" fontId="0" fillId="0" borderId="0" xfId="0" applyAlignment="1">
      <alignment horizontal="center"/>
    </xf>
    <xf numFmtId="0" fontId="1" fillId="0" borderId="21" xfId="0" applyFont="1" applyBorder="1" applyAlignment="1">
      <alignment horizontal="center"/>
    </xf>
    <xf numFmtId="0" fontId="1" fillId="0" borderId="23" xfId="0" applyFont="1" applyBorder="1" applyAlignment="1">
      <alignment horizontal="center" wrapText="1"/>
    </xf>
    <xf numFmtId="0" fontId="1" fillId="0" borderId="24" xfId="0" applyFont="1" applyBorder="1" applyAlignment="1">
      <alignment horizontal="center" wrapText="1"/>
    </xf>
    <xf numFmtId="0" fontId="1" fillId="5" borderId="14" xfId="0" applyFont="1" applyFill="1" applyBorder="1" applyAlignment="1">
      <alignment horizontal="center" vertical="center" wrapText="1"/>
    </xf>
    <xf numFmtId="0" fontId="1" fillId="5" borderId="15"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1" fillId="6" borderId="8" xfId="0" applyFont="1" applyFill="1" applyBorder="1" applyAlignment="1">
      <alignment horizontal="left"/>
    </xf>
    <xf numFmtId="0" fontId="1" fillId="6" borderId="9" xfId="0" applyFont="1" applyFill="1" applyBorder="1" applyAlignment="1">
      <alignment horizontal="left"/>
    </xf>
    <xf numFmtId="0" fontId="1" fillId="4" borderId="11" xfId="0" applyFont="1" applyFill="1" applyBorder="1" applyAlignment="1">
      <alignment horizontal="center" vertical="center"/>
    </xf>
    <xf numFmtId="0" fontId="1" fillId="4" borderId="12" xfId="0" applyFont="1" applyFill="1" applyBorder="1" applyAlignment="1">
      <alignment horizontal="center" vertical="center"/>
    </xf>
    <xf numFmtId="0" fontId="1" fillId="4" borderId="8" xfId="0" applyFont="1" applyFill="1" applyBorder="1" applyAlignment="1">
      <alignment horizontal="center" vertical="center"/>
    </xf>
    <xf numFmtId="0" fontId="1" fillId="4" borderId="9" xfId="0" applyFont="1" applyFill="1" applyBorder="1" applyAlignment="1">
      <alignment horizontal="center" vertical="center"/>
    </xf>
    <xf numFmtId="0" fontId="1" fillId="4" borderId="10" xfId="0" applyFont="1" applyFill="1" applyBorder="1" applyAlignment="1">
      <alignment horizontal="center" vertical="center"/>
    </xf>
    <xf numFmtId="0" fontId="6" fillId="5" borderId="6" xfId="0" applyFont="1" applyFill="1" applyBorder="1" applyAlignment="1">
      <alignment horizontal="center" vertical="center" wrapText="1"/>
    </xf>
    <xf numFmtId="0" fontId="6" fillId="5" borderId="14" xfId="0" applyFont="1" applyFill="1" applyBorder="1" applyAlignment="1">
      <alignment horizontal="center" vertical="center" wrapText="1"/>
    </xf>
    <xf numFmtId="0" fontId="6" fillId="5" borderId="15" xfId="0" applyFont="1" applyFill="1" applyBorder="1" applyAlignment="1">
      <alignment horizontal="center" vertical="center" wrapText="1"/>
    </xf>
    <xf numFmtId="0" fontId="1" fillId="0" borderId="30" xfId="0" applyFont="1" applyBorder="1" applyAlignment="1">
      <alignment horizontal="center"/>
    </xf>
    <xf numFmtId="0" fontId="1" fillId="0" borderId="31" xfId="0" applyFont="1" applyBorder="1" applyAlignment="1">
      <alignment horizontal="center"/>
    </xf>
    <xf numFmtId="0" fontId="1" fillId="0" borderId="22" xfId="0" applyFont="1" applyBorder="1" applyAlignment="1">
      <alignment horizontal="center"/>
    </xf>
    <xf numFmtId="0" fontId="1" fillId="4" borderId="8" xfId="0" applyFont="1" applyFill="1" applyBorder="1" applyAlignment="1">
      <alignment horizontal="center"/>
    </xf>
    <xf numFmtId="0" fontId="1" fillId="4" borderId="9" xfId="0" applyFont="1" applyFill="1" applyBorder="1" applyAlignment="1">
      <alignment horizontal="center"/>
    </xf>
    <xf numFmtId="0" fontId="1" fillId="4" borderId="10" xfId="0" applyFont="1" applyFill="1" applyBorder="1" applyAlignment="1">
      <alignment horizontal="center"/>
    </xf>
    <xf numFmtId="0" fontId="1" fillId="6" borderId="10" xfId="0" applyFont="1" applyFill="1" applyBorder="1" applyAlignment="1">
      <alignment horizontal="left"/>
    </xf>
    <xf numFmtId="0" fontId="1" fillId="4" borderId="13" xfId="0" applyFont="1" applyFill="1" applyBorder="1" applyAlignment="1">
      <alignment horizontal="center" vertical="center"/>
    </xf>
    <xf numFmtId="0" fontId="1" fillId="4" borderId="20" xfId="0" applyFont="1" applyFill="1" applyBorder="1" applyAlignment="1">
      <alignment horizontal="center" vertical="center"/>
    </xf>
    <xf numFmtId="0" fontId="6" fillId="5" borderId="17" xfId="0" applyFont="1" applyFill="1" applyBorder="1" applyAlignment="1">
      <alignment horizontal="center" vertical="center" wrapText="1"/>
    </xf>
    <xf numFmtId="0" fontId="6" fillId="5" borderId="18" xfId="0" applyFont="1" applyFill="1" applyBorder="1" applyAlignment="1">
      <alignment horizontal="center" vertical="center" wrapText="1"/>
    </xf>
    <xf numFmtId="0" fontId="6" fillId="5" borderId="19" xfId="0" applyFont="1" applyFill="1" applyBorder="1" applyAlignment="1">
      <alignment horizontal="center" vertical="center" wrapText="1"/>
    </xf>
    <xf numFmtId="0" fontId="1" fillId="2" borderId="32" xfId="0" applyFont="1" applyFill="1" applyBorder="1" applyAlignment="1">
      <alignment horizontal="center"/>
    </xf>
    <xf numFmtId="0" fontId="1" fillId="2" borderId="46" xfId="0" applyFont="1" applyFill="1" applyBorder="1" applyAlignment="1">
      <alignment horizontal="center"/>
    </xf>
    <xf numFmtId="0" fontId="1" fillId="2" borderId="47" xfId="0" applyFont="1" applyFill="1" applyBorder="1" applyAlignment="1">
      <alignment horizontal="center"/>
    </xf>
    <xf numFmtId="0" fontId="1" fillId="2" borderId="56" xfId="0" applyFont="1" applyFill="1" applyBorder="1" applyAlignment="1">
      <alignment horizontal="center"/>
    </xf>
    <xf numFmtId="0" fontId="1" fillId="2" borderId="40" xfId="0" applyFont="1" applyFill="1" applyBorder="1" applyAlignment="1">
      <alignment horizontal="center"/>
    </xf>
    <xf numFmtId="0" fontId="1" fillId="2" borderId="57" xfId="0" applyFont="1" applyFill="1" applyBorder="1" applyAlignment="1">
      <alignment horizontal="center"/>
    </xf>
    <xf numFmtId="0" fontId="1" fillId="13" borderId="21" xfId="0" applyFont="1" applyFill="1" applyBorder="1" applyAlignment="1">
      <alignment horizontal="center"/>
    </xf>
    <xf numFmtId="0" fontId="1" fillId="13" borderId="23" xfId="0" applyFont="1" applyFill="1" applyBorder="1" applyAlignment="1">
      <alignment horizontal="center"/>
    </xf>
    <xf numFmtId="0" fontId="1" fillId="5" borderId="38" xfId="0" applyFont="1" applyFill="1" applyBorder="1" applyAlignment="1">
      <alignment horizontal="center" wrapText="1"/>
    </xf>
    <xf numFmtId="0" fontId="1" fillId="5" borderId="43" xfId="0" applyFont="1" applyFill="1" applyBorder="1" applyAlignment="1">
      <alignment horizontal="center" wrapText="1"/>
    </xf>
    <xf numFmtId="0" fontId="1" fillId="5" borderId="39" xfId="0" applyFont="1" applyFill="1" applyBorder="1" applyAlignment="1">
      <alignment horizontal="center" wrapText="1"/>
    </xf>
    <xf numFmtId="0" fontId="0" fillId="0" borderId="0" xfId="0" applyAlignment="1">
      <alignment horizontal="center"/>
    </xf>
    <xf numFmtId="0" fontId="0" fillId="0" borderId="0" xfId="0" applyAlignment="1">
      <alignment horizontal="center" wrapText="1"/>
    </xf>
  </cellXfs>
  <cellStyles count="4">
    <cellStyle name="Comma" xfId="2" builtinId="3"/>
    <cellStyle name="Hyperlink" xfId="3" builtinId="8"/>
    <cellStyle name="Normal" xfId="0" builtinId="0"/>
    <cellStyle name="Normal 3" xfId="1" xr:uid="{046A7C45-99B0-4973-AFEF-CD99A5A749E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209550</xdr:colOff>
      <xdr:row>1</xdr:row>
      <xdr:rowOff>142876</xdr:rowOff>
    </xdr:from>
    <xdr:to>
      <xdr:col>8</xdr:col>
      <xdr:colOff>592573</xdr:colOff>
      <xdr:row>15</xdr:row>
      <xdr:rowOff>44451</xdr:rowOff>
    </xdr:to>
    <xdr:pic>
      <xdr:nvPicPr>
        <xdr:cNvPr id="2" name="Picture 1">
          <a:extLst>
            <a:ext uri="{FF2B5EF4-FFF2-40B4-BE49-F238E27FC236}">
              <a16:creationId xmlns:a16="http://schemas.microsoft.com/office/drawing/2014/main" id="{4A6ED233-8DF2-069C-6B1E-3EBEFDA6B919}"/>
            </a:ext>
          </a:extLst>
        </xdr:cNvPr>
        <xdr:cNvPicPr>
          <a:picLocks noChangeAspect="1"/>
        </xdr:cNvPicPr>
      </xdr:nvPicPr>
      <xdr:blipFill>
        <a:blip xmlns:r="http://schemas.openxmlformats.org/officeDocument/2006/relationships" r:embed="rId1"/>
        <a:stretch>
          <a:fillRect/>
        </a:stretch>
      </xdr:blipFill>
      <xdr:spPr>
        <a:xfrm>
          <a:off x="209550" y="323851"/>
          <a:ext cx="5259823" cy="2435225"/>
        </a:xfrm>
        <a:prstGeom prst="rect">
          <a:avLst/>
        </a:prstGeom>
      </xdr:spPr>
    </xdr:pic>
    <xdr:clientData/>
  </xdr:twoCellAnchor>
  <xdr:twoCellAnchor editAs="oneCell">
    <xdr:from>
      <xdr:col>1</xdr:col>
      <xdr:colOff>1</xdr:colOff>
      <xdr:row>16</xdr:row>
      <xdr:rowOff>0</xdr:rowOff>
    </xdr:from>
    <xdr:to>
      <xdr:col>9</xdr:col>
      <xdr:colOff>589295</xdr:colOff>
      <xdr:row>31</xdr:row>
      <xdr:rowOff>133350</xdr:rowOff>
    </xdr:to>
    <xdr:pic>
      <xdr:nvPicPr>
        <xdr:cNvPr id="4" name="Picture 3">
          <a:extLst>
            <a:ext uri="{FF2B5EF4-FFF2-40B4-BE49-F238E27FC236}">
              <a16:creationId xmlns:a16="http://schemas.microsoft.com/office/drawing/2014/main" id="{0CA19EDB-E330-F1A9-770F-8E4E715E0A03}"/>
            </a:ext>
          </a:extLst>
        </xdr:cNvPr>
        <xdr:cNvPicPr>
          <a:picLocks noChangeAspect="1"/>
        </xdr:cNvPicPr>
      </xdr:nvPicPr>
      <xdr:blipFill>
        <a:blip xmlns:r="http://schemas.openxmlformats.org/officeDocument/2006/relationships" r:embed="rId2"/>
        <a:stretch>
          <a:fillRect/>
        </a:stretch>
      </xdr:blipFill>
      <xdr:spPr>
        <a:xfrm>
          <a:off x="609601" y="2895600"/>
          <a:ext cx="5466094" cy="2847975"/>
        </a:xfrm>
        <a:prstGeom prst="rect">
          <a:avLst/>
        </a:prstGeom>
      </xdr:spPr>
    </xdr:pic>
    <xdr:clientData/>
  </xdr:twoCellAnchor>
  <xdr:twoCellAnchor editAs="oneCell">
    <xdr:from>
      <xdr:col>11</xdr:col>
      <xdr:colOff>0</xdr:colOff>
      <xdr:row>2</xdr:row>
      <xdr:rowOff>0</xdr:rowOff>
    </xdr:from>
    <xdr:to>
      <xdr:col>20</xdr:col>
      <xdr:colOff>457715</xdr:colOff>
      <xdr:row>6</xdr:row>
      <xdr:rowOff>1587</xdr:rowOff>
    </xdr:to>
    <xdr:pic>
      <xdr:nvPicPr>
        <xdr:cNvPr id="5" name="Picture 4">
          <a:extLst>
            <a:ext uri="{FF2B5EF4-FFF2-40B4-BE49-F238E27FC236}">
              <a16:creationId xmlns:a16="http://schemas.microsoft.com/office/drawing/2014/main" id="{05A4855F-C163-95E5-ED3C-45FC0D107EBB}"/>
            </a:ext>
          </a:extLst>
        </xdr:cNvPr>
        <xdr:cNvPicPr>
          <a:picLocks noChangeAspect="1"/>
        </xdr:cNvPicPr>
      </xdr:nvPicPr>
      <xdr:blipFill>
        <a:blip xmlns:r="http://schemas.openxmlformats.org/officeDocument/2006/relationships" r:embed="rId3"/>
        <a:stretch>
          <a:fillRect/>
        </a:stretch>
      </xdr:blipFill>
      <xdr:spPr>
        <a:xfrm>
          <a:off x="6705600" y="361950"/>
          <a:ext cx="5944115" cy="725487"/>
        </a:xfrm>
        <a:prstGeom prst="rect">
          <a:avLst/>
        </a:prstGeom>
      </xdr:spPr>
    </xdr:pic>
    <xdr:clientData/>
  </xdr:twoCellAnchor>
  <xdr:twoCellAnchor editAs="oneCell">
    <xdr:from>
      <xdr:col>11</xdr:col>
      <xdr:colOff>120650</xdr:colOff>
      <xdr:row>8</xdr:row>
      <xdr:rowOff>25400</xdr:rowOff>
    </xdr:from>
    <xdr:to>
      <xdr:col>20</xdr:col>
      <xdr:colOff>390525</xdr:colOff>
      <xdr:row>17</xdr:row>
      <xdr:rowOff>135438</xdr:rowOff>
    </xdr:to>
    <xdr:pic>
      <xdr:nvPicPr>
        <xdr:cNvPr id="6" name="Picture 5">
          <a:extLst>
            <a:ext uri="{FF2B5EF4-FFF2-40B4-BE49-F238E27FC236}">
              <a16:creationId xmlns:a16="http://schemas.microsoft.com/office/drawing/2014/main" id="{DF166A4F-7750-B504-A33F-DCAF2E374CAD}"/>
            </a:ext>
          </a:extLst>
        </xdr:cNvPr>
        <xdr:cNvPicPr>
          <a:picLocks noChangeAspect="1"/>
        </xdr:cNvPicPr>
      </xdr:nvPicPr>
      <xdr:blipFill>
        <a:blip xmlns:r="http://schemas.openxmlformats.org/officeDocument/2006/relationships" r:embed="rId4"/>
        <a:stretch>
          <a:fillRect/>
        </a:stretch>
      </xdr:blipFill>
      <xdr:spPr>
        <a:xfrm>
          <a:off x="6826250" y="1473200"/>
          <a:ext cx="5756275" cy="1738813"/>
        </a:xfrm>
        <a:prstGeom prst="rect">
          <a:avLst/>
        </a:prstGeom>
      </xdr:spPr>
    </xdr:pic>
    <xdr:clientData/>
  </xdr:twoCellAnchor>
  <xdr:twoCellAnchor editAs="oneCell">
    <xdr:from>
      <xdr:col>11</xdr:col>
      <xdr:colOff>0</xdr:colOff>
      <xdr:row>18</xdr:row>
      <xdr:rowOff>1</xdr:rowOff>
    </xdr:from>
    <xdr:to>
      <xdr:col>20</xdr:col>
      <xdr:colOff>447675</xdr:colOff>
      <xdr:row>39</xdr:row>
      <xdr:rowOff>62856</xdr:rowOff>
    </xdr:to>
    <xdr:pic>
      <xdr:nvPicPr>
        <xdr:cNvPr id="7" name="Picture 6">
          <a:extLst>
            <a:ext uri="{FF2B5EF4-FFF2-40B4-BE49-F238E27FC236}">
              <a16:creationId xmlns:a16="http://schemas.microsoft.com/office/drawing/2014/main" id="{7DE276B6-F56D-6486-059E-8475D29B69B2}"/>
            </a:ext>
          </a:extLst>
        </xdr:cNvPr>
        <xdr:cNvPicPr>
          <a:picLocks noChangeAspect="1"/>
        </xdr:cNvPicPr>
      </xdr:nvPicPr>
      <xdr:blipFill>
        <a:blip xmlns:r="http://schemas.openxmlformats.org/officeDocument/2006/relationships" r:embed="rId5"/>
        <a:stretch>
          <a:fillRect/>
        </a:stretch>
      </xdr:blipFill>
      <xdr:spPr>
        <a:xfrm>
          <a:off x="6705600" y="3257551"/>
          <a:ext cx="5934075" cy="3863330"/>
        </a:xfrm>
        <a:prstGeom prst="rect">
          <a:avLst/>
        </a:prstGeom>
      </xdr:spPr>
    </xdr:pic>
    <xdr:clientData/>
  </xdr:twoCellAnchor>
  <xdr:twoCellAnchor editAs="oneCell">
    <xdr:from>
      <xdr:col>1</xdr:col>
      <xdr:colOff>0</xdr:colOff>
      <xdr:row>34</xdr:row>
      <xdr:rowOff>0</xdr:rowOff>
    </xdr:from>
    <xdr:to>
      <xdr:col>11</xdr:col>
      <xdr:colOff>387139</xdr:colOff>
      <xdr:row>54</xdr:row>
      <xdr:rowOff>152400</xdr:rowOff>
    </xdr:to>
    <xdr:pic>
      <xdr:nvPicPr>
        <xdr:cNvPr id="8" name="Picture 7">
          <a:extLst>
            <a:ext uri="{FF2B5EF4-FFF2-40B4-BE49-F238E27FC236}">
              <a16:creationId xmlns:a16="http://schemas.microsoft.com/office/drawing/2014/main" id="{6F04B098-1989-59E4-C58F-061D720EB801}"/>
            </a:ext>
          </a:extLst>
        </xdr:cNvPr>
        <xdr:cNvPicPr>
          <a:picLocks noChangeAspect="1"/>
        </xdr:cNvPicPr>
      </xdr:nvPicPr>
      <xdr:blipFill>
        <a:blip xmlns:r="http://schemas.openxmlformats.org/officeDocument/2006/relationships" r:embed="rId6"/>
        <a:stretch>
          <a:fillRect/>
        </a:stretch>
      </xdr:blipFill>
      <xdr:spPr>
        <a:xfrm>
          <a:off x="609600" y="6153150"/>
          <a:ext cx="6483139" cy="3771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Z:\0217382-EPA_MME\0217382.014-Gas_Dist\Technical_Record\07_Transfer_Operations_TechReview\Gasoline_distribution_Loading_calc.xlsx" TargetMode="External"/><Relationship Id="rId1" Type="http://schemas.openxmlformats.org/officeDocument/2006/relationships/externalLinkPath" Target="https://researchtriangleinstitute.sharepoint.com/0217382-EPA_MME/0217382.014-Gas_Dist/Technical_Record/07_Transfer_Operations_TechReview/Gasoline_distribution_Loading_cal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tions"/>
      <sheetName val="Natl_Impacts_Loading"/>
      <sheetName val="MP_Costs"/>
      <sheetName val="Loading_emission"/>
      <sheetName val="Baseline Emissions_trucks"/>
      <sheetName val="Truck_leaks"/>
      <sheetName val="gasoline_composition"/>
    </sheetNames>
    <sheetDataSet>
      <sheetData sheetId="0" refreshError="1"/>
      <sheetData sheetId="1" refreshError="1"/>
      <sheetData sheetId="2" refreshError="1"/>
      <sheetData sheetId="3" refreshError="1"/>
      <sheetData sheetId="4" refreshError="1"/>
      <sheetData sheetId="5"/>
      <sheetData sheetId="6"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8" Type="http://schemas.openxmlformats.org/officeDocument/2006/relationships/hyperlink" Target="https://www.researchgate.net/figure/Setup-of-composition-of-diesel-mass_tbl1_343448116" TargetMode="External"/><Relationship Id="rId3" Type="http://schemas.openxmlformats.org/officeDocument/2006/relationships/hyperlink" Target="https://www.slideshare.net/slideshow/antoine-coefficient-table/52611161" TargetMode="External"/><Relationship Id="rId7" Type="http://schemas.openxmlformats.org/officeDocument/2006/relationships/hyperlink" Target="https://www.epa.gov/sites/default/files/documents/2000petro4.pdf" TargetMode="External"/><Relationship Id="rId2" Type="http://schemas.openxmlformats.org/officeDocument/2006/relationships/hyperlink" Target="https://www.researchgate.net/figure/Crude-oil-Composition-and-Properties_tbl1_316040219" TargetMode="External"/><Relationship Id="rId1" Type="http://schemas.openxmlformats.org/officeDocument/2006/relationships/hyperlink" Target="https://www.epa.gov/sites/default/files/documents/2000petro4.pdf" TargetMode="External"/><Relationship Id="rId6" Type="http://schemas.openxmlformats.org/officeDocument/2006/relationships/hyperlink" Target="https://www.epa.gov/sites/default/files/documents/2000petro4.pdf" TargetMode="External"/><Relationship Id="rId5" Type="http://schemas.openxmlformats.org/officeDocument/2006/relationships/hyperlink" Target="https://patents.google.com/patent/WO2004050804A1/en" TargetMode="External"/><Relationship Id="rId10" Type="http://schemas.openxmlformats.org/officeDocument/2006/relationships/hyperlink" Target="https://www.epa.gov/sites/default/files/documents/2000petro4.pdf" TargetMode="External"/><Relationship Id="rId4" Type="http://schemas.openxmlformats.org/officeDocument/2006/relationships/hyperlink" Target="https://www.researchgate.net/figure/Typical-composition-of-a-naphtha-feed-containing-10-wt-aromatics-DSM_tbl1_241875069" TargetMode="External"/><Relationship Id="rId9" Type="http://schemas.openxmlformats.org/officeDocument/2006/relationships/hyperlink" Target="https://www.researchgate.net/figure/Composition-of-oil-fractions-for-heavy-fuel-oil-16_tbl5_330004860"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E97B7-2A65-4FE6-851F-FF3E68BA68EE}">
  <dimension ref="A1:L46"/>
  <sheetViews>
    <sheetView workbookViewId="0">
      <selection activeCell="Q15" sqref="Q15"/>
    </sheetView>
  </sheetViews>
  <sheetFormatPr defaultRowHeight="14.4" x14ac:dyDescent="0.3"/>
  <cols>
    <col min="1" max="1" width="24.44140625" customWidth="1"/>
    <col min="2" max="2" width="16.6640625" customWidth="1"/>
    <col min="3" max="4" width="11" customWidth="1"/>
    <col min="5" max="5" width="11.6640625" customWidth="1"/>
    <col min="6" max="6" width="12.88671875" customWidth="1"/>
    <col min="7" max="7" width="13.6640625" customWidth="1"/>
    <col min="8" max="8" width="16.109375" customWidth="1"/>
    <col min="9" max="9" width="13.6640625" customWidth="1"/>
    <col min="10" max="10" width="12.88671875" customWidth="1"/>
    <col min="11" max="11" width="12" customWidth="1"/>
    <col min="12" max="12" width="14.5546875" customWidth="1"/>
  </cols>
  <sheetData>
    <row r="1" spans="1:12" ht="15" thickBot="1" x14ac:dyDescent="0.35">
      <c r="A1" s="183" t="s">
        <v>0</v>
      </c>
      <c r="B1" s="188" t="s">
        <v>1</v>
      </c>
      <c r="C1" s="189"/>
      <c r="D1" s="189"/>
      <c r="E1" s="189"/>
      <c r="F1" s="189"/>
      <c r="G1" s="189"/>
      <c r="H1" s="189"/>
      <c r="I1" s="189"/>
      <c r="J1" s="189"/>
      <c r="K1" s="189"/>
      <c r="L1" s="190"/>
    </row>
    <row r="2" spans="1:12" ht="30.9" customHeight="1" thickBot="1" x14ac:dyDescent="0.35">
      <c r="A2" s="181"/>
      <c r="B2" s="181" t="s">
        <v>2</v>
      </c>
      <c r="C2" s="186" t="s">
        <v>3</v>
      </c>
      <c r="D2" s="187"/>
      <c r="E2" s="187"/>
      <c r="F2" s="187"/>
      <c r="G2" s="187"/>
      <c r="H2" s="187"/>
      <c r="I2" s="187"/>
      <c r="J2" s="187"/>
      <c r="K2" s="187"/>
      <c r="L2" s="191" t="s">
        <v>4</v>
      </c>
    </row>
    <row r="3" spans="1:12" s="10" customFormat="1" ht="59.4" customHeight="1" thickBot="1" x14ac:dyDescent="0.35">
      <c r="A3" s="182"/>
      <c r="B3" s="182"/>
      <c r="C3" s="11" t="s">
        <v>5</v>
      </c>
      <c r="D3" s="11" t="s">
        <v>6</v>
      </c>
      <c r="E3" s="11" t="s">
        <v>7</v>
      </c>
      <c r="F3" s="11" t="s">
        <v>8</v>
      </c>
      <c r="G3" s="11" t="s">
        <v>9</v>
      </c>
      <c r="H3" s="11" t="s">
        <v>10</v>
      </c>
      <c r="I3" s="11" t="s">
        <v>11</v>
      </c>
      <c r="J3" s="11" t="s">
        <v>12</v>
      </c>
      <c r="K3" s="80" t="s">
        <v>13</v>
      </c>
      <c r="L3" s="192"/>
    </row>
    <row r="4" spans="1:12" ht="15" thickBot="1" x14ac:dyDescent="0.35">
      <c r="A4" s="184" t="s">
        <v>14</v>
      </c>
      <c r="B4" s="185"/>
      <c r="C4" s="185"/>
      <c r="D4" s="185"/>
      <c r="E4" s="185"/>
      <c r="F4" s="185"/>
      <c r="G4" s="185"/>
      <c r="H4" s="185"/>
      <c r="I4" s="185"/>
      <c r="J4" s="185"/>
      <c r="K4" s="185"/>
      <c r="L4" s="193"/>
    </row>
    <row r="5" spans="1:12" x14ac:dyDescent="0.3">
      <c r="A5" s="66" t="s">
        <v>15</v>
      </c>
      <c r="B5" s="66"/>
      <c r="C5" s="67"/>
      <c r="D5" s="67"/>
      <c r="E5" s="67"/>
      <c r="F5" s="67"/>
      <c r="G5" s="67"/>
      <c r="H5" s="67"/>
      <c r="I5" s="67"/>
      <c r="J5" s="67"/>
      <c r="K5" s="78"/>
      <c r="L5" s="67"/>
    </row>
    <row r="6" spans="1:12" x14ac:dyDescent="0.3">
      <c r="A6" s="13">
        <v>5000000</v>
      </c>
      <c r="B6" s="13">
        <f>A6*'Loading Loss'!$C$24/2000</f>
        <v>8500</v>
      </c>
      <c r="C6" s="63">
        <f>$B6*'Fuel Composition'!$J$6/100</f>
        <v>67.721706319107412</v>
      </c>
      <c r="D6" s="63">
        <f>$B6*'Fuel Composition'!$J$7/100</f>
        <v>67.981745186849906</v>
      </c>
      <c r="E6" s="63">
        <f>$B6*'Fuel Composition'!$J$8/100</f>
        <v>88.186679133410465</v>
      </c>
      <c r="F6" s="63">
        <f>$B6*'Fuel Composition'!$J$9/100</f>
        <v>26.156889718263674</v>
      </c>
      <c r="G6" s="63">
        <f>$B6*'Fuel Composition'!$J$10/100</f>
        <v>6.3634769886761191</v>
      </c>
      <c r="H6" s="63">
        <f>$B6*'Fuel Composition'!$J$11/100</f>
        <v>23.75800330710306</v>
      </c>
      <c r="I6" s="63">
        <f>$B6*'Fuel Composition'!$J$12/100</f>
        <v>0.35517805823604598</v>
      </c>
      <c r="J6" s="64">
        <f>$B6*'Fuel Composition'!$J$13/100</f>
        <v>4.4907852026253518E-2</v>
      </c>
      <c r="K6" s="79">
        <f>SUM(C6:J6)</f>
        <v>280.56858656367297</v>
      </c>
      <c r="L6" s="5">
        <v>2</v>
      </c>
    </row>
    <row r="7" spans="1:12" x14ac:dyDescent="0.3">
      <c r="A7" s="13">
        <v>1000000</v>
      </c>
      <c r="B7" s="13">
        <f>A7*'Loading Loss'!$C$24/2000</f>
        <v>1700</v>
      </c>
      <c r="C7" s="63">
        <f>$B7*'Fuel Composition'!$J$6/100</f>
        <v>13.544341263821481</v>
      </c>
      <c r="D7" s="63">
        <f>$B7*'Fuel Composition'!$J$7/100</f>
        <v>13.596349037369983</v>
      </c>
      <c r="E7" s="63">
        <f>$B7*'Fuel Composition'!$J$8/100</f>
        <v>17.637335826682094</v>
      </c>
      <c r="F7" s="63">
        <f>$B7*'Fuel Composition'!$J$9/100</f>
        <v>5.2313779436527339</v>
      </c>
      <c r="G7" s="63">
        <f>$B7*'Fuel Composition'!$J$10/100</f>
        <v>1.272695397735224</v>
      </c>
      <c r="H7" s="63">
        <f>$B7*'Fuel Composition'!$J$11/100</f>
        <v>4.7516006614206114</v>
      </c>
      <c r="I7" s="63">
        <f>$B7*'Fuel Composition'!$J$12/100</f>
        <v>7.1035611647209201E-2</v>
      </c>
      <c r="J7" s="64">
        <f>$B7*'Fuel Composition'!$J$13/100</f>
        <v>8.981570405250704E-3</v>
      </c>
      <c r="K7" s="79">
        <f t="shared" ref="K7:K14" si="0">SUM(C7:J7)</f>
        <v>56.113717312734593</v>
      </c>
      <c r="L7" s="5">
        <v>17</v>
      </c>
    </row>
    <row r="8" spans="1:12" x14ac:dyDescent="0.3">
      <c r="A8" s="13">
        <v>500000</v>
      </c>
      <c r="B8" s="13">
        <f>A8*'Loading Loss'!$C$24/2000</f>
        <v>850</v>
      </c>
      <c r="C8" s="63">
        <f>$B8*'Fuel Composition'!$J$6/100</f>
        <v>6.7721706319107406</v>
      </c>
      <c r="D8" s="63">
        <f>$B8*'Fuel Composition'!$J$7/100</f>
        <v>6.7981745186849913</v>
      </c>
      <c r="E8" s="63">
        <f>$B8*'Fuel Composition'!$J$8/100</f>
        <v>8.8186679133410468</v>
      </c>
      <c r="F8" s="63">
        <f>$B8*'Fuel Composition'!$J$9/100</f>
        <v>2.6156889718263669</v>
      </c>
      <c r="G8" s="63">
        <f>$B8*'Fuel Composition'!$J$10/100</f>
        <v>0.636347698867612</v>
      </c>
      <c r="H8" s="63">
        <f>$B8*'Fuel Composition'!$J$11/100</f>
        <v>2.3758003307103057</v>
      </c>
      <c r="I8" s="64">
        <f>$B8*'Fuel Composition'!$J$12/100</f>
        <v>3.5517805823604601E-2</v>
      </c>
      <c r="J8" s="65">
        <f>$B8*'Fuel Composition'!$J$13/100</f>
        <v>4.490785202625352E-3</v>
      </c>
      <c r="K8" s="79">
        <f t="shared" si="0"/>
        <v>28.056858656367297</v>
      </c>
      <c r="L8" s="5">
        <v>22</v>
      </c>
    </row>
    <row r="9" spans="1:12" x14ac:dyDescent="0.3">
      <c r="A9" s="13">
        <v>100000</v>
      </c>
      <c r="B9" s="13">
        <f>A9*'Loading Loss'!$C$24/2000</f>
        <v>170</v>
      </c>
      <c r="C9" s="63">
        <f>$B9*'Fuel Composition'!$J$6/100</f>
        <v>1.3544341263821482</v>
      </c>
      <c r="D9" s="63">
        <f>$B9*'Fuel Composition'!$J$7/100</f>
        <v>1.3596349037369981</v>
      </c>
      <c r="E9" s="63">
        <f>$B9*'Fuel Composition'!$J$8/100</f>
        <v>1.7637335826682097</v>
      </c>
      <c r="F9" s="63">
        <f>$B9*'Fuel Composition'!$J$9/100</f>
        <v>0.52313779436527352</v>
      </c>
      <c r="G9" s="63">
        <f>$B9*'Fuel Composition'!$J$10/100</f>
        <v>0.1272695397735224</v>
      </c>
      <c r="H9" s="63">
        <f>$B9*'Fuel Composition'!$J$11/100</f>
        <v>0.47516006614206119</v>
      </c>
      <c r="I9" s="64">
        <f>$B9*'Fuel Composition'!$J$12/100</f>
        <v>7.1035611647209196E-3</v>
      </c>
      <c r="J9" s="65">
        <f>$B9*'Fuel Composition'!$J$13/100</f>
        <v>8.981570405250704E-4</v>
      </c>
      <c r="K9" s="79">
        <f t="shared" si="0"/>
        <v>5.6113717312734588</v>
      </c>
      <c r="L9" s="5">
        <v>41</v>
      </c>
    </row>
    <row r="10" spans="1:12" x14ac:dyDescent="0.3">
      <c r="A10" s="12" t="s">
        <v>16</v>
      </c>
      <c r="B10" s="12"/>
      <c r="C10" s="5"/>
      <c r="D10" s="5"/>
      <c r="E10" s="5"/>
      <c r="F10" s="5"/>
      <c r="G10" s="5"/>
      <c r="H10" s="5"/>
      <c r="I10" s="5"/>
      <c r="J10" s="5"/>
      <c r="K10" s="79"/>
      <c r="L10" s="5"/>
    </row>
    <row r="11" spans="1:12" x14ac:dyDescent="0.3">
      <c r="A11" s="13">
        <v>5000000</v>
      </c>
      <c r="B11" s="13">
        <f>A11*'Loading Loss'!$B$24/2000</f>
        <v>4500</v>
      </c>
      <c r="C11" s="63">
        <f>$B11*'Fuel Composition'!$J$6/100</f>
        <v>35.852668051292156</v>
      </c>
      <c r="D11" s="63">
        <f>$B11*'Fuel Composition'!$J$7/100</f>
        <v>35.990335687155834</v>
      </c>
      <c r="E11" s="63">
        <f>$B11*'Fuel Composition'!$J$8/100</f>
        <v>46.687065423570246</v>
      </c>
      <c r="F11" s="63">
        <f>$B11*'Fuel Composition'!$J$9/100</f>
        <v>13.847765144963121</v>
      </c>
      <c r="G11" s="63">
        <f>$B11*'Fuel Composition'!$J$10/100</f>
        <v>3.3688995822402985</v>
      </c>
      <c r="H11" s="63">
        <f>$B11*'Fuel Composition'!$J$11/100</f>
        <v>12.577766456701619</v>
      </c>
      <c r="I11" s="63">
        <f>$B11*'Fuel Composition'!$J$12/100</f>
        <v>0.18803544259555374</v>
      </c>
      <c r="J11" s="64">
        <f>$B11*'Fuel Composition'!$J$13/100</f>
        <v>2.3774745190369512E-2</v>
      </c>
      <c r="K11" s="79">
        <f t="shared" si="0"/>
        <v>148.53631053370918</v>
      </c>
      <c r="L11" s="5">
        <v>2</v>
      </c>
    </row>
    <row r="12" spans="1:12" x14ac:dyDescent="0.3">
      <c r="A12" s="13">
        <v>1000000</v>
      </c>
      <c r="B12" s="13">
        <f>A12*'Loading Loss'!$B$24/2000</f>
        <v>900</v>
      </c>
      <c r="C12" s="63">
        <f>$B12*'Fuel Composition'!$J$6/100</f>
        <v>7.1705336102584321</v>
      </c>
      <c r="D12" s="63">
        <f>$B12*'Fuel Composition'!$J$7/100</f>
        <v>7.1980671374311669</v>
      </c>
      <c r="E12" s="63">
        <f>$B12*'Fuel Composition'!$J$8/100</f>
        <v>9.3374130847140506</v>
      </c>
      <c r="F12" s="63">
        <f>$B12*'Fuel Composition'!$J$9/100</f>
        <v>2.769553028992624</v>
      </c>
      <c r="G12" s="63">
        <f>$B12*'Fuel Composition'!$J$10/100</f>
        <v>0.67377991644805979</v>
      </c>
      <c r="H12" s="63">
        <f>$B12*'Fuel Composition'!$J$11/100</f>
        <v>2.5155532913403236</v>
      </c>
      <c r="I12" s="63">
        <f>$B12*'Fuel Composition'!$J$12/100</f>
        <v>3.7607088519110744E-2</v>
      </c>
      <c r="J12" s="64">
        <f>$B12*'Fuel Composition'!$J$13/100</f>
        <v>4.7549490380739022E-3</v>
      </c>
      <c r="K12" s="79">
        <f t="shared" si="0"/>
        <v>29.70726210674184</v>
      </c>
      <c r="L12" s="5">
        <v>17</v>
      </c>
    </row>
    <row r="13" spans="1:12" x14ac:dyDescent="0.3">
      <c r="A13" s="13">
        <v>500000</v>
      </c>
      <c r="B13" s="13">
        <f>A13*'Loading Loss'!$B$24/2000</f>
        <v>450</v>
      </c>
      <c r="C13" s="63">
        <f>$B13*'Fuel Composition'!$J$6/100</f>
        <v>3.585266805129216</v>
      </c>
      <c r="D13" s="63">
        <f>$B13*'Fuel Composition'!$J$7/100</f>
        <v>3.5990335687155834</v>
      </c>
      <c r="E13" s="63">
        <f>$B13*'Fuel Composition'!$J$8/100</f>
        <v>4.6687065423570253</v>
      </c>
      <c r="F13" s="63">
        <f>$B13*'Fuel Composition'!$J$9/100</f>
        <v>1.384776514496312</v>
      </c>
      <c r="G13" s="63">
        <f>$B13*'Fuel Composition'!$J$10/100</f>
        <v>0.3368899582240299</v>
      </c>
      <c r="H13" s="63">
        <f>$B13*'Fuel Composition'!$J$11/100</f>
        <v>1.2577766456701618</v>
      </c>
      <c r="I13" s="63">
        <f>$B13*'Fuel Composition'!$J$12/100</f>
        <v>1.8803544259555372E-2</v>
      </c>
      <c r="J13" s="64">
        <f>$B13*'Fuel Composition'!$J$13/100</f>
        <v>2.3774745190369511E-3</v>
      </c>
      <c r="K13" s="79">
        <f t="shared" si="0"/>
        <v>14.85363105337092</v>
      </c>
      <c r="L13" s="5">
        <v>22</v>
      </c>
    </row>
    <row r="14" spans="1:12" x14ac:dyDescent="0.3">
      <c r="A14" s="13">
        <v>100000</v>
      </c>
      <c r="B14" s="13">
        <f>A14*'Loading Loss'!$B$24/2000</f>
        <v>90</v>
      </c>
      <c r="C14" s="63">
        <f>$B14*'Fuel Composition'!$J$6/100</f>
        <v>0.71705336102584316</v>
      </c>
      <c r="D14" s="63">
        <f>$B14*'Fuel Composition'!$J$7/100</f>
        <v>0.71980671374311667</v>
      </c>
      <c r="E14" s="63">
        <f>$B14*'Fuel Composition'!$J$8/100</f>
        <v>0.93374130847140502</v>
      </c>
      <c r="F14" s="63">
        <f>$B14*'Fuel Composition'!$J$9/100</f>
        <v>0.2769553028992624</v>
      </c>
      <c r="G14" s="63">
        <f>$B14*'Fuel Composition'!$J$10/100</f>
        <v>6.7377991644805971E-2</v>
      </c>
      <c r="H14" s="63">
        <f>$B14*'Fuel Composition'!$J$11/100</f>
        <v>0.25155532913403239</v>
      </c>
      <c r="I14" s="63">
        <f>$B14*'Fuel Composition'!$J$12/100</f>
        <v>3.7607088519110749E-3</v>
      </c>
      <c r="J14" s="64">
        <f>$B14*'Fuel Composition'!$J$13/100</f>
        <v>4.7549490380739023E-4</v>
      </c>
      <c r="K14" s="79">
        <f t="shared" si="0"/>
        <v>2.9707262106741834</v>
      </c>
      <c r="L14" s="5">
        <v>41</v>
      </c>
    </row>
    <row r="19" spans="1:12" x14ac:dyDescent="0.3">
      <c r="B19" s="178" t="s">
        <v>17</v>
      </c>
      <c r="C19" s="178"/>
      <c r="D19" s="178"/>
      <c r="E19" s="178"/>
      <c r="F19" s="178"/>
      <c r="I19" s="194" t="s">
        <v>18</v>
      </c>
      <c r="J19" s="195"/>
      <c r="K19" s="196"/>
      <c r="L19" s="98"/>
    </row>
    <row r="20" spans="1:12" ht="14.4" customHeight="1" x14ac:dyDescent="0.3">
      <c r="B20" s="178" t="s">
        <v>19</v>
      </c>
      <c r="C20" s="178"/>
      <c r="D20" s="178"/>
      <c r="E20" s="178"/>
      <c r="F20" s="179" t="s">
        <v>20</v>
      </c>
      <c r="I20" s="194" t="s">
        <v>19</v>
      </c>
      <c r="J20" s="195"/>
      <c r="K20" s="196"/>
      <c r="L20" s="179" t="s">
        <v>20</v>
      </c>
    </row>
    <row r="21" spans="1:12" ht="43.2" x14ac:dyDescent="0.3">
      <c r="B21" s="99" t="s">
        <v>21</v>
      </c>
      <c r="C21" s="99" t="s">
        <v>22</v>
      </c>
      <c r="D21" s="99" t="s">
        <v>23</v>
      </c>
      <c r="E21" s="99" t="s">
        <v>24</v>
      </c>
      <c r="F21" s="180"/>
      <c r="I21" s="99" t="s">
        <v>21</v>
      </c>
      <c r="J21" s="99" t="s">
        <v>22</v>
      </c>
      <c r="K21" s="99" t="s">
        <v>24</v>
      </c>
      <c r="L21" s="180"/>
    </row>
    <row r="22" spans="1:12" x14ac:dyDescent="0.3">
      <c r="A22" s="98" t="s">
        <v>14</v>
      </c>
      <c r="B22" s="97"/>
      <c r="C22" s="92"/>
      <c r="D22" s="92"/>
      <c r="E22" s="92"/>
      <c r="F22" s="92"/>
      <c r="H22" s="98" t="s">
        <v>14</v>
      </c>
      <c r="I22" s="97"/>
      <c r="J22" s="92"/>
      <c r="K22" s="92"/>
      <c r="L22" s="92"/>
    </row>
    <row r="23" spans="1:12" x14ac:dyDescent="0.3">
      <c r="A23" s="95" t="s">
        <v>15</v>
      </c>
      <c r="B23" s="97">
        <v>3058425</v>
      </c>
      <c r="C23" s="92">
        <f>112292+418458</f>
        <v>530750</v>
      </c>
      <c r="D23" s="92">
        <v>269492</v>
      </c>
      <c r="E23" s="92">
        <v>261258</v>
      </c>
      <c r="F23" s="92"/>
      <c r="H23" s="95" t="s">
        <v>15</v>
      </c>
      <c r="I23" s="97">
        <v>946196</v>
      </c>
      <c r="J23" s="92">
        <f>122892+123686</f>
        <v>246578</v>
      </c>
      <c r="K23" s="92">
        <v>246579</v>
      </c>
      <c r="L23" s="92"/>
    </row>
    <row r="24" spans="1:12" x14ac:dyDescent="0.3">
      <c r="A24" s="96">
        <v>5000000</v>
      </c>
      <c r="B24" s="97"/>
      <c r="C24" s="92"/>
      <c r="D24" s="92"/>
      <c r="E24" s="92"/>
      <c r="F24" s="174">
        <f>$E$23/(K6-(K6*0.03))</f>
        <v>959.97256010972774</v>
      </c>
      <c r="H24" s="96">
        <v>5000000</v>
      </c>
      <c r="I24" s="97"/>
      <c r="J24" s="92"/>
      <c r="K24" s="92"/>
      <c r="L24" s="93">
        <f>$K$23/(K6-(K6*0.03))</f>
        <v>906.03569612910053</v>
      </c>
    </row>
    <row r="25" spans="1:12" x14ac:dyDescent="0.3">
      <c r="A25" s="96">
        <v>1000000</v>
      </c>
      <c r="B25" s="97"/>
      <c r="C25" s="92"/>
      <c r="D25" s="92"/>
      <c r="E25" s="92"/>
      <c r="F25" s="174">
        <f t="shared" ref="F25:F27" si="1">$E$23/(K7-(K7*0.03))</f>
        <v>4799.8628005486389</v>
      </c>
      <c r="H25" s="96">
        <v>1000000</v>
      </c>
      <c r="I25" s="97"/>
      <c r="J25" s="92"/>
      <c r="K25" s="92"/>
      <c r="L25" s="93">
        <f t="shared" ref="L25:L27" si="2">$K$23/(K7-(K7*0.03))</f>
        <v>4530.1784806455034</v>
      </c>
    </row>
    <row r="26" spans="1:12" x14ac:dyDescent="0.3">
      <c r="A26" s="96">
        <v>500000</v>
      </c>
      <c r="B26" s="97"/>
      <c r="C26" s="92"/>
      <c r="D26" s="92"/>
      <c r="E26" s="92"/>
      <c r="F26" s="174">
        <f t="shared" si="1"/>
        <v>9599.7256010972778</v>
      </c>
      <c r="H26" s="96">
        <v>500000</v>
      </c>
      <c r="I26" s="97"/>
      <c r="J26" s="92"/>
      <c r="K26" s="92"/>
      <c r="L26" s="93">
        <f t="shared" si="2"/>
        <v>9060.3569612910069</v>
      </c>
    </row>
    <row r="27" spans="1:12" x14ac:dyDescent="0.3">
      <c r="A27" s="96">
        <v>100000</v>
      </c>
      <c r="B27" s="97"/>
      <c r="C27" s="92"/>
      <c r="D27" s="92"/>
      <c r="E27" s="92"/>
      <c r="F27" s="174">
        <f t="shared" si="1"/>
        <v>47998.628005486396</v>
      </c>
      <c r="H27" s="96">
        <v>100000</v>
      </c>
      <c r="I27" s="97"/>
      <c r="J27" s="92"/>
      <c r="K27" s="92"/>
      <c r="L27" s="93">
        <f t="shared" si="2"/>
        <v>45301.784806455034</v>
      </c>
    </row>
    <row r="28" spans="1:12" x14ac:dyDescent="0.3">
      <c r="A28" s="176" t="s">
        <v>16</v>
      </c>
      <c r="B28" s="97">
        <v>1368100</v>
      </c>
      <c r="C28" s="92">
        <f>65216+189861</f>
        <v>255077</v>
      </c>
      <c r="D28" s="92">
        <v>142683</v>
      </c>
      <c r="E28" s="92">
        <v>112407</v>
      </c>
      <c r="F28" s="93"/>
      <c r="H28" s="176" t="s">
        <v>16</v>
      </c>
      <c r="I28" s="97">
        <v>946368</v>
      </c>
      <c r="J28" s="92">
        <f>129356+123708</f>
        <v>253064</v>
      </c>
      <c r="K28" s="92">
        <v>253064</v>
      </c>
      <c r="L28" s="93"/>
    </row>
    <row r="29" spans="1:12" x14ac:dyDescent="0.3">
      <c r="A29" s="96">
        <v>5000000</v>
      </c>
      <c r="B29" s="97"/>
      <c r="C29" s="92"/>
      <c r="D29" s="92"/>
      <c r="E29" s="92"/>
      <c r="F29" s="174">
        <f>$E$28/(K11-(K11*0.03))</f>
        <v>780.16954062111506</v>
      </c>
      <c r="H29" s="96">
        <v>5000000</v>
      </c>
      <c r="I29" s="97"/>
      <c r="J29" s="92"/>
      <c r="K29" s="92"/>
      <c r="L29" s="93">
        <f>$K$28/(K11-(K11*0.03))</f>
        <v>1756.4104070719959</v>
      </c>
    </row>
    <row r="30" spans="1:12" x14ac:dyDescent="0.3">
      <c r="A30" s="96">
        <v>1000000</v>
      </c>
      <c r="B30" s="97"/>
      <c r="C30" s="92"/>
      <c r="D30" s="92"/>
      <c r="E30" s="92"/>
      <c r="F30" s="174">
        <f t="shared" ref="F30:F32" si="3">$E$28/(K12-(K12*0.03))</f>
        <v>3900.8477031055741</v>
      </c>
      <c r="H30" s="96">
        <v>1000000</v>
      </c>
      <c r="I30" s="97"/>
      <c r="J30" s="92"/>
      <c r="K30" s="92"/>
      <c r="L30" s="93">
        <f t="shared" ref="L30:L32" si="4">$K$28/(K12-(K12*0.03))</f>
        <v>8782.0520353599786</v>
      </c>
    </row>
    <row r="31" spans="1:12" x14ac:dyDescent="0.3">
      <c r="A31" s="96">
        <v>500000</v>
      </c>
      <c r="B31" s="97"/>
      <c r="C31" s="92"/>
      <c r="D31" s="92"/>
      <c r="E31" s="92"/>
      <c r="F31" s="174">
        <f t="shared" si="3"/>
        <v>7801.6954062111481</v>
      </c>
      <c r="H31" s="96">
        <v>500000</v>
      </c>
      <c r="I31" s="97"/>
      <c r="J31" s="92"/>
      <c r="K31" s="92"/>
      <c r="L31" s="93">
        <f t="shared" si="4"/>
        <v>17564.104070719957</v>
      </c>
    </row>
    <row r="32" spans="1:12" x14ac:dyDescent="0.3">
      <c r="A32" s="96">
        <v>100000</v>
      </c>
      <c r="B32" s="97"/>
      <c r="C32" s="92"/>
      <c r="D32" s="92"/>
      <c r="E32" s="92"/>
      <c r="F32" s="174">
        <f t="shared" si="3"/>
        <v>39008.477031055751</v>
      </c>
      <c r="H32" s="96">
        <v>100000</v>
      </c>
      <c r="I32" s="97"/>
      <c r="J32" s="92"/>
      <c r="K32" s="92"/>
      <c r="L32" s="93">
        <f t="shared" si="4"/>
        <v>87820.520353599801</v>
      </c>
    </row>
    <row r="35" spans="1:6" x14ac:dyDescent="0.3">
      <c r="A35" t="s">
        <v>25</v>
      </c>
    </row>
    <row r="38" spans="1:6" ht="28.8" x14ac:dyDescent="0.3">
      <c r="A38" t="s">
        <v>26</v>
      </c>
      <c r="B38" t="s">
        <v>27</v>
      </c>
      <c r="C38" s="75" t="s">
        <v>28</v>
      </c>
      <c r="D38" s="75" t="s">
        <v>29</v>
      </c>
      <c r="E38" t="s">
        <v>30</v>
      </c>
      <c r="F38" t="s">
        <v>31</v>
      </c>
    </row>
    <row r="39" spans="1:6" x14ac:dyDescent="0.3">
      <c r="A39">
        <v>1000</v>
      </c>
      <c r="B39">
        <f>A39*2000/'Loading Loss'!$N$24</f>
        <v>4941.1764705882351</v>
      </c>
      <c r="C39">
        <f>A39-(A39*0.03)</f>
        <v>970</v>
      </c>
      <c r="D39" s="46">
        <f>C39*SUM('Fuel Composition'!$J$6:$J$13)/100</f>
        <v>32.017826937266207</v>
      </c>
      <c r="E39">
        <v>2345</v>
      </c>
      <c r="F39" s="46">
        <f>E39/D39</f>
        <v>73.240448347561227</v>
      </c>
    </row>
    <row r="40" spans="1:6" x14ac:dyDescent="0.3">
      <c r="A40">
        <v>500</v>
      </c>
      <c r="B40">
        <f>A40*2000/'Loading Loss'!$N$24</f>
        <v>2470.5882352941176</v>
      </c>
      <c r="C40">
        <f t="shared" ref="C40:C46" si="5">A40-(A40*0.03)</f>
        <v>485</v>
      </c>
      <c r="D40" s="46">
        <f>C40*SUM('Fuel Composition'!$J$6:$J$13)/100</f>
        <v>16.008913468633104</v>
      </c>
      <c r="E40">
        <v>225875</v>
      </c>
      <c r="F40" s="46">
        <f t="shared" ref="F40:F46" si="6">E40/D40</f>
        <v>14109.327309599481</v>
      </c>
    </row>
    <row r="41" spans="1:6" x14ac:dyDescent="0.3">
      <c r="A41">
        <v>100</v>
      </c>
      <c r="B41">
        <f>A41*2000/'Loading Loss'!$N$24</f>
        <v>494.11764705882354</v>
      </c>
      <c r="C41">
        <f t="shared" si="5"/>
        <v>97</v>
      </c>
      <c r="D41" s="46">
        <f>C41*SUM('Fuel Composition'!$J$6:$J$13)/100</f>
        <v>3.2017826937266212</v>
      </c>
      <c r="E41">
        <v>404789</v>
      </c>
      <c r="F41" s="46">
        <f t="shared" si="6"/>
        <v>126426.131540132</v>
      </c>
    </row>
    <row r="42" spans="1:6" x14ac:dyDescent="0.3">
      <c r="A42">
        <v>50</v>
      </c>
      <c r="B42">
        <f>A42*2000/'Loading Loss'!$N$24</f>
        <v>247.05882352941177</v>
      </c>
      <c r="C42">
        <f t="shared" si="5"/>
        <v>48.5</v>
      </c>
      <c r="D42" s="46">
        <f>C42*SUM('Fuel Composition'!$J$6:$J$13)/100</f>
        <v>1.6008913468633106</v>
      </c>
      <c r="F42" s="46">
        <f t="shared" si="6"/>
        <v>0</v>
      </c>
    </row>
    <row r="43" spans="1:6" x14ac:dyDescent="0.3">
      <c r="A43">
        <v>25</v>
      </c>
      <c r="B43">
        <f>A43*2000/'Loading Loss'!$N$24</f>
        <v>123.52941176470588</v>
      </c>
      <c r="C43">
        <f t="shared" si="5"/>
        <v>24.25</v>
      </c>
      <c r="D43" s="46">
        <f>C43*SUM('Fuel Composition'!$J$6:$J$13)/100</f>
        <v>0.80044567343165529</v>
      </c>
      <c r="F43" s="46">
        <f t="shared" si="6"/>
        <v>0</v>
      </c>
    </row>
    <row r="44" spans="1:6" x14ac:dyDescent="0.3">
      <c r="A44">
        <v>10</v>
      </c>
      <c r="B44">
        <f>A44*2000/'Loading Loss'!$N$24</f>
        <v>49.411764705882355</v>
      </c>
      <c r="C44">
        <f t="shared" si="5"/>
        <v>9.6999999999999993</v>
      </c>
      <c r="D44" s="46">
        <f>C44*SUM('Fuel Composition'!$J$6:$J$13)/100</f>
        <v>0.32017826937266208</v>
      </c>
      <c r="F44" s="46">
        <f t="shared" si="6"/>
        <v>0</v>
      </c>
    </row>
    <row r="45" spans="1:6" x14ac:dyDescent="0.3">
      <c r="A45">
        <v>5</v>
      </c>
      <c r="B45">
        <f>A45*2000/'Loading Loss'!$N$24</f>
        <v>24.705882352941178</v>
      </c>
      <c r="C45">
        <f t="shared" si="5"/>
        <v>4.8499999999999996</v>
      </c>
      <c r="D45" s="46">
        <f>C45*SUM('Fuel Composition'!$J$6:$J$13)/100</f>
        <v>0.16008913468633104</v>
      </c>
      <c r="F45" s="46">
        <f t="shared" si="6"/>
        <v>0</v>
      </c>
    </row>
    <row r="46" spans="1:6" x14ac:dyDescent="0.3">
      <c r="A46">
        <v>1</v>
      </c>
      <c r="B46">
        <f>A46*2000/'Loading Loss'!$N$24</f>
        <v>4.9411764705882355</v>
      </c>
      <c r="C46">
        <f t="shared" si="5"/>
        <v>0.97</v>
      </c>
      <c r="D46" s="46">
        <f>C46*SUM('Fuel Composition'!$J$6:$J$13)/100</f>
        <v>3.2017826937266208E-2</v>
      </c>
      <c r="F46" s="46">
        <f t="shared" si="6"/>
        <v>0</v>
      </c>
    </row>
  </sheetData>
  <mergeCells count="12">
    <mergeCell ref="B19:F19"/>
    <mergeCell ref="B20:E20"/>
    <mergeCell ref="F20:F21"/>
    <mergeCell ref="B2:B3"/>
    <mergeCell ref="A1:A3"/>
    <mergeCell ref="A4:K4"/>
    <mergeCell ref="C2:K2"/>
    <mergeCell ref="B1:L1"/>
    <mergeCell ref="L2:L4"/>
    <mergeCell ref="L20:L21"/>
    <mergeCell ref="I20:K20"/>
    <mergeCell ref="I19:K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F2856-F55C-4019-B5A3-9EE5E80010DE}">
  <dimension ref="A1:L43"/>
  <sheetViews>
    <sheetView workbookViewId="0">
      <selection activeCell="K17" sqref="K17"/>
    </sheetView>
  </sheetViews>
  <sheetFormatPr defaultRowHeight="14.4" x14ac:dyDescent="0.3"/>
  <cols>
    <col min="1" max="2" width="24.44140625" customWidth="1"/>
    <col min="3" max="4" width="11.6640625" customWidth="1"/>
    <col min="5" max="5" width="12.6640625" customWidth="1"/>
    <col min="6" max="6" width="11.6640625" customWidth="1"/>
    <col min="7" max="7" width="12.6640625" customWidth="1"/>
    <col min="8" max="8" width="11.6640625" customWidth="1"/>
    <col min="9" max="9" width="13.109375" customWidth="1"/>
    <col min="10" max="10" width="11.44140625" customWidth="1"/>
    <col min="11" max="11" width="9.88671875" customWidth="1"/>
    <col min="12" max="12" width="14.5546875" customWidth="1"/>
    <col min="13" max="13" width="12" customWidth="1"/>
  </cols>
  <sheetData>
    <row r="1" spans="1:12" ht="21.9" customHeight="1" thickBot="1" x14ac:dyDescent="0.35">
      <c r="A1" s="183" t="s">
        <v>0</v>
      </c>
      <c r="B1" s="188" t="s">
        <v>32</v>
      </c>
      <c r="C1" s="189"/>
      <c r="D1" s="189"/>
      <c r="E1" s="189"/>
      <c r="F1" s="189"/>
      <c r="G1" s="189"/>
      <c r="H1" s="189"/>
      <c r="I1" s="189"/>
      <c r="J1" s="189"/>
      <c r="K1" s="189"/>
      <c r="L1" s="190"/>
    </row>
    <row r="2" spans="1:12" ht="21" customHeight="1" thickBot="1" x14ac:dyDescent="0.35">
      <c r="A2" s="181"/>
      <c r="B2" s="183" t="s">
        <v>2</v>
      </c>
      <c r="C2" s="188" t="s">
        <v>3</v>
      </c>
      <c r="D2" s="189"/>
      <c r="E2" s="189"/>
      <c r="F2" s="189"/>
      <c r="G2" s="189"/>
      <c r="H2" s="189"/>
      <c r="I2" s="189"/>
      <c r="J2" s="189"/>
      <c r="K2" s="190"/>
      <c r="L2" s="191" t="s">
        <v>4</v>
      </c>
    </row>
    <row r="3" spans="1:12" s="10" customFormat="1" ht="59.4" customHeight="1" thickBot="1" x14ac:dyDescent="0.35">
      <c r="A3" s="182"/>
      <c r="B3" s="182"/>
      <c r="C3" s="11" t="s">
        <v>5</v>
      </c>
      <c r="D3" s="11" t="s">
        <v>33</v>
      </c>
      <c r="E3" s="11" t="s">
        <v>9</v>
      </c>
      <c r="F3" s="11" t="s">
        <v>34</v>
      </c>
      <c r="G3" s="11" t="s">
        <v>12</v>
      </c>
      <c r="H3" s="11" t="s">
        <v>35</v>
      </c>
      <c r="I3" s="11" t="s">
        <v>7</v>
      </c>
      <c r="J3" s="11" t="s">
        <v>8</v>
      </c>
      <c r="K3" s="80" t="s">
        <v>13</v>
      </c>
      <c r="L3" s="192"/>
    </row>
    <row r="4" spans="1:12" ht="15" thickBot="1" x14ac:dyDescent="0.35">
      <c r="A4" s="184" t="s">
        <v>14</v>
      </c>
      <c r="B4" s="185"/>
      <c r="C4" s="185"/>
      <c r="D4" s="185"/>
      <c r="E4" s="185"/>
      <c r="F4" s="185"/>
      <c r="G4" s="185"/>
      <c r="H4" s="185"/>
      <c r="I4" s="185"/>
      <c r="J4" s="185"/>
      <c r="K4" s="185"/>
      <c r="L4" s="193"/>
    </row>
    <row r="5" spans="1:12" x14ac:dyDescent="0.3">
      <c r="A5" s="66" t="s">
        <v>36</v>
      </c>
      <c r="B5" s="66"/>
      <c r="C5" s="67"/>
      <c r="D5" s="67"/>
      <c r="E5" s="67"/>
      <c r="F5" s="67"/>
      <c r="G5" s="67"/>
      <c r="H5" s="67"/>
      <c r="I5" s="67"/>
      <c r="J5" s="78"/>
      <c r="K5" s="67"/>
      <c r="L5" s="67"/>
    </row>
    <row r="6" spans="1:12" x14ac:dyDescent="0.3">
      <c r="A6" s="13">
        <v>10000000</v>
      </c>
      <c r="B6" s="13">
        <f>A6*'Loading Loss'!$H$19/2000</f>
        <v>12086.605745467748</v>
      </c>
      <c r="C6" s="8">
        <f>$B6*'Fuel Composition'!$J$32/100</f>
        <v>39.356319502769196</v>
      </c>
      <c r="D6" s="81">
        <f>$B6*'Fuel Composition'!$J$33/100</f>
        <v>1.3172384722760331E-2</v>
      </c>
      <c r="E6" s="8">
        <f>$B6*'Fuel Composition'!$J$35/100</f>
        <v>2.874308050315717</v>
      </c>
      <c r="F6" s="8">
        <f>$B6*'Fuel Composition'!$J$36/100</f>
        <v>350.82819772797092</v>
      </c>
      <c r="G6" s="81">
        <f>$B6*'Fuel Composition'!$J$37/100</f>
        <v>4.6411029153928716E-2</v>
      </c>
      <c r="H6" s="81">
        <f>$B6*'Fuel Composition'!$J$39/100</f>
        <v>8.3415686294010333E-2</v>
      </c>
      <c r="I6" s="8">
        <f>$B6*'Fuel Composition'!$J$40/100</f>
        <v>22.494666440497198</v>
      </c>
      <c r="J6" s="82">
        <f>$B6*'Fuel Composition'!$J$42/100</f>
        <v>10.854081075942302</v>
      </c>
      <c r="K6" s="8">
        <f>SUM(C6:J6)</f>
        <v>426.55057189766609</v>
      </c>
      <c r="L6" s="5">
        <v>2</v>
      </c>
    </row>
    <row r="7" spans="1:12" x14ac:dyDescent="0.3">
      <c r="A7" s="13">
        <v>5000000</v>
      </c>
      <c r="B7" s="13">
        <f>A7*'Loading Loss'!$H$19/2000</f>
        <v>6043.3028727338742</v>
      </c>
      <c r="C7" s="8">
        <f>$B7*'Fuel Composition'!$J$32/100</f>
        <v>19.678159751384598</v>
      </c>
      <c r="D7" s="84">
        <f>$B7*'Fuel Composition'!$J$33/100</f>
        <v>6.5861923613801656E-3</v>
      </c>
      <c r="E7" s="8">
        <f>$B7*'Fuel Composition'!$J$35/100</f>
        <v>1.4371540251578585</v>
      </c>
      <c r="F7" s="8">
        <f>$B7*'Fuel Composition'!$J$36/100</f>
        <v>175.41409886398546</v>
      </c>
      <c r="G7" s="81">
        <f>$B7*'Fuel Composition'!$J$37/100</f>
        <v>2.3205514576964358E-2</v>
      </c>
      <c r="H7" s="81">
        <f>$B7*'Fuel Composition'!$J$39/100</f>
        <v>4.1707843147005166E-2</v>
      </c>
      <c r="I7" s="8">
        <f>$B7*'Fuel Composition'!$J$40/100</f>
        <v>11.247333220248599</v>
      </c>
      <c r="J7" s="82">
        <f>$B7*'Fuel Composition'!$J$42/100</f>
        <v>5.427040537971151</v>
      </c>
      <c r="K7" s="8">
        <f t="shared" ref="K7:K9" si="0">SUM(C7:J7)</f>
        <v>213.27528594883304</v>
      </c>
      <c r="L7" s="5">
        <v>6</v>
      </c>
    </row>
    <row r="8" spans="1:12" x14ac:dyDescent="0.3">
      <c r="A8" s="13">
        <v>1000000</v>
      </c>
      <c r="B8" s="13">
        <f>A8*'Loading Loss'!$H$19/2000</f>
        <v>1208.6605745467748</v>
      </c>
      <c r="C8" s="8">
        <f>$B8*'Fuel Composition'!$J$32/100</f>
        <v>3.9356319502769197</v>
      </c>
      <c r="D8" s="84">
        <f>$B8*'Fuel Composition'!$J$33/100</f>
        <v>1.317238472276033E-3</v>
      </c>
      <c r="E8" s="8">
        <f>$B8*'Fuel Composition'!$J$35/100</f>
        <v>0.28743080503157165</v>
      </c>
      <c r="F8" s="8">
        <f>$B8*'Fuel Composition'!$J$36/100</f>
        <v>35.082819772797095</v>
      </c>
      <c r="G8" s="84">
        <f>$B8*'Fuel Composition'!$J$37/100</f>
        <v>4.6411029153928711E-3</v>
      </c>
      <c r="H8" s="84">
        <f>$B8*'Fuel Composition'!$J$39/100</f>
        <v>8.3415686294010319E-3</v>
      </c>
      <c r="I8" s="8">
        <f>$B8*'Fuel Composition'!$J$40/100</f>
        <v>2.2494666440497197</v>
      </c>
      <c r="J8" s="82">
        <f>$B8*'Fuel Composition'!$J$42/100</f>
        <v>1.0854081075942303</v>
      </c>
      <c r="K8" s="8">
        <f t="shared" si="0"/>
        <v>42.655057189766602</v>
      </c>
      <c r="L8" s="5">
        <v>8</v>
      </c>
    </row>
    <row r="9" spans="1:12" x14ac:dyDescent="0.3">
      <c r="A9" s="13">
        <v>500000</v>
      </c>
      <c r="B9" s="13">
        <f>A9*'Loading Loss'!$H$19/2000</f>
        <v>604.3302872733874</v>
      </c>
      <c r="C9" s="8">
        <f>$B9*'Fuel Composition'!$J$32/100</f>
        <v>1.9678159751384598</v>
      </c>
      <c r="D9" s="85">
        <f>$B9*'Fuel Composition'!$J$33/100</f>
        <v>6.5861923613801652E-4</v>
      </c>
      <c r="E9" s="8">
        <f>$B9*'Fuel Composition'!$J$35/100</f>
        <v>0.14371540251578582</v>
      </c>
      <c r="F9" s="8">
        <f>$B9*'Fuel Composition'!$J$36/100</f>
        <v>17.541409886398547</v>
      </c>
      <c r="G9" s="84">
        <f>$B9*'Fuel Composition'!$J$37/100</f>
        <v>2.3205514576964356E-3</v>
      </c>
      <c r="H9" s="84">
        <f>$B9*'Fuel Composition'!$J$39/100</f>
        <v>4.1707843147005159E-3</v>
      </c>
      <c r="I9" s="8">
        <f>$B9*'Fuel Composition'!$J$40/100</f>
        <v>1.1247333220248599</v>
      </c>
      <c r="J9" s="82">
        <f>$B9*'Fuel Composition'!$J$42/100</f>
        <v>0.54270405379711517</v>
      </c>
      <c r="K9" s="8">
        <f t="shared" si="0"/>
        <v>21.327528594883301</v>
      </c>
      <c r="L9" s="5">
        <v>13</v>
      </c>
    </row>
    <row r="10" spans="1:12" x14ac:dyDescent="0.3">
      <c r="A10" s="12" t="s">
        <v>37</v>
      </c>
      <c r="B10" s="12"/>
      <c r="C10" s="8"/>
      <c r="D10" s="81"/>
      <c r="E10" s="8"/>
      <c r="F10" s="8"/>
      <c r="G10" s="81"/>
      <c r="H10" s="81"/>
      <c r="I10" s="8"/>
      <c r="J10" s="82"/>
      <c r="K10" s="8"/>
      <c r="L10" s="5"/>
    </row>
    <row r="11" spans="1:12" x14ac:dyDescent="0.3">
      <c r="A11" s="13">
        <v>10000000</v>
      </c>
      <c r="B11" s="13">
        <f>A6*'Loading Loss'!$I$19/2000</f>
        <v>10086.605745467748</v>
      </c>
      <c r="C11" s="8">
        <f>$B11*'Fuel Composition'!$J$32/100</f>
        <v>32.843933754185137</v>
      </c>
      <c r="D11" s="81">
        <f>$B11*'Fuel Composition'!$J$33/100</f>
        <v>1.0992718239024857E-2</v>
      </c>
      <c r="E11" s="8">
        <f>$B11*'Fuel Composition'!$J$35/100</f>
        <v>2.3986893181677722</v>
      </c>
      <c r="F11" s="8">
        <f>$B11*'Fuel Composition'!$J$36/100</f>
        <v>292.77580400949046</v>
      </c>
      <c r="G11" s="81">
        <f>$B11*'Fuel Composition'!$J$37/100</f>
        <v>3.8731283469937663E-2</v>
      </c>
      <c r="H11" s="81">
        <f>$B11*'Fuel Composition'!$J$39/100</f>
        <v>6.9612690142623543E-2</v>
      </c>
      <c r="I11" s="8">
        <f>$B11*'Fuel Composition'!$J$40/100</f>
        <v>18.772419365642079</v>
      </c>
      <c r="J11" s="82">
        <f>$B11*'Fuel Composition'!$J$42/100</f>
        <v>9.0580299256824564</v>
      </c>
      <c r="K11" s="8">
        <f t="shared" ref="K11:K14" si="1">SUM(C11:J11)</f>
        <v>355.96821306501943</v>
      </c>
      <c r="L11" s="5">
        <v>2</v>
      </c>
    </row>
    <row r="12" spans="1:12" x14ac:dyDescent="0.3">
      <c r="A12" s="13">
        <v>5000000</v>
      </c>
      <c r="B12" s="13">
        <f>A7*'Loading Loss'!$I$19/2000</f>
        <v>5043.3028727338742</v>
      </c>
      <c r="C12" s="8">
        <f>$B12*'Fuel Composition'!$J$32/100</f>
        <v>16.421966877092569</v>
      </c>
      <c r="D12" s="84">
        <f>$B12*'Fuel Composition'!$J$33/100</f>
        <v>5.4963591195124287E-3</v>
      </c>
      <c r="E12" s="8">
        <f>$B12*'Fuel Composition'!$J$35/100</f>
        <v>1.1993446590838861</v>
      </c>
      <c r="F12" s="8">
        <f>$B12*'Fuel Composition'!$J$36/100</f>
        <v>146.38790200474523</v>
      </c>
      <c r="G12" s="81">
        <f>$B12*'Fuel Composition'!$J$37/100</f>
        <v>1.9365641734968832E-2</v>
      </c>
      <c r="H12" s="81">
        <f>$B12*'Fuel Composition'!$J$39/100</f>
        <v>3.4806345071311771E-2</v>
      </c>
      <c r="I12" s="8">
        <f>$B12*'Fuel Composition'!$J$40/100</f>
        <v>9.3862096828210397</v>
      </c>
      <c r="J12" s="82">
        <f>$B12*'Fuel Composition'!$J$42/100</f>
        <v>4.5290149628412282</v>
      </c>
      <c r="K12" s="8">
        <f t="shared" si="1"/>
        <v>177.98410653250971</v>
      </c>
      <c r="L12" s="5">
        <v>6</v>
      </c>
    </row>
    <row r="13" spans="1:12" x14ac:dyDescent="0.3">
      <c r="A13" s="13">
        <v>1000000</v>
      </c>
      <c r="B13" s="13">
        <f>A8*'Loading Loss'!$I$19/2000</f>
        <v>1008.6605745467749</v>
      </c>
      <c r="C13" s="8">
        <f>$B13*'Fuel Composition'!$J$32/100</f>
        <v>3.2843933754185137</v>
      </c>
      <c r="D13" s="84">
        <f>$B13*'Fuel Composition'!$J$33/100</f>
        <v>1.0992718239024859E-3</v>
      </c>
      <c r="E13" s="8">
        <f>$B13*'Fuel Composition'!$J$35/100</f>
        <v>0.23986893181677726</v>
      </c>
      <c r="F13" s="8">
        <f>$B13*'Fuel Composition'!$J$36/100</f>
        <v>29.277580400949045</v>
      </c>
      <c r="G13" s="84">
        <f>$B13*'Fuel Composition'!$J$37/100</f>
        <v>3.8731283469937662E-3</v>
      </c>
      <c r="H13" s="84">
        <f>$B13*'Fuel Composition'!$J$39/100</f>
        <v>6.961269014262356E-3</v>
      </c>
      <c r="I13" s="8">
        <f>$B13*'Fuel Composition'!$J$40/100</f>
        <v>1.8772419365642081</v>
      </c>
      <c r="J13" s="82">
        <f>$B13*'Fuel Composition'!$J$42/100</f>
        <v>0.9058029925682457</v>
      </c>
      <c r="K13" s="8">
        <f t="shared" si="1"/>
        <v>35.596821306501958</v>
      </c>
      <c r="L13" s="5">
        <v>8</v>
      </c>
    </row>
    <row r="14" spans="1:12" x14ac:dyDescent="0.3">
      <c r="A14" s="13">
        <v>500000</v>
      </c>
      <c r="B14" s="13">
        <f>A9*'Loading Loss'!$I$19/2000</f>
        <v>504.33028727338746</v>
      </c>
      <c r="C14" s="8">
        <f>$B14*'Fuel Composition'!$J$32/100</f>
        <v>1.6421966877092569</v>
      </c>
      <c r="D14" s="85">
        <f>$B14*'Fuel Composition'!$J$33/100</f>
        <v>5.4963591195124296E-4</v>
      </c>
      <c r="E14" s="8">
        <f>$B14*'Fuel Composition'!$J$35/100</f>
        <v>0.11993446590838863</v>
      </c>
      <c r="F14" s="8">
        <f>$B14*'Fuel Composition'!$J$36/100</f>
        <v>14.638790200474523</v>
      </c>
      <c r="G14" s="84">
        <f>$B14*'Fuel Composition'!$J$37/100</f>
        <v>1.9365641734968831E-3</v>
      </c>
      <c r="H14" s="84">
        <f>$B14*'Fuel Composition'!$J$39/100</f>
        <v>3.480634507131178E-3</v>
      </c>
      <c r="I14" s="8">
        <f>$B14*'Fuel Composition'!$J$40/100</f>
        <v>0.93862096828210406</v>
      </c>
      <c r="J14" s="82">
        <f>$B14*'Fuel Composition'!$J$42/100</f>
        <v>0.45290149628412285</v>
      </c>
      <c r="K14" s="8">
        <f t="shared" si="1"/>
        <v>17.798410653250979</v>
      </c>
      <c r="L14" s="5">
        <v>13</v>
      </c>
    </row>
    <row r="15" spans="1:12" x14ac:dyDescent="0.3">
      <c r="A15" s="12" t="s">
        <v>38</v>
      </c>
      <c r="B15" s="13"/>
      <c r="C15" s="8"/>
      <c r="D15" s="81"/>
      <c r="E15" s="8"/>
      <c r="F15" s="8"/>
      <c r="G15" s="81"/>
      <c r="H15" s="81"/>
      <c r="I15" s="8"/>
      <c r="J15" s="82"/>
      <c r="K15" s="8"/>
      <c r="L15" s="5"/>
    </row>
    <row r="16" spans="1:12" x14ac:dyDescent="0.3">
      <c r="A16" s="13">
        <v>10000000</v>
      </c>
      <c r="B16" s="13">
        <f>A6*'Loading Loss'!$J$19/2000</f>
        <v>9436.6057454677484</v>
      </c>
      <c r="C16" s="8">
        <f>$B16*'Fuel Composition'!$J$32/100</f>
        <v>30.727408385895316</v>
      </c>
      <c r="D16" s="81">
        <f>$B16*'Fuel Composition'!$J$33/100</f>
        <v>1.0284326631810829E-2</v>
      </c>
      <c r="E16" s="8">
        <f>$B16*'Fuel Composition'!$J$35/100</f>
        <v>2.2441132302196904</v>
      </c>
      <c r="F16" s="8">
        <f>$B16*'Fuel Composition'!$J$36/100</f>
        <v>273.90877605098433</v>
      </c>
      <c r="G16" s="81">
        <f>$B16*'Fuel Composition'!$J$37/100</f>
        <v>3.6235366122640562E-2</v>
      </c>
      <c r="H16" s="81">
        <f>$B16*'Fuel Composition'!$J$39/100</f>
        <v>6.5126716393422837E-2</v>
      </c>
      <c r="I16" s="8">
        <f>$B16*'Fuel Composition'!$J$40/100</f>
        <v>17.562689066314167</v>
      </c>
      <c r="J16" s="82">
        <f>$B16*'Fuel Composition'!$J$42/100</f>
        <v>8.4743133018480066</v>
      </c>
      <c r="K16" s="8">
        <f t="shared" ref="K16:K19" si="2">SUM(C16:J16)</f>
        <v>333.02894644440937</v>
      </c>
      <c r="L16" s="5">
        <v>2</v>
      </c>
    </row>
    <row r="17" spans="1:12" x14ac:dyDescent="0.3">
      <c r="A17" s="13">
        <v>5000000</v>
      </c>
      <c r="B17" s="13">
        <f>A7*'Loading Loss'!$J$19/2000</f>
        <v>4718.3028727338742</v>
      </c>
      <c r="C17" s="8">
        <f>$B17*'Fuel Composition'!$J$32/100</f>
        <v>15.363704192947658</v>
      </c>
      <c r="D17" s="84">
        <f>$B17*'Fuel Composition'!$J$33/100</f>
        <v>5.1421633159054146E-3</v>
      </c>
      <c r="E17" s="8">
        <f>$B17*'Fuel Composition'!$J$35/100</f>
        <v>1.1220566151098452</v>
      </c>
      <c r="F17" s="8">
        <f>$B17*'Fuel Composition'!$J$36/100</f>
        <v>136.95438802549216</v>
      </c>
      <c r="G17" s="81">
        <f>$B17*'Fuel Composition'!$J$37/100</f>
        <v>1.8117683061320281E-2</v>
      </c>
      <c r="H17" s="81">
        <f>$B17*'Fuel Composition'!$J$39/100</f>
        <v>3.2563358196711419E-2</v>
      </c>
      <c r="I17" s="8">
        <f>$B17*'Fuel Composition'!$J$40/100</f>
        <v>8.7813445331570836</v>
      </c>
      <c r="J17" s="82">
        <f>$B17*'Fuel Composition'!$J$42/100</f>
        <v>4.2371566509240033</v>
      </c>
      <c r="K17" s="8">
        <f t="shared" si="2"/>
        <v>166.51447322220469</v>
      </c>
      <c r="L17" s="5">
        <v>6</v>
      </c>
    </row>
    <row r="18" spans="1:12" x14ac:dyDescent="0.3">
      <c r="A18" s="13">
        <v>1000000</v>
      </c>
      <c r="B18" s="13">
        <f>A8*'Loading Loss'!$J$19/2000</f>
        <v>943.6605745467748</v>
      </c>
      <c r="C18" s="8">
        <f>$B18*'Fuel Composition'!$J$32/100</f>
        <v>3.0727408385895312</v>
      </c>
      <c r="D18" s="84">
        <f>$B18*'Fuel Composition'!$J$33/100</f>
        <v>1.0284326631810829E-3</v>
      </c>
      <c r="E18" s="8">
        <f>$B18*'Fuel Composition'!$J$35/100</f>
        <v>0.22441132302196901</v>
      </c>
      <c r="F18" s="8">
        <f>$B18*'Fuel Composition'!$J$36/100</f>
        <v>27.390877605098432</v>
      </c>
      <c r="G18" s="84">
        <f>$B18*'Fuel Composition'!$J$37/100</f>
        <v>3.6235366122640568E-3</v>
      </c>
      <c r="H18" s="84">
        <f>$B18*'Fuel Composition'!$J$39/100</f>
        <v>6.5126716393422842E-3</v>
      </c>
      <c r="I18" s="8">
        <f>$B18*'Fuel Composition'!$J$40/100</f>
        <v>1.7562689066314165</v>
      </c>
      <c r="J18" s="82">
        <f>$B18*'Fuel Composition'!$J$42/100</f>
        <v>0.84743133018480066</v>
      </c>
      <c r="K18" s="8">
        <f t="shared" si="2"/>
        <v>33.30289464444094</v>
      </c>
      <c r="L18" s="5">
        <v>8</v>
      </c>
    </row>
    <row r="19" spans="1:12" x14ac:dyDescent="0.3">
      <c r="A19" s="13">
        <v>500000</v>
      </c>
      <c r="B19" s="13">
        <f>A9*'Loading Loss'!$J$19/2000</f>
        <v>471.8302872733874</v>
      </c>
      <c r="C19" s="8">
        <f>$B19*'Fuel Composition'!$J$32/100</f>
        <v>1.5363704192947656</v>
      </c>
      <c r="D19" s="85">
        <f>$B19*'Fuel Composition'!$J$33/100</f>
        <v>5.1421633159054144E-4</v>
      </c>
      <c r="E19" s="8">
        <f>$B19*'Fuel Composition'!$J$35/100</f>
        <v>0.1122056615109845</v>
      </c>
      <c r="F19" s="8">
        <f>$B19*'Fuel Composition'!$J$36/100</f>
        <v>13.695438802549216</v>
      </c>
      <c r="G19" s="84">
        <f>$B19*'Fuel Composition'!$J$37/100</f>
        <v>1.8117683061320284E-3</v>
      </c>
      <c r="H19" s="84">
        <f>$B19*'Fuel Composition'!$J$39/100</f>
        <v>3.2563358196711421E-3</v>
      </c>
      <c r="I19" s="8">
        <f>$B19*'Fuel Composition'!$J$40/100</f>
        <v>0.87813445331570827</v>
      </c>
      <c r="J19" s="82">
        <f>$B19*'Fuel Composition'!$J$42/100</f>
        <v>0.42371566509240033</v>
      </c>
      <c r="K19" s="8">
        <f t="shared" si="2"/>
        <v>16.65144732222047</v>
      </c>
      <c r="L19" s="5">
        <v>13</v>
      </c>
    </row>
    <row r="20" spans="1:12" x14ac:dyDescent="0.3">
      <c r="B20" s="13"/>
      <c r="C20" s="13"/>
      <c r="D20" s="13"/>
      <c r="E20" s="13"/>
      <c r="F20" s="13"/>
      <c r="G20" s="13"/>
      <c r="H20" s="13"/>
      <c r="I20" s="13"/>
      <c r="J20" s="83"/>
      <c r="K20" s="5"/>
      <c r="L20" s="5"/>
    </row>
    <row r="23" spans="1:12" x14ac:dyDescent="0.3">
      <c r="I23" s="9"/>
    </row>
    <row r="25" spans="1:12" x14ac:dyDescent="0.3">
      <c r="B25" s="178" t="s">
        <v>17</v>
      </c>
      <c r="C25" s="178"/>
      <c r="D25" s="178"/>
      <c r="E25" s="178"/>
      <c r="F25" s="178"/>
      <c r="I25" s="194" t="s">
        <v>18</v>
      </c>
      <c r="J25" s="195"/>
      <c r="K25" s="195"/>
      <c r="L25" s="196"/>
    </row>
    <row r="26" spans="1:12" x14ac:dyDescent="0.3">
      <c r="B26" s="178" t="s">
        <v>19</v>
      </c>
      <c r="C26" s="178"/>
      <c r="D26" s="178"/>
      <c r="E26" s="178"/>
      <c r="F26" s="179" t="s">
        <v>20</v>
      </c>
      <c r="I26" s="194" t="s">
        <v>19</v>
      </c>
      <c r="J26" s="195"/>
      <c r="K26" s="196"/>
      <c r="L26" s="179" t="s">
        <v>20</v>
      </c>
    </row>
    <row r="27" spans="1:12" ht="43.2" x14ac:dyDescent="0.3">
      <c r="B27" s="99" t="s">
        <v>21</v>
      </c>
      <c r="C27" s="99" t="s">
        <v>22</v>
      </c>
      <c r="D27" s="99" t="s">
        <v>23</v>
      </c>
      <c r="E27" s="99" t="s">
        <v>24</v>
      </c>
      <c r="F27" s="180"/>
      <c r="I27" s="99" t="s">
        <v>21</v>
      </c>
      <c r="J27" s="99" t="s">
        <v>22</v>
      </c>
      <c r="K27" s="99" t="s">
        <v>24</v>
      </c>
      <c r="L27" s="180"/>
    </row>
    <row r="28" spans="1:12" x14ac:dyDescent="0.3">
      <c r="A28" s="98" t="s">
        <v>14</v>
      </c>
      <c r="B28" s="97"/>
      <c r="C28" s="92"/>
      <c r="D28" s="92"/>
      <c r="E28" s="92"/>
      <c r="F28" s="92"/>
      <c r="H28" s="98" t="s">
        <v>14</v>
      </c>
      <c r="I28" s="97"/>
      <c r="J28" s="92"/>
      <c r="K28" s="92"/>
      <c r="L28" s="92"/>
    </row>
    <row r="29" spans="1:12" x14ac:dyDescent="0.3">
      <c r="A29" s="66" t="s">
        <v>36</v>
      </c>
      <c r="B29" s="97">
        <v>2231973</v>
      </c>
      <c r="C29" s="92">
        <f>87138+306391</f>
        <v>393529</v>
      </c>
      <c r="D29" s="92">
        <v>191606</v>
      </c>
      <c r="E29" s="92">
        <v>201923</v>
      </c>
      <c r="F29" s="92"/>
      <c r="H29" s="66" t="s">
        <v>36</v>
      </c>
      <c r="I29" s="97">
        <v>946189</v>
      </c>
      <c r="J29" s="92">
        <f>122650+123685</f>
        <v>246335</v>
      </c>
      <c r="K29" s="92">
        <v>246335</v>
      </c>
      <c r="L29" s="92"/>
    </row>
    <row r="30" spans="1:12" x14ac:dyDescent="0.3">
      <c r="A30" s="13">
        <v>10000000</v>
      </c>
      <c r="B30" s="97"/>
      <c r="C30" s="92"/>
      <c r="D30" s="92"/>
      <c r="E30" s="92"/>
      <c r="F30" s="93">
        <f>$E$29/(K6-(K6*0.03))</f>
        <v>488.02663728945856</v>
      </c>
      <c r="H30" s="13">
        <v>10000000</v>
      </c>
      <c r="I30" s="97"/>
      <c r="J30" s="92"/>
      <c r="K30" s="92"/>
      <c r="L30" s="93">
        <f>$K$29/(K6-(K6*0.03))</f>
        <v>595.36576663727647</v>
      </c>
    </row>
    <row r="31" spans="1:12" x14ac:dyDescent="0.3">
      <c r="A31" s="13">
        <v>5000000</v>
      </c>
      <c r="B31" s="97"/>
      <c r="C31" s="92"/>
      <c r="D31" s="92"/>
      <c r="E31" s="92"/>
      <c r="F31" s="93">
        <f t="shared" ref="F31:F33" si="3">$E$29/(K7-(K7*0.03))</f>
        <v>976.05327457891713</v>
      </c>
      <c r="H31" s="13">
        <v>5000000</v>
      </c>
      <c r="I31" s="97"/>
      <c r="J31" s="92"/>
      <c r="K31" s="92"/>
      <c r="L31" s="93">
        <f t="shared" ref="L31:L33" si="4">$K$29/(K7-(K7*0.03))</f>
        <v>1190.7315332745529</v>
      </c>
    </row>
    <row r="32" spans="1:12" x14ac:dyDescent="0.3">
      <c r="A32" s="13">
        <v>1000000</v>
      </c>
      <c r="B32" s="97"/>
      <c r="C32" s="92"/>
      <c r="D32" s="92"/>
      <c r="E32" s="92"/>
      <c r="F32" s="93">
        <f t="shared" si="3"/>
        <v>4880.2663728945863</v>
      </c>
      <c r="H32" s="13">
        <v>1000000</v>
      </c>
      <c r="I32" s="97"/>
      <c r="J32" s="92"/>
      <c r="K32" s="92"/>
      <c r="L32" s="93">
        <f t="shared" si="4"/>
        <v>5953.6576663727656</v>
      </c>
    </row>
    <row r="33" spans="1:12" x14ac:dyDescent="0.3">
      <c r="A33" s="13">
        <v>500000</v>
      </c>
      <c r="B33" s="97"/>
      <c r="C33" s="92"/>
      <c r="D33" s="92"/>
      <c r="E33" s="92"/>
      <c r="F33" s="93">
        <f t="shared" si="3"/>
        <v>9760.5327457891726</v>
      </c>
      <c r="H33" s="13">
        <v>500000</v>
      </c>
      <c r="I33" s="97"/>
      <c r="J33" s="92"/>
      <c r="K33" s="92"/>
      <c r="L33" s="93">
        <f t="shared" si="4"/>
        <v>11907.315332745531</v>
      </c>
    </row>
    <row r="34" spans="1:12" x14ac:dyDescent="0.3">
      <c r="A34" s="12" t="s">
        <v>37</v>
      </c>
      <c r="B34" s="97">
        <v>1774647</v>
      </c>
      <c r="C34" s="92">
        <f>74747+244593</f>
        <v>319340</v>
      </c>
      <c r="D34" s="92">
        <v>159900</v>
      </c>
      <c r="E34" s="92">
        <v>159440</v>
      </c>
      <c r="F34" s="93"/>
      <c r="H34" s="12" t="s">
        <v>37</v>
      </c>
      <c r="I34" s="97">
        <v>946251</v>
      </c>
      <c r="J34" s="92">
        <f>124963+123693</f>
        <v>248656</v>
      </c>
      <c r="K34" s="92">
        <v>248656</v>
      </c>
      <c r="L34" s="93"/>
    </row>
    <row r="35" spans="1:12" x14ac:dyDescent="0.3">
      <c r="A35" s="13">
        <v>10000000</v>
      </c>
      <c r="B35" s="97"/>
      <c r="C35" s="92"/>
      <c r="D35" s="92"/>
      <c r="E35" s="92"/>
      <c r="F35" s="93">
        <f>$E$34/(K11-(K11*0.03))</f>
        <v>461.75789856437353</v>
      </c>
      <c r="H35" s="13">
        <v>10000000</v>
      </c>
      <c r="I35" s="97"/>
      <c r="J35" s="92"/>
      <c r="K35" s="92"/>
      <c r="L35" s="174">
        <f>$K$34/(K11-(K11*0.03))</f>
        <v>720.13843468027392</v>
      </c>
    </row>
    <row r="36" spans="1:12" x14ac:dyDescent="0.3">
      <c r="A36" s="13">
        <v>5000000</v>
      </c>
      <c r="B36" s="97"/>
      <c r="C36" s="92"/>
      <c r="D36" s="92"/>
      <c r="E36" s="92"/>
      <c r="F36" s="93">
        <f t="shared" ref="F36:F38" si="5">$E$34/(K12-(K12*0.03))</f>
        <v>923.51579712874707</v>
      </c>
      <c r="H36" s="13">
        <v>5000000</v>
      </c>
      <c r="I36" s="97"/>
      <c r="J36" s="92"/>
      <c r="K36" s="92"/>
      <c r="L36" s="174">
        <f t="shared" ref="L36:L38" si="6">$K$34/(K12-(K12*0.03))</f>
        <v>1440.2768693605478</v>
      </c>
    </row>
    <row r="37" spans="1:12" x14ac:dyDescent="0.3">
      <c r="A37" s="13">
        <v>1000000</v>
      </c>
      <c r="B37" s="101"/>
      <c r="C37" s="102"/>
      <c r="D37" s="102"/>
      <c r="E37" s="102"/>
      <c r="F37" s="93">
        <f t="shared" si="5"/>
        <v>4617.5789856437332</v>
      </c>
      <c r="H37" s="13">
        <v>1000000</v>
      </c>
      <c r="I37" s="101"/>
      <c r="J37" s="102"/>
      <c r="K37" s="102"/>
      <c r="L37" s="174">
        <f t="shared" si="6"/>
        <v>7201.3843468027353</v>
      </c>
    </row>
    <row r="38" spans="1:12" x14ac:dyDescent="0.3">
      <c r="A38" s="83">
        <v>500000</v>
      </c>
      <c r="B38" s="92"/>
      <c r="C38" s="92"/>
      <c r="D38" s="92"/>
      <c r="E38" s="92"/>
      <c r="F38" s="93">
        <f t="shared" si="5"/>
        <v>9235.1579712874664</v>
      </c>
      <c r="H38" s="83">
        <v>500000</v>
      </c>
      <c r="I38" s="92"/>
      <c r="J38" s="92"/>
      <c r="K38" s="92"/>
      <c r="L38" s="174">
        <f t="shared" si="6"/>
        <v>14402.768693605471</v>
      </c>
    </row>
    <row r="39" spans="1:12" x14ac:dyDescent="0.3">
      <c r="A39" s="94" t="s">
        <v>38</v>
      </c>
      <c r="B39" s="92">
        <v>1635636</v>
      </c>
      <c r="C39" s="92">
        <f>70719+225853</f>
        <v>296572</v>
      </c>
      <c r="D39" s="92">
        <v>149594</v>
      </c>
      <c r="E39" s="92">
        <v>146978</v>
      </c>
      <c r="F39" s="100"/>
      <c r="H39" s="94" t="s">
        <v>38</v>
      </c>
      <c r="I39" s="92">
        <v>946271</v>
      </c>
      <c r="J39" s="92">
        <f>125715+123696</f>
        <v>249411</v>
      </c>
      <c r="K39" s="92">
        <v>249410</v>
      </c>
      <c r="L39" s="100"/>
    </row>
    <row r="40" spans="1:12" x14ac:dyDescent="0.3">
      <c r="A40" s="83">
        <v>10000000</v>
      </c>
      <c r="B40" s="92"/>
      <c r="C40" s="92"/>
      <c r="D40" s="92"/>
      <c r="E40" s="92"/>
      <c r="F40" s="175">
        <f>$E$39/(K16-(K16*0.03))</f>
        <v>454.98660989668412</v>
      </c>
      <c r="H40" s="83">
        <v>10000000</v>
      </c>
      <c r="I40" s="92"/>
      <c r="J40" s="92"/>
      <c r="K40" s="92"/>
      <c r="L40" s="100">
        <f>$K$39/(K16-(K16*0.03))</f>
        <v>772.07616360497479</v>
      </c>
    </row>
    <row r="41" spans="1:12" x14ac:dyDescent="0.3">
      <c r="A41" s="83">
        <v>5000000</v>
      </c>
      <c r="B41" s="92"/>
      <c r="C41" s="92"/>
      <c r="D41" s="92"/>
      <c r="E41" s="92"/>
      <c r="F41" s="175">
        <f t="shared" ref="F41:F43" si="7">$E$39/(K17-(K17*0.03))</f>
        <v>909.97321979336823</v>
      </c>
      <c r="H41" s="83">
        <v>5000000</v>
      </c>
      <c r="I41" s="92"/>
      <c r="J41" s="92"/>
      <c r="K41" s="92"/>
      <c r="L41" s="100">
        <f t="shared" ref="L41:L43" si="8">$K$39/(K17-(K17*0.03))</f>
        <v>1544.1523272099496</v>
      </c>
    </row>
    <row r="42" spans="1:12" x14ac:dyDescent="0.3">
      <c r="A42" s="83">
        <v>1000000</v>
      </c>
      <c r="B42" s="92"/>
      <c r="C42" s="92"/>
      <c r="D42" s="92"/>
      <c r="E42" s="92"/>
      <c r="F42" s="175">
        <f t="shared" si="7"/>
        <v>4549.8660989668406</v>
      </c>
      <c r="H42" s="83">
        <v>1000000</v>
      </c>
      <c r="I42" s="92"/>
      <c r="J42" s="92"/>
      <c r="K42" s="92"/>
      <c r="L42" s="100">
        <f t="shared" si="8"/>
        <v>7720.7616360497477</v>
      </c>
    </row>
    <row r="43" spans="1:12" x14ac:dyDescent="0.3">
      <c r="A43" s="83">
        <v>500000</v>
      </c>
      <c r="B43" s="92"/>
      <c r="C43" s="92"/>
      <c r="D43" s="92"/>
      <c r="E43" s="92"/>
      <c r="F43" s="175">
        <f t="shared" si="7"/>
        <v>9099.7321979336812</v>
      </c>
      <c r="H43" s="83">
        <v>500000</v>
      </c>
      <c r="I43" s="92"/>
      <c r="J43" s="92"/>
      <c r="K43" s="92"/>
      <c r="L43" s="100">
        <f t="shared" si="8"/>
        <v>15441.523272099495</v>
      </c>
    </row>
  </sheetData>
  <mergeCells count="12">
    <mergeCell ref="B25:F25"/>
    <mergeCell ref="B26:E26"/>
    <mergeCell ref="F26:F27"/>
    <mergeCell ref="A1:A3"/>
    <mergeCell ref="B2:B3"/>
    <mergeCell ref="C2:K2"/>
    <mergeCell ref="A4:K4"/>
    <mergeCell ref="B1:L1"/>
    <mergeCell ref="L2:L4"/>
    <mergeCell ref="L26:L27"/>
    <mergeCell ref="I25:L25"/>
    <mergeCell ref="I26:K2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8E479-EBBB-4AE5-81DC-85BB2496166F}">
  <dimension ref="A1:K43"/>
  <sheetViews>
    <sheetView topLeftCell="A17" workbookViewId="0">
      <selection activeCell="L42" sqref="L42"/>
    </sheetView>
  </sheetViews>
  <sheetFormatPr defaultRowHeight="14.4" x14ac:dyDescent="0.3"/>
  <cols>
    <col min="1" max="1" width="24.44140625" customWidth="1"/>
    <col min="2" max="2" width="13.33203125" bestFit="1" customWidth="1"/>
    <col min="3" max="4" width="13.109375" customWidth="1"/>
    <col min="5" max="5" width="12.33203125" customWidth="1"/>
    <col min="6" max="6" width="13.44140625" customWidth="1"/>
    <col min="7" max="7" width="11.6640625" customWidth="1"/>
    <col min="8" max="9" width="11.44140625" customWidth="1"/>
    <col min="10" max="10" width="10.6640625" customWidth="1"/>
    <col min="11" max="11" width="13" customWidth="1"/>
  </cols>
  <sheetData>
    <row r="1" spans="1:4" ht="15" thickBot="1" x14ac:dyDescent="0.35">
      <c r="A1" s="183" t="s">
        <v>0</v>
      </c>
      <c r="B1" s="197" t="s">
        <v>39</v>
      </c>
      <c r="C1" s="198"/>
      <c r="D1" s="199"/>
    </row>
    <row r="2" spans="1:4" ht="30.9" customHeight="1" thickBot="1" x14ac:dyDescent="0.35">
      <c r="A2" s="181"/>
      <c r="B2" s="186" t="s">
        <v>3</v>
      </c>
      <c r="C2" s="201"/>
      <c r="D2" s="191" t="s">
        <v>40</v>
      </c>
    </row>
    <row r="3" spans="1:4" s="10" customFormat="1" ht="59.4" customHeight="1" thickBot="1" x14ac:dyDescent="0.35">
      <c r="A3" s="182"/>
      <c r="B3" s="11" t="s">
        <v>5</v>
      </c>
      <c r="C3" s="11" t="s">
        <v>7</v>
      </c>
      <c r="D3" s="192"/>
    </row>
    <row r="4" spans="1:4" ht="15" thickBot="1" x14ac:dyDescent="0.35">
      <c r="A4" s="184" t="s">
        <v>14</v>
      </c>
      <c r="B4" s="185"/>
      <c r="C4" s="200"/>
      <c r="D4" s="193"/>
    </row>
    <row r="5" spans="1:4" x14ac:dyDescent="0.3">
      <c r="A5" s="66" t="s">
        <v>15</v>
      </c>
      <c r="B5" s="67"/>
      <c r="C5" s="67"/>
      <c r="D5" s="67"/>
    </row>
    <row r="6" spans="1:4" x14ac:dyDescent="0.3">
      <c r="A6" s="13">
        <v>100000</v>
      </c>
      <c r="B6" s="8">
        <f>A6*'Loading Loss'!$I$7/2000</f>
        <v>85.768210586161814</v>
      </c>
      <c r="C6" s="8">
        <f>A6*'Loading Loss'!$I$8/2000</f>
        <v>29.970926424659361</v>
      </c>
      <c r="D6" s="5">
        <v>9</v>
      </c>
    </row>
    <row r="7" spans="1:4" x14ac:dyDescent="0.3">
      <c r="A7" s="13">
        <v>50000</v>
      </c>
      <c r="B7" s="8">
        <f>A7*'Loading Loss'!$I$7/2000</f>
        <v>42.884105293080907</v>
      </c>
      <c r="C7" s="8">
        <f>A7*'Loading Loss'!$I$8/2000</f>
        <v>14.98546321232968</v>
      </c>
      <c r="D7" s="5">
        <v>15</v>
      </c>
    </row>
    <row r="8" spans="1:4" x14ac:dyDescent="0.3">
      <c r="A8" s="13">
        <v>5000</v>
      </c>
      <c r="B8" s="8">
        <f>A8*'Loading Loss'!$I$7/2000</f>
        <v>4.2884105293080914</v>
      </c>
      <c r="C8" s="8">
        <f>A8*'Loading Loss'!$I$8/2000</f>
        <v>1.4985463212329679</v>
      </c>
      <c r="D8" s="5">
        <v>29</v>
      </c>
    </row>
    <row r="9" spans="1:4" x14ac:dyDescent="0.3">
      <c r="A9" s="12" t="s">
        <v>16</v>
      </c>
      <c r="B9" s="8"/>
      <c r="C9" s="8"/>
      <c r="D9" s="5"/>
    </row>
    <row r="10" spans="1:4" x14ac:dyDescent="0.3">
      <c r="A10" s="13">
        <v>100000</v>
      </c>
      <c r="B10" s="8">
        <f>A10*'Loading Loss'!$H$7/2000</f>
        <v>34.307284234464731</v>
      </c>
      <c r="C10" s="8">
        <f>A10*'Loading Loss'!$H$8/2000</f>
        <v>11.988370569863745</v>
      </c>
      <c r="D10" s="5">
        <v>9</v>
      </c>
    </row>
    <row r="11" spans="1:4" x14ac:dyDescent="0.3">
      <c r="A11" s="13">
        <v>50000</v>
      </c>
      <c r="B11" s="8">
        <f>A11*'Loading Loss'!$H$7/2000</f>
        <v>17.153642117232366</v>
      </c>
      <c r="C11" s="8">
        <f>A11*'Loading Loss'!$H$8/2000</f>
        <v>5.9941852849318726</v>
      </c>
      <c r="D11" s="5">
        <v>15</v>
      </c>
    </row>
    <row r="12" spans="1:4" x14ac:dyDescent="0.3">
      <c r="A12" s="13">
        <v>5000</v>
      </c>
      <c r="B12" s="8">
        <f>A12*'Loading Loss'!$H$7/2000</f>
        <v>1.7153642117232364</v>
      </c>
      <c r="C12" s="8">
        <f>A12*'Loading Loss'!$H$8/2000</f>
        <v>0.59941852849318733</v>
      </c>
      <c r="D12" s="5">
        <v>29</v>
      </c>
    </row>
    <row r="17" spans="1:11" x14ac:dyDescent="0.3">
      <c r="B17" s="178" t="s">
        <v>41</v>
      </c>
      <c r="C17" s="178"/>
      <c r="D17" s="178"/>
      <c r="E17" s="178"/>
      <c r="F17" s="178"/>
      <c r="G17" s="178" t="s">
        <v>42</v>
      </c>
      <c r="H17" s="178"/>
      <c r="I17" s="178"/>
      <c r="J17" s="178"/>
      <c r="K17" s="178"/>
    </row>
    <row r="18" spans="1:11" x14ac:dyDescent="0.3">
      <c r="B18" s="178" t="s">
        <v>19</v>
      </c>
      <c r="C18" s="178"/>
      <c r="D18" s="178"/>
      <c r="E18" s="178"/>
      <c r="F18" s="179" t="s">
        <v>20</v>
      </c>
      <c r="G18" s="178" t="s">
        <v>19</v>
      </c>
      <c r="H18" s="178"/>
      <c r="I18" s="178"/>
      <c r="J18" s="178"/>
      <c r="K18" s="179" t="s">
        <v>20</v>
      </c>
    </row>
    <row r="19" spans="1:11" ht="43.2" x14ac:dyDescent="0.3">
      <c r="B19" s="99" t="s">
        <v>21</v>
      </c>
      <c r="C19" s="99" t="s">
        <v>22</v>
      </c>
      <c r="D19" s="99" t="s">
        <v>23</v>
      </c>
      <c r="E19" s="99" t="s">
        <v>24</v>
      </c>
      <c r="F19" s="180"/>
      <c r="G19" s="99" t="s">
        <v>21</v>
      </c>
      <c r="H19" s="99" t="s">
        <v>22</v>
      </c>
      <c r="I19" s="99" t="s">
        <v>23</v>
      </c>
      <c r="J19" s="99" t="s">
        <v>24</v>
      </c>
      <c r="K19" s="180"/>
    </row>
    <row r="20" spans="1:11" x14ac:dyDescent="0.3">
      <c r="A20" s="98" t="s">
        <v>14</v>
      </c>
      <c r="B20" s="97"/>
      <c r="C20" s="92"/>
      <c r="D20" s="92"/>
      <c r="E20" s="92"/>
      <c r="F20" s="92"/>
      <c r="G20" s="97"/>
      <c r="H20" s="92"/>
      <c r="I20" s="92"/>
      <c r="J20" s="92"/>
      <c r="K20" s="92"/>
    </row>
    <row r="21" spans="1:11" x14ac:dyDescent="0.3">
      <c r="A21" s="95" t="s">
        <v>15</v>
      </c>
      <c r="B21" s="97">
        <v>989089</v>
      </c>
      <c r="C21" s="92">
        <f>57262+139118</f>
        <v>196380</v>
      </c>
      <c r="D21" s="92">
        <v>135965</v>
      </c>
      <c r="E21" s="92">
        <v>60415</v>
      </c>
      <c r="F21" s="92"/>
      <c r="G21" s="97">
        <v>431507</v>
      </c>
      <c r="H21" s="92">
        <f>25743+66007</f>
        <v>91750</v>
      </c>
      <c r="I21" s="92">
        <v>47512</v>
      </c>
      <c r="J21" s="92">
        <v>44239</v>
      </c>
      <c r="K21" s="92"/>
    </row>
    <row r="22" spans="1:11" x14ac:dyDescent="0.3">
      <c r="A22" s="13">
        <v>100000</v>
      </c>
      <c r="B22" s="97"/>
      <c r="C22" s="92"/>
      <c r="D22" s="92"/>
      <c r="E22" s="92"/>
      <c r="F22" s="93">
        <f>$E$21/(B6-(B6*0.03))</f>
        <v>726.18403402586841</v>
      </c>
      <c r="G22" s="97"/>
      <c r="H22" s="92"/>
      <c r="I22" s="92"/>
      <c r="J22" s="92"/>
      <c r="K22" s="93">
        <f>$J$21/(C6-(C6*0.03))</f>
        <v>1521.7152732830052</v>
      </c>
    </row>
    <row r="23" spans="1:11" x14ac:dyDescent="0.3">
      <c r="A23" s="13">
        <v>50000</v>
      </c>
      <c r="B23" s="97"/>
      <c r="C23" s="92"/>
      <c r="D23" s="92"/>
      <c r="E23" s="92"/>
      <c r="F23" s="93">
        <f t="shared" ref="F23:F24" si="0">$E$21/(B7-(B7*0.03))</f>
        <v>1452.3680680517368</v>
      </c>
      <c r="G23" s="97"/>
      <c r="H23" s="92"/>
      <c r="I23" s="92"/>
      <c r="J23" s="92"/>
      <c r="K23" s="93">
        <f t="shared" ref="K23:K24" si="1">$J$21/(C7-(C7*0.03))</f>
        <v>3043.4305465660104</v>
      </c>
    </row>
    <row r="24" spans="1:11" x14ac:dyDescent="0.3">
      <c r="A24" s="13">
        <v>5000</v>
      </c>
      <c r="B24" s="97"/>
      <c r="C24" s="92"/>
      <c r="D24" s="92"/>
      <c r="E24" s="92"/>
      <c r="F24" s="93">
        <f t="shared" si="0"/>
        <v>14523.680680517364</v>
      </c>
      <c r="G24" s="97"/>
      <c r="H24" s="92"/>
      <c r="I24" s="92"/>
      <c r="J24" s="92"/>
      <c r="K24" s="93">
        <f t="shared" si="1"/>
        <v>30434.305465660109</v>
      </c>
    </row>
    <row r="25" spans="1:11" x14ac:dyDescent="0.3">
      <c r="A25" s="176" t="s">
        <v>16</v>
      </c>
      <c r="B25" s="97">
        <v>514987</v>
      </c>
      <c r="C25" s="92">
        <f>30258+76620</f>
        <v>106878</v>
      </c>
      <c r="D25" s="92">
        <v>54383</v>
      </c>
      <c r="E25" s="92">
        <v>52495</v>
      </c>
      <c r="F25" s="93"/>
      <c r="G25" s="97">
        <v>383514</v>
      </c>
      <c r="H25" s="92">
        <f>17651+60160</f>
        <v>77811</v>
      </c>
      <c r="I25" s="92">
        <v>19002</v>
      </c>
      <c r="J25" s="92">
        <v>58809</v>
      </c>
      <c r="K25" s="93"/>
    </row>
    <row r="26" spans="1:11" x14ac:dyDescent="0.3">
      <c r="A26" s="13">
        <v>100000</v>
      </c>
      <c r="B26" s="97"/>
      <c r="C26" s="92"/>
      <c r="D26" s="92"/>
      <c r="E26" s="92"/>
      <c r="F26" s="93">
        <f>$E$25/(B10-(B10*0.03))</f>
        <v>1577.4654831659336</v>
      </c>
      <c r="G26" s="97"/>
      <c r="H26" s="92"/>
      <c r="I26" s="92"/>
      <c r="J26" s="92"/>
      <c r="K26" s="93">
        <f>$J$25/(C10-(C10*0.03))</f>
        <v>5057.2206371357988</v>
      </c>
    </row>
    <row r="27" spans="1:11" x14ac:dyDescent="0.3">
      <c r="A27" s="13">
        <v>50000</v>
      </c>
      <c r="B27" s="97"/>
      <c r="C27" s="92"/>
      <c r="D27" s="92"/>
      <c r="E27" s="92"/>
      <c r="F27" s="93">
        <f t="shared" ref="F27:F28" si="2">$E$25/(B11-(B11*0.03))</f>
        <v>3154.9309663318672</v>
      </c>
      <c r="G27" s="97"/>
      <c r="H27" s="92"/>
      <c r="I27" s="92"/>
      <c r="J27" s="92"/>
      <c r="K27" s="93">
        <f t="shared" ref="K27:K28" si="3">$J$25/(C11-(C11*0.03))</f>
        <v>10114.441274271598</v>
      </c>
    </row>
    <row r="28" spans="1:11" x14ac:dyDescent="0.3">
      <c r="A28" s="13">
        <v>5000</v>
      </c>
      <c r="B28" s="97"/>
      <c r="C28" s="92"/>
      <c r="D28" s="92"/>
      <c r="E28" s="92"/>
      <c r="F28" s="93">
        <f t="shared" si="2"/>
        <v>31549.30966331868</v>
      </c>
      <c r="G28" s="97"/>
      <c r="H28" s="92"/>
      <c r="I28" s="92"/>
      <c r="J28" s="92"/>
      <c r="K28" s="93">
        <f t="shared" si="3"/>
        <v>101144.41274271595</v>
      </c>
    </row>
    <row r="32" spans="1:11" x14ac:dyDescent="0.3">
      <c r="B32" s="194" t="s">
        <v>43</v>
      </c>
      <c r="C32" s="195"/>
      <c r="D32" s="195"/>
      <c r="E32" s="196"/>
      <c r="F32" s="194" t="s">
        <v>44</v>
      </c>
      <c r="G32" s="195"/>
      <c r="H32" s="195"/>
      <c r="I32" s="196"/>
    </row>
    <row r="33" spans="1:9" x14ac:dyDescent="0.3">
      <c r="B33" s="194" t="s">
        <v>19</v>
      </c>
      <c r="C33" s="195"/>
      <c r="D33" s="196"/>
      <c r="E33" s="179" t="s">
        <v>20</v>
      </c>
      <c r="F33" s="194" t="s">
        <v>19</v>
      </c>
      <c r="G33" s="195"/>
      <c r="H33" s="196"/>
      <c r="I33" s="179" t="s">
        <v>20</v>
      </c>
    </row>
    <row r="34" spans="1:9" ht="43.2" x14ac:dyDescent="0.3">
      <c r="B34" s="99" t="s">
        <v>21</v>
      </c>
      <c r="C34" s="99" t="s">
        <v>22</v>
      </c>
      <c r="D34" s="99" t="s">
        <v>24</v>
      </c>
      <c r="E34" s="180"/>
      <c r="F34" s="99" t="s">
        <v>21</v>
      </c>
      <c r="G34" s="99" t="s">
        <v>22</v>
      </c>
      <c r="H34" s="99" t="s">
        <v>24</v>
      </c>
      <c r="I34" s="180"/>
    </row>
    <row r="35" spans="1:9" x14ac:dyDescent="0.3">
      <c r="A35" s="98" t="s">
        <v>14</v>
      </c>
      <c r="B35" s="97"/>
      <c r="C35" s="92"/>
      <c r="D35" s="92"/>
      <c r="E35" s="92"/>
      <c r="F35" s="97"/>
      <c r="G35" s="92"/>
      <c r="H35" s="92"/>
      <c r="I35" s="92"/>
    </row>
    <row r="36" spans="1:9" x14ac:dyDescent="0.3">
      <c r="A36" s="95" t="s">
        <v>15</v>
      </c>
      <c r="B36" s="97">
        <v>946560</v>
      </c>
      <c r="C36" s="92">
        <f>136543+123731</f>
        <v>260274</v>
      </c>
      <c r="D36" s="92">
        <v>260274</v>
      </c>
      <c r="E36" s="92"/>
      <c r="F36" s="97">
        <v>946561</v>
      </c>
      <c r="G36" s="92">
        <f>136590+123731</f>
        <v>260321</v>
      </c>
      <c r="H36" s="92">
        <v>260322</v>
      </c>
      <c r="I36" s="92"/>
    </row>
    <row r="37" spans="1:9" x14ac:dyDescent="0.3">
      <c r="A37" s="13">
        <v>100000</v>
      </c>
      <c r="B37" s="97"/>
      <c r="C37" s="92"/>
      <c r="D37" s="92"/>
      <c r="E37" s="93">
        <f>$D$36/(B6-(B6*0.03))</f>
        <v>3128.4751017470639</v>
      </c>
      <c r="F37" s="97"/>
      <c r="G37" s="92"/>
      <c r="H37" s="92"/>
      <c r="I37" s="93">
        <f>$H$36/(C6-(C6*0.03))</f>
        <v>8954.4511261913358</v>
      </c>
    </row>
    <row r="38" spans="1:9" x14ac:dyDescent="0.3">
      <c r="A38" s="13">
        <v>50000</v>
      </c>
      <c r="B38" s="97"/>
      <c r="C38" s="92"/>
      <c r="D38" s="92"/>
      <c r="E38" s="93">
        <f t="shared" ref="E38:E39" si="4">$D$36/(B7-(B7*0.03))</f>
        <v>6256.9502034941279</v>
      </c>
      <c r="F38" s="97"/>
      <c r="G38" s="92"/>
      <c r="H38" s="92"/>
      <c r="I38" s="93">
        <f t="shared" ref="I38:I39" si="5">$H$36/(C7-(C7*0.03))</f>
        <v>17908.902252382672</v>
      </c>
    </row>
    <row r="39" spans="1:9" x14ac:dyDescent="0.3">
      <c r="A39" s="13">
        <v>5000</v>
      </c>
      <c r="B39" s="97"/>
      <c r="C39" s="92"/>
      <c r="D39" s="92"/>
      <c r="E39" s="93">
        <f t="shared" si="4"/>
        <v>62569.502034941266</v>
      </c>
      <c r="F39" s="97"/>
      <c r="G39" s="92"/>
      <c r="H39" s="92"/>
      <c r="I39" s="93">
        <f t="shared" si="5"/>
        <v>179089.02252382672</v>
      </c>
    </row>
    <row r="40" spans="1:9" x14ac:dyDescent="0.3">
      <c r="A40" s="176" t="s">
        <v>16</v>
      </c>
      <c r="B40" s="97">
        <v>946561</v>
      </c>
      <c r="C40" s="92">
        <f>136593+123731</f>
        <v>260324</v>
      </c>
      <c r="D40" s="92">
        <v>260325</v>
      </c>
      <c r="E40" s="93"/>
      <c r="F40" s="97">
        <v>946562</v>
      </c>
      <c r="G40" s="92">
        <f>136612+123731</f>
        <v>260343</v>
      </c>
      <c r="H40" s="92">
        <v>260344</v>
      </c>
      <c r="I40" s="93"/>
    </row>
    <row r="41" spans="1:9" x14ac:dyDescent="0.3">
      <c r="A41" s="13">
        <v>100000</v>
      </c>
      <c r="B41" s="97"/>
      <c r="C41" s="92"/>
      <c r="D41" s="92"/>
      <c r="E41" s="93">
        <f>$D$40/(B10-(B10*0.03))</f>
        <v>7822.7202953647329</v>
      </c>
      <c r="F41" s="97"/>
      <c r="G41" s="92"/>
      <c r="H41" s="92"/>
      <c r="I41" s="93">
        <f>$H$40/(C10-(C10*0.03))</f>
        <v>22388.019683287974</v>
      </c>
    </row>
    <row r="42" spans="1:9" x14ac:dyDescent="0.3">
      <c r="A42" s="13">
        <v>50000</v>
      </c>
      <c r="B42" s="97"/>
      <c r="C42" s="92"/>
      <c r="D42" s="92"/>
      <c r="E42" s="93">
        <f t="shared" ref="E42:E43" si="6">$D$40/(B11-(B11*0.03))</f>
        <v>15645.440590729466</v>
      </c>
      <c r="F42" s="97"/>
      <c r="G42" s="92"/>
      <c r="H42" s="92"/>
      <c r="I42" s="93">
        <f t="shared" ref="I42:I43" si="7">$H$40/(C11-(C11*0.03))</f>
        <v>44776.039366575947</v>
      </c>
    </row>
    <row r="43" spans="1:9" x14ac:dyDescent="0.3">
      <c r="A43" s="13">
        <v>5000</v>
      </c>
      <c r="B43" s="97"/>
      <c r="C43" s="92"/>
      <c r="D43" s="92"/>
      <c r="E43" s="93">
        <f t="shared" si="6"/>
        <v>156454.40590729471</v>
      </c>
      <c r="F43" s="97"/>
      <c r="G43" s="92"/>
      <c r="H43" s="92"/>
      <c r="I43" s="93">
        <f t="shared" si="7"/>
        <v>447760.39366575942</v>
      </c>
    </row>
  </sheetData>
  <mergeCells count="17">
    <mergeCell ref="B17:F17"/>
    <mergeCell ref="B18:E18"/>
    <mergeCell ref="F18:F19"/>
    <mergeCell ref="G17:K17"/>
    <mergeCell ref="G18:J18"/>
    <mergeCell ref="K18:K19"/>
    <mergeCell ref="D2:D4"/>
    <mergeCell ref="B1:D1"/>
    <mergeCell ref="A4:C4"/>
    <mergeCell ref="A1:A3"/>
    <mergeCell ref="B2:C2"/>
    <mergeCell ref="E33:E34"/>
    <mergeCell ref="I33:I34"/>
    <mergeCell ref="B32:E32"/>
    <mergeCell ref="F32:I32"/>
    <mergeCell ref="B33:D33"/>
    <mergeCell ref="F33:H3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E44C4-A6F1-42AB-819D-01CA55A4F56F}">
  <dimension ref="A1:K47"/>
  <sheetViews>
    <sheetView topLeftCell="A16" workbookViewId="0">
      <selection activeCell="K28" sqref="K28:K31"/>
    </sheetView>
  </sheetViews>
  <sheetFormatPr defaultRowHeight="14.4" x14ac:dyDescent="0.3"/>
  <cols>
    <col min="1" max="1" width="24.44140625" customWidth="1"/>
    <col min="2" max="2" width="11.44140625" customWidth="1"/>
    <col min="3" max="3" width="12.44140625" customWidth="1"/>
    <col min="4" max="4" width="11.6640625" customWidth="1"/>
    <col min="5" max="5" width="11.5546875" customWidth="1"/>
    <col min="6" max="6" width="12" customWidth="1"/>
    <col min="9" max="9" width="16.109375" customWidth="1"/>
    <col min="11" max="11" width="14.109375" customWidth="1"/>
  </cols>
  <sheetData>
    <row r="1" spans="1:4" ht="15" thickBot="1" x14ac:dyDescent="0.35">
      <c r="A1" s="183" t="s">
        <v>0</v>
      </c>
      <c r="B1" s="197" t="s">
        <v>45</v>
      </c>
      <c r="C1" s="198"/>
      <c r="D1" s="199"/>
    </row>
    <row r="2" spans="1:4" ht="30.9" customHeight="1" thickBot="1" x14ac:dyDescent="0.35">
      <c r="A2" s="181"/>
      <c r="B2" s="188" t="s">
        <v>3</v>
      </c>
      <c r="C2" s="190"/>
      <c r="D2" s="191" t="s">
        <v>40</v>
      </c>
    </row>
    <row r="3" spans="1:4" s="10" customFormat="1" ht="59.4" customHeight="1" thickBot="1" x14ac:dyDescent="0.35">
      <c r="A3" s="182"/>
      <c r="B3" s="11" t="s">
        <v>46</v>
      </c>
      <c r="C3" s="11" t="s">
        <v>47</v>
      </c>
      <c r="D3" s="192"/>
    </row>
    <row r="4" spans="1:4" ht="15" thickBot="1" x14ac:dyDescent="0.35">
      <c r="A4" s="184" t="s">
        <v>14</v>
      </c>
      <c r="B4" s="185"/>
      <c r="C4" s="185"/>
      <c r="D4" s="193"/>
    </row>
    <row r="5" spans="1:4" x14ac:dyDescent="0.3">
      <c r="A5" s="66" t="s">
        <v>15</v>
      </c>
      <c r="B5" s="67"/>
      <c r="C5" s="67"/>
      <c r="D5" s="67"/>
    </row>
    <row r="6" spans="1:4" x14ac:dyDescent="0.3">
      <c r="A6" s="13">
        <v>500000</v>
      </c>
      <c r="B6" s="8">
        <f>A6*'Loading Loss'!$I$9/2000</f>
        <v>175.52384785945765</v>
      </c>
      <c r="C6" s="8">
        <f>A6*'Loading Loss'!$I$10/2000</f>
        <v>0.18696375575643875</v>
      </c>
      <c r="D6" s="5">
        <v>16</v>
      </c>
    </row>
    <row r="7" spans="1:4" x14ac:dyDescent="0.3">
      <c r="A7" s="13">
        <v>100000</v>
      </c>
      <c r="B7" s="8">
        <f>A7*'Loading Loss'!$I$9/2000</f>
        <v>35.104769571891531</v>
      </c>
      <c r="C7" s="8">
        <f>A7*'Loading Loss'!$I$10/2000</f>
        <v>3.7392751151287748E-2</v>
      </c>
      <c r="D7" s="5">
        <v>26</v>
      </c>
    </row>
    <row r="8" spans="1:4" x14ac:dyDescent="0.3">
      <c r="A8" s="13">
        <v>50000</v>
      </c>
      <c r="B8" s="8">
        <f>A8*'Loading Loss'!$I$9/2000</f>
        <v>17.552384785945765</v>
      </c>
      <c r="C8" s="8">
        <f>A8*'Loading Loss'!$I$10/2000</f>
        <v>1.8696375575643874E-2</v>
      </c>
      <c r="D8" s="5">
        <v>36</v>
      </c>
    </row>
    <row r="9" spans="1:4" x14ac:dyDescent="0.3">
      <c r="A9" s="13">
        <v>5000</v>
      </c>
      <c r="B9" s="8">
        <f>A9*'Loading Loss'!$I$9/2000</f>
        <v>1.7552384785945765</v>
      </c>
      <c r="C9" s="81">
        <f>A9*'Loading Loss'!$I$10/2000</f>
        <v>1.8696375575643876E-3</v>
      </c>
      <c r="D9" s="5">
        <v>65</v>
      </c>
    </row>
    <row r="10" spans="1:4" x14ac:dyDescent="0.3">
      <c r="A10" s="12" t="s">
        <v>16</v>
      </c>
      <c r="B10" s="8"/>
      <c r="C10" s="8"/>
      <c r="D10" s="5"/>
    </row>
    <row r="11" spans="1:4" x14ac:dyDescent="0.3">
      <c r="A11" s="13">
        <v>500000</v>
      </c>
      <c r="B11" s="8">
        <f>A11*'Loading Loss'!$H$9/2000</f>
        <v>70.209539143783061</v>
      </c>
      <c r="C11" s="8">
        <f>A11*'Loading Loss'!$H$10/2000</f>
        <v>7.4785502302575496E-2</v>
      </c>
      <c r="D11" s="5">
        <v>16</v>
      </c>
    </row>
    <row r="12" spans="1:4" x14ac:dyDescent="0.3">
      <c r="A12" s="13">
        <v>100000</v>
      </c>
      <c r="B12" s="8">
        <f>A12*'Loading Loss'!$H$9/2000</f>
        <v>14.041907828756612</v>
      </c>
      <c r="C12" s="8">
        <f>A12*'Loading Loss'!$H$10/2000</f>
        <v>1.4957100460515099E-2</v>
      </c>
      <c r="D12" s="5">
        <v>26</v>
      </c>
    </row>
    <row r="13" spans="1:4" x14ac:dyDescent="0.3">
      <c r="A13" s="13">
        <v>50000</v>
      </c>
      <c r="B13" s="8">
        <f>A13*'Loading Loss'!$H$9/2000</f>
        <v>7.020953914378306</v>
      </c>
      <c r="C13" s="8">
        <f>A13*'Loading Loss'!$H$10/2000</f>
        <v>7.4785502302575496E-3</v>
      </c>
      <c r="D13" s="5">
        <v>36</v>
      </c>
    </row>
    <row r="14" spans="1:4" x14ac:dyDescent="0.3">
      <c r="A14" s="13">
        <v>5000</v>
      </c>
      <c r="B14" s="8">
        <f>A14*'Loading Loss'!$H$9/2000</f>
        <v>0.70209539143783062</v>
      </c>
      <c r="C14" s="81">
        <f>A14*'Loading Loss'!$H$10/2000</f>
        <v>7.4785502302575487E-4</v>
      </c>
      <c r="D14" s="5">
        <v>65</v>
      </c>
    </row>
    <row r="18" spans="1:11" x14ac:dyDescent="0.3">
      <c r="B18" s="178" t="s">
        <v>48</v>
      </c>
      <c r="C18" s="178"/>
      <c r="D18" s="178"/>
      <c r="E18" s="178"/>
      <c r="F18" s="178"/>
      <c r="G18" s="178" t="s">
        <v>49</v>
      </c>
      <c r="H18" s="178"/>
      <c r="I18" s="178"/>
      <c r="J18" s="178"/>
      <c r="K18" s="178"/>
    </row>
    <row r="19" spans="1:11" x14ac:dyDescent="0.3">
      <c r="B19" s="178" t="s">
        <v>19</v>
      </c>
      <c r="C19" s="178"/>
      <c r="D19" s="178"/>
      <c r="E19" s="178"/>
      <c r="F19" s="179" t="s">
        <v>20</v>
      </c>
      <c r="G19" s="178" t="s">
        <v>19</v>
      </c>
      <c r="H19" s="178"/>
      <c r="I19" s="178"/>
      <c r="J19" s="178"/>
      <c r="K19" s="179" t="s">
        <v>20</v>
      </c>
    </row>
    <row r="20" spans="1:11" ht="57.6" x14ac:dyDescent="0.3">
      <c r="B20" s="99" t="s">
        <v>21</v>
      </c>
      <c r="C20" s="99" t="s">
        <v>22</v>
      </c>
      <c r="D20" s="99" t="s">
        <v>23</v>
      </c>
      <c r="E20" s="99" t="s">
        <v>24</v>
      </c>
      <c r="F20" s="180"/>
      <c r="G20" s="99" t="s">
        <v>21</v>
      </c>
      <c r="H20" s="99" t="s">
        <v>22</v>
      </c>
      <c r="I20" s="99" t="s">
        <v>23</v>
      </c>
      <c r="J20" s="99" t="s">
        <v>24</v>
      </c>
      <c r="K20" s="180"/>
    </row>
    <row r="21" spans="1:11" x14ac:dyDescent="0.3">
      <c r="A21" s="98" t="s">
        <v>14</v>
      </c>
      <c r="B21" s="97"/>
      <c r="C21" s="92"/>
      <c r="D21" s="92"/>
      <c r="E21" s="92"/>
      <c r="F21" s="92"/>
      <c r="G21" s="97"/>
      <c r="H21" s="92"/>
      <c r="I21" s="92"/>
      <c r="J21" s="92"/>
      <c r="K21" s="92"/>
    </row>
    <row r="22" spans="1:11" x14ac:dyDescent="0.3">
      <c r="A22" s="95" t="s">
        <v>15</v>
      </c>
      <c r="B22" s="97">
        <v>416205</v>
      </c>
      <c r="C22" s="92">
        <f>26578+64109</f>
        <v>90687</v>
      </c>
      <c r="D22" s="92">
        <v>55648</v>
      </c>
      <c r="E22" s="92">
        <v>35039</v>
      </c>
      <c r="F22" s="92"/>
      <c r="G22" s="97">
        <v>362648</v>
      </c>
      <c r="H22" s="92">
        <f>12300+57805</f>
        <v>70105</v>
      </c>
      <c r="I22" s="92">
        <v>59</v>
      </c>
      <c r="J22" s="92">
        <v>70046</v>
      </c>
      <c r="K22" s="92"/>
    </row>
    <row r="23" spans="1:11" x14ac:dyDescent="0.3">
      <c r="A23" s="13">
        <v>500000</v>
      </c>
      <c r="B23" s="97"/>
      <c r="C23" s="92"/>
      <c r="D23" s="92"/>
      <c r="E23" s="92"/>
      <c r="F23" s="93">
        <f>$E$22/(B6-(B6*0.03))</f>
        <v>205.79927373341684</v>
      </c>
      <c r="G23" s="97"/>
      <c r="H23" s="92"/>
      <c r="I23" s="92"/>
      <c r="J23" s="92"/>
      <c r="K23" s="93">
        <f>$J$22/(C6-(C6*0.03))</f>
        <v>386237.27279041748</v>
      </c>
    </row>
    <row r="24" spans="1:11" x14ac:dyDescent="0.3">
      <c r="A24" s="13">
        <v>100000</v>
      </c>
      <c r="B24" s="97"/>
      <c r="C24" s="92"/>
      <c r="D24" s="92"/>
      <c r="E24" s="92"/>
      <c r="F24" s="93">
        <f t="shared" ref="F24:F26" si="0">$E$22/(B7-(B7*0.03))</f>
        <v>1028.9963686670842</v>
      </c>
      <c r="G24" s="97"/>
      <c r="H24" s="92"/>
      <c r="I24" s="92"/>
      <c r="J24" s="92"/>
      <c r="K24" s="93">
        <f t="shared" ref="K24:K26" si="1">$J$22/(C7-(C7*0.03))</f>
        <v>1931186.3639520872</v>
      </c>
    </row>
    <row r="25" spans="1:11" x14ac:dyDescent="0.3">
      <c r="A25" s="13">
        <v>50000</v>
      </c>
      <c r="B25" s="97"/>
      <c r="C25" s="92"/>
      <c r="D25" s="92"/>
      <c r="E25" s="92"/>
      <c r="F25" s="93">
        <f t="shared" si="0"/>
        <v>2057.9927373341684</v>
      </c>
      <c r="G25" s="97"/>
      <c r="H25" s="92"/>
      <c r="I25" s="92"/>
      <c r="J25" s="92"/>
      <c r="K25" s="93">
        <f t="shared" si="1"/>
        <v>3862372.7279041745</v>
      </c>
    </row>
    <row r="26" spans="1:11" x14ac:dyDescent="0.3">
      <c r="A26" s="13">
        <v>5000</v>
      </c>
      <c r="B26" s="97"/>
      <c r="C26" s="92"/>
      <c r="D26" s="92"/>
      <c r="E26" s="92"/>
      <c r="F26" s="93">
        <f t="shared" si="0"/>
        <v>20579.927373341685</v>
      </c>
      <c r="G26" s="97"/>
      <c r="H26" s="92"/>
      <c r="I26" s="92"/>
      <c r="J26" s="92"/>
      <c r="K26" s="93">
        <f t="shared" si="1"/>
        <v>38623727.279041745</v>
      </c>
    </row>
    <row r="27" spans="1:11" x14ac:dyDescent="0.3">
      <c r="A27" s="176" t="s">
        <v>16</v>
      </c>
      <c r="B27" s="97">
        <v>379360</v>
      </c>
      <c r="C27" s="92">
        <f>17985+59675</f>
        <v>77660</v>
      </c>
      <c r="D27" s="92">
        <v>22258</v>
      </c>
      <c r="E27" s="92">
        <v>55402</v>
      </c>
      <c r="F27" s="93"/>
      <c r="G27" s="97">
        <v>362463</v>
      </c>
      <c r="H27" s="92">
        <f>12274+57786</f>
        <v>70060</v>
      </c>
      <c r="I27" s="92">
        <v>24</v>
      </c>
      <c r="J27" s="92">
        <v>70036</v>
      </c>
      <c r="K27" s="93"/>
    </row>
    <row r="28" spans="1:11" x14ac:dyDescent="0.3">
      <c r="A28" s="13">
        <v>500000</v>
      </c>
      <c r="B28" s="97"/>
      <c r="C28" s="92"/>
      <c r="D28" s="92"/>
      <c r="E28" s="92"/>
      <c r="F28" s="93">
        <f>$E$27/(B11-(B11*0.03))</f>
        <v>813.50005446636317</v>
      </c>
      <c r="G28" s="97"/>
      <c r="H28" s="92"/>
      <c r="I28" s="92"/>
      <c r="J28" s="92"/>
      <c r="K28" s="93">
        <f>$J$27/(C11-(C11*0.03))</f>
        <v>965455.33068089816</v>
      </c>
    </row>
    <row r="29" spans="1:11" x14ac:dyDescent="0.3">
      <c r="A29" s="13">
        <v>100000</v>
      </c>
      <c r="B29" s="97"/>
      <c r="C29" s="92"/>
      <c r="D29" s="92"/>
      <c r="E29" s="92"/>
      <c r="F29" s="93">
        <f t="shared" ref="F29:F31" si="2">$E$27/(B12-(B12*0.03))</f>
        <v>4067.5002723318157</v>
      </c>
      <c r="G29" s="97"/>
      <c r="H29" s="92"/>
      <c r="I29" s="92"/>
      <c r="J29" s="92"/>
      <c r="K29" s="93">
        <f t="shared" ref="K29:K31" si="3">$J$27/(C12-(C12*0.03))</f>
        <v>4827276.653404491</v>
      </c>
    </row>
    <row r="30" spans="1:11" x14ac:dyDescent="0.3">
      <c r="A30" s="13">
        <v>50000</v>
      </c>
      <c r="B30" s="101"/>
      <c r="C30" s="102"/>
      <c r="D30" s="102"/>
      <c r="E30" s="102"/>
      <c r="F30" s="93">
        <f t="shared" si="2"/>
        <v>8135.0005446636314</v>
      </c>
      <c r="G30" s="101"/>
      <c r="H30" s="102"/>
      <c r="I30" s="102"/>
      <c r="J30" s="102"/>
      <c r="K30" s="93">
        <f t="shared" si="3"/>
        <v>9654553.306808982</v>
      </c>
    </row>
    <row r="31" spans="1:11" x14ac:dyDescent="0.3">
      <c r="A31" s="83">
        <v>5000</v>
      </c>
      <c r="B31" s="92"/>
      <c r="C31" s="92"/>
      <c r="D31" s="92"/>
      <c r="E31" s="92"/>
      <c r="F31" s="93">
        <f t="shared" si="2"/>
        <v>81350.005446636307</v>
      </c>
      <c r="G31" s="92"/>
      <c r="H31" s="92"/>
      <c r="I31" s="92"/>
      <c r="J31" s="92"/>
      <c r="K31" s="93">
        <f t="shared" si="3"/>
        <v>96545533.068089843</v>
      </c>
    </row>
    <row r="34" spans="1:9" x14ac:dyDescent="0.3">
      <c r="B34" s="194" t="s">
        <v>50</v>
      </c>
      <c r="C34" s="195"/>
      <c r="D34" s="196"/>
      <c r="E34" s="98"/>
      <c r="F34" s="194" t="s">
        <v>51</v>
      </c>
      <c r="G34" s="195"/>
      <c r="H34" s="195"/>
      <c r="I34" s="196"/>
    </row>
    <row r="35" spans="1:9" x14ac:dyDescent="0.3">
      <c r="B35" s="194" t="s">
        <v>19</v>
      </c>
      <c r="C35" s="195"/>
      <c r="D35" s="196"/>
      <c r="E35" s="179" t="s">
        <v>20</v>
      </c>
      <c r="F35" s="194" t="s">
        <v>19</v>
      </c>
      <c r="G35" s="195"/>
      <c r="H35" s="196"/>
      <c r="I35" s="179" t="s">
        <v>20</v>
      </c>
    </row>
    <row r="36" spans="1:9" ht="57.6" x14ac:dyDescent="0.3">
      <c r="B36" s="99" t="s">
        <v>21</v>
      </c>
      <c r="C36" s="99" t="s">
        <v>22</v>
      </c>
      <c r="D36" s="99" t="s">
        <v>24</v>
      </c>
      <c r="E36" s="180"/>
      <c r="F36" s="99" t="s">
        <v>21</v>
      </c>
      <c r="G36" s="99" t="s">
        <v>22</v>
      </c>
      <c r="H36" s="99" t="s">
        <v>24</v>
      </c>
      <c r="I36" s="180"/>
    </row>
    <row r="37" spans="1:9" x14ac:dyDescent="0.3">
      <c r="A37" s="98" t="s">
        <v>14</v>
      </c>
      <c r="B37" s="97"/>
      <c r="C37" s="92"/>
      <c r="D37" s="92"/>
      <c r="E37" s="92"/>
      <c r="F37" s="97"/>
      <c r="G37" s="92"/>
      <c r="H37" s="92"/>
      <c r="I37" s="92"/>
    </row>
    <row r="38" spans="1:9" x14ac:dyDescent="0.3">
      <c r="A38" s="95" t="s">
        <v>15</v>
      </c>
      <c r="B38" s="97">
        <v>946546</v>
      </c>
      <c r="C38" s="92">
        <f>136001+123729</f>
        <v>259730</v>
      </c>
      <c r="D38" s="92">
        <v>259740</v>
      </c>
      <c r="E38" s="92"/>
      <c r="F38" s="97">
        <v>946562</v>
      </c>
      <c r="G38" s="92">
        <f>136626+123732</f>
        <v>260358</v>
      </c>
      <c r="H38" s="92">
        <v>260358</v>
      </c>
      <c r="I38" s="92"/>
    </row>
    <row r="39" spans="1:9" x14ac:dyDescent="0.3">
      <c r="A39" s="13">
        <v>500000</v>
      </c>
      <c r="B39" s="97"/>
      <c r="C39" s="92"/>
      <c r="D39" s="92"/>
      <c r="E39" s="93">
        <f>$D$38/(B6-(B6*0.03))</f>
        <v>1525.5658939900593</v>
      </c>
      <c r="F39" s="97"/>
      <c r="G39" s="92"/>
      <c r="H39" s="92"/>
      <c r="I39" s="93">
        <f>$H$38/(C6-(C6*0.03))</f>
        <v>1435627.5000594968</v>
      </c>
    </row>
    <row r="40" spans="1:9" x14ac:dyDescent="0.3">
      <c r="A40" s="13">
        <v>100000</v>
      </c>
      <c r="B40" s="97"/>
      <c r="C40" s="92"/>
      <c r="D40" s="92"/>
      <c r="E40" s="93">
        <f t="shared" ref="E40:E42" si="4">$D$38/(B7-(B7*0.03))</f>
        <v>7627.8294699502967</v>
      </c>
      <c r="F40" s="97"/>
      <c r="G40" s="92"/>
      <c r="H40" s="92"/>
      <c r="I40" s="93">
        <f t="shared" ref="I40:I42" si="5">$H$38/(C7-(C7*0.03))</f>
        <v>7178137.500297484</v>
      </c>
    </row>
    <row r="41" spans="1:9" x14ac:dyDescent="0.3">
      <c r="A41" s="13">
        <v>50000</v>
      </c>
      <c r="B41" s="97"/>
      <c r="C41" s="92"/>
      <c r="D41" s="92"/>
      <c r="E41" s="93">
        <f t="shared" si="4"/>
        <v>15255.658939900593</v>
      </c>
      <c r="F41" s="97"/>
      <c r="G41" s="92"/>
      <c r="H41" s="92"/>
      <c r="I41" s="93">
        <f t="shared" si="5"/>
        <v>14356275.000594968</v>
      </c>
    </row>
    <row r="42" spans="1:9" x14ac:dyDescent="0.3">
      <c r="A42" s="13">
        <v>5000</v>
      </c>
      <c r="B42" s="97"/>
      <c r="C42" s="92"/>
      <c r="D42" s="92"/>
      <c r="E42" s="93">
        <f t="shared" si="4"/>
        <v>152556.58939900593</v>
      </c>
      <c r="F42" s="97"/>
      <c r="G42" s="92"/>
      <c r="H42" s="92"/>
      <c r="I42" s="93">
        <f t="shared" si="5"/>
        <v>143562750.00594968</v>
      </c>
    </row>
    <row r="43" spans="1:9" x14ac:dyDescent="0.3">
      <c r="A43" s="176" t="s">
        <v>16</v>
      </c>
      <c r="B43" s="97">
        <v>946556</v>
      </c>
      <c r="C43" s="92">
        <f>136383+123731</f>
        <v>260114</v>
      </c>
      <c r="D43" s="92">
        <v>260113</v>
      </c>
      <c r="E43" s="93"/>
      <c r="F43" s="97">
        <v>946562</v>
      </c>
      <c r="G43" s="92">
        <f>136626+123732</f>
        <v>260358</v>
      </c>
      <c r="H43" s="92">
        <v>260358</v>
      </c>
      <c r="I43" s="93"/>
    </row>
    <row r="44" spans="1:9" x14ac:dyDescent="0.3">
      <c r="A44" s="13">
        <v>500000</v>
      </c>
      <c r="B44" s="97"/>
      <c r="C44" s="92"/>
      <c r="D44" s="92"/>
      <c r="E44" s="93">
        <f>$D$43/(B11-(B11*0.03))</f>
        <v>3819.3917127072873</v>
      </c>
      <c r="F44" s="97"/>
      <c r="G44" s="92"/>
      <c r="H44" s="92"/>
      <c r="I44" s="93">
        <f>$H$43/(C11-(C11*0.03))</f>
        <v>3589068.750148742</v>
      </c>
    </row>
    <row r="45" spans="1:9" x14ac:dyDescent="0.3">
      <c r="A45" s="13">
        <v>100000</v>
      </c>
      <c r="B45" s="97"/>
      <c r="C45" s="92"/>
      <c r="D45" s="92"/>
      <c r="E45" s="93">
        <f t="shared" ref="E45:E47" si="6">$D$43/(B12-(B12*0.03))</f>
        <v>19096.958563536435</v>
      </c>
      <c r="F45" s="97"/>
      <c r="G45" s="92"/>
      <c r="H45" s="92"/>
      <c r="I45" s="93">
        <f t="shared" ref="I45:I47" si="7">$H$43/(C12-(C12*0.03))</f>
        <v>17945343.75074371</v>
      </c>
    </row>
    <row r="46" spans="1:9" x14ac:dyDescent="0.3">
      <c r="A46" s="13">
        <v>50000</v>
      </c>
      <c r="B46" s="101"/>
      <c r="C46" s="102"/>
      <c r="D46" s="102"/>
      <c r="E46" s="93">
        <f t="shared" si="6"/>
        <v>38193.917127072869</v>
      </c>
      <c r="F46" s="101"/>
      <c r="G46" s="102"/>
      <c r="H46" s="102"/>
      <c r="I46" s="93">
        <f t="shared" si="7"/>
        <v>35890687.501487419</v>
      </c>
    </row>
    <row r="47" spans="1:9" x14ac:dyDescent="0.3">
      <c r="A47" s="83">
        <v>5000</v>
      </c>
      <c r="B47" s="92"/>
      <c r="C47" s="92"/>
      <c r="D47" s="92"/>
      <c r="E47" s="93">
        <f t="shared" si="6"/>
        <v>381939.17127072864</v>
      </c>
      <c r="F47" s="92"/>
      <c r="G47" s="92"/>
      <c r="H47" s="92"/>
      <c r="I47" s="93">
        <f t="shared" si="7"/>
        <v>358906875.01487428</v>
      </c>
    </row>
  </sheetData>
  <mergeCells count="17">
    <mergeCell ref="E35:E36"/>
    <mergeCell ref="I35:I36"/>
    <mergeCell ref="F34:I34"/>
    <mergeCell ref="B34:D34"/>
    <mergeCell ref="F35:H35"/>
    <mergeCell ref="B35:D35"/>
    <mergeCell ref="B18:F18"/>
    <mergeCell ref="G18:K18"/>
    <mergeCell ref="B19:E19"/>
    <mergeCell ref="F19:F20"/>
    <mergeCell ref="G19:J19"/>
    <mergeCell ref="K19:K20"/>
    <mergeCell ref="D2:D4"/>
    <mergeCell ref="B1:D1"/>
    <mergeCell ref="A4:C4"/>
    <mergeCell ref="A1:A3"/>
    <mergeCell ref="B2:C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56477-744E-4971-843E-4999410136B3}">
  <dimension ref="A1:L28"/>
  <sheetViews>
    <sheetView topLeftCell="A3" workbookViewId="0">
      <selection activeCell="L26" sqref="L26:L28"/>
    </sheetView>
  </sheetViews>
  <sheetFormatPr defaultRowHeight="14.4" x14ac:dyDescent="0.3"/>
  <cols>
    <col min="1" max="1" width="24.44140625" customWidth="1"/>
    <col min="2" max="2" width="16.6640625" customWidth="1"/>
    <col min="3" max="4" width="11" customWidth="1"/>
    <col min="5" max="5" width="11.6640625" customWidth="1"/>
    <col min="6" max="6" width="12.5546875" customWidth="1"/>
    <col min="7" max="7" width="13.6640625" customWidth="1"/>
    <col min="8" max="8" width="12" customWidth="1"/>
    <col min="9" max="9" width="14.5546875" customWidth="1"/>
    <col min="12" max="12" width="12" customWidth="1"/>
  </cols>
  <sheetData>
    <row r="1" spans="1:9" ht="15" thickBot="1" x14ac:dyDescent="0.35">
      <c r="A1" s="183" t="s">
        <v>0</v>
      </c>
      <c r="B1" s="188" t="s">
        <v>52</v>
      </c>
      <c r="C1" s="189"/>
      <c r="D1" s="189"/>
      <c r="E1" s="189"/>
      <c r="F1" s="189"/>
      <c r="G1" s="189"/>
      <c r="H1" s="189"/>
      <c r="I1" s="190"/>
    </row>
    <row r="2" spans="1:9" ht="30.9" customHeight="1" thickBot="1" x14ac:dyDescent="0.35">
      <c r="A2" s="181"/>
      <c r="B2" s="181" t="s">
        <v>2</v>
      </c>
      <c r="C2" s="186" t="s">
        <v>3</v>
      </c>
      <c r="D2" s="187"/>
      <c r="E2" s="187"/>
      <c r="F2" s="187"/>
      <c r="G2" s="187"/>
      <c r="H2" s="187"/>
      <c r="I2" s="191" t="s">
        <v>4</v>
      </c>
    </row>
    <row r="3" spans="1:9" s="10" customFormat="1" ht="59.4" customHeight="1" thickBot="1" x14ac:dyDescent="0.35">
      <c r="A3" s="182"/>
      <c r="B3" s="182"/>
      <c r="C3" s="11" t="s">
        <v>5</v>
      </c>
      <c r="D3" s="11" t="s">
        <v>6</v>
      </c>
      <c r="E3" s="11" t="s">
        <v>7</v>
      </c>
      <c r="F3" s="11" t="s">
        <v>8</v>
      </c>
      <c r="G3" s="11" t="s">
        <v>9</v>
      </c>
      <c r="H3" s="80" t="s">
        <v>13</v>
      </c>
      <c r="I3" s="192"/>
    </row>
    <row r="4" spans="1:9" ht="15" thickBot="1" x14ac:dyDescent="0.35">
      <c r="A4" s="184" t="s">
        <v>14</v>
      </c>
      <c r="B4" s="185"/>
      <c r="C4" s="185"/>
      <c r="D4" s="185"/>
      <c r="E4" s="185"/>
      <c r="F4" s="185"/>
      <c r="G4" s="185"/>
      <c r="H4" s="185"/>
      <c r="I4" s="193"/>
    </row>
    <row r="5" spans="1:9" x14ac:dyDescent="0.3">
      <c r="A5" s="66" t="s">
        <v>15</v>
      </c>
      <c r="B5" s="66"/>
      <c r="C5" s="67"/>
      <c r="D5" s="67"/>
      <c r="E5" s="67"/>
      <c r="F5" s="67"/>
      <c r="G5" s="67"/>
      <c r="H5" s="78"/>
      <c r="I5" s="67"/>
    </row>
    <row r="6" spans="1:9" x14ac:dyDescent="0.3">
      <c r="A6" s="13">
        <v>500000</v>
      </c>
      <c r="B6" s="13">
        <f>A6*'Loading Loss'!$I$3/2000</f>
        <v>3858.814501961454</v>
      </c>
      <c r="C6" s="63">
        <f>$B6*'Fuel Composition'!$J$6/100</f>
        <v>30.744176757852507</v>
      </c>
      <c r="D6" s="63">
        <f>$B6*'Fuel Composition'!$J$7/100</f>
        <v>30.862228728901727</v>
      </c>
      <c r="E6" s="63">
        <f>$B6*'Fuel Composition'!$J$8/100</f>
        <v>40.034827802332458</v>
      </c>
      <c r="F6" s="63">
        <f>$B6*'Fuel Composition'!$J$9/100</f>
        <v>11.874657102475567</v>
      </c>
      <c r="G6" s="63">
        <f>$B6*'Fuel Composition'!$J$10/100</f>
        <v>2.8888796808001662</v>
      </c>
      <c r="H6" s="79">
        <f>SUM(C6:G6)</f>
        <v>116.40477007236244</v>
      </c>
      <c r="I6" s="5">
        <v>5</v>
      </c>
    </row>
    <row r="7" spans="1:9" x14ac:dyDescent="0.3">
      <c r="A7" s="13">
        <v>100000</v>
      </c>
      <c r="B7" s="13">
        <f>A7*'Loading Loss'!$I$3/2000</f>
        <v>771.76290039229082</v>
      </c>
      <c r="C7" s="63">
        <f>$B7*'Fuel Composition'!$J$6/100</f>
        <v>6.1488353515705008</v>
      </c>
      <c r="D7" s="63">
        <f>$B7*'Fuel Composition'!$J$7/100</f>
        <v>6.1724457457803465</v>
      </c>
      <c r="E7" s="63">
        <f>$B7*'Fuel Composition'!$J$8/100</f>
        <v>8.006965560466492</v>
      </c>
      <c r="F7" s="63">
        <f>$B7*'Fuel Composition'!$J$9/100</f>
        <v>2.3749314204951135</v>
      </c>
      <c r="G7" s="63">
        <f>$B7*'Fuel Composition'!$J$10/100</f>
        <v>0.57777593616003331</v>
      </c>
      <c r="H7" s="79">
        <f>SUM(C7:G7)</f>
        <v>23.280954014472485</v>
      </c>
      <c r="I7" s="5">
        <v>15</v>
      </c>
    </row>
    <row r="8" spans="1:9" x14ac:dyDescent="0.3">
      <c r="A8" s="13">
        <v>50000</v>
      </c>
      <c r="B8" s="13">
        <f>A8*'Loading Loss'!$I$3/2000</f>
        <v>385.88145019614541</v>
      </c>
      <c r="C8" s="63">
        <f>$B8*'Fuel Composition'!$J$6/100</f>
        <v>3.0744176757852504</v>
      </c>
      <c r="D8" s="63">
        <f>$B8*'Fuel Composition'!$J$7/100</f>
        <v>3.0862228728901733</v>
      </c>
      <c r="E8" s="63">
        <f>$B8*'Fuel Composition'!$J$8/100</f>
        <v>4.003482780233246</v>
      </c>
      <c r="F8" s="63">
        <f>$B8*'Fuel Composition'!$J$9/100</f>
        <v>1.1874657102475568</v>
      </c>
      <c r="G8" s="63">
        <f>$B8*'Fuel Composition'!$J$10/100</f>
        <v>0.28888796808001665</v>
      </c>
      <c r="H8" s="79">
        <f>SUM(C8:G8)</f>
        <v>11.640477007236242</v>
      </c>
      <c r="I8" s="5">
        <v>21</v>
      </c>
    </row>
    <row r="9" spans="1:9" x14ac:dyDescent="0.3">
      <c r="A9" s="12" t="s">
        <v>16</v>
      </c>
      <c r="B9" s="12"/>
      <c r="C9" s="5"/>
      <c r="D9" s="5"/>
      <c r="E9" s="5"/>
      <c r="F9" s="5"/>
      <c r="G9" s="5"/>
      <c r="H9" s="79"/>
      <c r="I9" s="5"/>
    </row>
    <row r="10" spans="1:9" x14ac:dyDescent="0.3">
      <c r="A10" s="13">
        <v>500000</v>
      </c>
      <c r="B10" s="13">
        <f>A10*'Loading Loss'!$H$3/2000</f>
        <v>1543.5258007845816</v>
      </c>
      <c r="C10" s="63">
        <f>$B10*'Fuel Composition'!$J$6/100</f>
        <v>12.297670703141002</v>
      </c>
      <c r="D10" s="63">
        <f>$B10*'Fuel Composition'!$J$7/100</f>
        <v>12.344891491560693</v>
      </c>
      <c r="E10" s="63">
        <f>$B10*'Fuel Composition'!$J$8/100</f>
        <v>16.013931120932984</v>
      </c>
      <c r="F10" s="63">
        <f>$B10*'Fuel Composition'!$J$9/100</f>
        <v>4.749862840990227</v>
      </c>
      <c r="G10" s="63">
        <f>$B10*'Fuel Composition'!$J$10/100</f>
        <v>1.1555518723200666</v>
      </c>
      <c r="H10" s="79">
        <f>SUM(C10:G10)</f>
        <v>46.56190802894497</v>
      </c>
      <c r="I10" s="5">
        <v>5</v>
      </c>
    </row>
    <row r="11" spans="1:9" x14ac:dyDescent="0.3">
      <c r="A11" s="13">
        <v>100000</v>
      </c>
      <c r="B11" s="13">
        <f>A11*'Loading Loss'!$H$3/2000</f>
        <v>308.70516015691629</v>
      </c>
      <c r="C11" s="63">
        <f>$B11*'Fuel Composition'!$J$6/100</f>
        <v>2.4595341406282003</v>
      </c>
      <c r="D11" s="63">
        <f>$B11*'Fuel Composition'!$J$7/100</f>
        <v>2.468978298312138</v>
      </c>
      <c r="E11" s="63">
        <f>$B11*'Fuel Composition'!$J$8/100</f>
        <v>3.2027862241865961</v>
      </c>
      <c r="F11" s="63">
        <f>$B11*'Fuel Composition'!$J$9/100</f>
        <v>0.94997256819804521</v>
      </c>
      <c r="G11" s="63">
        <f>$B11*'Fuel Composition'!$J$10/100</f>
        <v>0.23111037446401331</v>
      </c>
      <c r="H11" s="79">
        <f>SUM(C11:G11)</f>
        <v>9.3123816057889925</v>
      </c>
      <c r="I11" s="5">
        <v>15</v>
      </c>
    </row>
    <row r="12" spans="1:9" x14ac:dyDescent="0.3">
      <c r="A12" s="13">
        <v>50000</v>
      </c>
      <c r="B12" s="13">
        <f>A12*'Loading Loss'!$H$3/2000</f>
        <v>154.35258007845815</v>
      </c>
      <c r="C12" s="63">
        <f>$B12*'Fuel Composition'!$J$6/100</f>
        <v>1.2297670703141002</v>
      </c>
      <c r="D12" s="63">
        <f>$B12*'Fuel Composition'!$J$7/100</f>
        <v>1.234489149156069</v>
      </c>
      <c r="E12" s="63">
        <f>$B12*'Fuel Composition'!$J$8/100</f>
        <v>1.601393112093298</v>
      </c>
      <c r="F12" s="63">
        <f>$B12*'Fuel Composition'!$J$9/100</f>
        <v>0.4749862840990226</v>
      </c>
      <c r="G12" s="63">
        <f>$B12*'Fuel Composition'!$J$10/100</f>
        <v>0.11555518723200665</v>
      </c>
      <c r="H12" s="79">
        <f>SUM(C12:G12)</f>
        <v>4.6561908028944963</v>
      </c>
      <c r="I12" s="5">
        <v>21</v>
      </c>
    </row>
    <row r="17" spans="1:12" x14ac:dyDescent="0.3">
      <c r="B17" s="178" t="s">
        <v>17</v>
      </c>
      <c r="C17" s="178"/>
      <c r="D17" s="178"/>
      <c r="E17" s="178"/>
      <c r="F17" s="178"/>
      <c r="I17" s="194" t="s">
        <v>18</v>
      </c>
      <c r="J17" s="195"/>
      <c r="K17" s="195"/>
      <c r="L17" s="196"/>
    </row>
    <row r="18" spans="1:12" x14ac:dyDescent="0.3">
      <c r="B18" s="178" t="s">
        <v>19</v>
      </c>
      <c r="C18" s="178"/>
      <c r="D18" s="178"/>
      <c r="E18" s="178"/>
      <c r="F18" s="179" t="s">
        <v>20</v>
      </c>
      <c r="I18" s="194" t="s">
        <v>19</v>
      </c>
      <c r="J18" s="195"/>
      <c r="K18" s="196"/>
      <c r="L18" s="179" t="s">
        <v>20</v>
      </c>
    </row>
    <row r="19" spans="1:12" ht="57.6" x14ac:dyDescent="0.3">
      <c r="B19" s="99" t="s">
        <v>21</v>
      </c>
      <c r="C19" s="99" t="s">
        <v>22</v>
      </c>
      <c r="D19" s="99" t="s">
        <v>23</v>
      </c>
      <c r="E19" s="99" t="s">
        <v>24</v>
      </c>
      <c r="F19" s="180"/>
      <c r="I19" s="99" t="s">
        <v>21</v>
      </c>
      <c r="J19" s="99" t="s">
        <v>22</v>
      </c>
      <c r="K19" s="99" t="s">
        <v>24</v>
      </c>
      <c r="L19" s="180"/>
    </row>
    <row r="20" spans="1:12" x14ac:dyDescent="0.3">
      <c r="A20" s="98" t="s">
        <v>14</v>
      </c>
      <c r="B20" s="97"/>
      <c r="C20" s="92"/>
      <c r="D20" s="92"/>
      <c r="E20" s="92"/>
      <c r="F20" s="92"/>
      <c r="H20" s="98" t="s">
        <v>14</v>
      </c>
      <c r="I20" s="97"/>
      <c r="J20" s="92"/>
      <c r="K20" s="92"/>
      <c r="L20" s="92"/>
    </row>
    <row r="21" spans="1:12" x14ac:dyDescent="0.3">
      <c r="A21" s="95" t="s">
        <v>15</v>
      </c>
      <c r="B21" s="97">
        <v>85143088</v>
      </c>
      <c r="C21" s="92">
        <f>708381+11744767</f>
        <v>12453148</v>
      </c>
      <c r="D21" s="92">
        <v>1223422</v>
      </c>
      <c r="E21" s="92">
        <v>1223442</v>
      </c>
      <c r="F21" s="92"/>
      <c r="H21" s="95" t="s">
        <v>15</v>
      </c>
      <c r="I21" s="97">
        <v>944273</v>
      </c>
      <c r="J21" s="92">
        <f>51072+123488</f>
        <v>174560</v>
      </c>
      <c r="K21" s="92">
        <v>174520</v>
      </c>
      <c r="L21" s="92"/>
    </row>
    <row r="22" spans="1:12" x14ac:dyDescent="0.3">
      <c r="A22" s="13">
        <v>500000</v>
      </c>
      <c r="B22" s="97"/>
      <c r="C22" s="92"/>
      <c r="D22" s="92"/>
      <c r="E22" s="92"/>
      <c r="F22" s="93">
        <f>$E$21/(H6-(H6*0.03))</f>
        <v>10835.298343762592</v>
      </c>
      <c r="H22" s="13">
        <v>500000</v>
      </c>
      <c r="I22" s="97"/>
      <c r="J22" s="92"/>
      <c r="K22" s="92"/>
      <c r="L22" s="93">
        <f>$K$21/(H6-(H6*0.03))</f>
        <v>1545.6198716027793</v>
      </c>
    </row>
    <row r="23" spans="1:12" x14ac:dyDescent="0.3">
      <c r="A23" s="13">
        <v>100000</v>
      </c>
      <c r="B23" s="97"/>
      <c r="C23" s="92"/>
      <c r="D23" s="92"/>
      <c r="E23" s="92"/>
      <c r="F23" s="93">
        <f t="shared" ref="F23:F24" si="0">$E$21/(H7-(H7*0.03))</f>
        <v>54176.491718812962</v>
      </c>
      <c r="H23" s="13">
        <v>100000</v>
      </c>
      <c r="I23" s="97"/>
      <c r="J23" s="92"/>
      <c r="K23" s="92"/>
      <c r="L23" s="93">
        <f t="shared" ref="L23:L24" si="1">$K$21/(H7-(H7*0.03))</f>
        <v>7728.0993580138975</v>
      </c>
    </row>
    <row r="24" spans="1:12" x14ac:dyDescent="0.3">
      <c r="A24" s="13">
        <v>50000</v>
      </c>
      <c r="B24" s="97"/>
      <c r="C24" s="92"/>
      <c r="D24" s="92"/>
      <c r="E24" s="92"/>
      <c r="F24" s="93">
        <f t="shared" si="0"/>
        <v>108352.98343762592</v>
      </c>
      <c r="H24" s="13">
        <v>50000</v>
      </c>
      <c r="I24" s="97"/>
      <c r="J24" s="92"/>
      <c r="K24" s="92"/>
      <c r="L24" s="93">
        <f t="shared" si="1"/>
        <v>15456.198716027795</v>
      </c>
    </row>
    <row r="25" spans="1:12" x14ac:dyDescent="0.3">
      <c r="A25" s="176" t="s">
        <v>16</v>
      </c>
      <c r="B25" s="97">
        <v>21276854</v>
      </c>
      <c r="C25" s="92">
        <f>290705+2917747</f>
        <v>3208452</v>
      </c>
      <c r="D25" s="92">
        <v>489376</v>
      </c>
      <c r="E25" s="92">
        <v>2719077</v>
      </c>
      <c r="F25" s="93"/>
      <c r="H25" s="176" t="s">
        <v>16</v>
      </c>
      <c r="I25" s="97">
        <v>945649</v>
      </c>
      <c r="J25" s="92">
        <f>102413+123619</f>
        <v>226032</v>
      </c>
      <c r="K25" s="92">
        <v>226032</v>
      </c>
      <c r="L25" s="93"/>
    </row>
    <row r="26" spans="1:12" x14ac:dyDescent="0.3">
      <c r="A26" s="13">
        <v>500000</v>
      </c>
      <c r="B26" s="97"/>
      <c r="C26" s="92"/>
      <c r="D26" s="92"/>
      <c r="E26" s="92"/>
      <c r="F26" s="93">
        <f>$E$25/(H10-(H10*0.03))</f>
        <v>60203.120611077109</v>
      </c>
      <c r="H26" s="13">
        <v>500000</v>
      </c>
      <c r="I26" s="97"/>
      <c r="J26" s="92"/>
      <c r="K26" s="92"/>
      <c r="L26" s="93">
        <f>$K$25/(H10-(H10*0.03))</f>
        <v>5004.5775673005883</v>
      </c>
    </row>
    <row r="27" spans="1:12" x14ac:dyDescent="0.3">
      <c r="A27" s="13">
        <v>100000</v>
      </c>
      <c r="B27" s="97"/>
      <c r="C27" s="92"/>
      <c r="D27" s="92"/>
      <c r="E27" s="92"/>
      <c r="F27" s="93">
        <f t="shared" ref="F27:F28" si="2">$E$25/(H11-(H11*0.03))</f>
        <v>301015.60305538558</v>
      </c>
      <c r="H27" s="13">
        <v>100000</v>
      </c>
      <c r="I27" s="97"/>
      <c r="J27" s="92"/>
      <c r="K27" s="92"/>
      <c r="L27" s="93">
        <f t="shared" ref="L27:L28" si="3">$K$25/(H11-(H11*0.03))</f>
        <v>25022.887836502945</v>
      </c>
    </row>
    <row r="28" spans="1:12" x14ac:dyDescent="0.3">
      <c r="A28" s="13">
        <v>50000</v>
      </c>
      <c r="B28" s="97"/>
      <c r="C28" s="92"/>
      <c r="D28" s="92"/>
      <c r="E28" s="92"/>
      <c r="F28" s="93">
        <f t="shared" si="2"/>
        <v>602031.20611077116</v>
      </c>
      <c r="H28" s="13">
        <v>50000</v>
      </c>
      <c r="I28" s="97"/>
      <c r="J28" s="92"/>
      <c r="K28" s="92"/>
      <c r="L28" s="93">
        <f t="shared" si="3"/>
        <v>50045.77567300589</v>
      </c>
    </row>
  </sheetData>
  <mergeCells count="12">
    <mergeCell ref="A1:A3"/>
    <mergeCell ref="B1:I1"/>
    <mergeCell ref="B2:B3"/>
    <mergeCell ref="C2:H2"/>
    <mergeCell ref="I2:I4"/>
    <mergeCell ref="A4:H4"/>
    <mergeCell ref="L18:L19"/>
    <mergeCell ref="I17:L17"/>
    <mergeCell ref="I18:K18"/>
    <mergeCell ref="B17:F17"/>
    <mergeCell ref="B18:E18"/>
    <mergeCell ref="F18:F19"/>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7C540-6AF2-4B9E-963A-B8300BBF7DEC}">
  <dimension ref="A1:L28"/>
  <sheetViews>
    <sheetView workbookViewId="0">
      <selection activeCell="N25" sqref="N25"/>
    </sheetView>
  </sheetViews>
  <sheetFormatPr defaultRowHeight="14.4" x14ac:dyDescent="0.3"/>
  <cols>
    <col min="1" max="1" width="24.44140625" customWidth="1"/>
    <col min="2" max="2" width="16.6640625" customWidth="1"/>
    <col min="3" max="4" width="11" customWidth="1"/>
    <col min="5" max="5" width="13.44140625" customWidth="1"/>
    <col min="6" max="6" width="12.6640625" customWidth="1"/>
    <col min="7" max="7" width="13.44140625" customWidth="1"/>
    <col min="8" max="8" width="11.109375" customWidth="1"/>
    <col min="9" max="9" width="13.6640625" customWidth="1"/>
    <col min="10" max="10" width="10.6640625" customWidth="1"/>
    <col min="11" max="11" width="12" customWidth="1"/>
    <col min="12" max="12" width="14.5546875" customWidth="1"/>
  </cols>
  <sheetData>
    <row r="1" spans="1:12" ht="15" thickBot="1" x14ac:dyDescent="0.35">
      <c r="A1" s="183" t="s">
        <v>0</v>
      </c>
      <c r="B1" s="188" t="s">
        <v>53</v>
      </c>
      <c r="C1" s="189"/>
      <c r="D1" s="189"/>
      <c r="E1" s="189"/>
      <c r="F1" s="189"/>
      <c r="G1" s="189"/>
      <c r="H1" s="189"/>
      <c r="I1" s="189"/>
      <c r="J1" s="189"/>
      <c r="K1" s="189"/>
      <c r="L1" s="190"/>
    </row>
    <row r="2" spans="1:12" ht="30.9" customHeight="1" thickBot="1" x14ac:dyDescent="0.35">
      <c r="A2" s="181"/>
      <c r="B2" s="181" t="s">
        <v>2</v>
      </c>
      <c r="C2" s="186" t="s">
        <v>3</v>
      </c>
      <c r="D2" s="187"/>
      <c r="E2" s="187"/>
      <c r="F2" s="187"/>
      <c r="G2" s="187"/>
      <c r="H2" s="187"/>
      <c r="I2" s="187"/>
      <c r="J2" s="187"/>
      <c r="K2" s="187"/>
      <c r="L2" s="191" t="s">
        <v>4</v>
      </c>
    </row>
    <row r="3" spans="1:12" s="10" customFormat="1" ht="59.4" customHeight="1" thickBot="1" x14ac:dyDescent="0.35">
      <c r="A3" s="182"/>
      <c r="B3" s="182"/>
      <c r="C3" s="11" t="s">
        <v>5</v>
      </c>
      <c r="D3" s="11" t="s">
        <v>33</v>
      </c>
      <c r="E3" s="11" t="s">
        <v>9</v>
      </c>
      <c r="F3" s="11" t="s">
        <v>6</v>
      </c>
      <c r="G3" s="11" t="s">
        <v>12</v>
      </c>
      <c r="H3" s="11" t="s">
        <v>35</v>
      </c>
      <c r="I3" s="11" t="s">
        <v>7</v>
      </c>
      <c r="J3" s="11" t="s">
        <v>8</v>
      </c>
      <c r="K3" s="80" t="s">
        <v>13</v>
      </c>
      <c r="L3" s="192"/>
    </row>
    <row r="4" spans="1:12" ht="15" thickBot="1" x14ac:dyDescent="0.35">
      <c r="A4" s="184" t="s">
        <v>14</v>
      </c>
      <c r="B4" s="185"/>
      <c r="C4" s="185"/>
      <c r="D4" s="185"/>
      <c r="E4" s="185"/>
      <c r="F4" s="185"/>
      <c r="G4" s="185"/>
      <c r="H4" s="185"/>
      <c r="I4" s="185"/>
      <c r="J4" s="185"/>
      <c r="K4" s="185"/>
      <c r="L4" s="193"/>
    </row>
    <row r="5" spans="1:12" x14ac:dyDescent="0.3">
      <c r="A5" s="66" t="s">
        <v>15</v>
      </c>
      <c r="B5" s="66"/>
      <c r="C5" s="67"/>
      <c r="D5" s="67"/>
      <c r="E5" s="67"/>
      <c r="F5" s="67"/>
      <c r="G5" s="67"/>
      <c r="H5" s="67"/>
      <c r="I5" s="67"/>
      <c r="J5" s="67"/>
      <c r="K5" s="78"/>
      <c r="L5" s="67"/>
    </row>
    <row r="6" spans="1:12" x14ac:dyDescent="0.3">
      <c r="A6" s="13">
        <v>1000000</v>
      </c>
      <c r="B6" s="13">
        <f>A6*'Loading Loss'!$I$4/2000</f>
        <v>7.6506907726419939</v>
      </c>
      <c r="C6" s="63">
        <f>$B6*'Fuel Composition'!$J$87/100</f>
        <v>8.9841113501737489E-3</v>
      </c>
      <c r="D6" s="63">
        <f>$B6*'Fuel Composition'!$J$88/100</f>
        <v>6.7054807176993118E-5</v>
      </c>
      <c r="E6" s="63">
        <f>$B6*'Fuel Composition'!$J$89/100</f>
        <v>2.6853224901956612E-2</v>
      </c>
      <c r="F6" s="63">
        <f>$B6*'Fuel Composition'!$J$90/100</f>
        <v>1.8127403449883332E-2</v>
      </c>
      <c r="G6" s="63">
        <f>$B6*'Fuel Composition'!$J$91/100</f>
        <v>3.9538170917973866E-3</v>
      </c>
      <c r="H6" s="63">
        <f>$B6*'Fuel Composition'!$J$92/100</f>
        <v>5.0614091500111279E-3</v>
      </c>
      <c r="I6" s="63">
        <f>$B6*'Fuel Composition'!$J$93/100</f>
        <v>8.4774240938333814E-2</v>
      </c>
      <c r="J6" s="64">
        <f>$B6*'Fuel Composition'!$J$94/100</f>
        <v>6.031174949839066E-2</v>
      </c>
      <c r="K6" s="79">
        <f>SUM(C6:J6)</f>
        <v>0.20813301118772368</v>
      </c>
      <c r="L6" s="5">
        <v>1</v>
      </c>
    </row>
    <row r="7" spans="1:12" x14ac:dyDescent="0.3">
      <c r="A7" s="13">
        <v>500000</v>
      </c>
      <c r="B7" s="13">
        <f>A7*'Loading Loss'!$I$4/2000</f>
        <v>3.825345386320997</v>
      </c>
      <c r="C7" s="63">
        <f>$B7*'Fuel Composition'!$J$87/100</f>
        <v>4.4920556750868744E-3</v>
      </c>
      <c r="D7" s="63">
        <f>$B7*'Fuel Composition'!$J$88/100</f>
        <v>3.3527403588496559E-5</v>
      </c>
      <c r="E7" s="63">
        <f>$B7*'Fuel Composition'!$J$89/100</f>
        <v>1.3426612450978306E-2</v>
      </c>
      <c r="F7" s="63">
        <f>$B7*'Fuel Composition'!$J$90/100</f>
        <v>9.0637017249416661E-3</v>
      </c>
      <c r="G7" s="63">
        <f>$B7*'Fuel Composition'!$J$91/100</f>
        <v>1.9769085458986933E-3</v>
      </c>
      <c r="H7" s="63">
        <f>$B7*'Fuel Composition'!$J$92/100</f>
        <v>2.5307045750055639E-3</v>
      </c>
      <c r="I7" s="63">
        <f>$B7*'Fuel Composition'!$J$93/100</f>
        <v>4.2387120469166907E-2</v>
      </c>
      <c r="J7" s="64">
        <f>$B7*'Fuel Composition'!$J$94/100</f>
        <v>3.015587474919533E-2</v>
      </c>
      <c r="K7" s="79">
        <f t="shared" ref="K7:K12" si="0">SUM(C7:J7)</f>
        <v>0.10406650559386184</v>
      </c>
      <c r="L7" s="5">
        <v>6</v>
      </c>
    </row>
    <row r="8" spans="1:12" x14ac:dyDescent="0.3">
      <c r="A8" s="13">
        <v>100000</v>
      </c>
      <c r="B8" s="13">
        <f>A8*'Loading Loss'!$I$4/2000</f>
        <v>0.76506907726419937</v>
      </c>
      <c r="C8" s="63">
        <f>$B8*'Fuel Composition'!$J$87/100</f>
        <v>8.9841113501737489E-4</v>
      </c>
      <c r="D8" s="63">
        <f>$B8*'Fuel Composition'!$J$88/100</f>
        <v>6.7054807176993111E-6</v>
      </c>
      <c r="E8" s="63">
        <f>$B8*'Fuel Composition'!$J$89/100</f>
        <v>2.6853224901956614E-3</v>
      </c>
      <c r="F8" s="63">
        <f>$B8*'Fuel Composition'!$J$90/100</f>
        <v>1.812740344988333E-3</v>
      </c>
      <c r="G8" s="63">
        <f>$B8*'Fuel Composition'!$J$91/100</f>
        <v>3.9538170917973868E-4</v>
      </c>
      <c r="H8" s="63">
        <f>$B8*'Fuel Composition'!$J$92/100</f>
        <v>5.0614091500111283E-4</v>
      </c>
      <c r="I8" s="63">
        <f>$B8*'Fuel Composition'!$J$93/100</f>
        <v>8.4774240938333811E-3</v>
      </c>
      <c r="J8" s="64">
        <f>$B8*'Fuel Composition'!$J$94/100</f>
        <v>6.0311749498390662E-3</v>
      </c>
      <c r="K8" s="79">
        <f t="shared" si="0"/>
        <v>2.0813301118772366E-2</v>
      </c>
      <c r="L8" s="5">
        <v>25</v>
      </c>
    </row>
    <row r="9" spans="1:12" x14ac:dyDescent="0.3">
      <c r="A9" s="12" t="s">
        <v>16</v>
      </c>
      <c r="B9" s="12"/>
      <c r="C9" s="63"/>
      <c r="D9" s="63"/>
      <c r="E9" s="63"/>
      <c r="F9" s="63"/>
      <c r="G9" s="63"/>
      <c r="H9" s="63"/>
      <c r="I9" s="63"/>
      <c r="J9" s="64"/>
      <c r="K9" s="79"/>
      <c r="L9" s="5"/>
    </row>
    <row r="10" spans="1:12" x14ac:dyDescent="0.3">
      <c r="A10" s="13">
        <v>1000000</v>
      </c>
      <c r="B10" s="13">
        <f>A10*'Loading Loss'!$H$4/2000</f>
        <v>3.060276309056797</v>
      </c>
      <c r="C10" s="63">
        <f>$B10*'Fuel Composition'!$J$87/100</f>
        <v>3.5936445400694987E-3</v>
      </c>
      <c r="D10" s="63">
        <f>$B10*'Fuel Composition'!$J$88/100</f>
        <v>2.6821922870797244E-5</v>
      </c>
      <c r="E10" s="63">
        <f>$B10*'Fuel Composition'!$J$89/100</f>
        <v>1.0741289960782642E-2</v>
      </c>
      <c r="F10" s="63">
        <f>$B10*'Fuel Composition'!$J$90/100</f>
        <v>7.2509613799533312E-3</v>
      </c>
      <c r="G10" s="63">
        <f>$B10*'Fuel Composition'!$J$91/100</f>
        <v>1.5815268367189545E-3</v>
      </c>
      <c r="H10" s="63">
        <f>$B10*'Fuel Composition'!$J$92/100</f>
        <v>2.0245636600044509E-3</v>
      </c>
      <c r="I10" s="63">
        <f>$B10*'Fuel Composition'!$J$93/100</f>
        <v>3.3909696375333517E-2</v>
      </c>
      <c r="J10" s="64">
        <f>$B10*'Fuel Composition'!$J$94/100</f>
        <v>2.4124699799356261E-2</v>
      </c>
      <c r="K10" s="79">
        <f t="shared" si="0"/>
        <v>8.3253204475089451E-2</v>
      </c>
      <c r="L10" s="5">
        <v>1</v>
      </c>
    </row>
    <row r="11" spans="1:12" x14ac:dyDescent="0.3">
      <c r="A11" s="13">
        <v>500000</v>
      </c>
      <c r="B11" s="13">
        <f>A11*'Loading Loss'!$H$4/2000</f>
        <v>1.5301381545283985</v>
      </c>
      <c r="C11" s="63">
        <f>$B11*'Fuel Composition'!$J$87/100</f>
        <v>1.7968222700347493E-3</v>
      </c>
      <c r="D11" s="63">
        <f>$B11*'Fuel Composition'!$J$88/100</f>
        <v>1.3410961435398622E-5</v>
      </c>
      <c r="E11" s="63">
        <f>$B11*'Fuel Composition'!$J$89/100</f>
        <v>5.370644980391321E-3</v>
      </c>
      <c r="F11" s="63">
        <f>$B11*'Fuel Composition'!$J$90/100</f>
        <v>3.6254806899766656E-3</v>
      </c>
      <c r="G11" s="63">
        <f>$B11*'Fuel Composition'!$J$91/100</f>
        <v>7.9076341835947726E-4</v>
      </c>
      <c r="H11" s="63">
        <f>$B11*'Fuel Composition'!$J$92/100</f>
        <v>1.0122818300022254E-3</v>
      </c>
      <c r="I11" s="63">
        <f>$B11*'Fuel Composition'!$J$93/100</f>
        <v>1.6954848187666759E-2</v>
      </c>
      <c r="J11" s="64">
        <f>$B11*'Fuel Composition'!$J$94/100</f>
        <v>1.2062349899678131E-2</v>
      </c>
      <c r="K11" s="79">
        <f t="shared" si="0"/>
        <v>4.1626602237544726E-2</v>
      </c>
      <c r="L11" s="5">
        <v>6</v>
      </c>
    </row>
    <row r="12" spans="1:12" x14ac:dyDescent="0.3">
      <c r="A12" s="13">
        <v>100000</v>
      </c>
      <c r="B12" s="87">
        <f>A12*'Loading Loss'!$H$4/2000</f>
        <v>0.30602763090567969</v>
      </c>
      <c r="C12" s="63">
        <f>$B12*'Fuel Composition'!$J$87/100</f>
        <v>3.5936445400694991E-4</v>
      </c>
      <c r="D12" s="63">
        <f>$B12*'Fuel Composition'!$J$88/100</f>
        <v>2.682192287079724E-6</v>
      </c>
      <c r="E12" s="63">
        <f>$B12*'Fuel Composition'!$J$89/100</f>
        <v>1.0741289960782643E-3</v>
      </c>
      <c r="F12" s="63">
        <f>$B12*'Fuel Composition'!$J$90/100</f>
        <v>7.250961379953332E-4</v>
      </c>
      <c r="G12" s="63">
        <f>$B12*'Fuel Composition'!$J$91/100</f>
        <v>1.5815268367189544E-4</v>
      </c>
      <c r="H12" s="63">
        <f>$B12*'Fuel Composition'!$J$92/100</f>
        <v>2.0245636600044507E-4</v>
      </c>
      <c r="I12" s="63">
        <f>$B12*'Fuel Composition'!$J$93/100</f>
        <v>3.3909696375333518E-3</v>
      </c>
      <c r="J12" s="64">
        <f>$B12*'Fuel Composition'!$J$94/100</f>
        <v>2.4124699799356261E-3</v>
      </c>
      <c r="K12" s="79">
        <f t="shared" si="0"/>
        <v>8.3253204475089455E-3</v>
      </c>
      <c r="L12" s="5">
        <v>25</v>
      </c>
    </row>
    <row r="17" spans="1:12" x14ac:dyDescent="0.3">
      <c r="B17" s="178" t="s">
        <v>17</v>
      </c>
      <c r="C17" s="178"/>
      <c r="D17" s="178"/>
      <c r="E17" s="178"/>
      <c r="F17" s="178"/>
      <c r="I17" s="194" t="s">
        <v>18</v>
      </c>
      <c r="J17" s="195"/>
      <c r="K17" s="195"/>
      <c r="L17" s="196"/>
    </row>
    <row r="18" spans="1:12" x14ac:dyDescent="0.3">
      <c r="B18" s="178" t="s">
        <v>19</v>
      </c>
      <c r="C18" s="178"/>
      <c r="D18" s="178"/>
      <c r="E18" s="178"/>
      <c r="F18" s="179" t="s">
        <v>20</v>
      </c>
      <c r="I18" s="194" t="s">
        <v>19</v>
      </c>
      <c r="J18" s="195"/>
      <c r="K18" s="196"/>
      <c r="L18" s="179" t="s">
        <v>20</v>
      </c>
    </row>
    <row r="19" spans="1:12" ht="43.2" x14ac:dyDescent="0.3">
      <c r="B19" s="99" t="s">
        <v>21</v>
      </c>
      <c r="C19" s="99" t="s">
        <v>22</v>
      </c>
      <c r="D19" s="99" t="s">
        <v>23</v>
      </c>
      <c r="E19" s="99" t="s">
        <v>24</v>
      </c>
      <c r="F19" s="180"/>
      <c r="I19" s="99" t="s">
        <v>21</v>
      </c>
      <c r="J19" s="99" t="s">
        <v>22</v>
      </c>
      <c r="K19" s="99" t="s">
        <v>24</v>
      </c>
      <c r="L19" s="180"/>
    </row>
    <row r="20" spans="1:12" x14ac:dyDescent="0.3">
      <c r="A20" s="98" t="s">
        <v>14</v>
      </c>
      <c r="B20" s="97"/>
      <c r="C20" s="92"/>
      <c r="D20" s="92"/>
      <c r="E20" s="92"/>
      <c r="F20" s="92"/>
      <c r="H20" s="98" t="s">
        <v>14</v>
      </c>
      <c r="I20" s="97"/>
      <c r="J20" s="92"/>
      <c r="K20" s="92"/>
      <c r="L20" s="92"/>
    </row>
    <row r="21" spans="1:12" x14ac:dyDescent="0.3">
      <c r="A21" s="95" t="s">
        <v>15</v>
      </c>
      <c r="B21" s="97">
        <v>304982</v>
      </c>
      <c r="C21" s="92">
        <f>12751+48679</f>
        <v>61430</v>
      </c>
      <c r="D21" s="92">
        <v>1212</v>
      </c>
      <c r="E21" s="92">
        <v>60219</v>
      </c>
      <c r="F21" s="92"/>
      <c r="H21" s="95" t="s">
        <v>15</v>
      </c>
      <c r="I21" s="97">
        <v>946559</v>
      </c>
      <c r="J21" s="92">
        <f>136488+123731</f>
        <v>260219</v>
      </c>
      <c r="K21" s="92">
        <v>260219</v>
      </c>
      <c r="L21" s="92"/>
    </row>
    <row r="22" spans="1:12" x14ac:dyDescent="0.3">
      <c r="A22" s="13">
        <v>1000000</v>
      </c>
      <c r="B22" s="97"/>
      <c r="C22" s="92"/>
      <c r="D22" s="92"/>
      <c r="E22" s="92"/>
      <c r="F22" s="93">
        <f>$E$21/(K6-(K6*0.03))</f>
        <v>298277.73568785435</v>
      </c>
      <c r="H22" s="13">
        <v>1000000</v>
      </c>
      <c r="I22" s="97"/>
      <c r="J22" s="92"/>
      <c r="K22" s="92"/>
      <c r="L22" s="93">
        <f>$K$21/(K6-(K6*0.03))</f>
        <v>1288921.0067081449</v>
      </c>
    </row>
    <row r="23" spans="1:12" x14ac:dyDescent="0.3">
      <c r="A23" s="13">
        <v>500000</v>
      </c>
      <c r="B23" s="97"/>
      <c r="C23" s="92"/>
      <c r="D23" s="92"/>
      <c r="E23" s="92"/>
      <c r="F23" s="93">
        <f t="shared" ref="F23:F24" si="1">$E$21/(K7-(K7*0.03))</f>
        <v>596555.4713757087</v>
      </c>
      <c r="H23" s="13">
        <v>500000</v>
      </c>
      <c r="I23" s="97"/>
      <c r="J23" s="92"/>
      <c r="K23" s="92"/>
      <c r="L23" s="93">
        <f t="shared" ref="L23:L24" si="2">$K$21/(K7-(K7*0.03))</f>
        <v>2577842.0134162898</v>
      </c>
    </row>
    <row r="24" spans="1:12" x14ac:dyDescent="0.3">
      <c r="A24" s="13">
        <v>100000</v>
      </c>
      <c r="B24" s="97"/>
      <c r="C24" s="92"/>
      <c r="D24" s="92"/>
      <c r="E24" s="92"/>
      <c r="F24" s="93">
        <f t="shared" si="1"/>
        <v>2982777.3568785437</v>
      </c>
      <c r="H24" s="13">
        <v>100000</v>
      </c>
      <c r="I24" s="97"/>
      <c r="J24" s="92"/>
      <c r="K24" s="92"/>
      <c r="L24" s="93">
        <f t="shared" si="2"/>
        <v>12889210.067081448</v>
      </c>
    </row>
    <row r="25" spans="1:12" x14ac:dyDescent="0.3">
      <c r="A25" s="176" t="s">
        <v>16</v>
      </c>
      <c r="B25" s="97">
        <v>303387</v>
      </c>
      <c r="C25" s="92">
        <f>12455+48512</f>
        <v>60967</v>
      </c>
      <c r="D25" s="92">
        <v>485</v>
      </c>
      <c r="E25" s="92">
        <v>60481</v>
      </c>
      <c r="F25" s="93"/>
      <c r="H25" s="176" t="s">
        <v>16</v>
      </c>
      <c r="I25" s="97">
        <v>946561</v>
      </c>
      <c r="J25" s="92">
        <f>136571+123731</f>
        <v>260302</v>
      </c>
      <c r="K25" s="92">
        <v>260303</v>
      </c>
      <c r="L25" s="93"/>
    </row>
    <row r="26" spans="1:12" x14ac:dyDescent="0.3">
      <c r="A26" s="13">
        <v>1000000</v>
      </c>
      <c r="B26" s="97"/>
      <c r="C26" s="92"/>
      <c r="D26" s="92"/>
      <c r="E26" s="92"/>
      <c r="F26" s="93">
        <f>$E$25/(K10-(K10*0.03))</f>
        <v>748938.69593222742</v>
      </c>
      <c r="H26" s="13">
        <v>1000000</v>
      </c>
      <c r="I26" s="97"/>
      <c r="J26" s="92"/>
      <c r="K26" s="92"/>
      <c r="L26" s="93">
        <f>$K$25/(K10-(K10*0.03))</f>
        <v>3223342.6922049341</v>
      </c>
    </row>
    <row r="27" spans="1:12" x14ac:dyDescent="0.3">
      <c r="A27" s="13">
        <v>500000</v>
      </c>
      <c r="B27" s="97"/>
      <c r="C27" s="92"/>
      <c r="D27" s="92"/>
      <c r="E27" s="92"/>
      <c r="F27" s="93">
        <f t="shared" ref="F27:F28" si="3">$E$25/(K11-(K11*0.03))</f>
        <v>1497877.3918644548</v>
      </c>
      <c r="H27" s="13">
        <v>500000</v>
      </c>
      <c r="I27" s="97"/>
      <c r="J27" s="92"/>
      <c r="K27" s="92"/>
      <c r="L27" s="93">
        <f t="shared" ref="L27:L28" si="4">$K$25/(K11-(K11*0.03))</f>
        <v>6446685.3844098682</v>
      </c>
    </row>
    <row r="28" spans="1:12" x14ac:dyDescent="0.3">
      <c r="A28" s="13">
        <v>100000</v>
      </c>
      <c r="B28" s="97"/>
      <c r="C28" s="92"/>
      <c r="D28" s="92"/>
      <c r="E28" s="92"/>
      <c r="F28" s="93">
        <f t="shared" si="3"/>
        <v>7489386.9593222737</v>
      </c>
      <c r="H28" s="13">
        <v>100000</v>
      </c>
      <c r="I28" s="97"/>
      <c r="J28" s="92"/>
      <c r="K28" s="92"/>
      <c r="L28" s="93">
        <f t="shared" si="4"/>
        <v>32233426.922049336</v>
      </c>
    </row>
  </sheetData>
  <mergeCells count="12">
    <mergeCell ref="B17:F17"/>
    <mergeCell ref="B18:E18"/>
    <mergeCell ref="F18:F19"/>
    <mergeCell ref="A1:A3"/>
    <mergeCell ref="B1:L1"/>
    <mergeCell ref="B2:B3"/>
    <mergeCell ref="C2:K2"/>
    <mergeCell ref="L2:L4"/>
    <mergeCell ref="A4:K4"/>
    <mergeCell ref="L18:L19"/>
    <mergeCell ref="I17:L17"/>
    <mergeCell ref="I18:K18"/>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79779-0F3E-4191-B0B9-C12524825A7A}">
  <dimension ref="A1:M30"/>
  <sheetViews>
    <sheetView workbookViewId="0">
      <selection activeCell="R10" sqref="R10"/>
    </sheetView>
  </sheetViews>
  <sheetFormatPr defaultRowHeight="15" customHeight="1" x14ac:dyDescent="0.3"/>
  <cols>
    <col min="1" max="1" width="24.44140625" customWidth="1"/>
    <col min="2" max="2" width="16.6640625" customWidth="1"/>
    <col min="3" max="4" width="11" customWidth="1"/>
    <col min="5" max="5" width="13.5546875" customWidth="1"/>
    <col min="6" max="6" width="11.44140625" customWidth="1"/>
    <col min="7" max="7" width="13.6640625" customWidth="1"/>
    <col min="8" max="8" width="16.109375" customWidth="1"/>
    <col min="9" max="9" width="13.6640625" customWidth="1"/>
    <col min="10" max="10" width="12.88671875" customWidth="1"/>
    <col min="11" max="11" width="12" customWidth="1"/>
    <col min="12" max="12" width="12.88671875" customWidth="1"/>
    <col min="13" max="13" width="14.5546875" customWidth="1"/>
  </cols>
  <sheetData>
    <row r="1" spans="1:13" ht="14.4" x14ac:dyDescent="0.3">
      <c r="A1" s="183" t="s">
        <v>0</v>
      </c>
      <c r="B1" s="188" t="s">
        <v>54</v>
      </c>
      <c r="C1" s="189"/>
      <c r="D1" s="189"/>
      <c r="E1" s="189"/>
      <c r="F1" s="189"/>
      <c r="G1" s="189"/>
      <c r="H1" s="189"/>
      <c r="I1" s="189"/>
      <c r="J1" s="189"/>
      <c r="K1" s="189"/>
      <c r="L1" s="189"/>
      <c r="M1" s="202"/>
    </row>
    <row r="2" spans="1:13" ht="30.9" customHeight="1" x14ac:dyDescent="0.3">
      <c r="A2" s="181"/>
      <c r="B2" s="181" t="s">
        <v>2</v>
      </c>
      <c r="C2" s="186" t="s">
        <v>3</v>
      </c>
      <c r="D2" s="187"/>
      <c r="E2" s="187"/>
      <c r="F2" s="187"/>
      <c r="G2" s="187"/>
      <c r="H2" s="187"/>
      <c r="I2" s="187"/>
      <c r="J2" s="187"/>
      <c r="K2" s="187"/>
      <c r="L2" s="187"/>
      <c r="M2" s="203" t="s">
        <v>4</v>
      </c>
    </row>
    <row r="3" spans="1:13" s="10" customFormat="1" ht="59.4" customHeight="1" thickBot="1" x14ac:dyDescent="0.35">
      <c r="A3" s="182"/>
      <c r="B3" s="182"/>
      <c r="C3" s="11" t="s">
        <v>5</v>
      </c>
      <c r="D3" s="11" t="s">
        <v>33</v>
      </c>
      <c r="E3" s="11" t="s">
        <v>9</v>
      </c>
      <c r="F3" s="11" t="s">
        <v>6</v>
      </c>
      <c r="G3" s="11" t="s">
        <v>12</v>
      </c>
      <c r="H3" s="11" t="s">
        <v>35</v>
      </c>
      <c r="I3" s="11" t="s">
        <v>55</v>
      </c>
      <c r="J3" s="11" t="s">
        <v>7</v>
      </c>
      <c r="K3" s="80" t="s">
        <v>8</v>
      </c>
      <c r="L3" s="80" t="s">
        <v>13</v>
      </c>
      <c r="M3" s="204"/>
    </row>
    <row r="4" spans="1:13" thickBot="1" x14ac:dyDescent="0.35">
      <c r="A4" s="184" t="s">
        <v>14</v>
      </c>
      <c r="B4" s="185"/>
      <c r="C4" s="185"/>
      <c r="D4" s="185"/>
      <c r="E4" s="185"/>
      <c r="F4" s="185"/>
      <c r="G4" s="185"/>
      <c r="H4" s="185"/>
      <c r="I4" s="185"/>
      <c r="J4" s="185"/>
      <c r="K4" s="185"/>
      <c r="L4" s="185"/>
      <c r="M4" s="205"/>
    </row>
    <row r="5" spans="1:13" ht="14.4" x14ac:dyDescent="0.3">
      <c r="A5" s="66" t="s">
        <v>15</v>
      </c>
      <c r="B5" s="66"/>
      <c r="C5" s="67"/>
      <c r="D5" s="67"/>
      <c r="E5" s="67"/>
      <c r="F5" s="67"/>
      <c r="G5" s="67"/>
      <c r="H5" s="67"/>
      <c r="I5" s="67"/>
      <c r="J5" s="67"/>
      <c r="K5" s="78"/>
      <c r="L5" s="78"/>
      <c r="M5" s="67"/>
    </row>
    <row r="6" spans="1:13" ht="14.4" x14ac:dyDescent="0.3">
      <c r="A6" s="13">
        <v>5000000</v>
      </c>
      <c r="B6" s="13">
        <f>A6*'Loading Loss'!$I$5/2000</f>
        <v>33.294672806867936</v>
      </c>
      <c r="C6" s="89">
        <f>$B6*'Fuel Composition'!$J$110/100</f>
        <v>1.7851486162481453E-3</v>
      </c>
      <c r="D6" s="89">
        <f>$B6*'Fuel Composition'!$J$111/100</f>
        <v>5.5515969424214161E-5</v>
      </c>
      <c r="E6" s="89">
        <f>$B6*'Fuel Composition'!$J$112/100</f>
        <v>2.7308971014123541E-3</v>
      </c>
      <c r="F6" s="63">
        <f>$B6*'Fuel Composition'!$J$113/100</f>
        <v>3.6019265482618095</v>
      </c>
      <c r="G6" s="88">
        <f>$B6*'Fuel Composition'!$J$114/100</f>
        <v>2.9474370966781883E-3</v>
      </c>
      <c r="H6" s="88">
        <f>$B6*'Fuel Composition'!$J$115/100</f>
        <v>4.1795540955736997E-4</v>
      </c>
      <c r="I6" s="88">
        <f>$B6*'Fuel Composition'!$J$116/100</f>
        <v>4.3065483857458809E-3</v>
      </c>
      <c r="J6" s="64">
        <f>$B6*'Fuel Composition'!$J$117/100</f>
        <v>2.0731932768654947E-2</v>
      </c>
      <c r="K6" s="64">
        <f>$B6*'Fuel Composition'!$J$118/100</f>
        <v>5.6054113235673667E-3</v>
      </c>
      <c r="L6" s="79">
        <f>SUM(C6:J6)</f>
        <v>3.6349019836095304</v>
      </c>
      <c r="M6" s="5">
        <v>1</v>
      </c>
    </row>
    <row r="7" spans="1:13" ht="14.4" x14ac:dyDescent="0.3">
      <c r="A7" s="13">
        <v>1000000</v>
      </c>
      <c r="B7" s="13">
        <f>A7*'Loading Loss'!$I$5/2000</f>
        <v>6.658934561373588</v>
      </c>
      <c r="C7" s="89">
        <f>$B7*'Fuel Composition'!$J$110/100</f>
        <v>3.570297232496291E-4</v>
      </c>
      <c r="D7" s="89">
        <f>$B7*'Fuel Composition'!$J$111/100</f>
        <v>1.1103193884842831E-5</v>
      </c>
      <c r="E7" s="89">
        <f>$B7*'Fuel Composition'!$J$112/100</f>
        <v>5.4617942028247087E-4</v>
      </c>
      <c r="F7" s="63">
        <f>$B7*'Fuel Composition'!$J$113/100</f>
        <v>0.72038530965236192</v>
      </c>
      <c r="G7" s="88">
        <f>$B7*'Fuel Composition'!$J$114/100</f>
        <v>5.894874193356377E-4</v>
      </c>
      <c r="H7" s="88">
        <f>$B7*'Fuel Composition'!$J$115/100</f>
        <v>8.3591081911474002E-5</v>
      </c>
      <c r="I7" s="88">
        <f>$B7*'Fuel Composition'!$J$116/100</f>
        <v>8.6130967714917624E-4</v>
      </c>
      <c r="J7" s="64">
        <f>$B7*'Fuel Composition'!$J$117/100</f>
        <v>4.14638655373099E-3</v>
      </c>
      <c r="K7" s="64">
        <f>$B7*'Fuel Composition'!$J$118/100</f>
        <v>1.1210822647134734E-3</v>
      </c>
      <c r="L7" s="79">
        <f t="shared" ref="L7:L12" si="0">SUM(C7:J7)</f>
        <v>0.72698039672190606</v>
      </c>
      <c r="M7" s="5">
        <v>13</v>
      </c>
    </row>
    <row r="8" spans="1:13" ht="14.4" x14ac:dyDescent="0.3">
      <c r="A8" s="13">
        <v>500000</v>
      </c>
      <c r="B8" s="13">
        <f>A8*'Loading Loss'!$I$5/2000</f>
        <v>3.329467280686794</v>
      </c>
      <c r="C8" s="89">
        <f>$B8*'Fuel Composition'!$J$110/100</f>
        <v>1.7851486162481455E-4</v>
      </c>
      <c r="D8" s="89">
        <f>$B8*'Fuel Composition'!$J$111/100</f>
        <v>5.5515969424214155E-6</v>
      </c>
      <c r="E8" s="89">
        <f>$B8*'Fuel Composition'!$J$112/100</f>
        <v>2.7308971014123544E-4</v>
      </c>
      <c r="F8" s="63">
        <f>$B8*'Fuel Composition'!$J$113/100</f>
        <v>0.36019265482618096</v>
      </c>
      <c r="G8" s="88">
        <f>$B8*'Fuel Composition'!$J$114/100</f>
        <v>2.9474370966781885E-4</v>
      </c>
      <c r="H8" s="88">
        <f>$B8*'Fuel Composition'!$J$115/100</f>
        <v>4.1795540955737001E-5</v>
      </c>
      <c r="I8" s="88">
        <f>$B8*'Fuel Composition'!$J$116/100</f>
        <v>4.3065483857458812E-4</v>
      </c>
      <c r="J8" s="64">
        <f>$B8*'Fuel Composition'!$J$117/100</f>
        <v>2.073193276865495E-3</v>
      </c>
      <c r="K8" s="64">
        <f>$B8*'Fuel Composition'!$J$118/100</f>
        <v>5.6054113235673669E-4</v>
      </c>
      <c r="L8" s="79">
        <f t="shared" si="0"/>
        <v>0.36349019836095303</v>
      </c>
      <c r="M8" s="5">
        <v>20</v>
      </c>
    </row>
    <row r="9" spans="1:13" ht="14.4" x14ac:dyDescent="0.3">
      <c r="A9" s="12" t="s">
        <v>16</v>
      </c>
      <c r="B9" s="12"/>
      <c r="C9" s="63"/>
      <c r="D9" s="63"/>
      <c r="E9" s="63"/>
      <c r="F9" s="63"/>
      <c r="G9" s="63"/>
      <c r="H9" s="63"/>
      <c r="I9" s="63"/>
      <c r="J9" s="64"/>
      <c r="K9" s="64"/>
      <c r="L9" s="79"/>
      <c r="M9" s="5"/>
    </row>
    <row r="10" spans="1:13" ht="14.4" x14ac:dyDescent="0.3">
      <c r="A10" s="13">
        <v>5000000</v>
      </c>
      <c r="B10" s="13">
        <f>A10*'Loading Loss'!$H$5/2000</f>
        <v>13.317869122747174</v>
      </c>
      <c r="C10" s="90">
        <f>$B10*'Fuel Composition'!$J$110/100</f>
        <v>7.140594464992581E-4</v>
      </c>
      <c r="D10" s="90">
        <f>$B10*'Fuel Composition'!$J$111/100</f>
        <v>2.2206387769685662E-5</v>
      </c>
      <c r="E10" s="90">
        <f>$B10*'Fuel Composition'!$J$112/100</f>
        <v>1.0923588405649415E-3</v>
      </c>
      <c r="F10" s="63">
        <f>$B10*'Fuel Composition'!$J$113/100</f>
        <v>1.4407706193047236</v>
      </c>
      <c r="G10" s="89">
        <f>$B10*'Fuel Composition'!$J$114/100</f>
        <v>1.1789748386712752E-3</v>
      </c>
      <c r="H10" s="89">
        <f>$B10*'Fuel Composition'!$J$115/100</f>
        <v>1.6718216382294798E-4</v>
      </c>
      <c r="I10" s="89">
        <f>$B10*'Fuel Composition'!$J$116/100</f>
        <v>1.7226193542983523E-3</v>
      </c>
      <c r="J10" s="88">
        <f>$B10*'Fuel Composition'!$J$117/100</f>
        <v>8.2927731074619784E-3</v>
      </c>
      <c r="K10" s="88">
        <f>$B10*'Fuel Composition'!$J$118/100</f>
        <v>2.2421645294269463E-3</v>
      </c>
      <c r="L10" s="79">
        <f t="shared" si="0"/>
        <v>1.4539607934438119</v>
      </c>
      <c r="M10" s="5">
        <v>1</v>
      </c>
    </row>
    <row r="11" spans="1:13" ht="14.4" x14ac:dyDescent="0.3">
      <c r="A11" s="13">
        <v>1000000</v>
      </c>
      <c r="B11" s="13">
        <f>A11*'Loading Loss'!$H$5/2000</f>
        <v>2.6635738245494345</v>
      </c>
      <c r="C11" s="90">
        <f>$B11*'Fuel Composition'!$J$110/100</f>
        <v>1.428118892998516E-4</v>
      </c>
      <c r="D11" s="90">
        <f>$B11*'Fuel Composition'!$J$111/100</f>
        <v>4.4412775539371322E-6</v>
      </c>
      <c r="E11" s="90">
        <f>$B11*'Fuel Composition'!$J$112/100</f>
        <v>2.1847176811298828E-4</v>
      </c>
      <c r="F11" s="63">
        <f>$B11*'Fuel Composition'!$J$113/100</f>
        <v>0.28815412386094469</v>
      </c>
      <c r="G11" s="89">
        <f>$B11*'Fuel Composition'!$J$114/100</f>
        <v>2.3579496773425503E-4</v>
      </c>
      <c r="H11" s="89">
        <f>$B11*'Fuel Composition'!$J$115/100</f>
        <v>3.3436432764589596E-5</v>
      </c>
      <c r="I11" s="89">
        <f>$B11*'Fuel Composition'!$J$116/100</f>
        <v>3.4452387085967041E-4</v>
      </c>
      <c r="J11" s="88">
        <f>$B11*'Fuel Composition'!$J$117/100</f>
        <v>1.6585546214923955E-3</v>
      </c>
      <c r="K11" s="88">
        <f>$B11*'Fuel Composition'!$J$118/100</f>
        <v>4.4843290588538918E-4</v>
      </c>
      <c r="L11" s="79">
        <f t="shared" si="0"/>
        <v>0.29079215868876235</v>
      </c>
      <c r="M11" s="5">
        <v>13</v>
      </c>
    </row>
    <row r="12" spans="1:13" ht="14.4" x14ac:dyDescent="0.3">
      <c r="A12" s="13">
        <v>500000</v>
      </c>
      <c r="B12" s="13">
        <f>A12*'Loading Loss'!$H$5/2000</f>
        <v>1.3317869122747172</v>
      </c>
      <c r="C12" s="90">
        <f>$B12*'Fuel Composition'!$J$110/100</f>
        <v>7.1405944649925799E-5</v>
      </c>
      <c r="D12" s="90">
        <f>$B12*'Fuel Composition'!$J$111/100</f>
        <v>2.2206387769685661E-6</v>
      </c>
      <c r="E12" s="90">
        <f>$B12*'Fuel Composition'!$J$112/100</f>
        <v>1.0923588405649414E-4</v>
      </c>
      <c r="F12" s="63">
        <f>$B12*'Fuel Composition'!$J$113/100</f>
        <v>0.14407706193047234</v>
      </c>
      <c r="G12" s="89">
        <f>$B12*'Fuel Composition'!$J$114/100</f>
        <v>1.1789748386712752E-4</v>
      </c>
      <c r="H12" s="89">
        <f>$B12*'Fuel Composition'!$J$115/100</f>
        <v>1.6718216382294798E-5</v>
      </c>
      <c r="I12" s="89">
        <f>$B12*'Fuel Composition'!$J$116/100</f>
        <v>1.722619354298352E-4</v>
      </c>
      <c r="J12" s="88">
        <f>$B12*'Fuel Composition'!$J$117/100</f>
        <v>8.2927731074619777E-4</v>
      </c>
      <c r="K12" s="88">
        <f>$B12*'Fuel Composition'!$J$118/100</f>
        <v>2.2421645294269459E-4</v>
      </c>
      <c r="L12" s="79">
        <f t="shared" si="0"/>
        <v>0.14539607934438117</v>
      </c>
      <c r="M12" s="5">
        <v>20</v>
      </c>
    </row>
    <row r="18" spans="1:12" ht="14.4" x14ac:dyDescent="0.3"/>
    <row r="19" spans="1:12" ht="14.4" x14ac:dyDescent="0.3">
      <c r="B19" s="178" t="s">
        <v>17</v>
      </c>
      <c r="C19" s="178"/>
      <c r="D19" s="178"/>
      <c r="E19" s="178"/>
      <c r="F19" s="178"/>
      <c r="I19" s="194" t="s">
        <v>18</v>
      </c>
      <c r="J19" s="195"/>
      <c r="K19" s="195"/>
      <c r="L19" s="196"/>
    </row>
    <row r="20" spans="1:12" ht="14.4" x14ac:dyDescent="0.3">
      <c r="B20" s="178" t="s">
        <v>19</v>
      </c>
      <c r="C20" s="178"/>
      <c r="D20" s="178"/>
      <c r="E20" s="178"/>
      <c r="F20" s="179" t="s">
        <v>20</v>
      </c>
      <c r="I20" s="194" t="s">
        <v>19</v>
      </c>
      <c r="J20" s="195"/>
      <c r="K20" s="196"/>
      <c r="L20" s="179" t="s">
        <v>20</v>
      </c>
    </row>
    <row r="21" spans="1:12" ht="43.2" x14ac:dyDescent="0.3">
      <c r="B21" s="99" t="s">
        <v>21</v>
      </c>
      <c r="C21" s="99" t="s">
        <v>22</v>
      </c>
      <c r="D21" s="99" t="s">
        <v>23</v>
      </c>
      <c r="E21" s="99" t="s">
        <v>24</v>
      </c>
      <c r="F21" s="180"/>
      <c r="I21" s="99" t="s">
        <v>21</v>
      </c>
      <c r="J21" s="99" t="s">
        <v>22</v>
      </c>
      <c r="K21" s="99" t="s">
        <v>24</v>
      </c>
      <c r="L21" s="180"/>
    </row>
    <row r="22" spans="1:12" ht="14.4" x14ac:dyDescent="0.3">
      <c r="A22" s="98" t="s">
        <v>14</v>
      </c>
      <c r="B22" s="97"/>
      <c r="C22" s="92"/>
      <c r="D22" s="92"/>
      <c r="E22" s="92"/>
      <c r="F22" s="92"/>
      <c r="H22" s="98" t="s">
        <v>14</v>
      </c>
      <c r="I22" s="97"/>
      <c r="J22" s="92"/>
      <c r="K22" s="92"/>
      <c r="L22" s="92"/>
    </row>
    <row r="23" spans="1:12" ht="14.4" x14ac:dyDescent="0.3">
      <c r="A23" s="95" t="s">
        <v>15</v>
      </c>
      <c r="B23" s="97">
        <v>366104</v>
      </c>
      <c r="C23" s="92">
        <f>12830+58177</f>
        <v>71007</v>
      </c>
      <c r="D23" s="92">
        <v>1052</v>
      </c>
      <c r="E23" s="92">
        <v>69952</v>
      </c>
      <c r="F23" s="92"/>
      <c r="H23" s="95" t="s">
        <v>15</v>
      </c>
      <c r="I23" s="97">
        <v>946560</v>
      </c>
      <c r="J23" s="92">
        <f>136556+123731</f>
        <v>260287</v>
      </c>
      <c r="K23" s="92">
        <v>260287</v>
      </c>
      <c r="L23" s="92"/>
    </row>
    <row r="24" spans="1:12" ht="14.4" x14ac:dyDescent="0.3">
      <c r="A24" s="13">
        <v>1000000</v>
      </c>
      <c r="B24" s="97"/>
      <c r="C24" s="92"/>
      <c r="D24" s="92"/>
      <c r="E24" s="92"/>
      <c r="F24" s="93">
        <f>$E$23/(L6-(L6*0.03))</f>
        <v>19839.727245110931</v>
      </c>
      <c r="H24" s="13">
        <v>1000000</v>
      </c>
      <c r="I24" s="97"/>
      <c r="J24" s="92"/>
      <c r="K24" s="92"/>
      <c r="L24" s="93">
        <f>$K$23/(L6-(L6*0.03))</f>
        <v>73822.379423721824</v>
      </c>
    </row>
    <row r="25" spans="1:12" ht="14.4" x14ac:dyDescent="0.3">
      <c r="A25" s="13">
        <v>500000</v>
      </c>
      <c r="B25" s="97"/>
      <c r="C25" s="92"/>
      <c r="D25" s="92"/>
      <c r="E25" s="92"/>
      <c r="F25" s="93">
        <f t="shared" ref="F25:F26" si="1">$E$23/(L7-(L7*0.03))</f>
        <v>99198.63622555467</v>
      </c>
      <c r="H25" s="13">
        <v>500000</v>
      </c>
      <c r="I25" s="97"/>
      <c r="J25" s="92"/>
      <c r="K25" s="92"/>
      <c r="L25" s="93">
        <f t="shared" ref="L25:L26" si="2">$K$23/(L7-(L7*0.03))</f>
        <v>369111.89711860917</v>
      </c>
    </row>
    <row r="26" spans="1:12" ht="14.4" x14ac:dyDescent="0.3">
      <c r="A26" s="13">
        <v>100000</v>
      </c>
      <c r="B26" s="97"/>
      <c r="C26" s="92"/>
      <c r="D26" s="92"/>
      <c r="E26" s="92"/>
      <c r="F26" s="93">
        <f t="shared" si="1"/>
        <v>198397.27245110934</v>
      </c>
      <c r="H26" s="13">
        <v>100000</v>
      </c>
      <c r="I26" s="97"/>
      <c r="J26" s="92"/>
      <c r="K26" s="92"/>
      <c r="L26" s="93">
        <f t="shared" si="2"/>
        <v>738223.79423721833</v>
      </c>
    </row>
    <row r="27" spans="1:12" ht="15" customHeight="1" x14ac:dyDescent="0.3">
      <c r="A27" s="176" t="s">
        <v>16</v>
      </c>
      <c r="B27" s="97">
        <v>363797</v>
      </c>
      <c r="C27" s="92">
        <f>12486+57928</f>
        <v>70414</v>
      </c>
      <c r="D27" s="92">
        <v>422</v>
      </c>
      <c r="E27" s="92">
        <v>69991</v>
      </c>
      <c r="F27" s="93"/>
      <c r="H27" s="176" t="s">
        <v>16</v>
      </c>
      <c r="I27" s="97">
        <v>946562</v>
      </c>
      <c r="J27" s="92">
        <f>136598+123731</f>
        <v>260329</v>
      </c>
      <c r="K27" s="92">
        <v>260329</v>
      </c>
      <c r="L27" s="93"/>
    </row>
    <row r="28" spans="1:12" ht="15" customHeight="1" x14ac:dyDescent="0.3">
      <c r="A28" s="13">
        <v>1000000</v>
      </c>
      <c r="B28" s="97"/>
      <c r="C28" s="92"/>
      <c r="D28" s="92"/>
      <c r="E28" s="92"/>
      <c r="F28" s="93">
        <f>$E$27/(L10-(L10*0.03))</f>
        <v>49626.970980549508</v>
      </c>
      <c r="H28" s="13">
        <v>1000000</v>
      </c>
      <c r="I28" s="97"/>
      <c r="J28" s="92"/>
      <c r="K28" s="92"/>
      <c r="L28" s="93">
        <f>$K$27/(L10-(L10*0.03))</f>
        <v>184585.72857075155</v>
      </c>
    </row>
    <row r="29" spans="1:12" ht="15" customHeight="1" x14ac:dyDescent="0.3">
      <c r="A29" s="13">
        <v>500000</v>
      </c>
      <c r="B29" s="97"/>
      <c r="C29" s="92"/>
      <c r="D29" s="92"/>
      <c r="E29" s="92"/>
      <c r="F29" s="93">
        <f t="shared" ref="F29:F30" si="3">$E$27/(L11-(L11*0.03))</f>
        <v>248134.85490274755</v>
      </c>
      <c r="H29" s="13">
        <v>500000</v>
      </c>
      <c r="I29" s="97"/>
      <c r="J29" s="92"/>
      <c r="K29" s="92"/>
      <c r="L29" s="93">
        <f t="shared" ref="L29:L30" si="4">$K$27/(L11-(L11*0.03))</f>
        <v>922928.64285375795</v>
      </c>
    </row>
    <row r="30" spans="1:12" ht="15" customHeight="1" x14ac:dyDescent="0.3">
      <c r="A30" s="13">
        <v>100000</v>
      </c>
      <c r="B30" s="97"/>
      <c r="C30" s="92"/>
      <c r="D30" s="92"/>
      <c r="E30" s="92"/>
      <c r="F30" s="93">
        <f t="shared" si="3"/>
        <v>496269.70980549511</v>
      </c>
      <c r="H30" s="13">
        <v>100000</v>
      </c>
      <c r="I30" s="97"/>
      <c r="J30" s="92"/>
      <c r="K30" s="92"/>
      <c r="L30" s="93">
        <f t="shared" si="4"/>
        <v>1845857.2857075159</v>
      </c>
    </row>
  </sheetData>
  <mergeCells count="12">
    <mergeCell ref="B19:F19"/>
    <mergeCell ref="B20:E20"/>
    <mergeCell ref="F20:F21"/>
    <mergeCell ref="A1:A3"/>
    <mergeCell ref="B1:M1"/>
    <mergeCell ref="B2:B3"/>
    <mergeCell ref="C2:L2"/>
    <mergeCell ref="M2:M4"/>
    <mergeCell ref="A4:L4"/>
    <mergeCell ref="L20:L21"/>
    <mergeCell ref="I19:L19"/>
    <mergeCell ref="I20:K20"/>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2CA9F-CA53-4165-A303-AACABEDB7CBA}">
  <dimension ref="A1:L30"/>
  <sheetViews>
    <sheetView workbookViewId="0">
      <selection activeCell="J34" sqref="J34"/>
    </sheetView>
  </sheetViews>
  <sheetFormatPr defaultRowHeight="15" customHeight="1" x14ac:dyDescent="0.3"/>
  <cols>
    <col min="1" max="1" width="24.44140625" customWidth="1"/>
    <col min="2" max="2" width="16.6640625" customWidth="1"/>
    <col min="3" max="3" width="11" customWidth="1"/>
    <col min="4" max="4" width="13.109375" customWidth="1"/>
    <col min="5" max="5" width="11.6640625" customWidth="1"/>
    <col min="6" max="6" width="13.44140625" customWidth="1"/>
    <col min="7" max="7" width="12.33203125" customWidth="1"/>
    <col min="8" max="8" width="11.6640625" customWidth="1"/>
    <col min="9" max="9" width="12" customWidth="1"/>
    <col min="10" max="10" width="14.5546875" customWidth="1"/>
    <col min="12" max="12" width="13.33203125" customWidth="1"/>
  </cols>
  <sheetData>
    <row r="1" spans="1:10" ht="14.4" x14ac:dyDescent="0.3">
      <c r="A1" s="183" t="s">
        <v>0</v>
      </c>
      <c r="B1" s="188" t="s">
        <v>56</v>
      </c>
      <c r="C1" s="189"/>
      <c r="D1" s="189"/>
      <c r="E1" s="189"/>
      <c r="F1" s="189"/>
      <c r="G1" s="189"/>
      <c r="H1" s="189"/>
      <c r="I1" s="189"/>
      <c r="J1" s="190"/>
    </row>
    <row r="2" spans="1:10" ht="30.9" customHeight="1" x14ac:dyDescent="0.3">
      <c r="A2" s="181"/>
      <c r="B2" s="181" t="s">
        <v>2</v>
      </c>
      <c r="C2" s="186" t="s">
        <v>3</v>
      </c>
      <c r="D2" s="187"/>
      <c r="E2" s="187"/>
      <c r="F2" s="187"/>
      <c r="G2" s="187"/>
      <c r="H2" s="187"/>
      <c r="I2" s="187"/>
      <c r="J2" s="191" t="s">
        <v>4</v>
      </c>
    </row>
    <row r="3" spans="1:10" s="10" customFormat="1" ht="59.4" customHeight="1" x14ac:dyDescent="0.3">
      <c r="A3" s="182"/>
      <c r="B3" s="182"/>
      <c r="C3" s="11" t="s">
        <v>5</v>
      </c>
      <c r="D3" s="11" t="s">
        <v>9</v>
      </c>
      <c r="E3" s="11" t="s">
        <v>57</v>
      </c>
      <c r="F3" s="11" t="s">
        <v>12</v>
      </c>
      <c r="G3" s="11" t="s">
        <v>7</v>
      </c>
      <c r="H3" s="11" t="s">
        <v>8</v>
      </c>
      <c r="I3" s="80" t="s">
        <v>13</v>
      </c>
      <c r="J3" s="192"/>
    </row>
    <row r="4" spans="1:10" ht="14.4" x14ac:dyDescent="0.3">
      <c r="A4" s="184" t="s">
        <v>14</v>
      </c>
      <c r="B4" s="185"/>
      <c r="C4" s="185"/>
      <c r="D4" s="185"/>
      <c r="E4" s="185"/>
      <c r="F4" s="185"/>
      <c r="G4" s="185"/>
      <c r="H4" s="185"/>
      <c r="I4" s="185"/>
      <c r="J4" s="193"/>
    </row>
    <row r="5" spans="1:10" ht="14.4" x14ac:dyDescent="0.3">
      <c r="A5" s="66" t="s">
        <v>15</v>
      </c>
      <c r="B5" s="66"/>
      <c r="C5" s="67"/>
      <c r="D5" s="67"/>
      <c r="E5" s="67"/>
      <c r="F5" s="67"/>
      <c r="G5" s="67"/>
      <c r="H5" s="67"/>
      <c r="I5" s="78"/>
      <c r="J5" s="67"/>
    </row>
    <row r="6" spans="1:10" ht="14.4" x14ac:dyDescent="0.3">
      <c r="A6" s="13">
        <v>1000000</v>
      </c>
      <c r="B6" s="13">
        <f>A6*'Loading Loss'!$I$6/2000</f>
        <v>4.5691625447723014</v>
      </c>
      <c r="C6" s="88">
        <f>$B6*'Fuel Composition'!$J$135/100</f>
        <v>8.9176771939300764E-4</v>
      </c>
      <c r="D6" s="88">
        <f>$B6*'Fuel Composition'!$J$136/100</f>
        <v>1.8469367457826642E-4</v>
      </c>
      <c r="E6" s="63">
        <f>$B6*'Fuel Composition'!$J$137/100</f>
        <v>0.78473928871754728</v>
      </c>
      <c r="F6" s="88">
        <f>$B6*'Fuel Composition'!$J$138/100</f>
        <v>2.1416535265858649E-4</v>
      </c>
      <c r="G6" s="88">
        <f>$B6*'Fuel Composition'!$J$139/100</f>
        <v>1.5534898525061494E-3</v>
      </c>
      <c r="H6" s="88">
        <f>$B6*'Fuel Composition'!$J$140/100</f>
        <v>1.0041999555533928E-3</v>
      </c>
      <c r="I6" s="79">
        <f t="shared" ref="I6:I12" si="0">SUM(C6:H6)</f>
        <v>0.7885876052722367</v>
      </c>
      <c r="J6" s="5">
        <v>1</v>
      </c>
    </row>
    <row r="7" spans="1:10" ht="14.4" x14ac:dyDescent="0.3">
      <c r="A7" s="13">
        <v>500000</v>
      </c>
      <c r="B7" s="13">
        <f>A7*'Loading Loss'!$I$6/2000</f>
        <v>2.2845812723861507</v>
      </c>
      <c r="C7" s="88">
        <f>$B7*'Fuel Composition'!$J$135/100</f>
        <v>4.4588385969650382E-4</v>
      </c>
      <c r="D7" s="88">
        <f>$B7*'Fuel Composition'!$J$136/100</f>
        <v>9.2346837289133209E-5</v>
      </c>
      <c r="E7" s="63">
        <f>$B7*'Fuel Composition'!$J$137/100</f>
        <v>0.39236964435877364</v>
      </c>
      <c r="F7" s="88">
        <f>$B7*'Fuel Composition'!$J$138/100</f>
        <v>1.0708267632929325E-4</v>
      </c>
      <c r="G7" s="88">
        <f>$B7*'Fuel Composition'!$J$139/100</f>
        <v>7.7674492625307468E-4</v>
      </c>
      <c r="H7" s="88">
        <f>$B7*'Fuel Composition'!$J$140/100</f>
        <v>5.0209997777669641E-4</v>
      </c>
      <c r="I7" s="79">
        <f t="shared" si="0"/>
        <v>0.39429380263611835</v>
      </c>
      <c r="J7" s="5">
        <v>4</v>
      </c>
    </row>
    <row r="8" spans="1:10" ht="14.4" x14ac:dyDescent="0.3">
      <c r="A8" s="13">
        <v>100000</v>
      </c>
      <c r="B8" s="13">
        <f>A8*'Loading Loss'!$I$6/2000</f>
        <v>0.45691625447723017</v>
      </c>
      <c r="C8" s="88">
        <f>$B8*'Fuel Composition'!$J$135/100</f>
        <v>8.9176771939300772E-5</v>
      </c>
      <c r="D8" s="88">
        <f>$B8*'Fuel Composition'!$J$136/100</f>
        <v>1.8469367457826644E-5</v>
      </c>
      <c r="E8" s="63">
        <f>$B8*'Fuel Composition'!$J$137/100</f>
        <v>7.8473928871754722E-2</v>
      </c>
      <c r="F8" s="88">
        <f>$B8*'Fuel Composition'!$J$138/100</f>
        <v>2.1416535265858651E-5</v>
      </c>
      <c r="G8" s="88">
        <f>$B8*'Fuel Composition'!$J$139/100</f>
        <v>1.5534898525061496E-4</v>
      </c>
      <c r="H8" s="88">
        <f>$B8*'Fuel Composition'!$J$140/100</f>
        <v>1.0041999555533929E-4</v>
      </c>
      <c r="I8" s="79">
        <f t="shared" si="0"/>
        <v>7.8858760527223654E-2</v>
      </c>
      <c r="J8" s="5">
        <v>25</v>
      </c>
    </row>
    <row r="9" spans="1:10" ht="14.4" x14ac:dyDescent="0.3">
      <c r="A9" s="12" t="s">
        <v>16</v>
      </c>
      <c r="B9" s="12"/>
      <c r="C9" s="63"/>
      <c r="D9" s="63"/>
      <c r="E9" s="63"/>
      <c r="F9" s="63"/>
      <c r="G9" s="63"/>
      <c r="H9" s="63"/>
      <c r="I9" s="79"/>
      <c r="J9" s="5"/>
    </row>
    <row r="10" spans="1:10" ht="14.4" x14ac:dyDescent="0.3">
      <c r="A10" s="13">
        <v>1000000</v>
      </c>
      <c r="B10" s="13">
        <f>A10*'Loading Loss'!$H$6/2000</f>
        <v>1.8276650179089209</v>
      </c>
      <c r="C10" s="88">
        <f>$B10*'Fuel Composition'!$J$135/100</f>
        <v>3.5670708775720309E-4</v>
      </c>
      <c r="D10" s="88">
        <f>$B10*'Fuel Composition'!$J$136/100</f>
        <v>7.3877469831306589E-5</v>
      </c>
      <c r="E10" s="63">
        <f>$B10*'Fuel Composition'!$J$137/100</f>
        <v>0.31389571548701894</v>
      </c>
      <c r="F10" s="88">
        <f>$B10*'Fuel Composition'!$J$138/100</f>
        <v>8.5666141063434604E-5</v>
      </c>
      <c r="G10" s="88">
        <f>$B10*'Fuel Composition'!$J$139/100</f>
        <v>6.2139594100245994E-4</v>
      </c>
      <c r="H10" s="88">
        <f>$B10*'Fuel Composition'!$J$140/100</f>
        <v>4.0167998222135726E-4</v>
      </c>
      <c r="I10" s="79">
        <f t="shared" si="0"/>
        <v>0.31543504210889467</v>
      </c>
      <c r="J10" s="5">
        <v>1</v>
      </c>
    </row>
    <row r="11" spans="1:10" ht="14.4" x14ac:dyDescent="0.3">
      <c r="A11" s="13">
        <v>500000</v>
      </c>
      <c r="B11" s="13">
        <f>A11*'Loading Loss'!$H$6/2000</f>
        <v>0.91383250895446044</v>
      </c>
      <c r="C11" s="88">
        <f>$B11*'Fuel Composition'!$J$135/100</f>
        <v>1.7835354387860154E-4</v>
      </c>
      <c r="D11" s="88">
        <f>$B11*'Fuel Composition'!$J$136/100</f>
        <v>3.6938734915653294E-5</v>
      </c>
      <c r="E11" s="63">
        <f>$B11*'Fuel Composition'!$J$137/100</f>
        <v>0.15694785774350947</v>
      </c>
      <c r="F11" s="88">
        <f>$B11*'Fuel Composition'!$J$138/100</f>
        <v>4.2833070531717302E-5</v>
      </c>
      <c r="G11" s="88">
        <f>$B11*'Fuel Composition'!$J$139/100</f>
        <v>3.1069797050122997E-4</v>
      </c>
      <c r="H11" s="88">
        <f>$B11*'Fuel Composition'!$J$140/100</f>
        <v>2.0083999111067863E-4</v>
      </c>
      <c r="I11" s="79">
        <f t="shared" si="0"/>
        <v>0.15771752105444733</v>
      </c>
      <c r="J11" s="5">
        <v>4</v>
      </c>
    </row>
    <row r="12" spans="1:10" ht="14.4" x14ac:dyDescent="0.3">
      <c r="A12" s="13">
        <v>100000</v>
      </c>
      <c r="B12" s="13">
        <f>A12*'Loading Loss'!$H$6/2000</f>
        <v>0.18276650179089207</v>
      </c>
      <c r="C12" s="88">
        <f>$B12*'Fuel Composition'!$J$135/100</f>
        <v>3.5670708775720307E-5</v>
      </c>
      <c r="D12" s="88">
        <f>$B12*'Fuel Composition'!$J$136/100</f>
        <v>7.3877469831306577E-6</v>
      </c>
      <c r="E12" s="63">
        <f>$B12*'Fuel Composition'!$J$137/100</f>
        <v>3.1389571548701894E-2</v>
      </c>
      <c r="F12" s="88">
        <f>$B12*'Fuel Composition'!$J$138/100</f>
        <v>8.5666141063434604E-6</v>
      </c>
      <c r="G12" s="88">
        <f>$B12*'Fuel Composition'!$J$139/100</f>
        <v>6.2139594100245977E-5</v>
      </c>
      <c r="H12" s="88">
        <f>$B12*'Fuel Composition'!$J$140/100</f>
        <v>4.0167998222135719E-5</v>
      </c>
      <c r="I12" s="79">
        <f t="shared" si="0"/>
        <v>3.1543504210889473E-2</v>
      </c>
      <c r="J12" s="5">
        <v>25</v>
      </c>
    </row>
    <row r="18" spans="1:12" ht="14.4" x14ac:dyDescent="0.3"/>
    <row r="19" spans="1:12" ht="14.4" x14ac:dyDescent="0.3">
      <c r="B19" s="178" t="s">
        <v>17</v>
      </c>
      <c r="C19" s="178"/>
      <c r="D19" s="178"/>
      <c r="E19" s="178"/>
      <c r="F19" s="178"/>
      <c r="I19" s="194" t="s">
        <v>18</v>
      </c>
      <c r="J19" s="195"/>
      <c r="K19" s="195"/>
      <c r="L19" s="196"/>
    </row>
    <row r="20" spans="1:12" ht="14.4" x14ac:dyDescent="0.3">
      <c r="B20" s="178" t="s">
        <v>19</v>
      </c>
      <c r="C20" s="178"/>
      <c r="D20" s="178"/>
      <c r="E20" s="178"/>
      <c r="F20" s="179" t="s">
        <v>20</v>
      </c>
      <c r="I20" s="194" t="s">
        <v>19</v>
      </c>
      <c r="J20" s="195"/>
      <c r="K20" s="196"/>
      <c r="L20" s="179" t="s">
        <v>20</v>
      </c>
    </row>
    <row r="21" spans="1:12" ht="57.6" x14ac:dyDescent="0.3">
      <c r="B21" s="99" t="s">
        <v>21</v>
      </c>
      <c r="C21" s="99" t="s">
        <v>22</v>
      </c>
      <c r="D21" s="99" t="s">
        <v>23</v>
      </c>
      <c r="E21" s="99" t="s">
        <v>24</v>
      </c>
      <c r="F21" s="180"/>
      <c r="I21" s="99" t="s">
        <v>21</v>
      </c>
      <c r="J21" s="99" t="s">
        <v>22</v>
      </c>
      <c r="K21" s="99" t="s">
        <v>24</v>
      </c>
      <c r="L21" s="180"/>
    </row>
    <row r="22" spans="1:12" ht="14.4" x14ac:dyDescent="0.3">
      <c r="A22" s="98" t="s">
        <v>14</v>
      </c>
      <c r="B22" s="97"/>
      <c r="C22" s="92"/>
      <c r="D22" s="92"/>
      <c r="E22" s="92"/>
      <c r="F22" s="92"/>
      <c r="H22" s="98" t="s">
        <v>14</v>
      </c>
      <c r="I22" s="97"/>
      <c r="J22" s="92"/>
      <c r="K22" s="92"/>
      <c r="L22" s="92"/>
    </row>
    <row r="23" spans="1:12" ht="14.4" x14ac:dyDescent="0.3">
      <c r="A23" s="95" t="s">
        <v>15</v>
      </c>
      <c r="B23" s="97">
        <v>364947</v>
      </c>
      <c r="C23" s="92">
        <f>12656+58052</f>
        <v>70708</v>
      </c>
      <c r="D23" s="92">
        <v>724</v>
      </c>
      <c r="E23" s="92">
        <v>69984</v>
      </c>
      <c r="F23" s="92"/>
      <c r="H23" s="95" t="s">
        <v>15</v>
      </c>
      <c r="I23" s="97">
        <v>946561</v>
      </c>
      <c r="J23" s="92">
        <f>136586+123731</f>
        <v>260317</v>
      </c>
      <c r="K23" s="92">
        <v>260317</v>
      </c>
      <c r="L23" s="92"/>
    </row>
    <row r="24" spans="1:12" ht="15" customHeight="1" x14ac:dyDescent="0.3">
      <c r="A24" s="13">
        <v>1000000</v>
      </c>
      <c r="B24" s="97"/>
      <c r="C24" s="92"/>
      <c r="D24" s="92"/>
      <c r="E24" s="92"/>
      <c r="F24" s="93">
        <f>$E$23/(I6-(I6*0.03))</f>
        <v>91490.727378780299</v>
      </c>
      <c r="H24" s="13">
        <v>1000000</v>
      </c>
      <c r="I24" s="97"/>
      <c r="J24" s="92"/>
      <c r="K24" s="92"/>
      <c r="L24" s="93">
        <f>$K$23/(I6-(I6*0.03))</f>
        <v>340314.81022893736</v>
      </c>
    </row>
    <row r="25" spans="1:12" ht="15" customHeight="1" x14ac:dyDescent="0.3">
      <c r="A25" s="13">
        <v>500000</v>
      </c>
      <c r="B25" s="97"/>
      <c r="C25" s="92"/>
      <c r="D25" s="92"/>
      <c r="E25" s="92"/>
      <c r="F25" s="93">
        <f t="shared" ref="F25:F26" si="1">$E$23/(I7-(I7*0.03))</f>
        <v>182981.4547575606</v>
      </c>
      <c r="H25" s="13">
        <v>500000</v>
      </c>
      <c r="I25" s="97"/>
      <c r="J25" s="92"/>
      <c r="K25" s="92"/>
      <c r="L25" s="93">
        <f t="shared" ref="L25:L26" si="2">$K$23/(I7-(I7*0.03))</f>
        <v>680629.62045787473</v>
      </c>
    </row>
    <row r="26" spans="1:12" ht="15" customHeight="1" x14ac:dyDescent="0.3">
      <c r="A26" s="13">
        <v>100000</v>
      </c>
      <c r="B26" s="97"/>
      <c r="C26" s="92"/>
      <c r="D26" s="92"/>
      <c r="E26" s="92"/>
      <c r="F26" s="93">
        <f t="shared" si="1"/>
        <v>914907.27378780325</v>
      </c>
      <c r="H26" s="13">
        <v>100000</v>
      </c>
      <c r="I26" s="97"/>
      <c r="J26" s="92"/>
      <c r="K26" s="92"/>
      <c r="L26" s="93">
        <f t="shared" si="2"/>
        <v>3403148.1022893745</v>
      </c>
    </row>
    <row r="27" spans="1:12" ht="15" customHeight="1" x14ac:dyDescent="0.3">
      <c r="A27" s="176" t="s">
        <v>16</v>
      </c>
      <c r="B27" s="97">
        <v>363358</v>
      </c>
      <c r="C27" s="92">
        <f>12416+57881</f>
        <v>70297</v>
      </c>
      <c r="D27" s="92">
        <v>290</v>
      </c>
      <c r="E27" s="92">
        <v>70008</v>
      </c>
      <c r="F27" s="93"/>
      <c r="H27" s="176" t="s">
        <v>16</v>
      </c>
      <c r="I27" s="97">
        <v>946562</v>
      </c>
      <c r="J27" s="92">
        <f>136609+123731</f>
        <v>260340</v>
      </c>
      <c r="K27" s="92">
        <v>260340</v>
      </c>
      <c r="L27" s="93"/>
    </row>
    <row r="28" spans="1:12" ht="15" customHeight="1" x14ac:dyDescent="0.3">
      <c r="A28" s="13">
        <v>1000000</v>
      </c>
      <c r="B28" s="97"/>
      <c r="C28" s="92"/>
      <c r="D28" s="92"/>
      <c r="E28" s="92"/>
      <c r="F28" s="93">
        <f>$E$27/(I10-(I10*0.03))</f>
        <v>228805.25699923025</v>
      </c>
      <c r="H28" s="13">
        <v>1000000</v>
      </c>
      <c r="I28" s="97"/>
      <c r="J28" s="92"/>
      <c r="K28" s="92"/>
      <c r="L28" s="93">
        <f>$K$27/(I10-(I10*0.03))</f>
        <v>850862.19585161132</v>
      </c>
    </row>
    <row r="29" spans="1:12" ht="15" customHeight="1" x14ac:dyDescent="0.3">
      <c r="A29" s="13">
        <v>500000</v>
      </c>
      <c r="B29" s="97"/>
      <c r="C29" s="92"/>
      <c r="D29" s="92"/>
      <c r="E29" s="92"/>
      <c r="F29" s="93">
        <f t="shared" ref="F29:F30" si="3">$E$27/(I11-(I11*0.03))</f>
        <v>457610.51399846049</v>
      </c>
      <c r="H29" s="13">
        <v>500000</v>
      </c>
      <c r="I29" s="97"/>
      <c r="J29" s="92"/>
      <c r="K29" s="92"/>
      <c r="L29" s="93">
        <f t="shared" ref="L29:L30" si="4">$K$27/(I11-(I11*0.03))</f>
        <v>1701724.3917032226</v>
      </c>
    </row>
    <row r="30" spans="1:12" ht="15" customHeight="1" x14ac:dyDescent="0.3">
      <c r="A30" s="13">
        <v>100000</v>
      </c>
      <c r="B30" s="97"/>
      <c r="C30" s="92"/>
      <c r="D30" s="92"/>
      <c r="E30" s="92"/>
      <c r="F30" s="93">
        <f t="shared" si="3"/>
        <v>2288052.569992302</v>
      </c>
      <c r="H30" s="13">
        <v>100000</v>
      </c>
      <c r="I30" s="97"/>
      <c r="J30" s="92"/>
      <c r="K30" s="92"/>
      <c r="L30" s="93">
        <f t="shared" si="4"/>
        <v>8508621.9585161116</v>
      </c>
    </row>
  </sheetData>
  <mergeCells count="12">
    <mergeCell ref="A1:A3"/>
    <mergeCell ref="B1:J1"/>
    <mergeCell ref="B2:B3"/>
    <mergeCell ref="C2:I2"/>
    <mergeCell ref="J2:J4"/>
    <mergeCell ref="A4:I4"/>
    <mergeCell ref="L20:L21"/>
    <mergeCell ref="I19:L19"/>
    <mergeCell ref="I20:K20"/>
    <mergeCell ref="B19:F19"/>
    <mergeCell ref="B20:E20"/>
    <mergeCell ref="F20:F2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E814A-8CD9-4199-B162-5533EB01C4C1}">
  <dimension ref="A1:L106"/>
  <sheetViews>
    <sheetView workbookViewId="0">
      <selection activeCell="K16" sqref="K16"/>
    </sheetView>
  </sheetViews>
  <sheetFormatPr defaultRowHeight="14.4" x14ac:dyDescent="0.3"/>
  <cols>
    <col min="1" max="1" width="30.109375" customWidth="1"/>
    <col min="2" max="2" width="13.33203125" bestFit="1" customWidth="1"/>
    <col min="3" max="3" width="14.44140625" bestFit="1" customWidth="1"/>
    <col min="4" max="4" width="11.5546875" customWidth="1"/>
    <col min="5" max="5" width="14" customWidth="1"/>
    <col min="6" max="6" width="13.44140625" customWidth="1"/>
    <col min="7" max="7" width="14.5546875" customWidth="1"/>
    <col min="8" max="8" width="11.6640625" customWidth="1"/>
    <col min="9" max="9" width="12.88671875" customWidth="1"/>
    <col min="11" max="11" width="36.5546875" bestFit="1" customWidth="1"/>
  </cols>
  <sheetData>
    <row r="1" spans="1:12" x14ac:dyDescent="0.3">
      <c r="A1" s="212" t="s">
        <v>58</v>
      </c>
      <c r="B1" s="213"/>
      <c r="C1" s="213"/>
      <c r="D1" s="213"/>
      <c r="E1" s="213"/>
      <c r="F1" s="213"/>
      <c r="G1" s="213"/>
      <c r="H1" s="213"/>
      <c r="I1" s="213"/>
    </row>
    <row r="2" spans="1:12" ht="45.75" customHeight="1" x14ac:dyDescent="0.3">
      <c r="A2" s="131" t="s">
        <v>59</v>
      </c>
      <c r="B2" s="214" t="s">
        <v>60</v>
      </c>
      <c r="C2" s="215"/>
      <c r="D2" s="214" t="s">
        <v>61</v>
      </c>
      <c r="E2" s="215"/>
      <c r="F2" s="214" t="s">
        <v>62</v>
      </c>
      <c r="G2" s="215"/>
      <c r="H2" s="214" t="s">
        <v>63</v>
      </c>
      <c r="I2" s="216"/>
    </row>
    <row r="3" spans="1:12" ht="45.75" customHeight="1" x14ac:dyDescent="0.3">
      <c r="A3" s="161"/>
      <c r="B3" s="162" t="s">
        <v>17</v>
      </c>
      <c r="C3" s="163" t="s">
        <v>18</v>
      </c>
      <c r="D3" s="162" t="s">
        <v>17</v>
      </c>
      <c r="E3" s="163" t="s">
        <v>18</v>
      </c>
      <c r="F3" s="162" t="s">
        <v>17</v>
      </c>
      <c r="G3" s="163" t="s">
        <v>18</v>
      </c>
      <c r="H3" s="162" t="s">
        <v>17</v>
      </c>
      <c r="I3" s="164" t="s">
        <v>18</v>
      </c>
    </row>
    <row r="4" spans="1:12" x14ac:dyDescent="0.3">
      <c r="A4" s="206" t="s">
        <v>64</v>
      </c>
      <c r="B4" s="207"/>
      <c r="C4" s="207"/>
      <c r="D4" s="207"/>
      <c r="E4" s="207"/>
      <c r="F4" s="207"/>
      <c r="G4" s="207"/>
      <c r="H4" s="207"/>
      <c r="I4" s="208"/>
    </row>
    <row r="5" spans="1:12" x14ac:dyDescent="0.3">
      <c r="A5" s="158" t="s">
        <v>15</v>
      </c>
      <c r="B5" s="154"/>
      <c r="C5" s="156"/>
      <c r="D5" s="154"/>
      <c r="E5" s="155"/>
      <c r="F5" s="157"/>
      <c r="G5" s="156"/>
      <c r="H5" s="154"/>
      <c r="I5" s="155"/>
      <c r="L5" s="75"/>
    </row>
    <row r="6" spans="1:12" x14ac:dyDescent="0.3">
      <c r="A6" s="159">
        <v>5000000</v>
      </c>
      <c r="B6" s="125">
        <f>'Gasoline MP'!F24</f>
        <v>959.97256010972774</v>
      </c>
      <c r="C6" s="132">
        <f>'Gasoline MP'!L24</f>
        <v>906.03569612910053</v>
      </c>
      <c r="D6" s="125">
        <f>B6</f>
        <v>959.97256010972774</v>
      </c>
      <c r="E6" s="126">
        <f>C6</f>
        <v>906.03569612910053</v>
      </c>
      <c r="F6" s="130">
        <f>B6</f>
        <v>959.97256010972774</v>
      </c>
      <c r="G6" s="132">
        <f>C6</f>
        <v>906.03569612910053</v>
      </c>
      <c r="H6" s="125">
        <f>B6</f>
        <v>959.97256010972774</v>
      </c>
      <c r="I6" s="126">
        <f>C6</f>
        <v>906.03569612910053</v>
      </c>
      <c r="L6" s="76"/>
    </row>
    <row r="7" spans="1:12" x14ac:dyDescent="0.3">
      <c r="A7" s="159">
        <v>1000000</v>
      </c>
      <c r="B7" s="125">
        <f>'Gasoline MP'!F25</f>
        <v>4799.8628005486389</v>
      </c>
      <c r="C7" s="132">
        <f>'Gasoline MP'!L25</f>
        <v>4530.1784806455034</v>
      </c>
      <c r="D7" s="125">
        <f t="shared" ref="D7:D14" si="0">B7</f>
        <v>4799.8628005486389</v>
      </c>
      <c r="E7" s="126">
        <f t="shared" ref="E7:E14" si="1">C7</f>
        <v>4530.1784806455034</v>
      </c>
      <c r="F7" s="130">
        <f t="shared" ref="F7:F14" si="2">B7</f>
        <v>4799.8628005486389</v>
      </c>
      <c r="G7" s="132">
        <f t="shared" ref="G7:G14" si="3">C7</f>
        <v>4530.1784806455034</v>
      </c>
      <c r="H7" s="125">
        <f t="shared" ref="H7:H14" si="4">B7</f>
        <v>4799.8628005486389</v>
      </c>
      <c r="I7" s="126">
        <f t="shared" ref="I7:I14" si="5">C7</f>
        <v>4530.1784806455034</v>
      </c>
    </row>
    <row r="8" spans="1:12" x14ac:dyDescent="0.3">
      <c r="A8" s="159">
        <v>500000</v>
      </c>
      <c r="B8" s="125">
        <f>'Gasoline MP'!F26</f>
        <v>9599.7256010972778</v>
      </c>
      <c r="C8" s="132">
        <f>'Gasoline MP'!L26</f>
        <v>9060.3569612910069</v>
      </c>
      <c r="D8" s="125">
        <f t="shared" si="0"/>
        <v>9599.7256010972778</v>
      </c>
      <c r="E8" s="126">
        <f t="shared" si="1"/>
        <v>9060.3569612910069</v>
      </c>
      <c r="F8" s="130">
        <f t="shared" si="2"/>
        <v>9599.7256010972778</v>
      </c>
      <c r="G8" s="132">
        <f t="shared" si="3"/>
        <v>9060.3569612910069</v>
      </c>
      <c r="H8" s="125">
        <f t="shared" si="4"/>
        <v>9599.7256010972778</v>
      </c>
      <c r="I8" s="126">
        <f t="shared" si="5"/>
        <v>9060.3569612910069</v>
      </c>
    </row>
    <row r="9" spans="1:12" x14ac:dyDescent="0.3">
      <c r="A9" s="159">
        <v>100000</v>
      </c>
      <c r="B9" s="125">
        <f>'Gasoline MP'!F27</f>
        <v>47998.628005486396</v>
      </c>
      <c r="C9" s="132">
        <f>'Gasoline MP'!L27</f>
        <v>45301.784806455034</v>
      </c>
      <c r="D9" s="125">
        <f t="shared" si="0"/>
        <v>47998.628005486396</v>
      </c>
      <c r="E9" s="126">
        <f t="shared" si="1"/>
        <v>45301.784806455034</v>
      </c>
      <c r="F9" s="130">
        <f t="shared" si="2"/>
        <v>47998.628005486396</v>
      </c>
      <c r="G9" s="132">
        <f t="shared" si="3"/>
        <v>45301.784806455034</v>
      </c>
      <c r="H9" s="125">
        <f t="shared" si="4"/>
        <v>47998.628005486396</v>
      </c>
      <c r="I9" s="126">
        <f t="shared" si="5"/>
        <v>45301.784806455034</v>
      </c>
    </row>
    <row r="10" spans="1:12" x14ac:dyDescent="0.3">
      <c r="A10" s="158" t="s">
        <v>16</v>
      </c>
      <c r="B10" s="125"/>
      <c r="C10" s="132"/>
      <c r="D10" s="125"/>
      <c r="E10" s="126"/>
      <c r="F10" s="130"/>
      <c r="G10" s="132"/>
      <c r="H10" s="125"/>
      <c r="I10" s="126"/>
    </row>
    <row r="11" spans="1:12" x14ac:dyDescent="0.3">
      <c r="A11" s="159">
        <v>5000000</v>
      </c>
      <c r="B11" s="125">
        <f>'Gasoline MP'!F29</f>
        <v>780.16954062111506</v>
      </c>
      <c r="C11" s="132">
        <f>'Gasoline MP'!L29</f>
        <v>1756.4104070719959</v>
      </c>
      <c r="D11" s="125">
        <f t="shared" si="0"/>
        <v>780.16954062111506</v>
      </c>
      <c r="E11" s="126">
        <f t="shared" si="1"/>
        <v>1756.4104070719959</v>
      </c>
      <c r="F11" s="130">
        <f t="shared" si="2"/>
        <v>780.16954062111506</v>
      </c>
      <c r="G11" s="132">
        <f t="shared" si="3"/>
        <v>1756.4104070719959</v>
      </c>
      <c r="H11" s="125">
        <f t="shared" si="4"/>
        <v>780.16954062111506</v>
      </c>
      <c r="I11" s="126">
        <f t="shared" si="5"/>
        <v>1756.4104070719959</v>
      </c>
    </row>
    <row r="12" spans="1:12" x14ac:dyDescent="0.3">
      <c r="A12" s="159">
        <v>1000000</v>
      </c>
      <c r="B12" s="125">
        <f>'Gasoline MP'!F30</f>
        <v>3900.8477031055741</v>
      </c>
      <c r="C12" s="132">
        <f>'Gasoline MP'!L30</f>
        <v>8782.0520353599786</v>
      </c>
      <c r="D12" s="125">
        <f t="shared" si="0"/>
        <v>3900.8477031055741</v>
      </c>
      <c r="E12" s="126">
        <f t="shared" si="1"/>
        <v>8782.0520353599786</v>
      </c>
      <c r="F12" s="130">
        <f t="shared" si="2"/>
        <v>3900.8477031055741</v>
      </c>
      <c r="G12" s="132">
        <f t="shared" si="3"/>
        <v>8782.0520353599786</v>
      </c>
      <c r="H12" s="125">
        <f t="shared" si="4"/>
        <v>3900.8477031055741</v>
      </c>
      <c r="I12" s="126">
        <f t="shared" si="5"/>
        <v>8782.0520353599786</v>
      </c>
    </row>
    <row r="13" spans="1:12" x14ac:dyDescent="0.3">
      <c r="A13" s="159">
        <v>500000</v>
      </c>
      <c r="B13" s="125">
        <f>'Gasoline MP'!F31</f>
        <v>7801.6954062111481</v>
      </c>
      <c r="C13" s="132">
        <f>'Gasoline MP'!L31</f>
        <v>17564.104070719957</v>
      </c>
      <c r="D13" s="125">
        <f t="shared" si="0"/>
        <v>7801.6954062111481</v>
      </c>
      <c r="E13" s="126">
        <f t="shared" si="1"/>
        <v>17564.104070719957</v>
      </c>
      <c r="F13" s="130">
        <f t="shared" si="2"/>
        <v>7801.6954062111481</v>
      </c>
      <c r="G13" s="132">
        <f t="shared" si="3"/>
        <v>17564.104070719957</v>
      </c>
      <c r="H13" s="125">
        <f t="shared" si="4"/>
        <v>7801.6954062111481</v>
      </c>
      <c r="I13" s="126">
        <f t="shared" si="5"/>
        <v>17564.104070719957</v>
      </c>
    </row>
    <row r="14" spans="1:12" x14ac:dyDescent="0.3">
      <c r="A14" s="165">
        <v>100000</v>
      </c>
      <c r="B14" s="125">
        <f>'Gasoline MP'!F32</f>
        <v>39008.477031055751</v>
      </c>
      <c r="C14" s="132">
        <f>'Gasoline MP'!L32</f>
        <v>87820.520353599801</v>
      </c>
      <c r="D14" s="125">
        <f t="shared" si="0"/>
        <v>39008.477031055751</v>
      </c>
      <c r="E14" s="126">
        <f t="shared" si="1"/>
        <v>87820.520353599801</v>
      </c>
      <c r="F14" s="130">
        <f t="shared" si="2"/>
        <v>39008.477031055751</v>
      </c>
      <c r="G14" s="132">
        <f t="shared" si="3"/>
        <v>87820.520353599801</v>
      </c>
      <c r="H14" s="125">
        <f t="shared" si="4"/>
        <v>39008.477031055751</v>
      </c>
      <c r="I14" s="126">
        <f t="shared" si="5"/>
        <v>87820.520353599801</v>
      </c>
      <c r="K14" t="s">
        <v>65</v>
      </c>
    </row>
    <row r="15" spans="1:12" ht="28.8" x14ac:dyDescent="0.3">
      <c r="A15" s="206" t="s">
        <v>66</v>
      </c>
      <c r="B15" s="207"/>
      <c r="C15" s="207"/>
      <c r="D15" s="207"/>
      <c r="E15" s="207"/>
      <c r="F15" s="207"/>
      <c r="G15" s="207"/>
      <c r="H15" s="207"/>
      <c r="I15" s="208"/>
      <c r="K15" s="75" t="s">
        <v>67</v>
      </c>
    </row>
    <row r="16" spans="1:12" x14ac:dyDescent="0.3">
      <c r="A16" s="158" t="s">
        <v>36</v>
      </c>
      <c r="B16" s="134"/>
      <c r="C16" s="138"/>
      <c r="D16" s="134"/>
      <c r="E16" s="138"/>
      <c r="F16" s="134"/>
      <c r="G16" s="135"/>
      <c r="H16" s="144"/>
      <c r="I16" s="135"/>
    </row>
    <row r="17" spans="1:9" x14ac:dyDescent="0.3">
      <c r="A17" s="159">
        <v>10000000</v>
      </c>
      <c r="B17" s="125">
        <f>'Crude Oil MP'!F30</f>
        <v>488.02663728945856</v>
      </c>
      <c r="C17" s="132">
        <f>'Crude Oil MP'!L30</f>
        <v>595.36576663727647</v>
      </c>
      <c r="D17" s="125">
        <f>B17</f>
        <v>488.02663728945856</v>
      </c>
      <c r="E17" s="132">
        <f>C17</f>
        <v>595.36576663727647</v>
      </c>
      <c r="F17" s="125">
        <f>B17</f>
        <v>488.02663728945856</v>
      </c>
      <c r="G17" s="126">
        <f>C17</f>
        <v>595.36576663727647</v>
      </c>
      <c r="H17" s="130">
        <f>B17</f>
        <v>488.02663728945856</v>
      </c>
      <c r="I17" s="126">
        <f>C17</f>
        <v>595.36576663727647</v>
      </c>
    </row>
    <row r="18" spans="1:9" x14ac:dyDescent="0.3">
      <c r="A18" s="159">
        <v>5000000</v>
      </c>
      <c r="B18" s="125">
        <f>'Crude Oil MP'!F31</f>
        <v>976.05327457891713</v>
      </c>
      <c r="C18" s="132">
        <f>'Crude Oil MP'!L31</f>
        <v>1190.7315332745529</v>
      </c>
      <c r="D18" s="125">
        <f t="shared" ref="D18:D30" si="6">B18</f>
        <v>976.05327457891713</v>
      </c>
      <c r="E18" s="132">
        <f t="shared" ref="E18:E30" si="7">C18</f>
        <v>1190.7315332745529</v>
      </c>
      <c r="F18" s="125">
        <f t="shared" ref="F18:F30" si="8">B18</f>
        <v>976.05327457891713</v>
      </c>
      <c r="G18" s="126">
        <f t="shared" ref="G18:G30" si="9">C18</f>
        <v>1190.7315332745529</v>
      </c>
      <c r="H18" s="130">
        <f t="shared" ref="H18:H30" si="10">B18</f>
        <v>976.05327457891713</v>
      </c>
      <c r="I18" s="126">
        <f t="shared" ref="I18:I30" si="11">C18</f>
        <v>1190.7315332745529</v>
      </c>
    </row>
    <row r="19" spans="1:9" x14ac:dyDescent="0.3">
      <c r="A19" s="159">
        <v>1000000</v>
      </c>
      <c r="B19" s="125">
        <f>'Crude Oil MP'!F32</f>
        <v>4880.2663728945863</v>
      </c>
      <c r="C19" s="132">
        <f>'Crude Oil MP'!L32</f>
        <v>5953.6576663727656</v>
      </c>
      <c r="D19" s="125">
        <f t="shared" si="6"/>
        <v>4880.2663728945863</v>
      </c>
      <c r="E19" s="132">
        <f t="shared" si="7"/>
        <v>5953.6576663727656</v>
      </c>
      <c r="F19" s="125">
        <f t="shared" si="8"/>
        <v>4880.2663728945863</v>
      </c>
      <c r="G19" s="126">
        <f t="shared" si="9"/>
        <v>5953.6576663727656</v>
      </c>
      <c r="H19" s="130">
        <f t="shared" si="10"/>
        <v>4880.2663728945863</v>
      </c>
      <c r="I19" s="126">
        <f t="shared" si="11"/>
        <v>5953.6576663727656</v>
      </c>
    </row>
    <row r="20" spans="1:9" x14ac:dyDescent="0.3">
      <c r="A20" s="159">
        <v>500000</v>
      </c>
      <c r="B20" s="125">
        <f>'Crude Oil MP'!F33</f>
        <v>9760.5327457891726</v>
      </c>
      <c r="C20" s="132">
        <f>'Crude Oil MP'!L33</f>
        <v>11907.315332745531</v>
      </c>
      <c r="D20" s="125">
        <f t="shared" si="6"/>
        <v>9760.5327457891726</v>
      </c>
      <c r="E20" s="132">
        <f t="shared" si="7"/>
        <v>11907.315332745531</v>
      </c>
      <c r="F20" s="125">
        <f t="shared" si="8"/>
        <v>9760.5327457891726</v>
      </c>
      <c r="G20" s="126">
        <f t="shared" si="9"/>
        <v>11907.315332745531</v>
      </c>
      <c r="H20" s="130">
        <f t="shared" si="10"/>
        <v>9760.5327457891726</v>
      </c>
      <c r="I20" s="126">
        <f t="shared" si="11"/>
        <v>11907.315332745531</v>
      </c>
    </row>
    <row r="21" spans="1:9" x14ac:dyDescent="0.3">
      <c r="A21" s="158" t="s">
        <v>37</v>
      </c>
      <c r="B21" s="125"/>
      <c r="C21" s="132"/>
      <c r="D21" s="125"/>
      <c r="E21" s="132"/>
      <c r="F21" s="125"/>
      <c r="G21" s="126"/>
      <c r="H21" s="130"/>
      <c r="I21" s="126"/>
    </row>
    <row r="22" spans="1:9" x14ac:dyDescent="0.3">
      <c r="A22" s="159">
        <v>10000000</v>
      </c>
      <c r="B22" s="125">
        <f>'Crude Oil MP'!F35</f>
        <v>461.75789856437353</v>
      </c>
      <c r="C22" s="132">
        <f>'Crude Oil MP'!L35</f>
        <v>720.13843468027392</v>
      </c>
      <c r="D22" s="125">
        <f t="shared" si="6"/>
        <v>461.75789856437353</v>
      </c>
      <c r="E22" s="132">
        <f t="shared" si="7"/>
        <v>720.13843468027392</v>
      </c>
      <c r="F22" s="125">
        <f t="shared" si="8"/>
        <v>461.75789856437353</v>
      </c>
      <c r="G22" s="126">
        <f t="shared" si="9"/>
        <v>720.13843468027392</v>
      </c>
      <c r="H22" s="130">
        <f t="shared" si="10"/>
        <v>461.75789856437353</v>
      </c>
      <c r="I22" s="126">
        <f t="shared" si="11"/>
        <v>720.13843468027392</v>
      </c>
    </row>
    <row r="23" spans="1:9" x14ac:dyDescent="0.3">
      <c r="A23" s="159">
        <v>5000000</v>
      </c>
      <c r="B23" s="125">
        <f>'Crude Oil MP'!F36</f>
        <v>923.51579712874707</v>
      </c>
      <c r="C23" s="132">
        <f>'Crude Oil MP'!L36</f>
        <v>1440.2768693605478</v>
      </c>
      <c r="D23" s="125">
        <f t="shared" si="6"/>
        <v>923.51579712874707</v>
      </c>
      <c r="E23" s="132">
        <f t="shared" si="7"/>
        <v>1440.2768693605478</v>
      </c>
      <c r="F23" s="125">
        <f t="shared" si="8"/>
        <v>923.51579712874707</v>
      </c>
      <c r="G23" s="126">
        <f t="shared" si="9"/>
        <v>1440.2768693605478</v>
      </c>
      <c r="H23" s="130">
        <f t="shared" si="10"/>
        <v>923.51579712874707</v>
      </c>
      <c r="I23" s="126">
        <f t="shared" si="11"/>
        <v>1440.2768693605478</v>
      </c>
    </row>
    <row r="24" spans="1:9" x14ac:dyDescent="0.3">
      <c r="A24" s="159">
        <v>1000000</v>
      </c>
      <c r="B24" s="125">
        <f>'Crude Oil MP'!F37</f>
        <v>4617.5789856437332</v>
      </c>
      <c r="C24" s="132">
        <f>'Crude Oil MP'!L37</f>
        <v>7201.3843468027353</v>
      </c>
      <c r="D24" s="125">
        <f t="shared" si="6"/>
        <v>4617.5789856437332</v>
      </c>
      <c r="E24" s="132">
        <f t="shared" si="7"/>
        <v>7201.3843468027353</v>
      </c>
      <c r="F24" s="125">
        <f t="shared" si="8"/>
        <v>4617.5789856437332</v>
      </c>
      <c r="G24" s="126">
        <f t="shared" si="9"/>
        <v>7201.3843468027353</v>
      </c>
      <c r="H24" s="130">
        <f t="shared" si="10"/>
        <v>4617.5789856437332</v>
      </c>
      <c r="I24" s="126">
        <f t="shared" si="11"/>
        <v>7201.3843468027353</v>
      </c>
    </row>
    <row r="25" spans="1:9" x14ac:dyDescent="0.3">
      <c r="A25" s="159">
        <v>500000</v>
      </c>
      <c r="B25" s="125">
        <f>'Crude Oil MP'!F38</f>
        <v>9235.1579712874664</v>
      </c>
      <c r="C25" s="132">
        <f>'Crude Oil MP'!L38</f>
        <v>14402.768693605471</v>
      </c>
      <c r="D25" s="125">
        <f t="shared" si="6"/>
        <v>9235.1579712874664</v>
      </c>
      <c r="E25" s="132">
        <f t="shared" si="7"/>
        <v>14402.768693605471</v>
      </c>
      <c r="F25" s="125">
        <f t="shared" si="8"/>
        <v>9235.1579712874664</v>
      </c>
      <c r="G25" s="126">
        <f t="shared" si="9"/>
        <v>14402.768693605471</v>
      </c>
      <c r="H25" s="130">
        <f t="shared" si="10"/>
        <v>9235.1579712874664</v>
      </c>
      <c r="I25" s="126">
        <f t="shared" si="11"/>
        <v>14402.768693605471</v>
      </c>
    </row>
    <row r="26" spans="1:9" x14ac:dyDescent="0.3">
      <c r="A26" s="158" t="s">
        <v>38</v>
      </c>
      <c r="B26" s="125"/>
      <c r="C26" s="132"/>
      <c r="D26" s="125"/>
      <c r="E26" s="132"/>
      <c r="F26" s="125"/>
      <c r="G26" s="126"/>
      <c r="H26" s="130"/>
      <c r="I26" s="126"/>
    </row>
    <row r="27" spans="1:9" x14ac:dyDescent="0.3">
      <c r="A27" s="159">
        <v>10000000</v>
      </c>
      <c r="B27" s="125">
        <f>'Crude Oil MP'!F40</f>
        <v>454.98660989668412</v>
      </c>
      <c r="C27" s="132">
        <f>'Crude Oil MP'!L40</f>
        <v>772.07616360497479</v>
      </c>
      <c r="D27" s="125">
        <f t="shared" si="6"/>
        <v>454.98660989668412</v>
      </c>
      <c r="E27" s="132">
        <f t="shared" si="7"/>
        <v>772.07616360497479</v>
      </c>
      <c r="F27" s="125">
        <f t="shared" si="8"/>
        <v>454.98660989668412</v>
      </c>
      <c r="G27" s="126">
        <f t="shared" si="9"/>
        <v>772.07616360497479</v>
      </c>
      <c r="H27" s="130">
        <f t="shared" si="10"/>
        <v>454.98660989668412</v>
      </c>
      <c r="I27" s="126">
        <f t="shared" si="11"/>
        <v>772.07616360497479</v>
      </c>
    </row>
    <row r="28" spans="1:9" x14ac:dyDescent="0.3">
      <c r="A28" s="159">
        <v>5000000</v>
      </c>
      <c r="B28" s="125">
        <f>'Crude Oil MP'!F41</f>
        <v>909.97321979336823</v>
      </c>
      <c r="C28" s="132">
        <f>'Crude Oil MP'!L41</f>
        <v>1544.1523272099496</v>
      </c>
      <c r="D28" s="125">
        <f t="shared" si="6"/>
        <v>909.97321979336823</v>
      </c>
      <c r="E28" s="132">
        <f t="shared" si="7"/>
        <v>1544.1523272099496</v>
      </c>
      <c r="F28" s="125">
        <f t="shared" si="8"/>
        <v>909.97321979336823</v>
      </c>
      <c r="G28" s="126">
        <f t="shared" si="9"/>
        <v>1544.1523272099496</v>
      </c>
      <c r="H28" s="130">
        <f t="shared" si="10"/>
        <v>909.97321979336823</v>
      </c>
      <c r="I28" s="126">
        <f t="shared" si="11"/>
        <v>1544.1523272099496</v>
      </c>
    </row>
    <row r="29" spans="1:9" x14ac:dyDescent="0.3">
      <c r="A29" s="159">
        <v>1000000</v>
      </c>
      <c r="B29" s="125">
        <f>'Crude Oil MP'!F42</f>
        <v>4549.8660989668406</v>
      </c>
      <c r="C29" s="132">
        <f>'Crude Oil MP'!L42</f>
        <v>7720.7616360497477</v>
      </c>
      <c r="D29" s="125">
        <f t="shared" si="6"/>
        <v>4549.8660989668406</v>
      </c>
      <c r="E29" s="132">
        <f t="shared" si="7"/>
        <v>7720.7616360497477</v>
      </c>
      <c r="F29" s="125">
        <f t="shared" si="8"/>
        <v>4549.8660989668406</v>
      </c>
      <c r="G29" s="126">
        <f t="shared" si="9"/>
        <v>7720.7616360497477</v>
      </c>
      <c r="H29" s="130">
        <f t="shared" si="10"/>
        <v>4549.8660989668406</v>
      </c>
      <c r="I29" s="126">
        <f t="shared" si="11"/>
        <v>7720.7616360497477</v>
      </c>
    </row>
    <row r="30" spans="1:9" x14ac:dyDescent="0.3">
      <c r="A30" s="165">
        <v>500000</v>
      </c>
      <c r="B30" s="125">
        <f>'Crude Oil MP'!F43</f>
        <v>9099.7321979336812</v>
      </c>
      <c r="C30" s="132">
        <f>'Crude Oil MP'!L43</f>
        <v>15441.523272099495</v>
      </c>
      <c r="D30" s="125">
        <f t="shared" si="6"/>
        <v>9099.7321979336812</v>
      </c>
      <c r="E30" s="132">
        <f t="shared" si="7"/>
        <v>15441.523272099495</v>
      </c>
      <c r="F30" s="125">
        <f t="shared" si="8"/>
        <v>9099.7321979336812</v>
      </c>
      <c r="G30" s="126">
        <f t="shared" si="9"/>
        <v>15441.523272099495</v>
      </c>
      <c r="H30" s="130">
        <f t="shared" si="10"/>
        <v>9099.7321979336812</v>
      </c>
      <c r="I30" s="126">
        <f t="shared" si="11"/>
        <v>15441.523272099495</v>
      </c>
    </row>
    <row r="31" spans="1:9" x14ac:dyDescent="0.3">
      <c r="A31" s="206" t="s">
        <v>68</v>
      </c>
      <c r="B31" s="207"/>
      <c r="C31" s="207"/>
      <c r="D31" s="207"/>
      <c r="E31" s="207"/>
      <c r="F31" s="207"/>
      <c r="G31" s="207"/>
      <c r="H31" s="207"/>
      <c r="I31" s="208"/>
    </row>
    <row r="32" spans="1:9" x14ac:dyDescent="0.3">
      <c r="A32" s="158" t="s">
        <v>15</v>
      </c>
      <c r="B32" s="134"/>
      <c r="C32" s="138"/>
      <c r="D32" s="134"/>
      <c r="E32" s="135"/>
      <c r="F32" s="144"/>
      <c r="G32" s="138"/>
      <c r="H32" s="134"/>
      <c r="I32" s="135"/>
    </row>
    <row r="33" spans="1:9" x14ac:dyDescent="0.3">
      <c r="A33" s="159">
        <v>100000</v>
      </c>
      <c r="B33" s="125">
        <v>704.39851300509235</v>
      </c>
      <c r="C33" s="132">
        <v>3034.6208486946521</v>
      </c>
      <c r="D33" s="125">
        <v>704.39851300509235</v>
      </c>
      <c r="E33" s="126">
        <v>3034.6208486946521</v>
      </c>
      <c r="F33" s="130">
        <v>704.39851300509235</v>
      </c>
      <c r="G33" s="132">
        <v>3034.6208486946521</v>
      </c>
      <c r="H33" s="140" t="s">
        <v>69</v>
      </c>
      <c r="I33" s="141" t="s">
        <v>69</v>
      </c>
    </row>
    <row r="34" spans="1:9" x14ac:dyDescent="0.3">
      <c r="A34" s="159">
        <v>50000</v>
      </c>
      <c r="B34" s="125">
        <v>1408.7970260101847</v>
      </c>
      <c r="C34" s="132">
        <v>17368.432080621489</v>
      </c>
      <c r="D34" s="125">
        <v>1408.7970260101847</v>
      </c>
      <c r="E34" s="126">
        <v>17368.432080621489</v>
      </c>
      <c r="F34" s="130">
        <v>1408.7970260101847</v>
      </c>
      <c r="G34" s="132">
        <v>17368.432080621489</v>
      </c>
      <c r="H34" s="140" t="s">
        <v>69</v>
      </c>
      <c r="I34" s="141" t="s">
        <v>69</v>
      </c>
    </row>
    <row r="35" spans="1:9" x14ac:dyDescent="0.3">
      <c r="A35" s="159">
        <v>5000</v>
      </c>
      <c r="B35" s="125">
        <v>14087.970260101843</v>
      </c>
      <c r="C35" s="132">
        <v>173684.32080621491</v>
      </c>
      <c r="D35" s="125">
        <v>14087.970260101843</v>
      </c>
      <c r="E35" s="126">
        <v>173684.32080621491</v>
      </c>
      <c r="F35" s="130">
        <v>14087.970260101843</v>
      </c>
      <c r="G35" s="132">
        <v>173684.32080621491</v>
      </c>
      <c r="H35" s="140" t="s">
        <v>69</v>
      </c>
      <c r="I35" s="141" t="s">
        <v>69</v>
      </c>
    </row>
    <row r="36" spans="1:9" x14ac:dyDescent="0.3">
      <c r="A36" s="158" t="s">
        <v>16</v>
      </c>
      <c r="B36" s="125"/>
      <c r="C36" s="132"/>
      <c r="D36" s="125"/>
      <c r="E36" s="126"/>
      <c r="F36" s="130"/>
      <c r="G36" s="132"/>
      <c r="H36" s="140"/>
      <c r="I36" s="141"/>
    </row>
    <row r="37" spans="1:9" x14ac:dyDescent="0.3">
      <c r="A37" s="159">
        <v>100000</v>
      </c>
      <c r="B37" s="125">
        <v>1530.1415186709557</v>
      </c>
      <c r="C37" s="132">
        <v>7588.0386865037917</v>
      </c>
      <c r="D37" s="125">
        <v>1530.1415186709557</v>
      </c>
      <c r="E37" s="126">
        <v>7588.0386865037917</v>
      </c>
      <c r="F37" s="130">
        <v>1530.1415186709557</v>
      </c>
      <c r="G37" s="132">
        <v>7588.0386865037917</v>
      </c>
      <c r="H37" s="140" t="s">
        <v>69</v>
      </c>
      <c r="I37" s="141" t="s">
        <v>69</v>
      </c>
    </row>
    <row r="38" spans="1:9" x14ac:dyDescent="0.3">
      <c r="A38" s="159">
        <v>50000</v>
      </c>
      <c r="B38" s="125">
        <v>3060.2830373419115</v>
      </c>
      <c r="C38" s="132">
        <v>15176.077373007583</v>
      </c>
      <c r="D38" s="125">
        <v>3060.2830373419115</v>
      </c>
      <c r="E38" s="126">
        <v>15176.077373007583</v>
      </c>
      <c r="F38" s="130">
        <v>3060.2830373419115</v>
      </c>
      <c r="G38" s="132">
        <v>15176.077373007583</v>
      </c>
      <c r="H38" s="140" t="s">
        <v>69</v>
      </c>
      <c r="I38" s="141" t="s">
        <v>69</v>
      </c>
    </row>
    <row r="39" spans="1:9" x14ac:dyDescent="0.3">
      <c r="A39" s="165">
        <v>5000</v>
      </c>
      <c r="B39" s="166">
        <v>30602.830373419118</v>
      </c>
      <c r="C39" s="167">
        <v>151760.77373007586</v>
      </c>
      <c r="D39" s="166">
        <v>30602.830373419118</v>
      </c>
      <c r="E39" s="168">
        <v>151760.77373007586</v>
      </c>
      <c r="F39" s="169">
        <v>30602.830373419118</v>
      </c>
      <c r="G39" s="167">
        <v>151760.77373007586</v>
      </c>
      <c r="H39" s="172" t="s">
        <v>69</v>
      </c>
      <c r="I39" s="171" t="s">
        <v>69</v>
      </c>
    </row>
    <row r="40" spans="1:9" x14ac:dyDescent="0.3">
      <c r="A40" s="206" t="s">
        <v>70</v>
      </c>
      <c r="B40" s="207"/>
      <c r="C40" s="207"/>
      <c r="D40" s="207"/>
      <c r="E40" s="207"/>
      <c r="F40" s="207"/>
      <c r="G40" s="207"/>
      <c r="H40" s="207"/>
      <c r="I40" s="208"/>
    </row>
    <row r="41" spans="1:9" x14ac:dyDescent="0.3">
      <c r="A41" s="158" t="s">
        <v>15</v>
      </c>
      <c r="B41" s="147"/>
      <c r="C41" s="148"/>
      <c r="D41" s="144"/>
      <c r="E41" s="138"/>
      <c r="F41" s="134"/>
      <c r="G41" s="135"/>
      <c r="H41" s="149"/>
      <c r="I41" s="139"/>
    </row>
    <row r="42" spans="1:9" x14ac:dyDescent="0.3">
      <c r="A42" s="159">
        <v>100000</v>
      </c>
      <c r="B42" s="125">
        <v>1476.063815084515</v>
      </c>
      <c r="C42" s="126">
        <v>8685.8175924055959</v>
      </c>
      <c r="D42" s="130">
        <v>1476.063815084515</v>
      </c>
      <c r="E42" s="132">
        <v>8685.8175924055959</v>
      </c>
      <c r="F42" s="125">
        <v>1476.063815084515</v>
      </c>
      <c r="G42" s="126">
        <v>8685.8175924055959</v>
      </c>
      <c r="H42" s="146" t="s">
        <v>69</v>
      </c>
      <c r="I42" s="141" t="s">
        <v>69</v>
      </c>
    </row>
    <row r="43" spans="1:9" x14ac:dyDescent="0.3">
      <c r="A43" s="159">
        <v>50000</v>
      </c>
      <c r="B43" s="125">
        <v>2952.12763016903</v>
      </c>
      <c r="C43" s="126">
        <v>17371.635184811192</v>
      </c>
      <c r="D43" s="130">
        <v>2952.12763016903</v>
      </c>
      <c r="E43" s="132">
        <v>17371.635184811192</v>
      </c>
      <c r="F43" s="125">
        <v>2952.12763016903</v>
      </c>
      <c r="G43" s="126">
        <v>17371.635184811192</v>
      </c>
      <c r="H43" s="146" t="s">
        <v>69</v>
      </c>
      <c r="I43" s="141" t="s">
        <v>69</v>
      </c>
    </row>
    <row r="44" spans="1:9" x14ac:dyDescent="0.3">
      <c r="A44" s="159">
        <v>5000</v>
      </c>
      <c r="B44" s="125">
        <v>29521.276301690301</v>
      </c>
      <c r="C44" s="126">
        <v>173716.35184811192</v>
      </c>
      <c r="D44" s="130">
        <v>29521.276301690301</v>
      </c>
      <c r="E44" s="132">
        <v>173716.35184811192</v>
      </c>
      <c r="F44" s="125">
        <v>29521.276301690301</v>
      </c>
      <c r="G44" s="126">
        <v>173716.35184811192</v>
      </c>
      <c r="H44" s="146" t="s">
        <v>69</v>
      </c>
      <c r="I44" s="141" t="s">
        <v>69</v>
      </c>
    </row>
    <row r="45" spans="1:9" x14ac:dyDescent="0.3">
      <c r="A45" s="158" t="s">
        <v>16</v>
      </c>
      <c r="B45" s="125"/>
      <c r="C45" s="126"/>
      <c r="D45" s="130"/>
      <c r="E45" s="132"/>
      <c r="F45" s="125"/>
      <c r="G45" s="126"/>
      <c r="H45" s="146"/>
      <c r="I45" s="141"/>
    </row>
    <row r="46" spans="1:9" x14ac:dyDescent="0.3">
      <c r="A46" s="159">
        <v>100000</v>
      </c>
      <c r="B46" s="125">
        <v>4905.5040180217247</v>
      </c>
      <c r="C46" s="126">
        <v>21716.379092789335</v>
      </c>
      <c r="D46" s="130">
        <v>4905.5040180217247</v>
      </c>
      <c r="E46" s="132">
        <v>21716.379092789335</v>
      </c>
      <c r="F46" s="125">
        <v>4905.5040180217247</v>
      </c>
      <c r="G46" s="126">
        <v>21716.379092789335</v>
      </c>
      <c r="H46" s="146" t="s">
        <v>69</v>
      </c>
      <c r="I46" s="141" t="s">
        <v>69</v>
      </c>
    </row>
    <row r="47" spans="1:9" x14ac:dyDescent="0.3">
      <c r="A47" s="159">
        <v>50000</v>
      </c>
      <c r="B47" s="125">
        <v>9811.0080360434495</v>
      </c>
      <c r="C47" s="126">
        <v>43432.75818557867</v>
      </c>
      <c r="D47" s="130">
        <v>9811.0080360434495</v>
      </c>
      <c r="E47" s="132">
        <v>43432.75818557867</v>
      </c>
      <c r="F47" s="125">
        <v>9811.0080360434495</v>
      </c>
      <c r="G47" s="126">
        <v>43432.75818557867</v>
      </c>
      <c r="H47" s="146" t="s">
        <v>69</v>
      </c>
      <c r="I47" s="141" t="s">
        <v>69</v>
      </c>
    </row>
    <row r="48" spans="1:9" x14ac:dyDescent="0.3">
      <c r="A48" s="160">
        <v>5000</v>
      </c>
      <c r="B48" s="127">
        <v>98110.080360434484</v>
      </c>
      <c r="C48" s="128">
        <v>434327.58185578667</v>
      </c>
      <c r="D48" s="145">
        <v>98110.080360434484</v>
      </c>
      <c r="E48" s="133">
        <v>434327.58185578667</v>
      </c>
      <c r="F48" s="127">
        <v>98110.080360434484</v>
      </c>
      <c r="G48" s="128">
        <v>434327.58185578667</v>
      </c>
      <c r="H48" s="150" t="s">
        <v>69</v>
      </c>
      <c r="I48" s="143" t="s">
        <v>69</v>
      </c>
    </row>
    <row r="49" spans="1:9" x14ac:dyDescent="0.3">
      <c r="A49" s="209" t="s">
        <v>71</v>
      </c>
      <c r="B49" s="210"/>
      <c r="C49" s="210"/>
      <c r="D49" s="210"/>
      <c r="E49" s="210"/>
      <c r="F49" s="210"/>
      <c r="G49" s="210"/>
      <c r="H49" s="210"/>
      <c r="I49" s="211"/>
    </row>
    <row r="50" spans="1:9" x14ac:dyDescent="0.3">
      <c r="A50" s="158" t="s">
        <v>15</v>
      </c>
      <c r="B50" s="147"/>
      <c r="C50" s="151"/>
      <c r="D50" s="134"/>
      <c r="E50" s="135"/>
      <c r="F50" s="144"/>
      <c r="G50" s="138"/>
      <c r="H50" s="134"/>
      <c r="I50" s="135"/>
    </row>
    <row r="51" spans="1:9" x14ac:dyDescent="0.3">
      <c r="A51" s="159">
        <v>500000</v>
      </c>
      <c r="B51" s="125">
        <v>199.62529552141433</v>
      </c>
      <c r="C51" s="132">
        <v>1479.7989171703575</v>
      </c>
      <c r="D51" s="125">
        <v>199.62529552141433</v>
      </c>
      <c r="E51" s="126">
        <v>1479.7989171703575</v>
      </c>
      <c r="F51" s="130">
        <v>199.62529552141433</v>
      </c>
      <c r="G51" s="132">
        <v>1479.7989171703575</v>
      </c>
      <c r="H51" s="125">
        <v>199.62529552141433</v>
      </c>
      <c r="I51" s="126">
        <v>1479.7989171703575</v>
      </c>
    </row>
    <row r="52" spans="1:9" x14ac:dyDescent="0.3">
      <c r="A52" s="159">
        <v>100000</v>
      </c>
      <c r="B52" s="125">
        <v>998.12647760707159</v>
      </c>
      <c r="C52" s="132">
        <v>7398.9945858517876</v>
      </c>
      <c r="D52" s="125">
        <v>998.12647760707159</v>
      </c>
      <c r="E52" s="126">
        <v>7398.9945858517876</v>
      </c>
      <c r="F52" s="130">
        <v>998.12647760707159</v>
      </c>
      <c r="G52" s="132">
        <v>7398.9945858517876</v>
      </c>
      <c r="H52" s="125">
        <v>998.12647760707159</v>
      </c>
      <c r="I52" s="126">
        <v>7398.9945858517876</v>
      </c>
    </row>
    <row r="53" spans="1:9" x14ac:dyDescent="0.3">
      <c r="A53" s="159">
        <v>50000</v>
      </c>
      <c r="B53" s="125">
        <v>1996.2529552141432</v>
      </c>
      <c r="C53" s="132">
        <v>14797.989171703575</v>
      </c>
      <c r="D53" s="125">
        <v>1996.2529552141432</v>
      </c>
      <c r="E53" s="126">
        <v>14797.989171703575</v>
      </c>
      <c r="F53" s="130">
        <v>1996.2529552141432</v>
      </c>
      <c r="G53" s="132">
        <v>14797.989171703575</v>
      </c>
      <c r="H53" s="125">
        <v>1996.2529552141432</v>
      </c>
      <c r="I53" s="126">
        <v>14797.989171703575</v>
      </c>
    </row>
    <row r="54" spans="1:9" x14ac:dyDescent="0.3">
      <c r="A54" s="159">
        <v>5000</v>
      </c>
      <c r="B54" s="125">
        <v>19962.529552141434</v>
      </c>
      <c r="C54" s="132">
        <v>147979.89171703576</v>
      </c>
      <c r="D54" s="125">
        <v>19962.529552141434</v>
      </c>
      <c r="E54" s="126">
        <v>147979.89171703576</v>
      </c>
      <c r="F54" s="130">
        <v>19962.529552141434</v>
      </c>
      <c r="G54" s="132">
        <v>147979.89171703576</v>
      </c>
      <c r="H54" s="125">
        <v>19962.529552141434</v>
      </c>
      <c r="I54" s="126">
        <v>147979.89171703576</v>
      </c>
    </row>
    <row r="55" spans="1:9" x14ac:dyDescent="0.3">
      <c r="A55" s="158" t="s">
        <v>16</v>
      </c>
      <c r="B55" s="125"/>
      <c r="C55" s="132"/>
      <c r="D55" s="125"/>
      <c r="E55" s="126"/>
      <c r="F55" s="130"/>
      <c r="G55" s="132"/>
      <c r="H55" s="125"/>
      <c r="I55" s="126"/>
    </row>
    <row r="56" spans="1:9" x14ac:dyDescent="0.3">
      <c r="A56" s="159">
        <v>500000</v>
      </c>
      <c r="B56" s="125">
        <v>789.09505283237218</v>
      </c>
      <c r="C56" s="132">
        <v>3704.8099613260683</v>
      </c>
      <c r="D56" s="125">
        <v>789.09505283237218</v>
      </c>
      <c r="E56" s="126">
        <v>3704.8099613260683</v>
      </c>
      <c r="F56" s="130">
        <v>789.09505283237218</v>
      </c>
      <c r="G56" s="132">
        <v>3704.8099613260683</v>
      </c>
      <c r="H56" s="125">
        <v>789.09505283237218</v>
      </c>
      <c r="I56" s="126">
        <v>3704.8099613260683</v>
      </c>
    </row>
    <row r="57" spans="1:9" x14ac:dyDescent="0.3">
      <c r="A57" s="159">
        <v>100000</v>
      </c>
      <c r="B57" s="125">
        <v>3945.4752641618611</v>
      </c>
      <c r="C57" s="132">
        <v>18524.049806630341</v>
      </c>
      <c r="D57" s="125">
        <v>3945.4752641618611</v>
      </c>
      <c r="E57" s="126">
        <v>18524.049806630341</v>
      </c>
      <c r="F57" s="130">
        <v>3945.4752641618611</v>
      </c>
      <c r="G57" s="132">
        <v>18524.049806630341</v>
      </c>
      <c r="H57" s="125">
        <v>3945.4752641618611</v>
      </c>
      <c r="I57" s="126">
        <v>18524.049806630341</v>
      </c>
    </row>
    <row r="58" spans="1:9" x14ac:dyDescent="0.3">
      <c r="A58" s="159">
        <v>50000</v>
      </c>
      <c r="B58" s="125">
        <v>7890.9505283237222</v>
      </c>
      <c r="C58" s="132">
        <v>37048.099613260682</v>
      </c>
      <c r="D58" s="125">
        <v>7890.9505283237222</v>
      </c>
      <c r="E58" s="126">
        <v>37048.099613260682</v>
      </c>
      <c r="F58" s="130">
        <v>7890.9505283237222</v>
      </c>
      <c r="G58" s="132">
        <v>37048.099613260682</v>
      </c>
      <c r="H58" s="125">
        <v>7890.9505283237222</v>
      </c>
      <c r="I58" s="126">
        <v>37048.099613260682</v>
      </c>
    </row>
    <row r="59" spans="1:9" x14ac:dyDescent="0.3">
      <c r="A59" s="165">
        <v>5000</v>
      </c>
      <c r="B59" s="166">
        <v>78909.505283237217</v>
      </c>
      <c r="C59" s="167">
        <v>370480.99613260682</v>
      </c>
      <c r="D59" s="166">
        <v>78909.505283237217</v>
      </c>
      <c r="E59" s="168">
        <v>370480.99613260682</v>
      </c>
      <c r="F59" s="169">
        <v>78909.505283237217</v>
      </c>
      <c r="G59" s="167">
        <v>370480.99613260682</v>
      </c>
      <c r="H59" s="166">
        <v>78909.505283237217</v>
      </c>
      <c r="I59" s="168">
        <v>370480.99613260682</v>
      </c>
    </row>
    <row r="60" spans="1:9" x14ac:dyDescent="0.3">
      <c r="A60" s="206" t="s">
        <v>72</v>
      </c>
      <c r="B60" s="207"/>
      <c r="C60" s="207"/>
      <c r="D60" s="207"/>
      <c r="E60" s="207"/>
      <c r="F60" s="207"/>
      <c r="G60" s="207"/>
      <c r="H60" s="207"/>
      <c r="I60" s="208"/>
    </row>
    <row r="61" spans="1:9" x14ac:dyDescent="0.3">
      <c r="A61" s="158" t="s">
        <v>15</v>
      </c>
      <c r="B61" s="134"/>
      <c r="C61" s="138"/>
      <c r="D61" s="134"/>
      <c r="E61" s="135"/>
      <c r="F61" s="144"/>
      <c r="G61" s="138"/>
      <c r="H61" s="134"/>
      <c r="I61" s="135"/>
    </row>
    <row r="62" spans="1:9" x14ac:dyDescent="0.3">
      <c r="A62" s="159">
        <v>500000</v>
      </c>
      <c r="B62" s="140" t="s">
        <v>69</v>
      </c>
      <c r="C62" s="152" t="s">
        <v>69</v>
      </c>
      <c r="D62" s="140" t="s">
        <v>69</v>
      </c>
      <c r="E62" s="141" t="s">
        <v>69</v>
      </c>
      <c r="F62" s="130">
        <v>374650.15460670495</v>
      </c>
      <c r="G62" s="132">
        <v>1392558.6750577118</v>
      </c>
      <c r="H62" s="140" t="s">
        <v>69</v>
      </c>
      <c r="I62" s="141" t="s">
        <v>69</v>
      </c>
    </row>
    <row r="63" spans="1:9" x14ac:dyDescent="0.3">
      <c r="A63" s="159">
        <v>100000</v>
      </c>
      <c r="B63" s="140" t="s">
        <v>69</v>
      </c>
      <c r="C63" s="152" t="s">
        <v>69</v>
      </c>
      <c r="D63" s="140" t="s">
        <v>69</v>
      </c>
      <c r="E63" s="141" t="s">
        <v>69</v>
      </c>
      <c r="F63" s="130">
        <v>1873250.7730335249</v>
      </c>
      <c r="G63" s="132">
        <v>6962793.3752885601</v>
      </c>
      <c r="H63" s="140" t="s">
        <v>69</v>
      </c>
      <c r="I63" s="141" t="s">
        <v>69</v>
      </c>
    </row>
    <row r="64" spans="1:9" x14ac:dyDescent="0.3">
      <c r="A64" s="159">
        <v>50000</v>
      </c>
      <c r="B64" s="140" t="s">
        <v>69</v>
      </c>
      <c r="C64" s="152" t="s">
        <v>69</v>
      </c>
      <c r="D64" s="140" t="s">
        <v>69</v>
      </c>
      <c r="E64" s="141" t="s">
        <v>69</v>
      </c>
      <c r="F64" s="130">
        <v>3746501.5460670497</v>
      </c>
      <c r="G64" s="132">
        <v>13925586.75057712</v>
      </c>
      <c r="H64" s="140" t="s">
        <v>69</v>
      </c>
      <c r="I64" s="141" t="s">
        <v>69</v>
      </c>
    </row>
    <row r="65" spans="1:9" x14ac:dyDescent="0.3">
      <c r="A65" s="159">
        <v>5000</v>
      </c>
      <c r="B65" s="140" t="s">
        <v>69</v>
      </c>
      <c r="C65" s="152" t="s">
        <v>69</v>
      </c>
      <c r="D65" s="140" t="s">
        <v>69</v>
      </c>
      <c r="E65" s="141" t="s">
        <v>69</v>
      </c>
      <c r="F65" s="130">
        <v>37465015.460670494</v>
      </c>
      <c r="G65" s="132">
        <v>139255867.50577119</v>
      </c>
      <c r="H65" s="140" t="s">
        <v>69</v>
      </c>
      <c r="I65" s="141" t="s">
        <v>69</v>
      </c>
    </row>
    <row r="66" spans="1:9" x14ac:dyDescent="0.3">
      <c r="A66" s="158" t="s">
        <v>16</v>
      </c>
      <c r="B66" s="136"/>
      <c r="C66" s="129"/>
      <c r="D66" s="136"/>
      <c r="E66" s="137"/>
      <c r="F66" s="130"/>
      <c r="G66" s="132"/>
      <c r="H66" s="136"/>
      <c r="I66" s="137"/>
    </row>
    <row r="67" spans="1:9" x14ac:dyDescent="0.3">
      <c r="A67" s="159">
        <v>500000</v>
      </c>
      <c r="B67" s="140" t="s">
        <v>69</v>
      </c>
      <c r="C67" s="152" t="s">
        <v>69</v>
      </c>
      <c r="D67" s="140" t="s">
        <v>69</v>
      </c>
      <c r="E67" s="141" t="s">
        <v>69</v>
      </c>
      <c r="F67" s="130">
        <v>936491.67076047126</v>
      </c>
      <c r="G67" s="132">
        <v>3481396.68764428</v>
      </c>
      <c r="H67" s="140" t="s">
        <v>69</v>
      </c>
      <c r="I67" s="141" t="s">
        <v>69</v>
      </c>
    </row>
    <row r="68" spans="1:9" x14ac:dyDescent="0.3">
      <c r="A68" s="159">
        <v>100000</v>
      </c>
      <c r="B68" s="140" t="s">
        <v>69</v>
      </c>
      <c r="C68" s="152" t="s">
        <v>69</v>
      </c>
      <c r="D68" s="140" t="s">
        <v>69</v>
      </c>
      <c r="E68" s="141" t="s">
        <v>69</v>
      </c>
      <c r="F68" s="130">
        <v>4682458.3538023569</v>
      </c>
      <c r="G68" s="132">
        <v>17406983.438221399</v>
      </c>
      <c r="H68" s="140" t="s">
        <v>69</v>
      </c>
      <c r="I68" s="141" t="s">
        <v>69</v>
      </c>
    </row>
    <row r="69" spans="1:9" x14ac:dyDescent="0.3">
      <c r="A69" s="159">
        <v>50000</v>
      </c>
      <c r="B69" s="140" t="s">
        <v>69</v>
      </c>
      <c r="C69" s="152" t="s">
        <v>69</v>
      </c>
      <c r="D69" s="140" t="s">
        <v>69</v>
      </c>
      <c r="E69" s="141" t="s">
        <v>69</v>
      </c>
      <c r="F69" s="130">
        <v>9364916.7076047137</v>
      </c>
      <c r="G69" s="132">
        <v>34813966.876442797</v>
      </c>
      <c r="H69" s="140" t="s">
        <v>69</v>
      </c>
      <c r="I69" s="141" t="s">
        <v>69</v>
      </c>
    </row>
    <row r="70" spans="1:9" x14ac:dyDescent="0.3">
      <c r="A70" s="165">
        <v>5000</v>
      </c>
      <c r="B70" s="172" t="s">
        <v>69</v>
      </c>
      <c r="C70" s="173" t="s">
        <v>69</v>
      </c>
      <c r="D70" s="172" t="s">
        <v>69</v>
      </c>
      <c r="E70" s="171" t="s">
        <v>69</v>
      </c>
      <c r="F70" s="169">
        <v>93649167.076047137</v>
      </c>
      <c r="G70" s="167">
        <v>348139668.76442802</v>
      </c>
      <c r="H70" s="172" t="s">
        <v>69</v>
      </c>
      <c r="I70" s="171" t="s">
        <v>69</v>
      </c>
    </row>
    <row r="71" spans="1:9" x14ac:dyDescent="0.3">
      <c r="A71" s="206" t="s">
        <v>73</v>
      </c>
      <c r="B71" s="207"/>
      <c r="C71" s="207"/>
      <c r="D71" s="207"/>
      <c r="E71" s="207"/>
      <c r="F71" s="207"/>
      <c r="G71" s="207"/>
      <c r="H71" s="207"/>
      <c r="I71" s="208"/>
    </row>
    <row r="72" spans="1:9" x14ac:dyDescent="0.3">
      <c r="A72" s="158" t="s">
        <v>15</v>
      </c>
      <c r="B72" s="134"/>
      <c r="C72" s="135"/>
      <c r="D72" s="144"/>
      <c r="E72" s="138"/>
      <c r="F72" s="134"/>
      <c r="G72" s="135"/>
      <c r="H72" s="144"/>
      <c r="I72" s="135"/>
    </row>
    <row r="73" spans="1:9" x14ac:dyDescent="0.3">
      <c r="A73" s="159">
        <v>500000</v>
      </c>
      <c r="B73" s="125">
        <v>10510.239393449714</v>
      </c>
      <c r="C73" s="126">
        <v>1499.2512754546958</v>
      </c>
      <c r="D73" s="130">
        <v>10510.239393449714</v>
      </c>
      <c r="E73" s="132">
        <v>1499.2512754546958</v>
      </c>
      <c r="F73" s="125">
        <v>10510.239393449714</v>
      </c>
      <c r="G73" s="126">
        <v>1499.2512754546958</v>
      </c>
      <c r="H73" s="130">
        <v>10510.239393449714</v>
      </c>
      <c r="I73" s="126">
        <v>1499.2512754546958</v>
      </c>
    </row>
    <row r="74" spans="1:9" x14ac:dyDescent="0.3">
      <c r="A74" s="159">
        <v>100000</v>
      </c>
      <c r="B74" s="125">
        <v>52551.196967248572</v>
      </c>
      <c r="C74" s="126">
        <v>7496.2563772734802</v>
      </c>
      <c r="D74" s="130">
        <v>52551.196967248572</v>
      </c>
      <c r="E74" s="132">
        <v>7496.2563772734802</v>
      </c>
      <c r="F74" s="125">
        <v>52551.196967248572</v>
      </c>
      <c r="G74" s="126">
        <v>7496.2563772734802</v>
      </c>
      <c r="H74" s="130">
        <v>52551.196967248572</v>
      </c>
      <c r="I74" s="126">
        <v>7496.2563772734802</v>
      </c>
    </row>
    <row r="75" spans="1:9" x14ac:dyDescent="0.3">
      <c r="A75" s="159">
        <v>50000</v>
      </c>
      <c r="B75" s="125">
        <v>105102.39393449714</v>
      </c>
      <c r="C75" s="126">
        <v>14992.51275454696</v>
      </c>
      <c r="D75" s="130">
        <v>105102.39393449714</v>
      </c>
      <c r="E75" s="132">
        <v>14992.51275454696</v>
      </c>
      <c r="F75" s="125">
        <v>105102.39393449714</v>
      </c>
      <c r="G75" s="126">
        <v>14992.51275454696</v>
      </c>
      <c r="H75" s="130">
        <v>105102.39393449714</v>
      </c>
      <c r="I75" s="126">
        <v>14992.51275454696</v>
      </c>
    </row>
    <row r="76" spans="1:9" x14ac:dyDescent="0.3">
      <c r="A76" s="158" t="s">
        <v>16</v>
      </c>
      <c r="B76" s="125"/>
      <c r="C76" s="126"/>
      <c r="D76" s="130"/>
      <c r="E76" s="132"/>
      <c r="F76" s="125"/>
      <c r="G76" s="126"/>
      <c r="H76" s="130"/>
      <c r="I76" s="126"/>
    </row>
    <row r="77" spans="1:9" x14ac:dyDescent="0.3">
      <c r="A77" s="159">
        <v>500000</v>
      </c>
      <c r="B77" s="125">
        <v>58397.026992744795</v>
      </c>
      <c r="C77" s="126">
        <v>4854.4402402815704</v>
      </c>
      <c r="D77" s="130">
        <v>58397.026992744795</v>
      </c>
      <c r="E77" s="132">
        <v>4854.4402402815704</v>
      </c>
      <c r="F77" s="125">
        <v>58397.026992744795</v>
      </c>
      <c r="G77" s="126">
        <v>4854.4402402815704</v>
      </c>
      <c r="H77" s="130">
        <v>58397.026992744795</v>
      </c>
      <c r="I77" s="126">
        <v>4854.4402402815704</v>
      </c>
    </row>
    <row r="78" spans="1:9" x14ac:dyDescent="0.3">
      <c r="A78" s="159">
        <v>100000</v>
      </c>
      <c r="B78" s="125">
        <v>291985.13496372401</v>
      </c>
      <c r="C78" s="126">
        <v>24272.201201407857</v>
      </c>
      <c r="D78" s="130">
        <v>291985.13496372401</v>
      </c>
      <c r="E78" s="132">
        <v>24272.201201407857</v>
      </c>
      <c r="F78" s="125">
        <v>291985.13496372401</v>
      </c>
      <c r="G78" s="126">
        <v>24272.201201407857</v>
      </c>
      <c r="H78" s="130">
        <v>291985.13496372401</v>
      </c>
      <c r="I78" s="126">
        <v>24272.201201407857</v>
      </c>
    </row>
    <row r="79" spans="1:9" x14ac:dyDescent="0.3">
      <c r="A79" s="160">
        <v>50000</v>
      </c>
      <c r="B79" s="127">
        <v>583970.26992744801</v>
      </c>
      <c r="C79" s="128">
        <v>48544.402402815715</v>
      </c>
      <c r="D79" s="145">
        <v>583970.26992744801</v>
      </c>
      <c r="E79" s="133">
        <v>48544.402402815715</v>
      </c>
      <c r="F79" s="127">
        <v>583970.26992744801</v>
      </c>
      <c r="G79" s="128">
        <v>48544.402402815715</v>
      </c>
      <c r="H79" s="145">
        <v>583970.26992744801</v>
      </c>
      <c r="I79" s="128">
        <v>48544.402402815715</v>
      </c>
    </row>
    <row r="80" spans="1:9" x14ac:dyDescent="0.3">
      <c r="A80" s="209" t="s">
        <v>74</v>
      </c>
      <c r="B80" s="210"/>
      <c r="C80" s="210"/>
      <c r="D80" s="210"/>
      <c r="E80" s="210"/>
      <c r="F80" s="210"/>
      <c r="G80" s="210"/>
      <c r="H80" s="210"/>
      <c r="I80" s="211"/>
    </row>
    <row r="81" spans="1:9" x14ac:dyDescent="0.3">
      <c r="A81" s="158" t="s">
        <v>15</v>
      </c>
      <c r="B81" s="147"/>
      <c r="C81" s="151"/>
      <c r="D81" s="134"/>
      <c r="E81" s="135"/>
      <c r="F81" s="144"/>
      <c r="G81" s="138"/>
      <c r="H81" s="134"/>
      <c r="I81" s="135"/>
    </row>
    <row r="82" spans="1:9" x14ac:dyDescent="0.3">
      <c r="A82" s="159">
        <v>1000000</v>
      </c>
      <c r="B82" s="125">
        <v>289329.40361721872</v>
      </c>
      <c r="C82" s="132">
        <v>1250253.3765069004</v>
      </c>
      <c r="D82" s="125">
        <v>289329.40361721872</v>
      </c>
      <c r="E82" s="126">
        <v>1250253.3765069004</v>
      </c>
      <c r="F82" s="130">
        <v>289329.40361721872</v>
      </c>
      <c r="G82" s="132">
        <v>1250253.3765069004</v>
      </c>
      <c r="H82" s="125">
        <v>289329.40361721872</v>
      </c>
      <c r="I82" s="126">
        <v>1250253.3765069004</v>
      </c>
    </row>
    <row r="83" spans="1:9" x14ac:dyDescent="0.3">
      <c r="A83" s="159">
        <v>500000</v>
      </c>
      <c r="B83" s="125">
        <v>578658.80723443744</v>
      </c>
      <c r="C83" s="132">
        <v>2500506.7530138008</v>
      </c>
      <c r="D83" s="125">
        <v>578658.80723443744</v>
      </c>
      <c r="E83" s="126">
        <v>2500506.7530138008</v>
      </c>
      <c r="F83" s="130">
        <v>578658.80723443744</v>
      </c>
      <c r="G83" s="132">
        <v>2500506.7530138008</v>
      </c>
      <c r="H83" s="125">
        <v>578658.80723443744</v>
      </c>
      <c r="I83" s="126">
        <v>2500506.7530138008</v>
      </c>
    </row>
    <row r="84" spans="1:9" x14ac:dyDescent="0.3">
      <c r="A84" s="159">
        <v>100000</v>
      </c>
      <c r="B84" s="125">
        <v>2893294.0361721874</v>
      </c>
      <c r="C84" s="132">
        <v>12502533.765069004</v>
      </c>
      <c r="D84" s="125">
        <v>2893294.0361721874</v>
      </c>
      <c r="E84" s="126">
        <v>12502533.765069004</v>
      </c>
      <c r="F84" s="130">
        <v>2893294.0361721874</v>
      </c>
      <c r="G84" s="132">
        <v>12502533.765069004</v>
      </c>
      <c r="H84" s="125">
        <v>2893294.0361721874</v>
      </c>
      <c r="I84" s="126">
        <v>12502533.765069004</v>
      </c>
    </row>
    <row r="85" spans="1:9" x14ac:dyDescent="0.3">
      <c r="A85" s="158" t="s">
        <v>16</v>
      </c>
      <c r="B85" s="125"/>
      <c r="C85" s="132"/>
      <c r="D85" s="125"/>
      <c r="E85" s="126"/>
      <c r="F85" s="130"/>
      <c r="G85" s="132"/>
      <c r="H85" s="125"/>
      <c r="I85" s="126"/>
    </row>
    <row r="86" spans="1:9" x14ac:dyDescent="0.3">
      <c r="A86" s="159">
        <v>1000000</v>
      </c>
      <c r="B86" s="125">
        <v>726470.53505426063</v>
      </c>
      <c r="C86" s="132">
        <v>3126642.411438786</v>
      </c>
      <c r="D86" s="125">
        <v>726470.53505426063</v>
      </c>
      <c r="E86" s="126">
        <v>3126642.411438786</v>
      </c>
      <c r="F86" s="130">
        <v>726470.53505426063</v>
      </c>
      <c r="G86" s="132">
        <v>3126642.411438786</v>
      </c>
      <c r="H86" s="125">
        <v>726470.53505426063</v>
      </c>
      <c r="I86" s="126">
        <v>3126642.411438786</v>
      </c>
    </row>
    <row r="87" spans="1:9" x14ac:dyDescent="0.3">
      <c r="A87" s="159">
        <v>500000</v>
      </c>
      <c r="B87" s="125">
        <v>1452941.0701085213</v>
      </c>
      <c r="C87" s="132">
        <v>6253284.8228775719</v>
      </c>
      <c r="D87" s="125">
        <v>1452941.0701085213</v>
      </c>
      <c r="E87" s="126">
        <v>6253284.8228775719</v>
      </c>
      <c r="F87" s="130">
        <v>1452941.0701085213</v>
      </c>
      <c r="G87" s="132">
        <v>6253284.8228775719</v>
      </c>
      <c r="H87" s="125">
        <v>1452941.0701085213</v>
      </c>
      <c r="I87" s="126">
        <v>6253284.8228775719</v>
      </c>
    </row>
    <row r="88" spans="1:9" x14ac:dyDescent="0.3">
      <c r="A88" s="165">
        <v>100000</v>
      </c>
      <c r="B88" s="166">
        <v>7264705.3505426059</v>
      </c>
      <c r="C88" s="167">
        <v>31266424.114387859</v>
      </c>
      <c r="D88" s="166">
        <v>7264705.3505426059</v>
      </c>
      <c r="E88" s="168">
        <v>31266424.114387859</v>
      </c>
      <c r="F88" s="169">
        <v>7264705.3505426059</v>
      </c>
      <c r="G88" s="167">
        <v>31266424.114387859</v>
      </c>
      <c r="H88" s="166">
        <v>7264705.3505426059</v>
      </c>
      <c r="I88" s="168">
        <v>31266424.114387859</v>
      </c>
    </row>
    <row r="89" spans="1:9" x14ac:dyDescent="0.3">
      <c r="A89" s="206" t="s">
        <v>75</v>
      </c>
      <c r="B89" s="207"/>
      <c r="C89" s="207"/>
      <c r="D89" s="207"/>
      <c r="E89" s="207"/>
      <c r="F89" s="207"/>
      <c r="G89" s="207"/>
      <c r="H89" s="207"/>
      <c r="I89" s="208"/>
    </row>
    <row r="90" spans="1:9" x14ac:dyDescent="0.3">
      <c r="A90" s="158" t="s">
        <v>15</v>
      </c>
      <c r="B90" s="147"/>
      <c r="C90" s="148"/>
      <c r="D90" s="144"/>
      <c r="E90" s="138"/>
      <c r="F90" s="134"/>
      <c r="G90" s="135"/>
      <c r="H90" s="144"/>
      <c r="I90" s="135"/>
    </row>
    <row r="91" spans="1:9" x14ac:dyDescent="0.3">
      <c r="A91" s="159">
        <v>1000000</v>
      </c>
      <c r="B91" s="140" t="s">
        <v>69</v>
      </c>
      <c r="C91" s="141" t="s">
        <v>69</v>
      </c>
      <c r="D91" s="146" t="s">
        <v>69</v>
      </c>
      <c r="E91" s="152" t="s">
        <v>69</v>
      </c>
      <c r="F91" s="125">
        <v>19244.535427757604</v>
      </c>
      <c r="G91" s="126">
        <v>71607.708041010177</v>
      </c>
      <c r="H91" s="146" t="s">
        <v>69</v>
      </c>
      <c r="I91" s="141" t="s">
        <v>69</v>
      </c>
    </row>
    <row r="92" spans="1:9" x14ac:dyDescent="0.3">
      <c r="A92" s="159">
        <v>500000</v>
      </c>
      <c r="B92" s="140" t="s">
        <v>69</v>
      </c>
      <c r="C92" s="141" t="s">
        <v>69</v>
      </c>
      <c r="D92" s="146" t="s">
        <v>69</v>
      </c>
      <c r="E92" s="152" t="s">
        <v>69</v>
      </c>
      <c r="F92" s="125">
        <v>96222.677138788029</v>
      </c>
      <c r="G92" s="126">
        <v>358038.5402050509</v>
      </c>
      <c r="H92" s="146" t="s">
        <v>69</v>
      </c>
      <c r="I92" s="141" t="s">
        <v>69</v>
      </c>
    </row>
    <row r="93" spans="1:9" x14ac:dyDescent="0.3">
      <c r="A93" s="159">
        <v>100000</v>
      </c>
      <c r="B93" s="140" t="s">
        <v>69</v>
      </c>
      <c r="C93" s="141" t="s">
        <v>69</v>
      </c>
      <c r="D93" s="146" t="s">
        <v>69</v>
      </c>
      <c r="E93" s="152" t="s">
        <v>69</v>
      </c>
      <c r="F93" s="125">
        <v>192445.35427757606</v>
      </c>
      <c r="G93" s="126">
        <v>716077.0804101018</v>
      </c>
      <c r="H93" s="146" t="s">
        <v>69</v>
      </c>
      <c r="I93" s="141" t="s">
        <v>69</v>
      </c>
    </row>
    <row r="94" spans="1:9" x14ac:dyDescent="0.3">
      <c r="A94" s="158" t="s">
        <v>16</v>
      </c>
      <c r="B94" s="136"/>
      <c r="C94" s="137"/>
      <c r="D94" s="97"/>
      <c r="E94" s="129"/>
      <c r="F94" s="125"/>
      <c r="G94" s="126"/>
      <c r="H94" s="97"/>
      <c r="I94" s="137"/>
    </row>
    <row r="95" spans="1:9" x14ac:dyDescent="0.3">
      <c r="A95" s="159">
        <v>1000000</v>
      </c>
      <c r="B95" s="140" t="s">
        <v>69</v>
      </c>
      <c r="C95" s="141" t="s">
        <v>69</v>
      </c>
      <c r="D95" s="146" t="s">
        <v>69</v>
      </c>
      <c r="E95" s="152" t="s">
        <v>69</v>
      </c>
      <c r="F95" s="125">
        <v>48138.161851133016</v>
      </c>
      <c r="G95" s="126">
        <v>179048.156713629</v>
      </c>
      <c r="H95" s="146" t="s">
        <v>69</v>
      </c>
      <c r="I95" s="141" t="s">
        <v>69</v>
      </c>
    </row>
    <row r="96" spans="1:9" x14ac:dyDescent="0.3">
      <c r="A96" s="159">
        <v>500000</v>
      </c>
      <c r="B96" s="140" t="s">
        <v>69</v>
      </c>
      <c r="C96" s="141" t="s">
        <v>69</v>
      </c>
      <c r="D96" s="146" t="s">
        <v>69</v>
      </c>
      <c r="E96" s="152" t="s">
        <v>69</v>
      </c>
      <c r="F96" s="125">
        <v>240690.80925566511</v>
      </c>
      <c r="G96" s="126">
        <v>895240.78356814513</v>
      </c>
      <c r="H96" s="146" t="s">
        <v>69</v>
      </c>
      <c r="I96" s="141" t="s">
        <v>69</v>
      </c>
    </row>
    <row r="97" spans="1:9" x14ac:dyDescent="0.3">
      <c r="A97" s="165">
        <v>100000</v>
      </c>
      <c r="B97" s="172" t="s">
        <v>69</v>
      </c>
      <c r="C97" s="171" t="s">
        <v>69</v>
      </c>
      <c r="D97" s="170" t="s">
        <v>69</v>
      </c>
      <c r="E97" s="173" t="s">
        <v>69</v>
      </c>
      <c r="F97" s="166">
        <v>481381.61851133022</v>
      </c>
      <c r="G97" s="168">
        <v>1790481.5671362903</v>
      </c>
      <c r="H97" s="170" t="s">
        <v>69</v>
      </c>
      <c r="I97" s="171" t="s">
        <v>69</v>
      </c>
    </row>
    <row r="98" spans="1:9" x14ac:dyDescent="0.3">
      <c r="A98" s="206" t="s">
        <v>76</v>
      </c>
      <c r="B98" s="207"/>
      <c r="C98" s="207"/>
      <c r="D98" s="207"/>
      <c r="E98" s="207"/>
      <c r="F98" s="207"/>
      <c r="G98" s="207"/>
      <c r="H98" s="207"/>
      <c r="I98" s="208"/>
    </row>
    <row r="99" spans="1:9" x14ac:dyDescent="0.3">
      <c r="A99" s="158" t="s">
        <v>15</v>
      </c>
      <c r="B99" s="134"/>
      <c r="C99" s="138"/>
      <c r="D99" s="134"/>
      <c r="E99" s="135"/>
      <c r="F99" s="144"/>
      <c r="G99" s="138"/>
      <c r="H99" s="134"/>
      <c r="I99" s="135"/>
    </row>
    <row r="100" spans="1:9" x14ac:dyDescent="0.3">
      <c r="A100" s="159">
        <v>1000000</v>
      </c>
      <c r="B100" s="140" t="s">
        <v>69</v>
      </c>
      <c r="C100" s="152" t="s">
        <v>69</v>
      </c>
      <c r="D100" s="140" t="s">
        <v>69</v>
      </c>
      <c r="E100" s="141" t="s">
        <v>69</v>
      </c>
      <c r="F100" s="130">
        <v>88746.005557416895</v>
      </c>
      <c r="G100" s="132">
        <v>330105.36592206924</v>
      </c>
      <c r="H100" s="140" t="s">
        <v>69</v>
      </c>
      <c r="I100" s="141" t="s">
        <v>69</v>
      </c>
    </row>
    <row r="101" spans="1:9" x14ac:dyDescent="0.3">
      <c r="A101" s="159">
        <v>500000</v>
      </c>
      <c r="B101" s="140" t="s">
        <v>69</v>
      </c>
      <c r="C101" s="152" t="s">
        <v>69</v>
      </c>
      <c r="D101" s="140" t="s">
        <v>69</v>
      </c>
      <c r="E101" s="141" t="s">
        <v>69</v>
      </c>
      <c r="F101" s="130">
        <v>177492.01111483379</v>
      </c>
      <c r="G101" s="132">
        <v>660210.73184413847</v>
      </c>
      <c r="H101" s="140" t="s">
        <v>69</v>
      </c>
      <c r="I101" s="141" t="s">
        <v>69</v>
      </c>
    </row>
    <row r="102" spans="1:9" x14ac:dyDescent="0.3">
      <c r="A102" s="159">
        <v>100000</v>
      </c>
      <c r="B102" s="140" t="s">
        <v>69</v>
      </c>
      <c r="C102" s="152" t="s">
        <v>69</v>
      </c>
      <c r="D102" s="140" t="s">
        <v>69</v>
      </c>
      <c r="E102" s="141" t="s">
        <v>69</v>
      </c>
      <c r="F102" s="130">
        <v>887460.05557416915</v>
      </c>
      <c r="G102" s="132">
        <v>3301053.6592206932</v>
      </c>
      <c r="H102" s="140" t="s">
        <v>69</v>
      </c>
      <c r="I102" s="141" t="s">
        <v>69</v>
      </c>
    </row>
    <row r="103" spans="1:9" x14ac:dyDescent="0.3">
      <c r="A103" s="158" t="s">
        <v>16</v>
      </c>
      <c r="B103" s="136"/>
      <c r="C103" s="129"/>
      <c r="D103" s="136"/>
      <c r="E103" s="137"/>
      <c r="F103" s="130"/>
      <c r="G103" s="132"/>
      <c r="H103" s="136"/>
      <c r="I103" s="137"/>
    </row>
    <row r="104" spans="1:9" x14ac:dyDescent="0.3">
      <c r="A104" s="159">
        <v>1000000</v>
      </c>
      <c r="B104" s="140" t="s">
        <v>69</v>
      </c>
      <c r="C104" s="152" t="s">
        <v>69</v>
      </c>
      <c r="D104" s="140" t="s">
        <v>69</v>
      </c>
      <c r="E104" s="141" t="s">
        <v>69</v>
      </c>
      <c r="F104" s="130">
        <v>221941.09928925332</v>
      </c>
      <c r="G104" s="132">
        <v>825336.32997606299</v>
      </c>
      <c r="H104" s="140" t="s">
        <v>69</v>
      </c>
      <c r="I104" s="141" t="s">
        <v>69</v>
      </c>
    </row>
    <row r="105" spans="1:9" x14ac:dyDescent="0.3">
      <c r="A105" s="159">
        <v>500000</v>
      </c>
      <c r="B105" s="140" t="s">
        <v>69</v>
      </c>
      <c r="C105" s="152" t="s">
        <v>69</v>
      </c>
      <c r="D105" s="140" t="s">
        <v>69</v>
      </c>
      <c r="E105" s="141" t="s">
        <v>69</v>
      </c>
      <c r="F105" s="130">
        <v>443882.19857850665</v>
      </c>
      <c r="G105" s="132">
        <v>1650672.659952126</v>
      </c>
      <c r="H105" s="140" t="s">
        <v>69</v>
      </c>
      <c r="I105" s="141" t="s">
        <v>69</v>
      </c>
    </row>
    <row r="106" spans="1:9" x14ac:dyDescent="0.3">
      <c r="A106" s="160">
        <v>100000</v>
      </c>
      <c r="B106" s="142" t="s">
        <v>69</v>
      </c>
      <c r="C106" s="153" t="s">
        <v>69</v>
      </c>
      <c r="D106" s="142" t="s">
        <v>69</v>
      </c>
      <c r="E106" s="143" t="s">
        <v>69</v>
      </c>
      <c r="F106" s="145">
        <v>2219410.9928925331</v>
      </c>
      <c r="G106" s="133">
        <v>8253363.2997606276</v>
      </c>
      <c r="H106" s="142" t="s">
        <v>69</v>
      </c>
      <c r="I106" s="143" t="s">
        <v>69</v>
      </c>
    </row>
  </sheetData>
  <mergeCells count="15">
    <mergeCell ref="A15:I15"/>
    <mergeCell ref="A1:I1"/>
    <mergeCell ref="B2:C2"/>
    <mergeCell ref="H2:I2"/>
    <mergeCell ref="F2:G2"/>
    <mergeCell ref="D2:E2"/>
    <mergeCell ref="A4:I4"/>
    <mergeCell ref="A89:I89"/>
    <mergeCell ref="A98:I98"/>
    <mergeCell ref="A31:I31"/>
    <mergeCell ref="A40:I40"/>
    <mergeCell ref="A49:I49"/>
    <mergeCell ref="A60:I60"/>
    <mergeCell ref="A71:I71"/>
    <mergeCell ref="A80:I8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06CDF-8663-4B16-8737-D80DDDC7F414}">
  <dimension ref="A1:S142"/>
  <sheetViews>
    <sheetView workbookViewId="0">
      <selection activeCell="O7" sqref="O7:S15"/>
    </sheetView>
  </sheetViews>
  <sheetFormatPr defaultRowHeight="14.4" x14ac:dyDescent="0.3"/>
  <cols>
    <col min="1" max="1" width="18.33203125" customWidth="1"/>
    <col min="2" max="2" width="15.109375" customWidth="1"/>
    <col min="3" max="4" width="15" customWidth="1"/>
    <col min="5" max="5" width="12.44140625" customWidth="1"/>
    <col min="6" max="6" width="12.88671875" customWidth="1"/>
    <col min="7" max="7" width="11.88671875" customWidth="1"/>
    <col min="8" max="8" width="14" customWidth="1"/>
    <col min="15" max="15" width="16.5546875" bestFit="1" customWidth="1"/>
    <col min="17" max="17" width="13.6640625" bestFit="1" customWidth="1"/>
    <col min="18" max="18" width="11.33203125" bestFit="1" customWidth="1"/>
    <col min="19" max="19" width="17.5546875" bestFit="1" customWidth="1"/>
  </cols>
  <sheetData>
    <row r="1" spans="1:19" x14ac:dyDescent="0.3">
      <c r="A1" t="s">
        <v>77</v>
      </c>
    </row>
    <row r="3" spans="1:19" ht="35.25" customHeight="1" x14ac:dyDescent="0.3">
      <c r="A3" s="75" t="s">
        <v>78</v>
      </c>
      <c r="B3" s="75" t="s">
        <v>79</v>
      </c>
      <c r="C3" s="75" t="s">
        <v>80</v>
      </c>
      <c r="D3" s="75" t="s">
        <v>81</v>
      </c>
      <c r="E3" s="218" t="s">
        <v>82</v>
      </c>
      <c r="F3" s="218"/>
      <c r="G3" s="218" t="s">
        <v>83</v>
      </c>
      <c r="H3" s="218"/>
    </row>
    <row r="4" spans="1:19" x14ac:dyDescent="0.3">
      <c r="A4" s="217" t="s">
        <v>1</v>
      </c>
      <c r="B4" s="217"/>
      <c r="C4" s="217"/>
      <c r="D4" s="217"/>
      <c r="E4" s="217"/>
      <c r="F4" s="217"/>
      <c r="G4" s="217"/>
      <c r="H4" s="217"/>
    </row>
    <row r="5" spans="1:19" ht="28.8" x14ac:dyDescent="0.3">
      <c r="A5" t="s">
        <v>15</v>
      </c>
      <c r="E5" s="75" t="s">
        <v>17</v>
      </c>
      <c r="F5" s="75" t="s">
        <v>18</v>
      </c>
      <c r="G5" s="75" t="s">
        <v>17</v>
      </c>
      <c r="H5" s="75" t="s">
        <v>18</v>
      </c>
    </row>
    <row r="6" spans="1:19" x14ac:dyDescent="0.3">
      <c r="A6">
        <v>7500</v>
      </c>
      <c r="B6">
        <f>'Loading Loss'!$C$24*A6/42</f>
        <v>607.14285714285711</v>
      </c>
      <c r="C6" s="46">
        <f>B6*8760*SUM('Fuel Composition'!$J$6:$J$13)/2000</f>
        <v>8777.7886367777683</v>
      </c>
      <c r="D6" s="46">
        <f>B6*2080*SUM('Fuel Composition'!$J$6:$J$13)/2000</f>
        <v>2084.2237859015704</v>
      </c>
      <c r="E6" s="75"/>
      <c r="F6" s="75"/>
      <c r="G6" s="75"/>
      <c r="H6" s="75"/>
      <c r="K6">
        <f t="shared" ref="K6:K8" si="0">A6*2000/2080</f>
        <v>7211.5384615384619</v>
      </c>
      <c r="L6">
        <f t="shared" ref="L6:L8" si="1">A6*2000/8760</f>
        <v>1712.3287671232877</v>
      </c>
    </row>
    <row r="7" spans="1:19" x14ac:dyDescent="0.3">
      <c r="A7">
        <v>5000</v>
      </c>
      <c r="B7">
        <f>'Loading Loss'!$C$24*A7/42</f>
        <v>404.76190476190476</v>
      </c>
      <c r="C7" s="46">
        <f>B7*8760*SUM('Fuel Composition'!$J$6:$J$13)/2000</f>
        <v>5851.8590911851798</v>
      </c>
      <c r="D7" s="46">
        <f>B7*2080*SUM('Fuel Composition'!$J$6:$J$13)/2000</f>
        <v>1389.4825239343804</v>
      </c>
      <c r="E7" s="75"/>
      <c r="F7" s="75"/>
      <c r="G7" s="75"/>
      <c r="H7" s="75"/>
      <c r="K7">
        <f t="shared" si="0"/>
        <v>4807.6923076923076</v>
      </c>
      <c r="L7">
        <f t="shared" si="1"/>
        <v>1141.552511415525</v>
      </c>
      <c r="O7" t="s">
        <v>26</v>
      </c>
      <c r="P7" t="s">
        <v>27</v>
      </c>
      <c r="Q7" t="s">
        <v>84</v>
      </c>
      <c r="R7" t="s">
        <v>30</v>
      </c>
      <c r="S7" t="s">
        <v>31</v>
      </c>
    </row>
    <row r="8" spans="1:19" x14ac:dyDescent="0.3">
      <c r="A8">
        <v>2500</v>
      </c>
      <c r="B8">
        <f>'Loading Loss'!$C$24*A8/42</f>
        <v>202.38095238095238</v>
      </c>
      <c r="C8" s="46">
        <f>B8*8760*SUM('Fuel Composition'!$J$6:$J$13)/2000</f>
        <v>2925.9295455925899</v>
      </c>
      <c r="D8" s="46">
        <f>B8*2080*SUM('Fuel Composition'!$J$6:$J$13)/2000</f>
        <v>694.74126196719021</v>
      </c>
      <c r="E8" s="75"/>
      <c r="F8" s="75"/>
      <c r="G8" s="75"/>
      <c r="H8" s="75"/>
      <c r="K8">
        <f t="shared" si="0"/>
        <v>2403.8461538461538</v>
      </c>
      <c r="L8">
        <f t="shared" si="1"/>
        <v>570.77625570776252</v>
      </c>
      <c r="O8">
        <v>1000</v>
      </c>
      <c r="P8">
        <f>O8*2000/'Loading Loss'!$N$24</f>
        <v>4941.1764705882351</v>
      </c>
      <c r="Q8">
        <f>O8-(O8*0.03)</f>
        <v>970</v>
      </c>
    </row>
    <row r="9" spans="1:19" x14ac:dyDescent="0.3">
      <c r="A9">
        <v>1000</v>
      </c>
      <c r="B9">
        <f>'Loading Loss'!$C$24*A9/42</f>
        <v>80.952380952380949</v>
      </c>
      <c r="C9" s="46">
        <f>B9*8760*SUM('Fuel Composition'!$J$6:$J$13)/2000</f>
        <v>1170.3718182370358</v>
      </c>
      <c r="D9" s="46">
        <f>B9*2080*SUM('Fuel Composition'!$J$6:$J$13)/2000</f>
        <v>277.89650478687605</v>
      </c>
      <c r="E9" s="75"/>
      <c r="F9" s="75"/>
      <c r="G9" s="75"/>
      <c r="H9" s="75"/>
      <c r="K9">
        <f>A9*2000/2080</f>
        <v>961.53846153846155</v>
      </c>
      <c r="L9">
        <f>A9*2000/8760</f>
        <v>228.31050228310502</v>
      </c>
      <c r="O9">
        <v>500</v>
      </c>
      <c r="P9">
        <f>O9*2000/'Loading Loss'!$N$24</f>
        <v>2470.5882352941176</v>
      </c>
      <c r="Q9">
        <f t="shared" ref="Q9:Q15" si="2">O9-(O9*0.03)</f>
        <v>485</v>
      </c>
    </row>
    <row r="10" spans="1:19" x14ac:dyDescent="0.3">
      <c r="A10">
        <v>500</v>
      </c>
      <c r="B10">
        <f>'Loading Loss'!$C$24*A10/42</f>
        <v>40.476190476190474</v>
      </c>
      <c r="C10" s="46">
        <f>B10*8760*SUM('Fuel Composition'!$J$6:$J$13)/2000</f>
        <v>585.18590911851788</v>
      </c>
      <c r="D10" s="46">
        <f>B10*2080*SUM('Fuel Composition'!$J$6:$J$13)/2000</f>
        <v>138.94825239343803</v>
      </c>
      <c r="E10" s="123"/>
      <c r="F10" s="123"/>
      <c r="G10" s="123"/>
      <c r="H10" s="123"/>
      <c r="K10">
        <f>A10*2000/2080</f>
        <v>480.76923076923077</v>
      </c>
      <c r="L10">
        <f>A10*2000/8760</f>
        <v>114.15525114155251</v>
      </c>
      <c r="O10">
        <v>100</v>
      </c>
      <c r="P10">
        <f>O10*2000/'Loading Loss'!$N$24</f>
        <v>494.11764705882354</v>
      </c>
      <c r="Q10">
        <f t="shared" si="2"/>
        <v>97</v>
      </c>
    </row>
    <row r="11" spans="1:19" x14ac:dyDescent="0.3">
      <c r="A11">
        <v>100</v>
      </c>
      <c r="B11">
        <f>'Loading Loss'!$C$24*A11/42</f>
        <v>8.0952380952380949</v>
      </c>
      <c r="C11" s="46">
        <f>B11*8760*SUM('Fuel Composition'!$J$6:$J$13)/2000</f>
        <v>117.03718182370358</v>
      </c>
      <c r="D11" s="46">
        <f>B11*2080*SUM('Fuel Composition'!$J$6:$J$13)/2000</f>
        <v>27.789650478687605</v>
      </c>
      <c r="E11" s="123"/>
      <c r="F11" s="123"/>
      <c r="G11" s="123"/>
      <c r="H11" s="123"/>
      <c r="K11">
        <f>A11*2000/2080</f>
        <v>96.15384615384616</v>
      </c>
      <c r="L11">
        <f>A11*2000/8760</f>
        <v>22.831050228310502</v>
      </c>
      <c r="O11">
        <v>50</v>
      </c>
      <c r="P11">
        <f>O11*2000/'Loading Loss'!$N$24</f>
        <v>247.05882352941177</v>
      </c>
      <c r="Q11">
        <f t="shared" si="2"/>
        <v>48.5</v>
      </c>
    </row>
    <row r="12" spans="1:19" x14ac:dyDescent="0.3">
      <c r="E12" s="123"/>
      <c r="F12" s="123"/>
      <c r="G12" s="123"/>
      <c r="H12" s="123"/>
      <c r="K12">
        <f>A12*2000/2080</f>
        <v>0</v>
      </c>
      <c r="L12">
        <f>A12*2000/8760</f>
        <v>0</v>
      </c>
      <c r="O12">
        <v>25</v>
      </c>
      <c r="P12">
        <f>O12*2000/'Loading Loss'!$N$24</f>
        <v>123.52941176470588</v>
      </c>
      <c r="Q12">
        <f t="shared" si="2"/>
        <v>24.25</v>
      </c>
    </row>
    <row r="13" spans="1:19" x14ac:dyDescent="0.3">
      <c r="E13" s="123"/>
      <c r="F13" s="123"/>
      <c r="G13" s="123"/>
      <c r="H13" s="123"/>
      <c r="K13">
        <f>A13*2000/2080</f>
        <v>0</v>
      </c>
      <c r="L13">
        <f>A13*2000/8760</f>
        <v>0</v>
      </c>
      <c r="O13">
        <v>10</v>
      </c>
      <c r="P13">
        <f>O13*2000/'Loading Loss'!$N$24</f>
        <v>49.411764705882355</v>
      </c>
      <c r="Q13">
        <f t="shared" si="2"/>
        <v>9.6999999999999993</v>
      </c>
    </row>
    <row r="14" spans="1:19" x14ac:dyDescent="0.3">
      <c r="A14" t="s">
        <v>16</v>
      </c>
      <c r="E14" s="123"/>
      <c r="F14" s="123"/>
      <c r="G14" s="123"/>
      <c r="H14" s="123"/>
      <c r="O14">
        <v>5</v>
      </c>
      <c r="P14">
        <f>O14*2000/'Loading Loss'!$N$24</f>
        <v>24.705882352941178</v>
      </c>
      <c r="Q14">
        <f t="shared" si="2"/>
        <v>4.8499999999999996</v>
      </c>
    </row>
    <row r="15" spans="1:19" x14ac:dyDescent="0.3">
      <c r="A15">
        <v>100</v>
      </c>
      <c r="C15">
        <f>A15-(A15*0.03)</f>
        <v>97</v>
      </c>
      <c r="E15" s="123"/>
      <c r="F15" s="123"/>
      <c r="G15" s="123"/>
      <c r="H15" s="123"/>
      <c r="K15">
        <f>A15*2000/2080</f>
        <v>96.15384615384616</v>
      </c>
      <c r="L15">
        <f>A15*2000/8760</f>
        <v>22.831050228310502</v>
      </c>
      <c r="O15">
        <v>1</v>
      </c>
      <c r="P15">
        <f>O15*2000/'Loading Loss'!$N$24</f>
        <v>4.9411764705882355</v>
      </c>
      <c r="Q15">
        <f t="shared" si="2"/>
        <v>0.97</v>
      </c>
    </row>
    <row r="16" spans="1:19" x14ac:dyDescent="0.3">
      <c r="A16">
        <v>25</v>
      </c>
      <c r="C16">
        <f>A16-(A16*0.03)</f>
        <v>24.25</v>
      </c>
      <c r="E16" s="123"/>
      <c r="F16" s="123"/>
      <c r="G16" s="123"/>
      <c r="H16" s="123"/>
      <c r="K16">
        <f>A16*2000/2080</f>
        <v>24.03846153846154</v>
      </c>
      <c r="L16">
        <f>A16*2000/8760</f>
        <v>5.7077625570776256</v>
      </c>
    </row>
    <row r="17" spans="1:12" x14ac:dyDescent="0.3">
      <c r="A17">
        <v>10</v>
      </c>
      <c r="C17">
        <f t="shared" ref="C17:C19" si="3">A17-(A17*0.03)</f>
        <v>9.6999999999999993</v>
      </c>
      <c r="E17" s="123"/>
      <c r="F17" s="123"/>
      <c r="G17" s="123"/>
      <c r="H17" s="123"/>
      <c r="K17">
        <f>A17*2000/2080</f>
        <v>9.615384615384615</v>
      </c>
      <c r="L17">
        <f>A17*2000/8760</f>
        <v>2.2831050228310503</v>
      </c>
    </row>
    <row r="18" spans="1:12" x14ac:dyDescent="0.3">
      <c r="A18">
        <v>5</v>
      </c>
      <c r="C18">
        <f t="shared" si="3"/>
        <v>4.8499999999999996</v>
      </c>
      <c r="E18" s="123"/>
      <c r="F18" s="123"/>
      <c r="G18" s="123"/>
      <c r="H18" s="123"/>
      <c r="K18">
        <f>A18*2000/2080</f>
        <v>4.8076923076923075</v>
      </c>
      <c r="L18">
        <f>A18*2000/8760</f>
        <v>1.1415525114155252</v>
      </c>
    </row>
    <row r="19" spans="1:12" x14ac:dyDescent="0.3">
      <c r="A19">
        <v>1</v>
      </c>
      <c r="C19">
        <f t="shared" si="3"/>
        <v>0.97</v>
      </c>
      <c r="E19" s="123"/>
      <c r="F19" s="123"/>
      <c r="G19" s="123"/>
      <c r="H19" s="123"/>
      <c r="K19">
        <f>A19*2000/2080</f>
        <v>0.96153846153846156</v>
      </c>
      <c r="L19">
        <f>A19*2000/8760</f>
        <v>0.22831050228310501</v>
      </c>
    </row>
    <row r="20" spans="1:12" x14ac:dyDescent="0.3">
      <c r="A20" s="217" t="s">
        <v>32</v>
      </c>
      <c r="B20" s="217"/>
      <c r="C20" s="217"/>
      <c r="D20" s="217"/>
      <c r="E20" s="217"/>
      <c r="F20" s="217"/>
      <c r="G20" s="217"/>
      <c r="H20" s="217"/>
    </row>
    <row r="21" spans="1:12" x14ac:dyDescent="0.3">
      <c r="A21" t="s">
        <v>36</v>
      </c>
    </row>
    <row r="22" spans="1:12" x14ac:dyDescent="0.3">
      <c r="A22">
        <v>100</v>
      </c>
      <c r="C22">
        <f>A22-(A22*0.03)</f>
        <v>97</v>
      </c>
      <c r="K22">
        <f>A22*2000/2080</f>
        <v>96.15384615384616</v>
      </c>
      <c r="L22">
        <f>A22*2000/8760</f>
        <v>22.831050228310502</v>
      </c>
    </row>
    <row r="23" spans="1:12" x14ac:dyDescent="0.3">
      <c r="A23">
        <v>25</v>
      </c>
      <c r="C23">
        <f>A23-(A23*0.03)</f>
        <v>24.25</v>
      </c>
      <c r="E23" s="123"/>
      <c r="F23" s="123"/>
      <c r="G23" s="123"/>
      <c r="H23" s="123"/>
      <c r="K23">
        <f>A23*2000/2080</f>
        <v>24.03846153846154</v>
      </c>
      <c r="L23">
        <f>A23*2000/8760</f>
        <v>5.7077625570776256</v>
      </c>
    </row>
    <row r="24" spans="1:12" x14ac:dyDescent="0.3">
      <c r="A24">
        <v>10</v>
      </c>
      <c r="C24">
        <f t="shared" ref="C24:C26" si="4">A24-(A24*0.03)</f>
        <v>9.6999999999999993</v>
      </c>
      <c r="E24" s="123"/>
      <c r="F24" s="123"/>
      <c r="G24" s="123"/>
      <c r="H24" s="123"/>
      <c r="K24">
        <f>A24*2000/2080</f>
        <v>9.615384615384615</v>
      </c>
      <c r="L24">
        <f>A24*2000/8760</f>
        <v>2.2831050228310503</v>
      </c>
    </row>
    <row r="25" spans="1:12" x14ac:dyDescent="0.3">
      <c r="A25">
        <v>5</v>
      </c>
      <c r="C25">
        <f t="shared" si="4"/>
        <v>4.8499999999999996</v>
      </c>
      <c r="E25" s="123"/>
      <c r="F25" s="123"/>
      <c r="G25" s="123"/>
      <c r="H25" s="123"/>
      <c r="K25">
        <f>A25*2000/2080</f>
        <v>4.8076923076923075</v>
      </c>
      <c r="L25">
        <f>A25*2000/8760</f>
        <v>1.1415525114155252</v>
      </c>
    </row>
    <row r="26" spans="1:12" x14ac:dyDescent="0.3">
      <c r="A26">
        <v>1</v>
      </c>
      <c r="C26">
        <f t="shared" si="4"/>
        <v>0.97</v>
      </c>
      <c r="E26" s="123"/>
      <c r="F26" s="123"/>
      <c r="G26" s="123"/>
      <c r="H26" s="123"/>
      <c r="K26">
        <f>A26*2000/2080</f>
        <v>0.96153846153846156</v>
      </c>
      <c r="L26">
        <f>A26*2000/8760</f>
        <v>0.22831050228310501</v>
      </c>
    </row>
    <row r="27" spans="1:12" x14ac:dyDescent="0.3">
      <c r="A27" t="s">
        <v>37</v>
      </c>
      <c r="E27" s="123"/>
      <c r="F27" s="123"/>
      <c r="G27" s="123"/>
      <c r="H27" s="123"/>
    </row>
    <row r="28" spans="1:12" x14ac:dyDescent="0.3">
      <c r="A28">
        <v>100</v>
      </c>
      <c r="C28">
        <f>A28-(A28*0.03)</f>
        <v>97</v>
      </c>
      <c r="E28" s="123"/>
      <c r="F28" s="123"/>
      <c r="G28" s="123"/>
      <c r="H28" s="123"/>
      <c r="K28">
        <f>A28*2000/2080</f>
        <v>96.15384615384616</v>
      </c>
      <c r="L28">
        <f>A28*2000/8760</f>
        <v>22.831050228310502</v>
      </c>
    </row>
    <row r="29" spans="1:12" x14ac:dyDescent="0.3">
      <c r="A29">
        <v>25</v>
      </c>
      <c r="C29">
        <f>A29-(A29*0.03)</f>
        <v>24.25</v>
      </c>
      <c r="E29" s="123"/>
      <c r="F29" s="123"/>
      <c r="G29" s="123"/>
      <c r="H29" s="123"/>
      <c r="K29">
        <f>A29*2000/2080</f>
        <v>24.03846153846154</v>
      </c>
      <c r="L29">
        <f>A29*2000/8760</f>
        <v>5.7077625570776256</v>
      </c>
    </row>
    <row r="30" spans="1:12" x14ac:dyDescent="0.3">
      <c r="A30">
        <v>10</v>
      </c>
      <c r="C30">
        <f t="shared" ref="C30:C32" si="5">A30-(A30*0.03)</f>
        <v>9.6999999999999993</v>
      </c>
      <c r="E30" s="123"/>
      <c r="F30" s="123"/>
      <c r="G30" s="123"/>
      <c r="H30" s="123"/>
      <c r="K30">
        <f>A30*2000/2080</f>
        <v>9.615384615384615</v>
      </c>
      <c r="L30">
        <f>A30*2000/8760</f>
        <v>2.2831050228310503</v>
      </c>
    </row>
    <row r="31" spans="1:12" x14ac:dyDescent="0.3">
      <c r="A31">
        <v>5</v>
      </c>
      <c r="C31">
        <f t="shared" si="5"/>
        <v>4.8499999999999996</v>
      </c>
      <c r="E31" s="123"/>
      <c r="F31" s="123"/>
      <c r="G31" s="123"/>
      <c r="H31" s="123"/>
      <c r="K31">
        <f>A31*2000/2080</f>
        <v>4.8076923076923075</v>
      </c>
      <c r="L31">
        <f>A31*2000/8760</f>
        <v>1.1415525114155252</v>
      </c>
    </row>
    <row r="32" spans="1:12" x14ac:dyDescent="0.3">
      <c r="A32">
        <v>1</v>
      </c>
      <c r="C32">
        <f t="shared" si="5"/>
        <v>0.97</v>
      </c>
      <c r="E32" s="123"/>
      <c r="F32" s="123"/>
      <c r="G32" s="123"/>
      <c r="H32" s="123"/>
      <c r="K32">
        <f>A32*2000/2080</f>
        <v>0.96153846153846156</v>
      </c>
      <c r="L32">
        <f>A32*2000/8760</f>
        <v>0.22831050228310501</v>
      </c>
    </row>
    <row r="33" spans="1:12" x14ac:dyDescent="0.3">
      <c r="A33" t="s">
        <v>38</v>
      </c>
      <c r="E33" s="123"/>
      <c r="F33" s="123"/>
    </row>
    <row r="34" spans="1:12" x14ac:dyDescent="0.3">
      <c r="A34">
        <v>100</v>
      </c>
      <c r="C34">
        <f>A34-(A34*0.03)</f>
        <v>97</v>
      </c>
      <c r="E34" s="123"/>
      <c r="F34" s="123"/>
      <c r="K34">
        <f>A34*2000/2080</f>
        <v>96.15384615384616</v>
      </c>
      <c r="L34">
        <f>A34*2000/8760</f>
        <v>22.831050228310502</v>
      </c>
    </row>
    <row r="35" spans="1:12" x14ac:dyDescent="0.3">
      <c r="A35">
        <v>25</v>
      </c>
      <c r="C35">
        <f>A35-(A35*0.03)</f>
        <v>24.25</v>
      </c>
      <c r="E35" s="123"/>
      <c r="F35" s="123"/>
      <c r="G35" s="123"/>
      <c r="H35" s="123"/>
      <c r="K35">
        <f>A35*2000/2080</f>
        <v>24.03846153846154</v>
      </c>
      <c r="L35">
        <f>A35*2000/8760</f>
        <v>5.7077625570776256</v>
      </c>
    </row>
    <row r="36" spans="1:12" x14ac:dyDescent="0.3">
      <c r="A36">
        <v>10</v>
      </c>
      <c r="C36">
        <f t="shared" ref="C36:C38" si="6">A36-(A36*0.03)</f>
        <v>9.6999999999999993</v>
      </c>
      <c r="E36" s="123"/>
      <c r="F36" s="123"/>
      <c r="G36" s="123"/>
      <c r="H36" s="123"/>
      <c r="K36">
        <f>A36*2000/2080</f>
        <v>9.615384615384615</v>
      </c>
      <c r="L36">
        <f>A36*2000/8760</f>
        <v>2.2831050228310503</v>
      </c>
    </row>
    <row r="37" spans="1:12" x14ac:dyDescent="0.3">
      <c r="A37">
        <v>5</v>
      </c>
      <c r="C37">
        <f t="shared" si="6"/>
        <v>4.8499999999999996</v>
      </c>
      <c r="E37" s="123"/>
      <c r="F37" s="123"/>
      <c r="G37" s="123"/>
      <c r="H37" s="123"/>
      <c r="K37">
        <f>A37*2000/2080</f>
        <v>4.8076923076923075</v>
      </c>
      <c r="L37">
        <f>A37*2000/8760</f>
        <v>1.1415525114155252</v>
      </c>
    </row>
    <row r="38" spans="1:12" x14ac:dyDescent="0.3">
      <c r="A38">
        <v>1</v>
      </c>
      <c r="C38">
        <f t="shared" si="6"/>
        <v>0.97</v>
      </c>
      <c r="E38" s="123"/>
      <c r="F38" s="123"/>
      <c r="G38" s="123"/>
      <c r="H38" s="123"/>
      <c r="K38">
        <f>A38*2000/2080</f>
        <v>0.96153846153846156</v>
      </c>
      <c r="L38">
        <f>A38*2000/8760</f>
        <v>0.22831050228310501</v>
      </c>
    </row>
    <row r="39" spans="1:12" x14ac:dyDescent="0.3">
      <c r="A39" s="217" t="s">
        <v>68</v>
      </c>
      <c r="B39" s="217"/>
      <c r="C39" s="217"/>
      <c r="D39" s="217"/>
      <c r="E39" s="217"/>
      <c r="F39" s="217"/>
      <c r="G39" s="217"/>
      <c r="H39" s="217"/>
    </row>
    <row r="40" spans="1:12" x14ac:dyDescent="0.3">
      <c r="A40" t="s">
        <v>15</v>
      </c>
    </row>
    <row r="41" spans="1:12" x14ac:dyDescent="0.3">
      <c r="A41">
        <v>100</v>
      </c>
      <c r="C41">
        <f>A41-(A41*0.03)</f>
        <v>97</v>
      </c>
      <c r="K41">
        <f>A41*2000/2080</f>
        <v>96.15384615384616</v>
      </c>
      <c r="L41">
        <f>A41*2000/8760</f>
        <v>22.831050228310502</v>
      </c>
    </row>
    <row r="42" spans="1:12" x14ac:dyDescent="0.3">
      <c r="A42">
        <v>25</v>
      </c>
      <c r="C42">
        <f>A42-(A42*0.03)</f>
        <v>24.25</v>
      </c>
      <c r="E42" s="123"/>
      <c r="F42" s="123"/>
      <c r="G42" s="123"/>
      <c r="H42" s="123"/>
      <c r="K42">
        <f>A42*2000/2080</f>
        <v>24.03846153846154</v>
      </c>
      <c r="L42">
        <f>A42*2000/8760</f>
        <v>5.7077625570776256</v>
      </c>
    </row>
    <row r="43" spans="1:12" x14ac:dyDescent="0.3">
      <c r="A43">
        <v>10</v>
      </c>
      <c r="C43">
        <f t="shared" ref="C43:C45" si="7">A43-(A43*0.03)</f>
        <v>9.6999999999999993</v>
      </c>
      <c r="E43" s="123"/>
      <c r="F43" s="123"/>
      <c r="G43" s="123"/>
      <c r="H43" s="123"/>
      <c r="K43">
        <f>A43*2000/2080</f>
        <v>9.615384615384615</v>
      </c>
      <c r="L43">
        <f>A43*2000/8760</f>
        <v>2.2831050228310503</v>
      </c>
    </row>
    <row r="44" spans="1:12" x14ac:dyDescent="0.3">
      <c r="A44">
        <v>5</v>
      </c>
      <c r="C44">
        <f t="shared" si="7"/>
        <v>4.8499999999999996</v>
      </c>
      <c r="E44" s="123"/>
      <c r="F44" s="123"/>
      <c r="G44" s="123"/>
      <c r="H44" s="123"/>
      <c r="K44">
        <f>A44*2000/2080</f>
        <v>4.8076923076923075</v>
      </c>
      <c r="L44">
        <f>A44*2000/8760</f>
        <v>1.1415525114155252</v>
      </c>
    </row>
    <row r="45" spans="1:12" x14ac:dyDescent="0.3">
      <c r="A45">
        <v>1</v>
      </c>
      <c r="C45">
        <f t="shared" si="7"/>
        <v>0.97</v>
      </c>
      <c r="E45" s="123"/>
      <c r="F45" s="123"/>
      <c r="G45" s="123"/>
      <c r="H45" s="123"/>
      <c r="K45">
        <f>A45*2000/2080</f>
        <v>0.96153846153846156</v>
      </c>
      <c r="L45">
        <f>A45*2000/8760</f>
        <v>0.22831050228310501</v>
      </c>
    </row>
    <row r="46" spans="1:12" x14ac:dyDescent="0.3">
      <c r="A46" t="s">
        <v>16</v>
      </c>
      <c r="E46" s="123"/>
      <c r="F46" s="123"/>
      <c r="G46" s="123"/>
      <c r="H46" s="123"/>
    </row>
    <row r="47" spans="1:12" x14ac:dyDescent="0.3">
      <c r="A47">
        <v>100</v>
      </c>
      <c r="C47">
        <f>A47-(A47*0.03)</f>
        <v>97</v>
      </c>
      <c r="E47" s="123"/>
      <c r="F47" s="123"/>
      <c r="G47" s="123"/>
      <c r="H47" s="123"/>
      <c r="K47">
        <f>A47*2000/2080</f>
        <v>96.15384615384616</v>
      </c>
      <c r="L47">
        <f>A47*2000/8760</f>
        <v>22.831050228310502</v>
      </c>
    </row>
    <row r="48" spans="1:12" x14ac:dyDescent="0.3">
      <c r="A48">
        <v>25</v>
      </c>
      <c r="C48">
        <f>A48-(A48*0.03)</f>
        <v>24.25</v>
      </c>
      <c r="E48" s="123"/>
      <c r="F48" s="123"/>
      <c r="G48" s="123"/>
      <c r="H48" s="123"/>
      <c r="K48">
        <f>A48*2000/2080</f>
        <v>24.03846153846154</v>
      </c>
      <c r="L48">
        <f>A48*2000/8760</f>
        <v>5.7077625570776256</v>
      </c>
    </row>
    <row r="49" spans="1:12" x14ac:dyDescent="0.3">
      <c r="A49">
        <v>10</v>
      </c>
      <c r="C49">
        <f t="shared" ref="C49:C51" si="8">A49-(A49*0.03)</f>
        <v>9.6999999999999993</v>
      </c>
      <c r="E49" s="123"/>
      <c r="F49" s="123"/>
      <c r="G49" s="123"/>
      <c r="H49" s="123"/>
      <c r="K49">
        <f>A49*2000/2080</f>
        <v>9.615384615384615</v>
      </c>
      <c r="L49">
        <f>A49*2000/8760</f>
        <v>2.2831050228310503</v>
      </c>
    </row>
    <row r="50" spans="1:12" x14ac:dyDescent="0.3">
      <c r="A50">
        <v>5</v>
      </c>
      <c r="C50">
        <f t="shared" si="8"/>
        <v>4.8499999999999996</v>
      </c>
      <c r="E50" s="123"/>
      <c r="F50" s="123"/>
      <c r="G50" s="123"/>
      <c r="H50" s="123"/>
      <c r="K50">
        <f>A50*2000/2080</f>
        <v>4.8076923076923075</v>
      </c>
      <c r="L50">
        <f>A50*2000/8760</f>
        <v>1.1415525114155252</v>
      </c>
    </row>
    <row r="51" spans="1:12" x14ac:dyDescent="0.3">
      <c r="A51">
        <v>1</v>
      </c>
      <c r="C51">
        <f t="shared" si="8"/>
        <v>0.97</v>
      </c>
      <c r="E51" s="177"/>
      <c r="F51" s="177"/>
      <c r="G51" s="177"/>
      <c r="H51" s="177"/>
      <c r="K51">
        <f>A51*2000/2080</f>
        <v>0.96153846153846156</v>
      </c>
      <c r="L51">
        <f>A51*2000/8760</f>
        <v>0.22831050228310501</v>
      </c>
    </row>
    <row r="52" spans="1:12" x14ac:dyDescent="0.3">
      <c r="A52" s="217" t="s">
        <v>70</v>
      </c>
      <c r="B52" s="217"/>
      <c r="C52" s="217"/>
      <c r="D52" s="217"/>
      <c r="E52" s="217"/>
      <c r="F52" s="217"/>
      <c r="G52" s="217"/>
      <c r="H52" s="217"/>
    </row>
    <row r="53" spans="1:12" x14ac:dyDescent="0.3">
      <c r="A53" t="s">
        <v>15</v>
      </c>
      <c r="E53" s="123"/>
      <c r="F53" s="123"/>
    </row>
    <row r="54" spans="1:12" x14ac:dyDescent="0.3">
      <c r="A54">
        <v>100</v>
      </c>
      <c r="C54">
        <f>A54-(A54*0.03)</f>
        <v>97</v>
      </c>
      <c r="E54" s="123"/>
      <c r="F54" s="123"/>
      <c r="K54">
        <f>A54*2000/2080</f>
        <v>96.15384615384616</v>
      </c>
      <c r="L54">
        <f>A54*2000/8760</f>
        <v>22.831050228310502</v>
      </c>
    </row>
    <row r="55" spans="1:12" x14ac:dyDescent="0.3">
      <c r="A55">
        <v>25</v>
      </c>
      <c r="C55">
        <f>A55-(A55*0.03)</f>
        <v>24.25</v>
      </c>
      <c r="E55" s="123"/>
      <c r="F55" s="123"/>
      <c r="G55" s="123"/>
      <c r="H55" s="123"/>
      <c r="K55">
        <f>A55*2000/2080</f>
        <v>24.03846153846154</v>
      </c>
      <c r="L55">
        <f>A55*2000/8760</f>
        <v>5.7077625570776256</v>
      </c>
    </row>
    <row r="56" spans="1:12" x14ac:dyDescent="0.3">
      <c r="A56">
        <v>10</v>
      </c>
      <c r="C56">
        <f t="shared" ref="C56:C58" si="9">A56-(A56*0.03)</f>
        <v>9.6999999999999993</v>
      </c>
      <c r="E56" s="123"/>
      <c r="F56" s="123"/>
      <c r="G56" s="123"/>
      <c r="H56" s="123"/>
      <c r="K56">
        <f>A56*2000/2080</f>
        <v>9.615384615384615</v>
      </c>
      <c r="L56">
        <f>A56*2000/8760</f>
        <v>2.2831050228310503</v>
      </c>
    </row>
    <row r="57" spans="1:12" x14ac:dyDescent="0.3">
      <c r="A57">
        <v>5</v>
      </c>
      <c r="C57">
        <f t="shared" si="9"/>
        <v>4.8499999999999996</v>
      </c>
      <c r="E57" s="123"/>
      <c r="F57" s="123"/>
      <c r="G57" s="123"/>
      <c r="H57" s="123"/>
      <c r="K57">
        <f>A57*2000/2080</f>
        <v>4.8076923076923075</v>
      </c>
      <c r="L57">
        <f>A57*2000/8760</f>
        <v>1.1415525114155252</v>
      </c>
    </row>
    <row r="58" spans="1:12" x14ac:dyDescent="0.3">
      <c r="A58">
        <v>1</v>
      </c>
      <c r="C58">
        <f t="shared" si="9"/>
        <v>0.97</v>
      </c>
      <c r="E58" s="123"/>
      <c r="F58" s="123"/>
      <c r="G58" s="123"/>
      <c r="H58" s="123"/>
      <c r="K58">
        <f>A58*2000/2080</f>
        <v>0.96153846153846156</v>
      </c>
      <c r="L58">
        <f>A58*2000/8760</f>
        <v>0.22831050228310501</v>
      </c>
    </row>
    <row r="59" spans="1:12" x14ac:dyDescent="0.3">
      <c r="A59" t="s">
        <v>16</v>
      </c>
      <c r="E59" s="123"/>
      <c r="F59" s="123"/>
      <c r="G59" s="123"/>
      <c r="H59" s="123"/>
    </row>
    <row r="60" spans="1:12" x14ac:dyDescent="0.3">
      <c r="A60">
        <v>100</v>
      </c>
      <c r="C60">
        <f>A60-(A60*0.03)</f>
        <v>97</v>
      </c>
      <c r="E60" s="123"/>
      <c r="F60" s="123"/>
      <c r="G60" s="123"/>
      <c r="H60" s="123"/>
      <c r="K60">
        <f>A60*2000/2080</f>
        <v>96.15384615384616</v>
      </c>
      <c r="L60">
        <f>A60*2000/8760</f>
        <v>22.831050228310502</v>
      </c>
    </row>
    <row r="61" spans="1:12" x14ac:dyDescent="0.3">
      <c r="A61">
        <v>25</v>
      </c>
      <c r="C61">
        <f>A61-(A61*0.03)</f>
        <v>24.25</v>
      </c>
      <c r="E61" s="123"/>
      <c r="F61" s="123"/>
      <c r="G61" s="123"/>
      <c r="H61" s="123"/>
      <c r="K61">
        <f>A61*2000/2080</f>
        <v>24.03846153846154</v>
      </c>
      <c r="L61">
        <f>A61*2000/8760</f>
        <v>5.7077625570776256</v>
      </c>
    </row>
    <row r="62" spans="1:12" x14ac:dyDescent="0.3">
      <c r="A62">
        <v>10</v>
      </c>
      <c r="C62">
        <f t="shared" ref="C62:C64" si="10">A62-(A62*0.03)</f>
        <v>9.6999999999999993</v>
      </c>
      <c r="E62" s="123"/>
      <c r="F62" s="123"/>
      <c r="G62" s="123"/>
      <c r="H62" s="123"/>
      <c r="K62">
        <f>A62*2000/2080</f>
        <v>9.615384615384615</v>
      </c>
      <c r="L62">
        <f>A62*2000/8760</f>
        <v>2.2831050228310503</v>
      </c>
    </row>
    <row r="63" spans="1:12" x14ac:dyDescent="0.3">
      <c r="A63">
        <v>5</v>
      </c>
      <c r="C63">
        <f t="shared" si="10"/>
        <v>4.8499999999999996</v>
      </c>
      <c r="E63" s="123"/>
      <c r="F63" s="123"/>
      <c r="G63" s="123"/>
      <c r="H63" s="123"/>
      <c r="K63">
        <f>A63*2000/2080</f>
        <v>4.8076923076923075</v>
      </c>
      <c r="L63">
        <f>A63*2000/8760</f>
        <v>1.1415525114155252</v>
      </c>
    </row>
    <row r="64" spans="1:12" x14ac:dyDescent="0.3">
      <c r="A64">
        <v>1</v>
      </c>
      <c r="C64">
        <f t="shared" si="10"/>
        <v>0.97</v>
      </c>
      <c r="E64" s="123"/>
      <c r="F64" s="123"/>
      <c r="G64" s="123"/>
      <c r="H64" s="123"/>
      <c r="K64">
        <f>A64*2000/2080</f>
        <v>0.96153846153846156</v>
      </c>
      <c r="L64">
        <f>A64*2000/8760</f>
        <v>0.22831050228310501</v>
      </c>
    </row>
    <row r="65" spans="1:12" x14ac:dyDescent="0.3">
      <c r="A65" s="217" t="s">
        <v>85</v>
      </c>
      <c r="B65" s="217"/>
      <c r="C65" s="217"/>
      <c r="D65" s="217"/>
      <c r="E65" s="217"/>
      <c r="F65" s="217"/>
      <c r="G65" s="217"/>
      <c r="H65" s="217"/>
    </row>
    <row r="66" spans="1:12" x14ac:dyDescent="0.3">
      <c r="A66" t="s">
        <v>15</v>
      </c>
      <c r="E66" s="123"/>
      <c r="F66" s="123"/>
    </row>
    <row r="67" spans="1:12" x14ac:dyDescent="0.3">
      <c r="A67">
        <v>100</v>
      </c>
      <c r="C67">
        <f>A67-(A67*0.03)</f>
        <v>97</v>
      </c>
      <c r="E67" s="123"/>
      <c r="F67" s="123"/>
      <c r="K67">
        <f>A67*2000/2080</f>
        <v>96.15384615384616</v>
      </c>
      <c r="L67">
        <f>A67*2000/8760</f>
        <v>22.831050228310502</v>
      </c>
    </row>
    <row r="68" spans="1:12" x14ac:dyDescent="0.3">
      <c r="A68">
        <v>25</v>
      </c>
      <c r="C68">
        <f>A68-(A68*0.03)</f>
        <v>24.25</v>
      </c>
      <c r="E68" s="123"/>
      <c r="F68" s="123"/>
      <c r="G68" s="123"/>
      <c r="H68" s="123"/>
      <c r="K68">
        <f>A68*2000/2080</f>
        <v>24.03846153846154</v>
      </c>
      <c r="L68">
        <f>A68*2000/8760</f>
        <v>5.7077625570776256</v>
      </c>
    </row>
    <row r="69" spans="1:12" x14ac:dyDescent="0.3">
      <c r="A69">
        <v>10</v>
      </c>
      <c r="C69">
        <f t="shared" ref="C69:C71" si="11">A69-(A69*0.03)</f>
        <v>9.6999999999999993</v>
      </c>
      <c r="E69" s="123"/>
      <c r="F69" s="123"/>
      <c r="G69" s="123"/>
      <c r="H69" s="123"/>
      <c r="K69">
        <f>A69*2000/2080</f>
        <v>9.615384615384615</v>
      </c>
      <c r="L69">
        <f>A69*2000/8760</f>
        <v>2.2831050228310503</v>
      </c>
    </row>
    <row r="70" spans="1:12" x14ac:dyDescent="0.3">
      <c r="A70">
        <v>5</v>
      </c>
      <c r="C70">
        <f t="shared" si="11"/>
        <v>4.8499999999999996</v>
      </c>
      <c r="E70" s="123"/>
      <c r="F70" s="123"/>
      <c r="G70" s="123"/>
      <c r="H70" s="123"/>
      <c r="K70">
        <f>A70*2000/2080</f>
        <v>4.8076923076923075</v>
      </c>
      <c r="L70">
        <f>A70*2000/8760</f>
        <v>1.1415525114155252</v>
      </c>
    </row>
    <row r="71" spans="1:12" x14ac:dyDescent="0.3">
      <c r="A71">
        <v>1</v>
      </c>
      <c r="C71">
        <f t="shared" si="11"/>
        <v>0.97</v>
      </c>
      <c r="E71" s="123"/>
      <c r="F71" s="123"/>
      <c r="G71" s="123"/>
      <c r="H71" s="123"/>
      <c r="K71">
        <f>A71*2000/2080</f>
        <v>0.96153846153846156</v>
      </c>
      <c r="L71">
        <f>A71*2000/8760</f>
        <v>0.22831050228310501</v>
      </c>
    </row>
    <row r="72" spans="1:12" x14ac:dyDescent="0.3">
      <c r="A72" t="s">
        <v>16</v>
      </c>
      <c r="E72" s="123"/>
      <c r="F72" s="123"/>
      <c r="G72" s="123"/>
      <c r="H72" s="123"/>
    </row>
    <row r="73" spans="1:12" x14ac:dyDescent="0.3">
      <c r="A73">
        <v>100</v>
      </c>
      <c r="C73">
        <f>A73-(A73*0.03)</f>
        <v>97</v>
      </c>
      <c r="E73" s="123"/>
      <c r="F73" s="123"/>
      <c r="G73" s="123"/>
      <c r="H73" s="123"/>
      <c r="K73">
        <f>A73*2000/2080</f>
        <v>96.15384615384616</v>
      </c>
      <c r="L73">
        <f>A73*2000/8760</f>
        <v>22.831050228310502</v>
      </c>
    </row>
    <row r="74" spans="1:12" x14ac:dyDescent="0.3">
      <c r="A74">
        <v>25</v>
      </c>
      <c r="C74">
        <f>A74-(A74*0.03)</f>
        <v>24.25</v>
      </c>
      <c r="E74" s="123"/>
      <c r="F74" s="123"/>
      <c r="G74" s="123"/>
      <c r="H74" s="123"/>
      <c r="K74">
        <f>A74*2000/2080</f>
        <v>24.03846153846154</v>
      </c>
      <c r="L74">
        <f>A74*2000/8760</f>
        <v>5.7077625570776256</v>
      </c>
    </row>
    <row r="75" spans="1:12" x14ac:dyDescent="0.3">
      <c r="A75">
        <v>10</v>
      </c>
      <c r="C75">
        <f t="shared" ref="C75:C77" si="12">A75-(A75*0.03)</f>
        <v>9.6999999999999993</v>
      </c>
      <c r="E75" s="123"/>
      <c r="F75" s="123"/>
      <c r="G75" s="123"/>
      <c r="H75" s="123"/>
      <c r="K75">
        <f>A75*2000/2080</f>
        <v>9.615384615384615</v>
      </c>
      <c r="L75">
        <f>A75*2000/8760</f>
        <v>2.2831050228310503</v>
      </c>
    </row>
    <row r="76" spans="1:12" x14ac:dyDescent="0.3">
      <c r="A76">
        <v>5</v>
      </c>
      <c r="C76">
        <f t="shared" si="12"/>
        <v>4.8499999999999996</v>
      </c>
      <c r="E76" s="123"/>
      <c r="F76" s="123"/>
      <c r="G76" s="123"/>
      <c r="H76" s="123"/>
      <c r="K76">
        <f>A76*2000/2080</f>
        <v>4.8076923076923075</v>
      </c>
      <c r="L76">
        <f>A76*2000/8760</f>
        <v>1.1415525114155252</v>
      </c>
    </row>
    <row r="77" spans="1:12" x14ac:dyDescent="0.3">
      <c r="A77">
        <v>1</v>
      </c>
      <c r="C77">
        <f t="shared" si="12"/>
        <v>0.97</v>
      </c>
      <c r="E77" s="123"/>
      <c r="F77" s="123"/>
      <c r="G77" s="123"/>
      <c r="H77" s="123"/>
      <c r="K77">
        <f>A77*2000/2080</f>
        <v>0.96153846153846156</v>
      </c>
      <c r="L77">
        <f>A77*2000/8760</f>
        <v>0.22831050228310501</v>
      </c>
    </row>
    <row r="78" spans="1:12" x14ac:dyDescent="0.3">
      <c r="A78" s="217" t="s">
        <v>72</v>
      </c>
      <c r="B78" s="217"/>
      <c r="C78" s="217"/>
      <c r="D78" s="217"/>
      <c r="E78" s="217"/>
      <c r="F78" s="217"/>
      <c r="G78" s="217"/>
      <c r="H78" s="217"/>
    </row>
    <row r="79" spans="1:12" x14ac:dyDescent="0.3">
      <c r="A79" t="s">
        <v>15</v>
      </c>
    </row>
    <row r="80" spans="1:12" x14ac:dyDescent="0.3">
      <c r="A80">
        <v>100</v>
      </c>
      <c r="C80">
        <f>A80-(A80*0.03)</f>
        <v>97</v>
      </c>
      <c r="D80">
        <v>266678</v>
      </c>
      <c r="K80">
        <f>A80*2000/2080</f>
        <v>96.15384615384616</v>
      </c>
      <c r="L80">
        <f>A80*2000/8760</f>
        <v>22.831050228310502</v>
      </c>
    </row>
    <row r="81" spans="1:12" x14ac:dyDescent="0.3">
      <c r="A81">
        <v>25</v>
      </c>
      <c r="C81">
        <f>A81-(A81*0.03)</f>
        <v>24.25</v>
      </c>
      <c r="D81">
        <v>89051</v>
      </c>
      <c r="E81" s="124"/>
      <c r="F81" s="124"/>
      <c r="G81" s="124"/>
      <c r="H81" s="124"/>
      <c r="K81">
        <f>A81*2000/2080</f>
        <v>24.03846153846154</v>
      </c>
      <c r="L81">
        <f>A81*2000/8760</f>
        <v>5.7077625570776256</v>
      </c>
    </row>
    <row r="82" spans="1:12" x14ac:dyDescent="0.3">
      <c r="A82">
        <v>10</v>
      </c>
      <c r="C82">
        <f t="shared" ref="C82:C84" si="13">A82-(A82*0.03)</f>
        <v>9.6999999999999993</v>
      </c>
      <c r="D82">
        <v>74242</v>
      </c>
      <c r="E82" s="124"/>
      <c r="F82" s="124"/>
      <c r="G82" s="124"/>
      <c r="H82" s="124"/>
      <c r="K82">
        <f>A82*2000/2080</f>
        <v>9.615384615384615</v>
      </c>
      <c r="L82">
        <f>A82*2000/8760</f>
        <v>2.2831050228310503</v>
      </c>
    </row>
    <row r="83" spans="1:12" x14ac:dyDescent="0.3">
      <c r="A83">
        <v>5</v>
      </c>
      <c r="C83">
        <f t="shared" si="13"/>
        <v>4.8499999999999996</v>
      </c>
      <c r="D83">
        <v>71538</v>
      </c>
      <c r="E83" s="124"/>
      <c r="F83" s="124"/>
      <c r="G83" s="124"/>
      <c r="H83" s="124"/>
      <c r="K83">
        <f>A83*2000/2080</f>
        <v>4.8076923076923075</v>
      </c>
      <c r="L83">
        <f>A83*2000/8760</f>
        <v>1.1415525114155252</v>
      </c>
    </row>
    <row r="84" spans="1:12" x14ac:dyDescent="0.3">
      <c r="A84">
        <v>1</v>
      </c>
      <c r="C84">
        <f t="shared" si="13"/>
        <v>0.97</v>
      </c>
      <c r="D84">
        <v>70234</v>
      </c>
      <c r="E84" s="124"/>
      <c r="F84" s="124"/>
      <c r="G84" s="124"/>
      <c r="H84" s="124"/>
      <c r="K84">
        <f>A84*2000/2080</f>
        <v>0.96153846153846156</v>
      </c>
      <c r="L84">
        <f>A84*2000/8760</f>
        <v>0.22831050228310501</v>
      </c>
    </row>
    <row r="85" spans="1:12" x14ac:dyDescent="0.3">
      <c r="A85" t="s">
        <v>16</v>
      </c>
    </row>
    <row r="86" spans="1:12" x14ac:dyDescent="0.3">
      <c r="A86">
        <v>100</v>
      </c>
      <c r="C86">
        <f>A86-(A86*0.03)</f>
        <v>97</v>
      </c>
      <c r="D86">
        <v>266678</v>
      </c>
      <c r="K86">
        <f>A86*2000/2080</f>
        <v>96.15384615384616</v>
      </c>
      <c r="L86">
        <f>A86*2000/8760</f>
        <v>22.831050228310502</v>
      </c>
    </row>
    <row r="87" spans="1:12" x14ac:dyDescent="0.3">
      <c r="A87">
        <v>25</v>
      </c>
      <c r="C87">
        <f>A87-(A87*0.03)</f>
        <v>24.25</v>
      </c>
      <c r="D87">
        <v>89051</v>
      </c>
      <c r="E87" s="124"/>
      <c r="F87" s="124"/>
      <c r="G87" s="124"/>
      <c r="H87" s="124"/>
      <c r="K87">
        <f>A87*2000/2080</f>
        <v>24.03846153846154</v>
      </c>
      <c r="L87">
        <f>A87*2000/8760</f>
        <v>5.7077625570776256</v>
      </c>
    </row>
    <row r="88" spans="1:12" x14ac:dyDescent="0.3">
      <c r="A88">
        <v>10</v>
      </c>
      <c r="C88">
        <f t="shared" ref="C88:C90" si="14">A88-(A88*0.03)</f>
        <v>9.6999999999999993</v>
      </c>
      <c r="D88">
        <v>74242</v>
      </c>
      <c r="E88" s="124"/>
      <c r="F88" s="124"/>
      <c r="G88" s="124"/>
      <c r="H88" s="124"/>
      <c r="K88">
        <f>A88*2000/2080</f>
        <v>9.615384615384615</v>
      </c>
      <c r="L88">
        <f>A88*2000/8760</f>
        <v>2.2831050228310503</v>
      </c>
    </row>
    <row r="89" spans="1:12" x14ac:dyDescent="0.3">
      <c r="A89">
        <v>5</v>
      </c>
      <c r="C89">
        <f t="shared" si="14"/>
        <v>4.8499999999999996</v>
      </c>
      <c r="D89">
        <v>71538</v>
      </c>
      <c r="E89" s="124"/>
      <c r="F89" s="124"/>
      <c r="G89" s="124"/>
      <c r="H89" s="124"/>
      <c r="K89">
        <f>A89*2000/2080</f>
        <v>4.8076923076923075</v>
      </c>
      <c r="L89">
        <f>A89*2000/8760</f>
        <v>1.1415525114155252</v>
      </c>
    </row>
    <row r="90" spans="1:12" x14ac:dyDescent="0.3">
      <c r="A90">
        <v>1</v>
      </c>
      <c r="C90">
        <f t="shared" si="14"/>
        <v>0.97</v>
      </c>
      <c r="D90">
        <v>70234</v>
      </c>
      <c r="E90" s="124"/>
      <c r="F90" s="124"/>
      <c r="G90" s="124"/>
      <c r="H90" s="124"/>
      <c r="K90">
        <f>A90*2000/2080</f>
        <v>0.96153846153846156</v>
      </c>
      <c r="L90">
        <f>A90*2000/8760</f>
        <v>0.22831050228310501</v>
      </c>
    </row>
    <row r="91" spans="1:12" x14ac:dyDescent="0.3">
      <c r="A91" s="217" t="s">
        <v>52</v>
      </c>
      <c r="B91" s="217"/>
      <c r="C91" s="217"/>
      <c r="D91" s="217"/>
      <c r="E91" s="217"/>
      <c r="F91" s="217"/>
      <c r="G91" s="217"/>
      <c r="H91" s="217"/>
    </row>
    <row r="92" spans="1:12" x14ac:dyDescent="0.3">
      <c r="A92" t="s">
        <v>15</v>
      </c>
    </row>
    <row r="93" spans="1:12" x14ac:dyDescent="0.3">
      <c r="A93">
        <v>100</v>
      </c>
      <c r="C93">
        <f>A93-(A93*0.03)</f>
        <v>97</v>
      </c>
      <c r="K93">
        <f>A93*2000/2080</f>
        <v>96.15384615384616</v>
      </c>
      <c r="L93">
        <f>A93*2000/8760</f>
        <v>22.831050228310502</v>
      </c>
    </row>
    <row r="94" spans="1:12" x14ac:dyDescent="0.3">
      <c r="A94">
        <v>25</v>
      </c>
      <c r="C94">
        <f>A94-(A94*0.03)</f>
        <v>24.25</v>
      </c>
      <c r="E94" s="123"/>
      <c r="F94" s="123"/>
      <c r="G94" s="123"/>
      <c r="H94" s="123"/>
      <c r="K94">
        <f>A94*2000/2080</f>
        <v>24.03846153846154</v>
      </c>
      <c r="L94">
        <f>A94*2000/8760</f>
        <v>5.7077625570776256</v>
      </c>
    </row>
    <row r="95" spans="1:12" x14ac:dyDescent="0.3">
      <c r="A95">
        <v>10</v>
      </c>
      <c r="C95">
        <f t="shared" ref="C95:C97" si="15">A95-(A95*0.03)</f>
        <v>9.6999999999999993</v>
      </c>
      <c r="E95" s="123"/>
      <c r="F95" s="123"/>
      <c r="G95" s="123"/>
      <c r="H95" s="123"/>
      <c r="K95">
        <f>A95*2000/2080</f>
        <v>9.615384615384615</v>
      </c>
      <c r="L95">
        <f>A95*2000/8760</f>
        <v>2.2831050228310503</v>
      </c>
    </row>
    <row r="96" spans="1:12" x14ac:dyDescent="0.3">
      <c r="A96">
        <v>5</v>
      </c>
      <c r="C96">
        <f t="shared" si="15"/>
        <v>4.8499999999999996</v>
      </c>
      <c r="E96" s="123"/>
      <c r="F96" s="123"/>
      <c r="G96" s="123"/>
      <c r="H96" s="123"/>
      <c r="K96">
        <f>A96*2000/2080</f>
        <v>4.8076923076923075</v>
      </c>
      <c r="L96">
        <f>A96*2000/8760</f>
        <v>1.1415525114155252</v>
      </c>
    </row>
    <row r="97" spans="1:12" x14ac:dyDescent="0.3">
      <c r="A97">
        <v>1</v>
      </c>
      <c r="C97">
        <f t="shared" si="15"/>
        <v>0.97</v>
      </c>
      <c r="E97" s="123"/>
      <c r="F97" s="123"/>
      <c r="G97" s="123"/>
      <c r="H97" s="123"/>
      <c r="K97">
        <f>A97*2000/2080</f>
        <v>0.96153846153846156</v>
      </c>
      <c r="L97">
        <f>A97*2000/8760</f>
        <v>0.22831050228310501</v>
      </c>
    </row>
    <row r="98" spans="1:12" x14ac:dyDescent="0.3">
      <c r="A98" t="s">
        <v>16</v>
      </c>
      <c r="E98" s="123"/>
      <c r="F98" s="123"/>
      <c r="G98" s="123"/>
      <c r="H98" s="123"/>
    </row>
    <row r="99" spans="1:12" x14ac:dyDescent="0.3">
      <c r="A99">
        <v>100</v>
      </c>
      <c r="C99">
        <f>A99-(A99*0.03)</f>
        <v>97</v>
      </c>
      <c r="E99" s="123"/>
      <c r="F99" s="123"/>
      <c r="G99" s="123"/>
      <c r="H99" s="123"/>
      <c r="K99">
        <f>A99*2000/2080</f>
        <v>96.15384615384616</v>
      </c>
      <c r="L99">
        <f>A99*2000/8760</f>
        <v>22.831050228310502</v>
      </c>
    </row>
    <row r="100" spans="1:12" x14ac:dyDescent="0.3">
      <c r="A100">
        <v>25</v>
      </c>
      <c r="C100">
        <f>A100-(A100*0.03)</f>
        <v>24.25</v>
      </c>
      <c r="E100" s="123"/>
      <c r="F100" s="123"/>
      <c r="G100" s="123"/>
      <c r="H100" s="123"/>
      <c r="K100">
        <f>A100*2000/2080</f>
        <v>24.03846153846154</v>
      </c>
      <c r="L100">
        <f>A100*2000/8760</f>
        <v>5.7077625570776256</v>
      </c>
    </row>
    <row r="101" spans="1:12" x14ac:dyDescent="0.3">
      <c r="A101">
        <v>10</v>
      </c>
      <c r="C101">
        <f t="shared" ref="C101:C103" si="16">A101-(A101*0.03)</f>
        <v>9.6999999999999993</v>
      </c>
      <c r="E101" s="123"/>
      <c r="F101" s="123"/>
      <c r="G101" s="123"/>
      <c r="H101" s="123"/>
      <c r="K101">
        <f>A101*2000/2080</f>
        <v>9.615384615384615</v>
      </c>
      <c r="L101">
        <f>A101*2000/8760</f>
        <v>2.2831050228310503</v>
      </c>
    </row>
    <row r="102" spans="1:12" x14ac:dyDescent="0.3">
      <c r="A102">
        <v>5</v>
      </c>
      <c r="C102">
        <f t="shared" si="16"/>
        <v>4.8499999999999996</v>
      </c>
      <c r="E102" s="123"/>
      <c r="F102" s="123"/>
      <c r="G102" s="123"/>
      <c r="H102" s="123"/>
      <c r="K102">
        <f>A102*2000/2080</f>
        <v>4.8076923076923075</v>
      </c>
      <c r="L102">
        <f>A102*2000/8760</f>
        <v>1.1415525114155252</v>
      </c>
    </row>
    <row r="103" spans="1:12" x14ac:dyDescent="0.3">
      <c r="A103">
        <v>1</v>
      </c>
      <c r="C103">
        <f t="shared" si="16"/>
        <v>0.97</v>
      </c>
      <c r="E103" s="123"/>
      <c r="F103" s="123"/>
      <c r="G103" s="123"/>
      <c r="H103" s="123"/>
      <c r="K103">
        <f>A103*2000/2080</f>
        <v>0.96153846153846156</v>
      </c>
      <c r="L103">
        <f>A103*2000/8760</f>
        <v>0.22831050228310501</v>
      </c>
    </row>
    <row r="104" spans="1:12" x14ac:dyDescent="0.3">
      <c r="A104" s="217" t="s">
        <v>53</v>
      </c>
      <c r="B104" s="217"/>
      <c r="C104" s="217"/>
      <c r="D104" s="217"/>
      <c r="E104" s="217"/>
      <c r="F104" s="217"/>
      <c r="G104" s="217"/>
      <c r="H104" s="217"/>
    </row>
    <row r="105" spans="1:12" x14ac:dyDescent="0.3">
      <c r="A105" t="s">
        <v>15</v>
      </c>
      <c r="E105" s="123"/>
      <c r="F105" s="123"/>
    </row>
    <row r="106" spans="1:12" x14ac:dyDescent="0.3">
      <c r="A106">
        <v>100</v>
      </c>
      <c r="C106">
        <f>A106-(A106*0.03)</f>
        <v>97</v>
      </c>
      <c r="E106" s="123"/>
      <c r="F106" s="123"/>
      <c r="K106">
        <f>A106*2000/2080</f>
        <v>96.15384615384616</v>
      </c>
      <c r="L106">
        <f>A106*2000/8760</f>
        <v>22.831050228310502</v>
      </c>
    </row>
    <row r="107" spans="1:12" x14ac:dyDescent="0.3">
      <c r="A107">
        <v>25</v>
      </c>
      <c r="C107">
        <f>A107-(A107*0.03)</f>
        <v>24.25</v>
      </c>
      <c r="E107" s="123"/>
      <c r="F107" s="123"/>
      <c r="G107" s="123"/>
      <c r="H107" s="123"/>
      <c r="K107">
        <f>A107*2000/2080</f>
        <v>24.03846153846154</v>
      </c>
      <c r="L107">
        <f>A107*2000/8760</f>
        <v>5.7077625570776256</v>
      </c>
    </row>
    <row r="108" spans="1:12" x14ac:dyDescent="0.3">
      <c r="A108">
        <v>10</v>
      </c>
      <c r="C108">
        <f t="shared" ref="C108:C110" si="17">A108-(A108*0.03)</f>
        <v>9.6999999999999993</v>
      </c>
      <c r="E108" s="123"/>
      <c r="F108" s="123"/>
      <c r="G108" s="123"/>
      <c r="H108" s="123"/>
      <c r="K108">
        <f>A108*2000/2080</f>
        <v>9.615384615384615</v>
      </c>
      <c r="L108">
        <f>A108*2000/8760</f>
        <v>2.2831050228310503</v>
      </c>
    </row>
    <row r="109" spans="1:12" x14ac:dyDescent="0.3">
      <c r="A109">
        <v>5</v>
      </c>
      <c r="C109">
        <f t="shared" si="17"/>
        <v>4.8499999999999996</v>
      </c>
      <c r="E109" s="123"/>
      <c r="F109" s="123"/>
      <c r="G109" s="123"/>
      <c r="H109" s="123"/>
      <c r="K109">
        <f>A109*2000/2080</f>
        <v>4.8076923076923075</v>
      </c>
      <c r="L109">
        <f>A109*2000/8760</f>
        <v>1.1415525114155252</v>
      </c>
    </row>
    <row r="110" spans="1:12" x14ac:dyDescent="0.3">
      <c r="A110">
        <v>1</v>
      </c>
      <c r="C110">
        <f t="shared" si="17"/>
        <v>0.97</v>
      </c>
      <c r="E110" s="123"/>
      <c r="F110" s="123"/>
      <c r="G110" s="123"/>
      <c r="H110" s="123"/>
      <c r="K110">
        <f>A110*2000/2080</f>
        <v>0.96153846153846156</v>
      </c>
      <c r="L110">
        <f>A110*2000/8760</f>
        <v>0.22831050228310501</v>
      </c>
    </row>
    <row r="111" spans="1:12" x14ac:dyDescent="0.3">
      <c r="A111" t="s">
        <v>16</v>
      </c>
      <c r="E111" s="123"/>
      <c r="F111" s="123"/>
      <c r="G111" s="123"/>
      <c r="H111" s="123"/>
    </row>
    <row r="112" spans="1:12" x14ac:dyDescent="0.3">
      <c r="A112">
        <v>100</v>
      </c>
      <c r="C112">
        <f>A112-(A112*0.03)</f>
        <v>97</v>
      </c>
      <c r="E112" s="123"/>
      <c r="F112" s="123"/>
      <c r="G112" s="123"/>
      <c r="H112" s="123"/>
      <c r="K112">
        <f>A112*2000/2080</f>
        <v>96.15384615384616</v>
      </c>
      <c r="L112">
        <f>A112*2000/8760</f>
        <v>22.831050228310502</v>
      </c>
    </row>
    <row r="113" spans="1:12" x14ac:dyDescent="0.3">
      <c r="A113">
        <v>25</v>
      </c>
      <c r="C113">
        <f>A113-(A113*0.03)</f>
        <v>24.25</v>
      </c>
      <c r="E113" s="123"/>
      <c r="F113" s="123"/>
      <c r="G113" s="123"/>
      <c r="H113" s="123"/>
      <c r="K113">
        <f>A113*2000/2080</f>
        <v>24.03846153846154</v>
      </c>
      <c r="L113">
        <f>A113*2000/8760</f>
        <v>5.7077625570776256</v>
      </c>
    </row>
    <row r="114" spans="1:12" x14ac:dyDescent="0.3">
      <c r="A114">
        <v>10</v>
      </c>
      <c r="C114">
        <f t="shared" ref="C114:C116" si="18">A114-(A114*0.03)</f>
        <v>9.6999999999999993</v>
      </c>
      <c r="E114" s="123"/>
      <c r="F114" s="123"/>
      <c r="G114" s="123"/>
      <c r="H114" s="123"/>
      <c r="K114">
        <f>A114*2000/2080</f>
        <v>9.615384615384615</v>
      </c>
      <c r="L114">
        <f>A114*2000/8760</f>
        <v>2.2831050228310503</v>
      </c>
    </row>
    <row r="115" spans="1:12" x14ac:dyDescent="0.3">
      <c r="A115">
        <v>5</v>
      </c>
      <c r="C115">
        <f t="shared" si="18"/>
        <v>4.8499999999999996</v>
      </c>
      <c r="E115" s="123"/>
      <c r="F115" s="123"/>
      <c r="G115" s="123"/>
      <c r="H115" s="123"/>
      <c r="K115">
        <f>A115*2000/2080</f>
        <v>4.8076923076923075</v>
      </c>
      <c r="L115">
        <f>A115*2000/8760</f>
        <v>1.1415525114155252</v>
      </c>
    </row>
    <row r="116" spans="1:12" x14ac:dyDescent="0.3">
      <c r="A116">
        <v>1</v>
      </c>
      <c r="C116">
        <f t="shared" si="18"/>
        <v>0.97</v>
      </c>
      <c r="E116" s="123"/>
      <c r="F116" s="123"/>
      <c r="G116" s="123"/>
      <c r="H116" s="123"/>
      <c r="K116">
        <f>A116*2000/2080</f>
        <v>0.96153846153846156</v>
      </c>
      <c r="L116">
        <f>A116*2000/8760</f>
        <v>0.22831050228310501</v>
      </c>
    </row>
    <row r="117" spans="1:12" x14ac:dyDescent="0.3">
      <c r="A117" s="217" t="s">
        <v>75</v>
      </c>
      <c r="B117" s="217"/>
      <c r="C117" s="217"/>
      <c r="D117" s="217"/>
      <c r="E117" s="217"/>
      <c r="F117" s="217"/>
      <c r="G117" s="217"/>
      <c r="H117" s="217"/>
    </row>
    <row r="118" spans="1:12" x14ac:dyDescent="0.3">
      <c r="A118" t="s">
        <v>15</v>
      </c>
      <c r="E118" s="123"/>
      <c r="F118" s="123"/>
    </row>
    <row r="119" spans="1:12" x14ac:dyDescent="0.3">
      <c r="A119">
        <v>100</v>
      </c>
      <c r="C119">
        <f>A119-(A119*0.03)</f>
        <v>97</v>
      </c>
      <c r="E119" s="123"/>
      <c r="F119" s="123"/>
      <c r="K119">
        <f>A119*2000/2080</f>
        <v>96.15384615384616</v>
      </c>
      <c r="L119">
        <f>A119*2000/8760</f>
        <v>22.831050228310502</v>
      </c>
    </row>
    <row r="120" spans="1:12" x14ac:dyDescent="0.3">
      <c r="A120">
        <v>25</v>
      </c>
      <c r="C120">
        <f>A120-(A120*0.03)</f>
        <v>24.25</v>
      </c>
      <c r="E120" s="124"/>
      <c r="F120" s="124"/>
      <c r="G120" s="124"/>
      <c r="H120" s="124"/>
      <c r="K120">
        <f>A120*2000/2080</f>
        <v>24.03846153846154</v>
      </c>
      <c r="L120">
        <f>A120*2000/8760</f>
        <v>5.7077625570776256</v>
      </c>
    </row>
    <row r="121" spans="1:12" x14ac:dyDescent="0.3">
      <c r="A121">
        <v>10</v>
      </c>
      <c r="C121">
        <f t="shared" ref="C121:C123" si="19">A121-(A121*0.03)</f>
        <v>9.6999999999999993</v>
      </c>
      <c r="E121" s="124"/>
      <c r="F121" s="124"/>
      <c r="G121" s="124"/>
      <c r="H121" s="124"/>
      <c r="K121">
        <f>A121*2000/2080</f>
        <v>9.615384615384615</v>
      </c>
      <c r="L121">
        <f>A121*2000/8760</f>
        <v>2.2831050228310503</v>
      </c>
    </row>
    <row r="122" spans="1:12" x14ac:dyDescent="0.3">
      <c r="A122">
        <v>5</v>
      </c>
      <c r="C122">
        <f t="shared" si="19"/>
        <v>4.8499999999999996</v>
      </c>
      <c r="E122" s="124"/>
      <c r="F122" s="124"/>
      <c r="G122" s="124"/>
      <c r="H122" s="124"/>
      <c r="K122">
        <f>A122*2000/2080</f>
        <v>4.8076923076923075</v>
      </c>
      <c r="L122">
        <f>A122*2000/8760</f>
        <v>1.1415525114155252</v>
      </c>
    </row>
    <row r="123" spans="1:12" x14ac:dyDescent="0.3">
      <c r="A123">
        <v>1</v>
      </c>
      <c r="C123">
        <f t="shared" si="19"/>
        <v>0.97</v>
      </c>
      <c r="E123" s="124"/>
      <c r="F123" s="124"/>
      <c r="G123" s="124"/>
      <c r="H123" s="124"/>
      <c r="K123">
        <f>A123*2000/2080</f>
        <v>0.96153846153846156</v>
      </c>
      <c r="L123">
        <f>A123*2000/8760</f>
        <v>0.22831050228310501</v>
      </c>
    </row>
    <row r="124" spans="1:12" x14ac:dyDescent="0.3">
      <c r="A124" t="s">
        <v>16</v>
      </c>
    </row>
    <row r="125" spans="1:12" x14ac:dyDescent="0.3">
      <c r="A125">
        <v>100</v>
      </c>
      <c r="C125">
        <f>A125-(A125*0.03)</f>
        <v>97</v>
      </c>
      <c r="K125">
        <f>A125*2000/2080</f>
        <v>96.15384615384616</v>
      </c>
      <c r="L125">
        <f>A125*2000/8760</f>
        <v>22.831050228310502</v>
      </c>
    </row>
    <row r="126" spans="1:12" x14ac:dyDescent="0.3">
      <c r="A126">
        <v>25</v>
      </c>
      <c r="C126">
        <f>A126-(A126*0.03)</f>
        <v>24.25</v>
      </c>
      <c r="E126" s="124"/>
      <c r="F126" s="124"/>
      <c r="G126" s="124"/>
      <c r="H126" s="124"/>
      <c r="K126">
        <f>A126*2000/2080</f>
        <v>24.03846153846154</v>
      </c>
      <c r="L126">
        <f>A126*2000/8760</f>
        <v>5.7077625570776256</v>
      </c>
    </row>
    <row r="127" spans="1:12" x14ac:dyDescent="0.3">
      <c r="A127">
        <v>10</v>
      </c>
      <c r="C127">
        <f t="shared" ref="C127:C129" si="20">A127-(A127*0.03)</f>
        <v>9.6999999999999993</v>
      </c>
      <c r="E127" s="124"/>
      <c r="F127" s="124"/>
      <c r="G127" s="124"/>
      <c r="H127" s="124"/>
      <c r="K127">
        <f>A127*2000/2080</f>
        <v>9.615384615384615</v>
      </c>
      <c r="L127">
        <f>A127*2000/8760</f>
        <v>2.2831050228310503</v>
      </c>
    </row>
    <row r="128" spans="1:12" x14ac:dyDescent="0.3">
      <c r="A128">
        <v>5</v>
      </c>
      <c r="C128">
        <f t="shared" si="20"/>
        <v>4.8499999999999996</v>
      </c>
      <c r="E128" s="124"/>
      <c r="F128" s="124"/>
      <c r="G128" s="124"/>
      <c r="H128" s="124"/>
      <c r="K128">
        <f>A128*2000/2080</f>
        <v>4.8076923076923075</v>
      </c>
      <c r="L128">
        <f>A128*2000/8760</f>
        <v>1.1415525114155252</v>
      </c>
    </row>
    <row r="129" spans="1:12" x14ac:dyDescent="0.3">
      <c r="A129">
        <v>1</v>
      </c>
      <c r="C129">
        <f t="shared" si="20"/>
        <v>0.97</v>
      </c>
      <c r="E129" s="124"/>
      <c r="F129" s="124"/>
      <c r="G129" s="124"/>
      <c r="H129" s="124"/>
      <c r="K129">
        <f>A129*2000/2080</f>
        <v>0.96153846153846156</v>
      </c>
      <c r="L129">
        <f>A129*2000/8760</f>
        <v>0.22831050228310501</v>
      </c>
    </row>
    <row r="130" spans="1:12" x14ac:dyDescent="0.3">
      <c r="A130" s="217" t="s">
        <v>76</v>
      </c>
      <c r="B130" s="217"/>
      <c r="C130" s="217"/>
      <c r="D130" s="217"/>
      <c r="E130" s="217"/>
      <c r="F130" s="217"/>
      <c r="G130" s="217"/>
      <c r="H130" s="217"/>
    </row>
    <row r="131" spans="1:12" x14ac:dyDescent="0.3">
      <c r="A131" t="s">
        <v>15</v>
      </c>
    </row>
    <row r="132" spans="1:12" x14ac:dyDescent="0.3">
      <c r="A132">
        <v>100</v>
      </c>
      <c r="C132">
        <f>A132-(A132*0.03)</f>
        <v>97</v>
      </c>
      <c r="K132">
        <f>A132*2000/2080</f>
        <v>96.15384615384616</v>
      </c>
      <c r="L132">
        <f>A132*2000/8760</f>
        <v>22.831050228310502</v>
      </c>
    </row>
    <row r="133" spans="1:12" x14ac:dyDescent="0.3">
      <c r="A133">
        <v>25</v>
      </c>
      <c r="C133">
        <f>A133-(A133*0.03)</f>
        <v>24.25</v>
      </c>
      <c r="E133" s="124"/>
      <c r="F133" s="124"/>
      <c r="G133" s="124"/>
      <c r="H133" s="124"/>
      <c r="K133">
        <f>A133*2000/2080</f>
        <v>24.03846153846154</v>
      </c>
      <c r="L133">
        <f>A133*2000/8760</f>
        <v>5.7077625570776256</v>
      </c>
    </row>
    <row r="134" spans="1:12" x14ac:dyDescent="0.3">
      <c r="A134">
        <v>10</v>
      </c>
      <c r="C134">
        <f t="shared" ref="C134:C136" si="21">A134-(A134*0.03)</f>
        <v>9.6999999999999993</v>
      </c>
      <c r="E134" s="124"/>
      <c r="F134" s="124"/>
      <c r="G134" s="124"/>
      <c r="H134" s="124"/>
      <c r="K134">
        <f>A134*2000/2080</f>
        <v>9.615384615384615</v>
      </c>
      <c r="L134">
        <f>A134*2000/8760</f>
        <v>2.2831050228310503</v>
      </c>
    </row>
    <row r="135" spans="1:12" x14ac:dyDescent="0.3">
      <c r="A135">
        <v>5</v>
      </c>
      <c r="C135">
        <f t="shared" si="21"/>
        <v>4.8499999999999996</v>
      </c>
      <c r="E135" s="124"/>
      <c r="F135" s="124"/>
      <c r="G135" s="124"/>
      <c r="H135" s="124"/>
      <c r="K135">
        <f>A135*2000/2080</f>
        <v>4.8076923076923075</v>
      </c>
      <c r="L135">
        <f>A135*2000/8760</f>
        <v>1.1415525114155252</v>
      </c>
    </row>
    <row r="136" spans="1:12" x14ac:dyDescent="0.3">
      <c r="A136">
        <v>1</v>
      </c>
      <c r="C136">
        <f t="shared" si="21"/>
        <v>0.97</v>
      </c>
      <c r="E136" s="124"/>
      <c r="F136" s="124"/>
      <c r="G136" s="124"/>
      <c r="H136" s="124"/>
      <c r="K136">
        <f>A136*2000/2080</f>
        <v>0.96153846153846156</v>
      </c>
      <c r="L136">
        <f>A136*2000/8760</f>
        <v>0.22831050228310501</v>
      </c>
    </row>
    <row r="137" spans="1:12" x14ac:dyDescent="0.3">
      <c r="A137" t="s">
        <v>16</v>
      </c>
    </row>
    <row r="138" spans="1:12" x14ac:dyDescent="0.3">
      <c r="A138">
        <v>100</v>
      </c>
      <c r="C138">
        <f>A138-(A138*0.03)</f>
        <v>97</v>
      </c>
      <c r="K138">
        <f>A138*2000/2080</f>
        <v>96.15384615384616</v>
      </c>
      <c r="L138">
        <f>A138*2000/8760</f>
        <v>22.831050228310502</v>
      </c>
    </row>
    <row r="139" spans="1:12" x14ac:dyDescent="0.3">
      <c r="A139">
        <v>25</v>
      </c>
      <c r="C139">
        <f>A139-(A139*0.03)</f>
        <v>24.25</v>
      </c>
      <c r="E139" s="124"/>
      <c r="F139" s="124"/>
      <c r="G139" s="124"/>
      <c r="H139" s="124"/>
      <c r="K139">
        <f>A139*2000/2080</f>
        <v>24.03846153846154</v>
      </c>
      <c r="L139">
        <f>A139*2000/8760</f>
        <v>5.7077625570776256</v>
      </c>
    </row>
    <row r="140" spans="1:12" x14ac:dyDescent="0.3">
      <c r="A140">
        <v>10</v>
      </c>
      <c r="C140">
        <f t="shared" ref="C140:C142" si="22">A140-(A140*0.03)</f>
        <v>9.6999999999999993</v>
      </c>
      <c r="E140" s="124"/>
      <c r="F140" s="124"/>
      <c r="G140" s="124"/>
      <c r="H140" s="124"/>
      <c r="K140">
        <f>A140*2000/2080</f>
        <v>9.615384615384615</v>
      </c>
      <c r="L140">
        <f>A140*2000/8760</f>
        <v>2.2831050228310503</v>
      </c>
    </row>
    <row r="141" spans="1:12" x14ac:dyDescent="0.3">
      <c r="A141">
        <v>5</v>
      </c>
      <c r="C141">
        <f t="shared" si="22"/>
        <v>4.8499999999999996</v>
      </c>
      <c r="E141" s="124"/>
      <c r="F141" s="124"/>
      <c r="G141" s="124"/>
      <c r="H141" s="124"/>
      <c r="K141">
        <f>A141*2000/2080</f>
        <v>4.8076923076923075</v>
      </c>
      <c r="L141">
        <f>A141*2000/8760</f>
        <v>1.1415525114155252</v>
      </c>
    </row>
    <row r="142" spans="1:12" x14ac:dyDescent="0.3">
      <c r="A142">
        <v>1</v>
      </c>
      <c r="C142">
        <f t="shared" si="22"/>
        <v>0.97</v>
      </c>
      <c r="K142">
        <f>A142*2000/2080</f>
        <v>0.96153846153846156</v>
      </c>
      <c r="L142">
        <f>A142*2000/8760</f>
        <v>0.22831050228310501</v>
      </c>
    </row>
  </sheetData>
  <mergeCells count="12">
    <mergeCell ref="E3:F3"/>
    <mergeCell ref="G3:H3"/>
    <mergeCell ref="A4:H4"/>
    <mergeCell ref="A20:H20"/>
    <mergeCell ref="A117:H117"/>
    <mergeCell ref="A130:H130"/>
    <mergeCell ref="A52:H52"/>
    <mergeCell ref="A39:H39"/>
    <mergeCell ref="A65:H65"/>
    <mergeCell ref="A78:H78"/>
    <mergeCell ref="A91:H91"/>
    <mergeCell ref="A104:H10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495FC-06F9-469D-A803-E7CDE61C72EA}">
  <dimension ref="A1:Q24"/>
  <sheetViews>
    <sheetView workbookViewId="0">
      <selection activeCell="L2" sqref="L2"/>
    </sheetView>
  </sheetViews>
  <sheetFormatPr defaultRowHeight="15" customHeight="1" x14ac:dyDescent="0.3"/>
  <cols>
    <col min="1" max="1" width="19.5546875" customWidth="1"/>
    <col min="2" max="2" width="10.44140625" customWidth="1"/>
    <col min="3" max="3" width="10" customWidth="1"/>
    <col min="5" max="5" width="10" customWidth="1"/>
    <col min="6" max="7" width="13.109375" customWidth="1"/>
    <col min="8" max="8" width="11.5546875" customWidth="1"/>
    <col min="9" max="9" width="10.88671875" customWidth="1"/>
    <col min="10" max="10" width="10.5546875" customWidth="1"/>
    <col min="13" max="13" width="11.5546875" customWidth="1"/>
    <col min="14" max="15" width="10.88671875" customWidth="1"/>
  </cols>
  <sheetData>
    <row r="1" spans="1:17" ht="57.6" x14ac:dyDescent="0.3">
      <c r="A1" s="9" t="s">
        <v>86</v>
      </c>
      <c r="B1" s="75" t="s">
        <v>87</v>
      </c>
      <c r="C1" s="75" t="s">
        <v>87</v>
      </c>
      <c r="D1" s="75" t="s">
        <v>88</v>
      </c>
      <c r="E1" s="75" t="s">
        <v>89</v>
      </c>
      <c r="F1" s="75" t="s">
        <v>90</v>
      </c>
      <c r="G1" s="75" t="s">
        <v>91</v>
      </c>
      <c r="H1" s="75" t="s">
        <v>92</v>
      </c>
      <c r="I1" s="75" t="s">
        <v>93</v>
      </c>
      <c r="L1" s="75" t="s">
        <v>94</v>
      </c>
      <c r="M1" s="75" t="s">
        <v>92</v>
      </c>
      <c r="N1" s="75" t="s">
        <v>93</v>
      </c>
    </row>
    <row r="2" spans="1:17" ht="14.4" x14ac:dyDescent="0.3">
      <c r="A2" s="9"/>
      <c r="B2" s="76" t="s">
        <v>95</v>
      </c>
      <c r="C2" s="76" t="s">
        <v>96</v>
      </c>
      <c r="D2" s="76" t="s">
        <v>97</v>
      </c>
      <c r="E2" s="76" t="s">
        <v>98</v>
      </c>
      <c r="F2" s="77" t="s">
        <v>99</v>
      </c>
      <c r="G2" s="77" t="s">
        <v>100</v>
      </c>
      <c r="H2" s="77" t="s">
        <v>101</v>
      </c>
      <c r="I2" s="77" t="s">
        <v>101</v>
      </c>
      <c r="L2" s="76" t="s">
        <v>97</v>
      </c>
      <c r="M2" s="91" t="s">
        <v>102</v>
      </c>
      <c r="N2" s="91" t="s">
        <v>102</v>
      </c>
    </row>
    <row r="3" spans="1:17" ht="14.4" x14ac:dyDescent="0.3">
      <c r="A3" t="s">
        <v>103</v>
      </c>
      <c r="B3">
        <v>0.2</v>
      </c>
      <c r="C3">
        <v>0.5</v>
      </c>
      <c r="D3">
        <v>10.199999999999999</v>
      </c>
      <c r="E3">
        <v>128.1705</v>
      </c>
      <c r="F3">
        <v>527.66999999999996</v>
      </c>
      <c r="G3">
        <v>5.55</v>
      </c>
      <c r="H3">
        <f>12.46*(B3*D3*E3/F3)</f>
        <v>6.1741032031383263</v>
      </c>
      <c r="I3">
        <f>12.46*(C3*D3*E3/F3)</f>
        <v>15.435258007845816</v>
      </c>
      <c r="L3">
        <v>13</v>
      </c>
      <c r="M3">
        <f>H3*5000/42</f>
        <v>735.01228608789597</v>
      </c>
      <c r="N3">
        <f t="shared" ref="N3:N10" si="0">I3*5000/42</f>
        <v>1837.5307152197399</v>
      </c>
    </row>
    <row r="4" spans="1:17" ht="14.4" x14ac:dyDescent="0.3">
      <c r="A4" t="s">
        <v>53</v>
      </c>
      <c r="B4">
        <v>0.2</v>
      </c>
      <c r="C4">
        <v>0.5</v>
      </c>
      <c r="D4">
        <v>8.0000000000000002E-3</v>
      </c>
      <c r="E4">
        <v>162</v>
      </c>
      <c r="F4">
        <v>527.66999999999996</v>
      </c>
      <c r="G4">
        <v>6.82</v>
      </c>
      <c r="H4">
        <f t="shared" ref="H4:H6" si="1">12.46*(B4*D4*E4/F4)</f>
        <v>6.1205526181135938E-3</v>
      </c>
      <c r="I4">
        <f t="shared" ref="I4:I7" si="2">12.46*(C4*D4*E4/F4)</f>
        <v>1.5301381545283987E-2</v>
      </c>
      <c r="L4">
        <v>9</v>
      </c>
      <c r="M4">
        <f t="shared" ref="M4:M10" si="3">H4*5000/42</f>
        <v>0.72863721644209445</v>
      </c>
      <c r="N4">
        <f t="shared" si="0"/>
        <v>1.8215930411052366</v>
      </c>
    </row>
    <row r="5" spans="1:17" ht="14.4" x14ac:dyDescent="0.3">
      <c r="A5" t="s">
        <v>104</v>
      </c>
      <c r="B5">
        <v>0.2</v>
      </c>
      <c r="C5">
        <v>0.5</v>
      </c>
      <c r="D5">
        <v>6.0000000000000001E-3</v>
      </c>
      <c r="E5">
        <v>188</v>
      </c>
      <c r="F5">
        <v>527.66999999999996</v>
      </c>
      <c r="G5">
        <v>7</v>
      </c>
      <c r="H5">
        <f t="shared" si="1"/>
        <v>5.3271476490988692E-3</v>
      </c>
      <c r="I5">
        <f t="shared" si="2"/>
        <v>1.3317869122747175E-2</v>
      </c>
      <c r="L5">
        <v>0.1</v>
      </c>
      <c r="M5">
        <f t="shared" si="3"/>
        <v>0.63418424394034156</v>
      </c>
      <c r="N5">
        <f t="shared" si="0"/>
        <v>1.5854606098508541</v>
      </c>
    </row>
    <row r="6" spans="1:17" ht="14.4" x14ac:dyDescent="0.3">
      <c r="A6" t="s">
        <v>105</v>
      </c>
      <c r="B6">
        <v>0.2</v>
      </c>
      <c r="C6">
        <v>0.5</v>
      </c>
      <c r="D6">
        <v>2E-3</v>
      </c>
      <c r="E6">
        <v>387</v>
      </c>
      <c r="F6">
        <v>527.66999999999996</v>
      </c>
      <c r="G6">
        <v>8.3000000000000007</v>
      </c>
      <c r="H6">
        <f t="shared" si="1"/>
        <v>3.6553300358178418E-3</v>
      </c>
      <c r="I6">
        <f t="shared" si="2"/>
        <v>9.1383250895446036E-3</v>
      </c>
      <c r="L6">
        <v>0.1</v>
      </c>
      <c r="M6">
        <f t="shared" si="3"/>
        <v>0.43515833759736211</v>
      </c>
      <c r="N6">
        <f t="shared" si="0"/>
        <v>1.0878958439934052</v>
      </c>
    </row>
    <row r="7" spans="1:17" ht="14.4" x14ac:dyDescent="0.3">
      <c r="A7" t="s">
        <v>68</v>
      </c>
      <c r="B7">
        <v>0.2</v>
      </c>
      <c r="C7">
        <v>0.5</v>
      </c>
      <c r="D7">
        <v>1.86</v>
      </c>
      <c r="E7">
        <v>78.111999999999995</v>
      </c>
      <c r="F7">
        <v>527.66999999999996</v>
      </c>
      <c r="G7">
        <v>7.29</v>
      </c>
      <c r="H7">
        <f>12.46*(B7*D7*E7/F7)</f>
        <v>0.6861456846892946</v>
      </c>
      <c r="I7">
        <f t="shared" si="2"/>
        <v>1.7153642117232364</v>
      </c>
      <c r="L7">
        <v>1.4</v>
      </c>
      <c r="M7">
        <f t="shared" si="3"/>
        <v>81.684010082058876</v>
      </c>
      <c r="N7">
        <f t="shared" si="0"/>
        <v>204.21002520514719</v>
      </c>
      <c r="P7">
        <f>H7/1000/$G7*10000</f>
        <v>0.94121493098668674</v>
      </c>
      <c r="Q7">
        <f>I7/1000/$G7*10000</f>
        <v>2.3530373274667165</v>
      </c>
    </row>
    <row r="8" spans="1:17" ht="14.4" x14ac:dyDescent="0.3">
      <c r="A8" t="s">
        <v>106</v>
      </c>
      <c r="B8">
        <v>0.2</v>
      </c>
      <c r="C8">
        <v>0.5</v>
      </c>
      <c r="D8">
        <v>0.55100000000000005</v>
      </c>
      <c r="E8">
        <v>92.141000000000005</v>
      </c>
      <c r="F8">
        <v>527.66999999999996</v>
      </c>
      <c r="G8">
        <v>7.2</v>
      </c>
      <c r="H8">
        <f t="shared" ref="H8:H10" si="4">12.46*(B8*D8*E8/F8)</f>
        <v>0.23976741139727492</v>
      </c>
      <c r="I8">
        <f t="shared" ref="I8:I10" si="5">12.46*(C8*D8*E8/F8)</f>
        <v>0.59941852849318722</v>
      </c>
      <c r="L8">
        <v>1.1000000000000001</v>
      </c>
      <c r="M8">
        <f t="shared" si="3"/>
        <v>28.543739452056538</v>
      </c>
      <c r="N8">
        <f t="shared" si="0"/>
        <v>71.359348630141341</v>
      </c>
      <c r="P8">
        <f>H8/1000/$G8*10000</f>
        <v>0.33301029360732626</v>
      </c>
      <c r="Q8">
        <f>I8/1000/$G8*10000</f>
        <v>0.83252573401831553</v>
      </c>
    </row>
    <row r="9" spans="1:17" ht="14.4" x14ac:dyDescent="0.3">
      <c r="A9" t="s">
        <v>85</v>
      </c>
      <c r="B9">
        <v>0.2</v>
      </c>
      <c r="C9">
        <v>0.5</v>
      </c>
      <c r="D9">
        <v>1.8560000000000001</v>
      </c>
      <c r="E9">
        <v>32.04</v>
      </c>
      <c r="F9">
        <v>527.66999999999996</v>
      </c>
      <c r="G9">
        <v>6.6</v>
      </c>
      <c r="H9">
        <f t="shared" si="4"/>
        <v>0.28083815657513223</v>
      </c>
      <c r="I9">
        <f t="shared" si="5"/>
        <v>0.70209539143783062</v>
      </c>
      <c r="L9">
        <v>1.8</v>
      </c>
      <c r="M9">
        <f t="shared" si="3"/>
        <v>33.433113877991936</v>
      </c>
      <c r="N9">
        <f t="shared" si="0"/>
        <v>83.582784694979836</v>
      </c>
      <c r="P9">
        <f>H9/1000/$G9*10000</f>
        <v>0.42551235844717011</v>
      </c>
      <c r="Q9">
        <f t="shared" ref="Q9:Q10" si="6">I9/1000/$G9*10000</f>
        <v>1.0637808961179254</v>
      </c>
    </row>
    <row r="10" spans="1:17" ht="14.4" x14ac:dyDescent="0.3">
      <c r="A10" t="s">
        <v>107</v>
      </c>
      <c r="B10">
        <v>0.2</v>
      </c>
      <c r="C10">
        <v>0.5</v>
      </c>
      <c r="D10">
        <v>1.0200000000000001E-3</v>
      </c>
      <c r="E10">
        <v>62.1</v>
      </c>
      <c r="F10">
        <v>527.66999999999996</v>
      </c>
      <c r="G10">
        <v>9.15</v>
      </c>
      <c r="H10">
        <f t="shared" si="4"/>
        <v>2.9914200921030197E-4</v>
      </c>
      <c r="I10">
        <f t="shared" si="5"/>
        <v>7.4785502302575498E-4</v>
      </c>
      <c r="L10">
        <v>0.01</v>
      </c>
      <c r="M10">
        <f t="shared" si="3"/>
        <v>3.5612143953607379E-2</v>
      </c>
      <c r="N10">
        <f t="shared" si="0"/>
        <v>8.9030359884018459E-2</v>
      </c>
      <c r="P10">
        <f>H10/1000/$G10*10000</f>
        <v>3.2693115760688737E-4</v>
      </c>
      <c r="Q10">
        <f t="shared" si="6"/>
        <v>8.1732789401721851E-4</v>
      </c>
    </row>
    <row r="13" spans="1:17" ht="14.4" x14ac:dyDescent="0.3">
      <c r="M13" t="s">
        <v>108</v>
      </c>
    </row>
    <row r="14" spans="1:17" ht="72" x14ac:dyDescent="0.3">
      <c r="B14" s="75" t="s">
        <v>88</v>
      </c>
      <c r="C14" s="75" t="s">
        <v>89</v>
      </c>
      <c r="D14" s="75" t="s">
        <v>90</v>
      </c>
      <c r="E14" s="75" t="s">
        <v>109</v>
      </c>
      <c r="F14" s="75" t="s">
        <v>110</v>
      </c>
      <c r="G14" s="75" t="s">
        <v>91</v>
      </c>
      <c r="H14" s="75" t="s">
        <v>111</v>
      </c>
      <c r="I14" s="75" t="s">
        <v>112</v>
      </c>
      <c r="J14" s="75" t="s">
        <v>113</v>
      </c>
    </row>
    <row r="15" spans="1:17" ht="14.4" x14ac:dyDescent="0.3">
      <c r="B15" s="76" t="s">
        <v>97</v>
      </c>
      <c r="C15" s="76" t="s">
        <v>98</v>
      </c>
      <c r="D15" s="77" t="s">
        <v>99</v>
      </c>
      <c r="E15" s="76"/>
      <c r="F15" s="76"/>
      <c r="G15" s="76" t="s">
        <v>100</v>
      </c>
      <c r="H15" s="76" t="s">
        <v>101</v>
      </c>
      <c r="I15" s="76" t="s">
        <v>101</v>
      </c>
      <c r="J15" s="76" t="s">
        <v>101</v>
      </c>
    </row>
    <row r="16" spans="1:17" ht="14.4" x14ac:dyDescent="0.3">
      <c r="A16" t="s">
        <v>114</v>
      </c>
      <c r="B16">
        <f>'Fuel Composition'!C52</f>
        <v>5.7618271161321388</v>
      </c>
      <c r="C16">
        <v>207</v>
      </c>
      <c r="D16">
        <v>527.66999999999996</v>
      </c>
      <c r="E16">
        <v>1.02</v>
      </c>
      <c r="F16">
        <f>1.84*(0.44*B16-0.42)*(C16*E16/D16)</f>
        <v>1.5573211490935497</v>
      </c>
      <c r="G16">
        <v>7.21</v>
      </c>
      <c r="H16">
        <v>0.86</v>
      </c>
      <c r="I16">
        <v>0.46</v>
      </c>
      <c r="J16">
        <v>0.33</v>
      </c>
    </row>
    <row r="17" spans="1:15" ht="57.6" x14ac:dyDescent="0.3">
      <c r="H17" s="75" t="s">
        <v>115</v>
      </c>
      <c r="I17" s="75" t="s">
        <v>116</v>
      </c>
      <c r="J17" s="75" t="s">
        <v>117</v>
      </c>
      <c r="M17" s="75" t="s">
        <v>115</v>
      </c>
      <c r="N17" s="75" t="s">
        <v>116</v>
      </c>
      <c r="O17" s="75" t="s">
        <v>117</v>
      </c>
    </row>
    <row r="18" spans="1:15" ht="14.4" x14ac:dyDescent="0.3">
      <c r="H18" s="76" t="s">
        <v>101</v>
      </c>
      <c r="I18" s="76" t="s">
        <v>101</v>
      </c>
      <c r="J18" s="76" t="s">
        <v>101</v>
      </c>
      <c r="M18" s="91" t="s">
        <v>102</v>
      </c>
      <c r="N18" s="91" t="s">
        <v>102</v>
      </c>
      <c r="O18" s="91" t="s">
        <v>102</v>
      </c>
    </row>
    <row r="19" spans="1:15" ht="14.4" x14ac:dyDescent="0.3">
      <c r="H19">
        <f>$F$16+H16</f>
        <v>2.4173211490935498</v>
      </c>
      <c r="I19">
        <f t="shared" ref="I19:J19" si="7">$F$16+I16</f>
        <v>2.0173211490935499</v>
      </c>
      <c r="J19">
        <f t="shared" si="7"/>
        <v>1.8873211490935498</v>
      </c>
      <c r="L19">
        <v>5</v>
      </c>
      <c r="M19">
        <f>H19*5000/42</f>
        <v>287.7763272730416</v>
      </c>
      <c r="N19">
        <f t="shared" ref="N19:O19" si="8">I19*5000/42</f>
        <v>240.15727965399407</v>
      </c>
      <c r="O19">
        <f t="shared" si="8"/>
        <v>224.68108917780353</v>
      </c>
    </row>
    <row r="22" spans="1:15" ht="43.2" x14ac:dyDescent="0.3">
      <c r="B22" s="75" t="s">
        <v>92</v>
      </c>
      <c r="C22" s="75" t="s">
        <v>93</v>
      </c>
      <c r="D22" t="s">
        <v>91</v>
      </c>
      <c r="M22" s="75" t="s">
        <v>92</v>
      </c>
      <c r="N22" s="75" t="s">
        <v>93</v>
      </c>
    </row>
    <row r="23" spans="1:15" ht="14.4" x14ac:dyDescent="0.3">
      <c r="B23" s="77" t="s">
        <v>101</v>
      </c>
      <c r="C23" s="77" t="s">
        <v>101</v>
      </c>
      <c r="D23" s="91" t="s">
        <v>100</v>
      </c>
      <c r="M23" s="91" t="s">
        <v>102</v>
      </c>
      <c r="N23" s="91" t="s">
        <v>102</v>
      </c>
    </row>
    <row r="24" spans="1:15" ht="14.4" x14ac:dyDescent="0.3">
      <c r="A24" t="s">
        <v>118</v>
      </c>
      <c r="B24">
        <v>1.8</v>
      </c>
      <c r="C24">
        <v>3.4</v>
      </c>
      <c r="D24">
        <v>6.26</v>
      </c>
      <c r="L24">
        <v>6</v>
      </c>
      <c r="M24">
        <f>B24*5000/42</f>
        <v>214.28571428571428</v>
      </c>
      <c r="N24">
        <f>C24*5000/42</f>
        <v>404.76190476190476</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64018-6EA2-404A-BE4E-807EE382884F}">
  <dimension ref="A2:Z185"/>
  <sheetViews>
    <sheetView topLeftCell="A12" workbookViewId="0">
      <selection activeCell="O28" sqref="O28"/>
    </sheetView>
  </sheetViews>
  <sheetFormatPr defaultRowHeight="14.4" x14ac:dyDescent="0.3"/>
  <cols>
    <col min="1" max="1" width="39.88671875" customWidth="1"/>
    <col min="5" max="5" width="11.88671875" bestFit="1" customWidth="1"/>
    <col min="10" max="10" width="9.5546875" customWidth="1"/>
    <col min="11" max="11" width="12.109375" customWidth="1"/>
    <col min="20" max="20" width="10.33203125" customWidth="1"/>
    <col min="21" max="21" width="9.6640625" customWidth="1"/>
    <col min="23" max="23" width="10" bestFit="1" customWidth="1"/>
  </cols>
  <sheetData>
    <row r="2" spans="1:25" x14ac:dyDescent="0.3">
      <c r="A2" s="20" t="s">
        <v>119</v>
      </c>
    </row>
    <row r="3" spans="1:25" x14ac:dyDescent="0.3">
      <c r="D3" t="s">
        <v>120</v>
      </c>
      <c r="E3" s="177" t="s">
        <v>121</v>
      </c>
      <c r="F3" s="177" t="s">
        <v>122</v>
      </c>
      <c r="H3" s="177" t="s">
        <v>123</v>
      </c>
      <c r="I3" s="177"/>
      <c r="J3" s="177" t="s">
        <v>124</v>
      </c>
      <c r="L3" s="21"/>
      <c r="M3" s="21"/>
      <c r="O3" s="22" t="s">
        <v>125</v>
      </c>
    </row>
    <row r="4" spans="1:25" ht="57.6" x14ac:dyDescent="0.3">
      <c r="A4" s="23"/>
      <c r="B4" s="24" t="s">
        <v>126</v>
      </c>
      <c r="C4" s="24" t="s">
        <v>127</v>
      </c>
      <c r="D4" s="25" t="s">
        <v>128</v>
      </c>
      <c r="E4" s="25" t="s">
        <v>129</v>
      </c>
      <c r="F4" s="25" t="s">
        <v>130</v>
      </c>
      <c r="G4" s="26" t="s">
        <v>131</v>
      </c>
      <c r="H4" s="25" t="s">
        <v>132</v>
      </c>
      <c r="I4" s="25" t="s">
        <v>133</v>
      </c>
      <c r="J4" s="27" t="s">
        <v>134</v>
      </c>
      <c r="K4" s="28"/>
      <c r="L4" s="29" t="s">
        <v>135</v>
      </c>
      <c r="M4" s="30">
        <v>68</v>
      </c>
      <c r="N4" s="31" t="s">
        <v>136</v>
      </c>
      <c r="O4" s="32" t="s">
        <v>137</v>
      </c>
      <c r="P4" s="25" t="s">
        <v>138</v>
      </c>
      <c r="Q4" s="32" t="s">
        <v>139</v>
      </c>
      <c r="T4" t="s">
        <v>140</v>
      </c>
      <c r="U4" t="s">
        <v>15</v>
      </c>
    </row>
    <row r="5" spans="1:25" x14ac:dyDescent="0.3">
      <c r="A5" s="33"/>
      <c r="B5" s="34"/>
      <c r="C5" s="35"/>
      <c r="D5" s="36"/>
      <c r="E5" s="37"/>
      <c r="F5" s="37"/>
      <c r="G5" s="37"/>
      <c r="H5" s="37"/>
      <c r="I5" s="37"/>
      <c r="J5" s="37"/>
      <c r="K5" s="38"/>
      <c r="L5" s="39"/>
      <c r="M5" s="40">
        <f>(M4-32)/1.8</f>
        <v>20</v>
      </c>
      <c r="N5" t="s">
        <v>139</v>
      </c>
      <c r="O5" s="39"/>
      <c r="P5" s="39"/>
      <c r="Q5" s="39"/>
      <c r="T5" t="s">
        <v>141</v>
      </c>
      <c r="U5" t="s">
        <v>141</v>
      </c>
    </row>
    <row r="6" spans="1:25" x14ac:dyDescent="0.3">
      <c r="A6" t="s">
        <v>68</v>
      </c>
      <c r="B6" s="41">
        <v>78.11</v>
      </c>
      <c r="C6" s="42">
        <f>10^(O6-(P6/($M$5+Q6)))*(14.696/760)</f>
        <v>1.4541857267658553</v>
      </c>
      <c r="D6" s="43">
        <v>1.6080000000000001</v>
      </c>
      <c r="E6" s="44">
        <f>D6/100/$B6</f>
        <v>2.0586352579695302E-4</v>
      </c>
      <c r="F6" s="44">
        <f>E6/E$25</f>
        <v>1.731260836501285E-2</v>
      </c>
      <c r="G6" s="44">
        <f>C6*F6</f>
        <v>2.5175747977488838E-2</v>
      </c>
      <c r="H6" s="44">
        <f>F6*$C6/$G$25</f>
        <v>6.7202473448278489E-3</v>
      </c>
      <c r="I6" s="44">
        <f>H6*B6</f>
        <v>0.52491852010450324</v>
      </c>
      <c r="J6" s="45">
        <f>(H6*$B6)/$I$25*100</f>
        <v>0.79672595669538127</v>
      </c>
      <c r="K6" s="40"/>
      <c r="O6">
        <v>6.9056499999999996</v>
      </c>
      <c r="P6">
        <v>1211.0329999999999</v>
      </c>
      <c r="Q6">
        <v>220.79</v>
      </c>
      <c r="S6" s="46"/>
      <c r="T6" s="46">
        <f>'Loading Loss'!$B$24/1000/'Loading Loss'!$D$24*'Fuel Composition'!J6*10000</f>
        <v>2.290905306791831</v>
      </c>
      <c r="U6" s="46">
        <f>'Loading Loss'!$C$24/1000/'Loading Loss'!$D$24*'Fuel Composition'!J6*10000</f>
        <v>4.3272655794956805</v>
      </c>
    </row>
    <row r="7" spans="1:25" x14ac:dyDescent="0.3">
      <c r="A7" t="s">
        <v>142</v>
      </c>
      <c r="B7" s="41">
        <v>86.18</v>
      </c>
      <c r="C7" s="42">
        <f t="shared" ref="C7:C13" si="0">10^(O7-(P7/($M$5+Q7)))*(14.696/760)</f>
        <v>2.3473094072581069</v>
      </c>
      <c r="D7" s="47">
        <v>1</v>
      </c>
      <c r="E7" s="44">
        <f>D7/100/$B7</f>
        <v>1.1603620329542817E-4</v>
      </c>
      <c r="F7" s="44">
        <f t="shared" ref="F7:F23" si="1">E7/E$25</f>
        <v>9.7583548908909967E-3</v>
      </c>
      <c r="G7" s="44">
        <f>C7*F7</f>
        <v>2.2905878234751594E-2</v>
      </c>
      <c r="H7" s="44">
        <f t="shared" ref="H7:H23" si="2">F7*$C7/$G$25</f>
        <v>6.1143433563793379E-3</v>
      </c>
      <c r="I7" s="44">
        <f t="shared" ref="I7:I23" si="3">H7*B7</f>
        <v>0.52693411045277139</v>
      </c>
      <c r="J7" s="45">
        <f t="shared" ref="J7:J23" si="4">(H7*$B7)/$I$25*100</f>
        <v>0.79978523749235186</v>
      </c>
      <c r="K7" s="40"/>
      <c r="O7">
        <v>6.87601</v>
      </c>
      <c r="P7">
        <v>1171.17</v>
      </c>
      <c r="Q7">
        <v>224.41</v>
      </c>
      <c r="S7" s="46"/>
      <c r="T7" s="46">
        <f>'Loading Loss'!$B$24/1000/'Loading Loss'!$D$24*'Fuel Composition'!J7*10000</f>
        <v>2.2997019608406286</v>
      </c>
      <c r="U7" s="46">
        <f>'Loading Loss'!$C$24/1000/'Loading Loss'!$D$24*'Fuel Composition'!J7*10000</f>
        <v>4.3438814815878537</v>
      </c>
    </row>
    <row r="8" spans="1:25" x14ac:dyDescent="0.3">
      <c r="A8" t="s">
        <v>70</v>
      </c>
      <c r="B8" s="41">
        <v>92.14</v>
      </c>
      <c r="C8" s="42">
        <f t="shared" si="0"/>
        <v>0.4222068746271907</v>
      </c>
      <c r="D8" s="48">
        <v>7.2119999999999997</v>
      </c>
      <c r="E8" s="44">
        <f>D8/100/$B8</f>
        <v>7.8272194486650752E-4</v>
      </c>
      <c r="F8" s="44">
        <f t="shared" si="1"/>
        <v>6.582496067584398E-2</v>
      </c>
      <c r="G8" s="44">
        <f>C8*F8</f>
        <v>2.7791750919405816E-2</v>
      </c>
      <c r="H8" s="44">
        <f t="shared" si="2"/>
        <v>7.4185458359073957E-3</v>
      </c>
      <c r="I8" s="44">
        <f t="shared" si="3"/>
        <v>0.68354481332050743</v>
      </c>
      <c r="J8" s="45">
        <f t="shared" si="4"/>
        <v>1.0374903427460056</v>
      </c>
      <c r="K8" s="40"/>
      <c r="O8">
        <v>6.9546400000000004</v>
      </c>
      <c r="P8">
        <v>1344.8</v>
      </c>
      <c r="Q8">
        <v>219.48</v>
      </c>
      <c r="S8" s="46"/>
      <c r="T8" s="46">
        <f>'Loading Loss'!$B$24/1000/'Loading Loss'!$D$24*'Fuel Composition'!J8*10000</f>
        <v>2.9831990685987382</v>
      </c>
      <c r="U8" s="46">
        <f>'Loading Loss'!$C$24/1000/'Loading Loss'!$D$24*'Fuel Composition'!J8*10000</f>
        <v>5.6349315740198378</v>
      </c>
    </row>
    <row r="9" spans="1:25" x14ac:dyDescent="0.3">
      <c r="A9" t="s">
        <v>143</v>
      </c>
      <c r="B9" s="41">
        <v>106.14</v>
      </c>
      <c r="C9" s="42">
        <f t="shared" si="0"/>
        <v>0.12596357432098818</v>
      </c>
      <c r="D9" s="47">
        <v>7.17</v>
      </c>
      <c r="E9" s="44">
        <f>D9/100/$B9</f>
        <v>6.7552289429055959E-4</v>
      </c>
      <c r="F9" s="44">
        <f t="shared" si="1"/>
        <v>5.6809788257427836E-2</v>
      </c>
      <c r="G9" s="44">
        <f>C9*F9</f>
        <v>7.1559639853241127E-3</v>
      </c>
      <c r="H9" s="44">
        <f t="shared" si="2"/>
        <v>1.9101656091830173E-3</v>
      </c>
      <c r="I9" s="44">
        <f t="shared" si="3"/>
        <v>0.20274497775868547</v>
      </c>
      <c r="J9" s="45">
        <f t="shared" si="4"/>
        <v>0.30772811433251379</v>
      </c>
      <c r="K9" s="40"/>
      <c r="O9">
        <v>6.9905200000000001</v>
      </c>
      <c r="P9">
        <v>1453.43</v>
      </c>
      <c r="Q9">
        <v>215.31</v>
      </c>
      <c r="S9" s="46"/>
      <c r="T9" s="46">
        <f>'Loading Loss'!$B$24/1000/'Loading Loss'!$D$24*'Fuel Composition'!J9*10000</f>
        <v>0.88484122332032711</v>
      </c>
      <c r="U9" s="46">
        <f>'Loading Loss'!$C$24/1000/'Loading Loss'!$D$24*'Fuel Composition'!J9*10000</f>
        <v>1.6713667551606177</v>
      </c>
    </row>
    <row r="10" spans="1:25" x14ac:dyDescent="0.3">
      <c r="A10" t="s">
        <v>144</v>
      </c>
      <c r="B10" s="41">
        <v>106.17</v>
      </c>
      <c r="C10" s="42">
        <f t="shared" si="0"/>
        <v>0.13689811593257009</v>
      </c>
      <c r="D10" s="47">
        <v>1.605</v>
      </c>
      <c r="E10" s="44">
        <f t="shared" ref="E10:E23" si="5">D10/100/$B10</f>
        <v>1.511726476405764E-4</v>
      </c>
      <c r="F10" s="44">
        <f t="shared" si="1"/>
        <v>1.2713242105280799E-2</v>
      </c>
      <c r="G10" s="44">
        <f t="shared" ref="G10:G23" si="6">C10*F10</f>
        <v>1.7404188916075624E-3</v>
      </c>
      <c r="H10" s="44">
        <f t="shared" si="2"/>
        <v>4.6457588651078378E-4</v>
      </c>
      <c r="I10" s="44">
        <f t="shared" si="3"/>
        <v>4.9324021870849916E-2</v>
      </c>
      <c r="J10" s="45">
        <f t="shared" si="4"/>
        <v>7.4864435160895526E-2</v>
      </c>
      <c r="K10" s="40"/>
      <c r="O10">
        <v>6.9571899999999998</v>
      </c>
      <c r="P10">
        <v>1424.2550000000001</v>
      </c>
      <c r="Q10">
        <v>213.21</v>
      </c>
      <c r="S10" s="46"/>
      <c r="T10" s="46">
        <f>'Loading Loss'!$B$24/1000/'Loading Loss'!$D$24*'Fuel Composition'!J10*10000</f>
        <v>0.21526514902493923</v>
      </c>
      <c r="U10" s="46">
        <f>'Loading Loss'!$C$24/1000/'Loading Loss'!$D$24*'Fuel Composition'!J10*10000</f>
        <v>0.40661194815821849</v>
      </c>
    </row>
    <row r="11" spans="1:25" x14ac:dyDescent="0.3">
      <c r="A11" t="s">
        <v>145</v>
      </c>
      <c r="B11" s="41">
        <v>114.23</v>
      </c>
      <c r="C11" s="42">
        <f t="shared" si="0"/>
        <v>0.74711185591078177</v>
      </c>
      <c r="D11" s="47">
        <v>1.0980000000000001</v>
      </c>
      <c r="E11" s="44">
        <f>D11/100/$B11</f>
        <v>9.6121859406460652E-5</v>
      </c>
      <c r="F11" s="44">
        <f t="shared" si="1"/>
        <v>8.0836083069044107E-3</v>
      </c>
      <c r="G11" s="44">
        <f>C11*F11</f>
        <v>6.0393596046271663E-3</v>
      </c>
      <c r="H11" s="44">
        <f t="shared" si="2"/>
        <v>1.6121066346766212E-3</v>
      </c>
      <c r="I11" s="44">
        <f t="shared" si="3"/>
        <v>0.18415094087911046</v>
      </c>
      <c r="J11" s="45">
        <f t="shared" si="4"/>
        <v>0.27950592126003598</v>
      </c>
      <c r="K11" s="40"/>
      <c r="O11">
        <v>6.81189</v>
      </c>
      <c r="P11">
        <v>1257.8399999999999</v>
      </c>
      <c r="Q11">
        <v>220.74</v>
      </c>
      <c r="S11" s="46"/>
      <c r="T11" s="46">
        <f>'Loading Loss'!$B$24/1000/'Loading Loss'!$D$24*'Fuel Composition'!J11*10000</f>
        <v>0.80369114739307468</v>
      </c>
      <c r="U11" s="46">
        <f>'Loading Loss'!$C$24/1000/'Loading Loss'!$D$24*'Fuel Composition'!J11*10000</f>
        <v>1.5180832784091411</v>
      </c>
    </row>
    <row r="12" spans="1:25" x14ac:dyDescent="0.3">
      <c r="A12" t="s">
        <v>146</v>
      </c>
      <c r="B12" s="41">
        <v>120.19</v>
      </c>
      <c r="C12" s="42">
        <f t="shared" si="0"/>
        <v>6.4546181908846353E-2</v>
      </c>
      <c r="D12" s="47">
        <v>0.19</v>
      </c>
      <c r="E12" s="44">
        <f>D12/100/$B12</f>
        <v>1.5808303519427573E-5</v>
      </c>
      <c r="F12" s="44">
        <f t="shared" si="1"/>
        <v>1.3294388439506397E-3</v>
      </c>
      <c r="G12" s="44">
        <f>C12*F12</f>
        <v>8.5810201458324395E-5</v>
      </c>
      <c r="H12" s="44">
        <f t="shared" si="2"/>
        <v>2.2905606579199916E-5</v>
      </c>
      <c r="I12" s="44">
        <f t="shared" si="3"/>
        <v>2.7530248547540377E-3</v>
      </c>
      <c r="J12" s="49">
        <f t="shared" si="4"/>
        <v>4.1785653910123054E-3</v>
      </c>
      <c r="K12" s="40"/>
      <c r="O12">
        <v>6.9366599999999998</v>
      </c>
      <c r="P12">
        <v>1460.7929999999999</v>
      </c>
      <c r="Q12">
        <v>207.78</v>
      </c>
      <c r="S12" s="50"/>
      <c r="T12" s="46">
        <f>'Loading Loss'!$B$24/1000/'Loading Loss'!$D$24*'Fuel Composition'!J12*10000</f>
        <v>1.2015044255306948E-2</v>
      </c>
      <c r="U12" s="46">
        <f>'Loading Loss'!$C$24/1000/'Loading Loss'!$D$24*'Fuel Composition'!J12*10000</f>
        <v>2.2695083593357566E-2</v>
      </c>
    </row>
    <row r="13" spans="1:25" x14ac:dyDescent="0.3">
      <c r="A13" s="23" t="s">
        <v>147</v>
      </c>
      <c r="B13" s="51">
        <v>128.16999999999999</v>
      </c>
      <c r="C13" s="52">
        <f t="shared" si="0"/>
        <v>3.4923466305314911E-3</v>
      </c>
      <c r="D13" s="53">
        <v>0.44400000000000001</v>
      </c>
      <c r="E13" s="54">
        <f>D13/100/$B13</f>
        <v>3.4641491768744645E-5</v>
      </c>
      <c r="F13" s="54">
        <f t="shared" si="1"/>
        <v>2.9132629388832175E-3</v>
      </c>
      <c r="G13" s="54">
        <f>C13*F13</f>
        <v>1.0174124008461073E-5</v>
      </c>
      <c r="H13" s="54">
        <f t="shared" si="2"/>
        <v>2.7158132467383259E-6</v>
      </c>
      <c r="I13" s="54">
        <f t="shared" si="3"/>
        <v>3.4808578383445122E-4</v>
      </c>
      <c r="J13" s="55">
        <f t="shared" si="4"/>
        <v>5.2832767089710023E-4</v>
      </c>
      <c r="K13" s="40"/>
      <c r="L13" s="23"/>
      <c r="M13" s="23"/>
      <c r="N13" s="23"/>
      <c r="O13" s="23">
        <v>7.37</v>
      </c>
      <c r="P13" s="23">
        <v>1968.36</v>
      </c>
      <c r="Q13" s="23">
        <v>222.61</v>
      </c>
      <c r="S13" s="50"/>
      <c r="T13" s="46">
        <f>'Loading Loss'!$B$24/1000/'Loading Loss'!$D$24*'Fuel Composition'!J13*10000</f>
        <v>1.519153047307956E-3</v>
      </c>
      <c r="U13" s="46">
        <f>'Loading Loss'!$C$24/1000/'Loading Loss'!$D$24*'Fuel Composition'!J13*10000</f>
        <v>2.869511311581694E-3</v>
      </c>
    </row>
    <row r="14" spans="1:25" x14ac:dyDescent="0.3">
      <c r="A14" t="s">
        <v>148</v>
      </c>
      <c r="B14" s="41">
        <v>46.07</v>
      </c>
      <c r="C14" s="42">
        <v>0.89668794965618259</v>
      </c>
      <c r="D14" s="47">
        <v>8</v>
      </c>
      <c r="E14" s="44">
        <f>D14/100/$B14</f>
        <v>1.7364879531148252E-3</v>
      </c>
      <c r="F14" s="44">
        <f t="shared" si="1"/>
        <v>0.14603429989094616</v>
      </c>
      <c r="G14" s="44">
        <f>C14*F14</f>
        <v>0.13094719694868859</v>
      </c>
      <c r="H14" s="44">
        <f t="shared" si="2"/>
        <v>3.4954177067308308E-2</v>
      </c>
      <c r="I14" s="44">
        <f t="shared" si="3"/>
        <v>1.6103389374908939</v>
      </c>
      <c r="J14" s="49">
        <f t="shared" si="4"/>
        <v>2.4441866336147386</v>
      </c>
      <c r="K14" s="40"/>
      <c r="O14">
        <v>8.2109000000000005</v>
      </c>
      <c r="P14">
        <v>1718.1</v>
      </c>
      <c r="Q14">
        <v>237.52</v>
      </c>
      <c r="S14" s="50"/>
      <c r="T14" s="46">
        <f>'Loading Loss'!$B$24/1000/'Loading Loss'!$D$24*'Fuel Composition'!J14*10000</f>
        <v>7.0280126845152227</v>
      </c>
      <c r="U14" s="46">
        <f>'Loading Loss'!$C$24/1000/'Loading Loss'!$D$24*'Fuel Composition'!J14*10000</f>
        <v>13.275135070750975</v>
      </c>
      <c r="Y14" s="56"/>
    </row>
    <row r="15" spans="1:25" x14ac:dyDescent="0.3">
      <c r="A15" t="s">
        <v>149</v>
      </c>
      <c r="B15" s="41">
        <v>58.12</v>
      </c>
      <c r="C15" s="42">
        <f t="shared" ref="C15:C23" si="7">10^(O15-(P15/($M$5+Q15)))*(14.696/760)</f>
        <v>30.07569864234873</v>
      </c>
      <c r="D15" s="47">
        <v>4.7</v>
      </c>
      <c r="E15" s="44">
        <f t="shared" si="5"/>
        <v>8.0867171369580185E-4</v>
      </c>
      <c r="F15" s="44">
        <f t="shared" si="1"/>
        <v>6.8007271423534674E-2</v>
      </c>
      <c r="G15" s="44">
        <f t="shared" si="6"/>
        <v>2.0453662008226434</v>
      </c>
      <c r="H15" s="44">
        <f t="shared" si="2"/>
        <v>0.54597650058181235</v>
      </c>
      <c r="I15" s="44">
        <f t="shared" si="3"/>
        <v>31.732154213814933</v>
      </c>
      <c r="J15" s="45">
        <f t="shared" si="4"/>
        <v>48.163343367983771</v>
      </c>
      <c r="K15" s="40"/>
      <c r="L15" s="39"/>
      <c r="M15" s="39"/>
      <c r="N15" s="39"/>
      <c r="O15" s="39">
        <v>6.8089599999999999</v>
      </c>
      <c r="P15" s="39">
        <v>935.86</v>
      </c>
      <c r="Q15" s="39">
        <v>238.73</v>
      </c>
      <c r="S15" s="50"/>
      <c r="T15" s="46">
        <f>'Loading Loss'!$B$24/1000/'Loading Loss'!$D$24*'Fuel Composition'!J15*10000</f>
        <v>138.48884674500127</v>
      </c>
      <c r="U15" s="46">
        <f>'Loading Loss'!$C$24/1000/'Loading Loss'!$D$24*'Fuel Composition'!J15*10000</f>
        <v>261.59004385166901</v>
      </c>
    </row>
    <row r="16" spans="1:25" x14ac:dyDescent="0.3">
      <c r="A16" t="s">
        <v>150</v>
      </c>
      <c r="B16" s="41">
        <v>58.12</v>
      </c>
      <c r="C16" s="42">
        <f t="shared" si="7"/>
        <v>11.102761980899102</v>
      </c>
      <c r="D16" s="47">
        <v>1.7</v>
      </c>
      <c r="E16" s="44">
        <f t="shared" si="5"/>
        <v>2.9249827942188578E-4</v>
      </c>
      <c r="F16" s="44">
        <f t="shared" si="1"/>
        <v>2.4598374770214669E-2</v>
      </c>
      <c r="G16" s="44">
        <f t="shared" si="6"/>
        <v>0.27310990019064713</v>
      </c>
      <c r="H16" s="44">
        <f t="shared" si="2"/>
        <v>7.2902147068023851E-2</v>
      </c>
      <c r="I16" s="44">
        <f t="shared" si="3"/>
        <v>4.2370727875935463</v>
      </c>
      <c r="J16" s="45">
        <f t="shared" si="4"/>
        <v>6.4310664245783657</v>
      </c>
      <c r="K16" s="40"/>
      <c r="O16">
        <v>6.8331499999999998</v>
      </c>
      <c r="P16">
        <v>1040.73</v>
      </c>
      <c r="Q16">
        <v>235.45</v>
      </c>
      <c r="S16" s="50"/>
      <c r="T16" s="46">
        <f>'Loading Loss'!$B$24/1000/'Loading Loss'!$D$24*'Fuel Composition'!J16*10000</f>
        <v>18.491884287925014</v>
      </c>
      <c r="U16" s="46">
        <f>'Loading Loss'!$C$24/1000/'Loading Loss'!$D$24*'Fuel Composition'!J16*10000</f>
        <v>34.929114766080581</v>
      </c>
    </row>
    <row r="17" spans="1:24" x14ac:dyDescent="0.3">
      <c r="A17" t="s">
        <v>151</v>
      </c>
      <c r="B17" s="41">
        <v>72.150000000000006</v>
      </c>
      <c r="C17" s="42">
        <f t="shared" si="7"/>
        <v>8.5242886491898577</v>
      </c>
      <c r="D17" s="47">
        <v>3.9</v>
      </c>
      <c r="E17" s="44">
        <f t="shared" si="5"/>
        <v>5.4054054054054055E-4</v>
      </c>
      <c r="F17" s="44">
        <f t="shared" si="1"/>
        <v>4.5458109432269522E-2</v>
      </c>
      <c r="G17" s="44">
        <f t="shared" si="6"/>
        <v>0.38749804624712547</v>
      </c>
      <c r="H17" s="44">
        <f t="shared" si="2"/>
        <v>0.10343616081423647</v>
      </c>
      <c r="I17" s="44">
        <f t="shared" si="3"/>
        <v>7.4629190027471619</v>
      </c>
      <c r="J17" s="45">
        <f t="shared" si="4"/>
        <v>11.327284244076845</v>
      </c>
      <c r="K17" s="40"/>
      <c r="O17">
        <v>6.8529600000000004</v>
      </c>
      <c r="P17">
        <v>1064.8399999999999</v>
      </c>
      <c r="Q17">
        <v>233.01</v>
      </c>
      <c r="S17" s="50"/>
      <c r="T17" s="46">
        <f>'Loading Loss'!$B$24/1000/'Loading Loss'!$D$24*'Fuel Composition'!J17*10000</f>
        <v>32.570465877537252</v>
      </c>
      <c r="U17" s="46">
        <f>'Loading Loss'!$C$24/1000/'Loading Loss'!$D$24*'Fuel Composition'!J17*10000</f>
        <v>61.521991102014802</v>
      </c>
    </row>
    <row r="18" spans="1:24" x14ac:dyDescent="0.3">
      <c r="A18" t="s">
        <v>152</v>
      </c>
      <c r="B18" s="41">
        <v>72.150000000000006</v>
      </c>
      <c r="C18" s="42">
        <f t="shared" si="7"/>
        <v>2.9665541038862759</v>
      </c>
      <c r="D18" s="47">
        <v>7.9</v>
      </c>
      <c r="E18" s="44">
        <f t="shared" si="5"/>
        <v>1.0949410949410948E-3</v>
      </c>
      <c r="F18" s="44">
        <f t="shared" si="1"/>
        <v>9.2081811414084405E-2</v>
      </c>
      <c r="G18" s="44">
        <f t="shared" si="6"/>
        <v>0.27316567554373422</v>
      </c>
      <c r="H18" s="44">
        <f t="shared" si="2"/>
        <v>7.2917035371196634E-2</v>
      </c>
      <c r="I18" s="44">
        <f t="shared" si="3"/>
        <v>5.2609641020318376</v>
      </c>
      <c r="J18" s="45">
        <f t="shared" si="4"/>
        <v>7.9851376866964054</v>
      </c>
      <c r="K18" s="40"/>
      <c r="O18">
        <v>6.8488699999999998</v>
      </c>
      <c r="P18">
        <v>1152.3679999999999</v>
      </c>
      <c r="Q18">
        <v>227.13</v>
      </c>
      <c r="S18" s="50"/>
      <c r="T18" s="46">
        <f>'Loading Loss'!$B$24/1000/'Loading Loss'!$D$24*'Fuel Composition'!J18*10000</f>
        <v>22.960459802002443</v>
      </c>
      <c r="U18" s="46">
        <f>'Loading Loss'!$C$24/1000/'Loading Loss'!$D$24*'Fuel Composition'!J18*10000</f>
        <v>43.369757403782394</v>
      </c>
    </row>
    <row r="19" spans="1:24" x14ac:dyDescent="0.3">
      <c r="A19" t="s">
        <v>153</v>
      </c>
      <c r="B19" s="57">
        <v>86.18</v>
      </c>
      <c r="C19" s="42">
        <f t="shared" si="7"/>
        <v>3.3164041247597318</v>
      </c>
      <c r="D19" s="58">
        <v>10.08</v>
      </c>
      <c r="E19" s="44">
        <f t="shared" si="5"/>
        <v>1.169644929217916E-3</v>
      </c>
      <c r="F19" s="44">
        <f t="shared" si="1"/>
        <v>9.8364217300181259E-2</v>
      </c>
      <c r="G19" s="44">
        <f t="shared" si="6"/>
        <v>0.32621549598308369</v>
      </c>
      <c r="H19" s="44">
        <f t="shared" si="2"/>
        <v>8.7077802918993336E-2</v>
      </c>
      <c r="I19" s="44">
        <f t="shared" si="3"/>
        <v>7.5043650555588464</v>
      </c>
      <c r="J19" s="45">
        <f t="shared" si="4"/>
        <v>11.390191428359584</v>
      </c>
      <c r="K19" s="40"/>
      <c r="O19" s="59">
        <v>6.8391000000000002</v>
      </c>
      <c r="P19" s="59">
        <v>1135.4100000000001</v>
      </c>
      <c r="Q19" s="59">
        <v>226.57</v>
      </c>
      <c r="S19" s="50"/>
      <c r="T19" s="46">
        <f>'Loading Loss'!$B$24/1000/'Loading Loss'!$D$24*'Fuel Composition'!J19*10000</f>
        <v>32.751349155027562</v>
      </c>
      <c r="U19" s="46">
        <f>'Loading Loss'!$C$24/1000/'Loading Loss'!$D$24*'Fuel Composition'!J19*10000</f>
        <v>61.863659515052049</v>
      </c>
    </row>
    <row r="20" spans="1:24" x14ac:dyDescent="0.3">
      <c r="A20" t="s">
        <v>154</v>
      </c>
      <c r="B20" s="57">
        <v>100.2</v>
      </c>
      <c r="C20" s="42">
        <f t="shared" si="7"/>
        <v>0.99952842247674345</v>
      </c>
      <c r="D20" s="58">
        <v>7.21</v>
      </c>
      <c r="E20" s="44">
        <f t="shared" si="5"/>
        <v>7.1956087824351291E-4</v>
      </c>
      <c r="F20" s="44">
        <f t="shared" si="1"/>
        <v>6.0513272720791114E-2</v>
      </c>
      <c r="G20" s="44">
        <f t="shared" si="6"/>
        <v>6.0484736021517292E-2</v>
      </c>
      <c r="H20" s="44">
        <f t="shared" si="2"/>
        <v>1.614539464784389E-2</v>
      </c>
      <c r="I20" s="44">
        <f t="shared" si="3"/>
        <v>1.6177685437139577</v>
      </c>
      <c r="J20" s="45">
        <f t="shared" si="4"/>
        <v>2.4554633554281775</v>
      </c>
      <c r="K20" s="40"/>
      <c r="O20">
        <v>6.8731799999999996</v>
      </c>
      <c r="P20">
        <v>1236.0229999999999</v>
      </c>
      <c r="Q20">
        <v>219.55</v>
      </c>
      <c r="S20" s="50"/>
      <c r="T20" s="46">
        <f>'Loading Loss'!$B$24/1000/'Loading Loss'!$D$24*'Fuel Composition'!J20*10000</f>
        <v>7.0604377632120121</v>
      </c>
      <c r="U20" s="46">
        <f>'Loading Loss'!$C$24/1000/'Loading Loss'!$D$24*'Fuel Composition'!J20*10000</f>
        <v>13.336382441622687</v>
      </c>
      <c r="X20" s="38"/>
    </row>
    <row r="21" spans="1:24" x14ac:dyDescent="0.3">
      <c r="A21" t="s">
        <v>155</v>
      </c>
      <c r="B21" s="57">
        <v>114.23</v>
      </c>
      <c r="C21" s="42">
        <f t="shared" si="7"/>
        <v>0.40166681117717029</v>
      </c>
      <c r="D21" s="58">
        <v>3.21</v>
      </c>
      <c r="E21" s="44">
        <f t="shared" si="5"/>
        <v>2.8101199334675648E-4</v>
      </c>
      <c r="F21" s="44">
        <f t="shared" si="1"/>
        <v>2.3632406798873545E-2</v>
      </c>
      <c r="G21" s="44">
        <f t="shared" si="6"/>
        <v>9.4923534793452165E-3</v>
      </c>
      <c r="H21" s="44">
        <f t="shared" si="2"/>
        <v>2.5338259392641066E-3</v>
      </c>
      <c r="I21" s="44">
        <f t="shared" si="3"/>
        <v>0.28943893704213891</v>
      </c>
      <c r="J21" s="45">
        <f t="shared" si="4"/>
        <v>0.43931296989460911</v>
      </c>
      <c r="K21" s="40"/>
      <c r="O21" s="59">
        <v>6.8539599999999998</v>
      </c>
      <c r="P21" s="59">
        <v>1315.08</v>
      </c>
      <c r="Q21" s="59">
        <v>217.53</v>
      </c>
      <c r="S21" s="50"/>
      <c r="T21" s="46">
        <f>'Loading Loss'!$B$24/1000/'Loading Loss'!$D$24*'Fuel Composition'!J21*10000</f>
        <v>1.2632002329237964</v>
      </c>
      <c r="U21" s="46">
        <f>'Loading Loss'!$C$24/1000/'Loading Loss'!$D$24*'Fuel Composition'!J21*10000</f>
        <v>2.3860448844116147</v>
      </c>
      <c r="V21" s="40"/>
      <c r="X21" s="38"/>
    </row>
    <row r="22" spans="1:24" x14ac:dyDescent="0.3">
      <c r="A22" t="s">
        <v>156</v>
      </c>
      <c r="B22" s="57">
        <v>120.19</v>
      </c>
      <c r="C22" s="42">
        <f t="shared" si="7"/>
        <v>2.7986508440504987E-2</v>
      </c>
      <c r="D22" s="58">
        <v>7.29</v>
      </c>
      <c r="E22" s="44">
        <f t="shared" si="5"/>
        <v>6.0653964556119479E-4</v>
      </c>
      <c r="F22" s="44">
        <f t="shared" si="1"/>
        <v>5.1008469328421908E-2</v>
      </c>
      <c r="G22" s="44">
        <f t="shared" si="6"/>
        <v>1.4275489573971195E-3</v>
      </c>
      <c r="H22" s="44">
        <f t="shared" si="2"/>
        <v>3.810604594206246E-4</v>
      </c>
      <c r="I22" s="44">
        <f t="shared" si="3"/>
        <v>4.5799656617764868E-2</v>
      </c>
      <c r="J22" s="45">
        <f t="shared" si="4"/>
        <v>6.951512251433635E-2</v>
      </c>
      <c r="K22" s="40"/>
      <c r="O22">
        <v>7.0438299999999998</v>
      </c>
      <c r="P22">
        <v>1573.2670000000001</v>
      </c>
      <c r="Q22">
        <v>208.56399999999999</v>
      </c>
      <c r="S22" s="50"/>
      <c r="T22" s="46">
        <f>'Loading Loss'!$B$24/1000/'Loading Loss'!$D$24*'Fuel Composition'!J22*10000</f>
        <v>0.19988373885911409</v>
      </c>
      <c r="U22" s="46">
        <f>'Loading Loss'!$C$24/1000/'Loading Loss'!$D$24*'Fuel Composition'!J22*10000</f>
        <v>0.37755817340054881</v>
      </c>
      <c r="V22" s="40"/>
      <c r="X22" s="38"/>
    </row>
    <row r="23" spans="1:24" x14ac:dyDescent="0.3">
      <c r="A23" t="s">
        <v>157</v>
      </c>
      <c r="B23" s="41">
        <v>100.2</v>
      </c>
      <c r="C23" s="42">
        <f t="shared" si="7"/>
        <v>0.68492909687757286</v>
      </c>
      <c r="D23" s="58">
        <f>100-SUM(D5:D22)</f>
        <v>25.682999999999993</v>
      </c>
      <c r="E23" s="44">
        <f t="shared" si="5"/>
        <v>2.5631736526946104E-3</v>
      </c>
      <c r="F23" s="44">
        <f t="shared" si="1"/>
        <v>0.21555650253648795</v>
      </c>
      <c r="G23" s="44">
        <f t="shared" si="6"/>
        <v>0.14764092060840495</v>
      </c>
      <c r="H23" s="44">
        <f t="shared" si="2"/>
        <v>3.9410289044589424E-2</v>
      </c>
      <c r="I23" s="44">
        <f t="shared" si="3"/>
        <v>3.9489109622678602</v>
      </c>
      <c r="J23" s="45">
        <f t="shared" si="4"/>
        <v>5.993691866104057</v>
      </c>
      <c r="K23" s="40"/>
      <c r="O23">
        <v>6.8967700000000001</v>
      </c>
      <c r="P23">
        <v>1264.9000000000001</v>
      </c>
      <c r="Q23">
        <v>216.54</v>
      </c>
      <c r="S23" s="50"/>
      <c r="T23" s="46">
        <f>'Loading Loss'!$B$24/1000/'Loading Loss'!$D$24*'Fuel Composition'!J23*10000</f>
        <v>17.234257761960546</v>
      </c>
      <c r="U23" s="46">
        <f>'Loading Loss'!$C$24/1000/'Loading Loss'!$D$24*'Fuel Composition'!J23*10000</f>
        <v>32.553597994814368</v>
      </c>
      <c r="V23" s="40"/>
      <c r="X23" s="38"/>
    </row>
    <row r="24" spans="1:24" x14ac:dyDescent="0.3">
      <c r="B24" s="34"/>
      <c r="V24" s="40"/>
    </row>
    <row r="25" spans="1:24" x14ac:dyDescent="0.3">
      <c r="D25">
        <f>SUM(D5:D23)</f>
        <v>100</v>
      </c>
      <c r="E25">
        <f>SUM(E5:E24)</f>
        <v>1.1890959551362797E-2</v>
      </c>
      <c r="F25" s="40">
        <f>SUM(F5:F24)</f>
        <v>1</v>
      </c>
      <c r="G25" s="8">
        <f>SUM(G5:G23)</f>
        <v>3.7462531787412594</v>
      </c>
      <c r="H25" s="40">
        <f>SUM(H5:H23)</f>
        <v>1</v>
      </c>
      <c r="I25" s="60">
        <f>SUM(I5:I24)</f>
        <v>65.884450693903972</v>
      </c>
      <c r="J25" s="40">
        <f>SUM(J5:J24)</f>
        <v>99.999999999999986</v>
      </c>
      <c r="K25" s="40"/>
      <c r="L25" s="40"/>
      <c r="N25" s="40"/>
      <c r="O25" s="40"/>
      <c r="V25" s="40"/>
      <c r="X25" s="56"/>
    </row>
    <row r="26" spans="1:24" ht="15" thickBot="1" x14ac:dyDescent="0.35">
      <c r="D26" s="40">
        <f>SUM(D5:D13)</f>
        <v>20.327000000000002</v>
      </c>
      <c r="G26" t="s">
        <v>158</v>
      </c>
      <c r="V26" s="40"/>
    </row>
    <row r="27" spans="1:24" ht="15" thickBot="1" x14ac:dyDescent="0.35">
      <c r="D27" t="s">
        <v>159</v>
      </c>
      <c r="H27">
        <f>SUM(H5:H24)</f>
        <v>1</v>
      </c>
      <c r="J27" s="61">
        <f>SUM(J5:J13)</f>
        <v>3.3008069007490937</v>
      </c>
      <c r="K27" s="22" t="s">
        <v>160</v>
      </c>
      <c r="V27" s="40"/>
    </row>
    <row r="28" spans="1:24" x14ac:dyDescent="0.3">
      <c r="V28" s="62"/>
    </row>
    <row r="29" spans="1:24" x14ac:dyDescent="0.3">
      <c r="V29" s="40"/>
    </row>
    <row r="30" spans="1:24" ht="72" x14ac:dyDescent="0.3">
      <c r="A30" s="23"/>
      <c r="B30" s="24" t="s">
        <v>126</v>
      </c>
      <c r="C30" s="24" t="s">
        <v>127</v>
      </c>
      <c r="D30" s="25" t="s">
        <v>161</v>
      </c>
      <c r="E30" s="25" t="s">
        <v>162</v>
      </c>
      <c r="F30" s="25" t="s">
        <v>163</v>
      </c>
      <c r="G30" s="26" t="s">
        <v>164</v>
      </c>
      <c r="H30" s="25" t="s">
        <v>165</v>
      </c>
      <c r="I30" s="25" t="s">
        <v>133</v>
      </c>
      <c r="J30" s="27" t="s">
        <v>166</v>
      </c>
      <c r="K30" s="28"/>
      <c r="L30" s="29" t="s">
        <v>135</v>
      </c>
      <c r="M30" s="30">
        <v>68</v>
      </c>
      <c r="N30" s="31" t="s">
        <v>136</v>
      </c>
      <c r="O30" s="32" t="s">
        <v>137</v>
      </c>
      <c r="P30" s="25" t="s">
        <v>138</v>
      </c>
      <c r="Q30" s="32" t="s">
        <v>139</v>
      </c>
      <c r="T30" s="75" t="s">
        <v>36</v>
      </c>
      <c r="U30" s="75" t="s">
        <v>37</v>
      </c>
      <c r="V30" s="75" t="s">
        <v>167</v>
      </c>
    </row>
    <row r="31" spans="1:24" x14ac:dyDescent="0.3">
      <c r="A31" s="33"/>
      <c r="B31" s="34"/>
      <c r="C31" s="35"/>
      <c r="D31" s="36"/>
      <c r="E31" s="37"/>
      <c r="F31" s="37"/>
      <c r="G31" s="37"/>
      <c r="H31" s="37"/>
      <c r="I31" s="37"/>
      <c r="J31" s="37"/>
      <c r="K31" s="38"/>
      <c r="L31" s="39"/>
      <c r="M31" s="40">
        <f>(M30-32)/1.8</f>
        <v>20</v>
      </c>
      <c r="N31" t="s">
        <v>139</v>
      </c>
      <c r="O31" s="39"/>
      <c r="P31" s="39"/>
      <c r="Q31" s="39"/>
      <c r="T31" t="s">
        <v>141</v>
      </c>
      <c r="U31" t="s">
        <v>141</v>
      </c>
      <c r="V31" t="s">
        <v>141</v>
      </c>
    </row>
    <row r="32" spans="1:24" x14ac:dyDescent="0.3">
      <c r="A32" t="s">
        <v>68</v>
      </c>
      <c r="B32" s="41">
        <v>78.11</v>
      </c>
      <c r="C32" s="42">
        <f>10^(O32-(P32/($M$31+Q32)))*(14.696/760)</f>
        <v>1.4541857267658553</v>
      </c>
      <c r="D32">
        <v>0.44600000000000001</v>
      </c>
      <c r="E32">
        <f>D32/100/$B32</f>
        <v>5.7098963000896177E-5</v>
      </c>
      <c r="F32" s="38">
        <f>E32/E$48</f>
        <v>5.4775263029748084E-3</v>
      </c>
      <c r="G32" s="38">
        <f>C32*F32</f>
        <v>7.9653405677705107E-3</v>
      </c>
      <c r="H32" s="38">
        <f>F32*$C32/$G$48</f>
        <v>3.0307717675536173E-3</v>
      </c>
      <c r="I32" s="38">
        <f>H32*B32</f>
        <v>0.23673358276361303</v>
      </c>
      <c r="J32" s="70">
        <f>(H32*$B32)/$I$48*100</f>
        <v>0.32561928742920304</v>
      </c>
      <c r="O32">
        <v>6.9056499999999996</v>
      </c>
      <c r="P32">
        <v>1211.0329999999999</v>
      </c>
      <c r="Q32">
        <v>220.79</v>
      </c>
      <c r="T32">
        <f>'Loading Loss'!$H$19/1000/'Loading Loss'!$G$16*'Fuel Composition'!J32*10000</f>
        <v>1.0917148267064964</v>
      </c>
      <c r="U32">
        <f>'Loading Loss'!$I$19/1000/'Loading Loss'!$G$16*'Fuel Composition'!J32*10000</f>
        <v>0.91106612355575989</v>
      </c>
      <c r="V32">
        <f>'Loading Loss'!$J$19/1000/'Loading Loss'!$G$16*'Fuel Composition'!J32*10000</f>
        <v>0.8523552950317701</v>
      </c>
    </row>
    <row r="33" spans="1:22" x14ac:dyDescent="0.3">
      <c r="A33" t="s">
        <v>168</v>
      </c>
      <c r="B33" s="41">
        <v>154.20779999999999</v>
      </c>
      <c r="C33" s="42">
        <f>10^(O33-(P33/($M$31+Q33)))*(14.696/760)</f>
        <v>3.6178738110413943E-4</v>
      </c>
      <c r="D33">
        <v>0.6</v>
      </c>
      <c r="E33">
        <f t="shared" ref="E33:E46" si="8">D33/100/$B33</f>
        <v>3.8908537700427607E-5</v>
      </c>
      <c r="F33" s="38">
        <f t="shared" ref="F33:F46" si="9">E33/E$48</f>
        <v>3.7325115459808647E-3</v>
      </c>
      <c r="G33" s="38">
        <f t="shared" ref="G33:G46" si="10">C33*F33</f>
        <v>1.3503755771613797E-6</v>
      </c>
      <c r="H33" s="38">
        <f t="shared" ref="H33:H46" si="11">F33*$C33/$G$48</f>
        <v>5.1381107185981466E-7</v>
      </c>
      <c r="I33" s="38">
        <f t="shared" ref="I33:I46" si="12">H33*B33</f>
        <v>7.9233675007143922E-5</v>
      </c>
      <c r="J33" s="73">
        <f t="shared" ref="J33:J46" si="13">(H33*$B33)/$I$48*100</f>
        <v>1.089833241867737E-4</v>
      </c>
      <c r="O33">
        <v>7.2454000000000001</v>
      </c>
      <c r="P33">
        <v>1998.72</v>
      </c>
      <c r="Q33">
        <v>202.74</v>
      </c>
      <c r="T33">
        <f>'Loading Loss'!$H$19/1000/'Loading Loss'!$G$16*'Fuel Composition'!J33*10000</f>
        <v>3.6539208662303272E-4</v>
      </c>
      <c r="U33">
        <f>'Loading Loss'!$I$19/1000/'Loading Loss'!$G$16*'Fuel Composition'!J33*10000</f>
        <v>3.0492977084673676E-4</v>
      </c>
      <c r="V33">
        <f>'Loading Loss'!$J$19/1000/'Loading Loss'!$G$16*'Fuel Composition'!J33*10000</f>
        <v>2.8527951821944044E-4</v>
      </c>
    </row>
    <row r="34" spans="1:22" x14ac:dyDescent="0.3">
      <c r="A34" t="s">
        <v>169</v>
      </c>
      <c r="B34" s="41">
        <v>84.162000000000006</v>
      </c>
      <c r="C34" s="42">
        <f t="shared" ref="C34:C46" si="14">10^(O34-(P34/($M$31+Q34)))*(14.696/760)</f>
        <v>1.4994094007164092</v>
      </c>
      <c r="D34">
        <v>0.7</v>
      </c>
      <c r="E34">
        <f t="shared" si="8"/>
        <v>8.317292839999048E-5</v>
      </c>
      <c r="F34" s="38">
        <f t="shared" si="9"/>
        <v>7.9788122071365441E-3</v>
      </c>
      <c r="G34" s="38">
        <f t="shared" si="10"/>
        <v>1.1963506029931376E-2</v>
      </c>
      <c r="H34" s="38">
        <f t="shared" si="11"/>
        <v>4.5520534882317314E-3</v>
      </c>
      <c r="I34" s="38">
        <f t="shared" si="12"/>
        <v>0.38310992567655899</v>
      </c>
      <c r="J34" s="40">
        <f t="shared" si="13"/>
        <v>0.52695515165003604</v>
      </c>
      <c r="O34">
        <v>6.8413000000000004</v>
      </c>
      <c r="P34">
        <v>1201.5309999999999</v>
      </c>
      <c r="Q34">
        <v>222.64699999999999</v>
      </c>
      <c r="T34">
        <f>'Loading Loss'!$H$19/1000/'Loading Loss'!$G$16*'Fuel Composition'!J34*10000</f>
        <v>1.7667404059742453</v>
      </c>
      <c r="U34">
        <f>'Loading Loss'!$I$19/1000/'Loading Loss'!$G$16*'Fuel Composition'!J34*10000</f>
        <v>1.4743935812030744</v>
      </c>
      <c r="V34">
        <f>'Loading Loss'!$J$19/1000/'Loading Loss'!$G$16*'Fuel Composition'!J34*10000</f>
        <v>1.3793808631524433</v>
      </c>
    </row>
    <row r="35" spans="1:22" x14ac:dyDescent="0.3">
      <c r="A35" t="s">
        <v>144</v>
      </c>
      <c r="B35" s="41">
        <v>106.17</v>
      </c>
      <c r="C35" s="42">
        <f t="shared" si="14"/>
        <v>0.13689811593257009</v>
      </c>
      <c r="D35">
        <v>0.34599999999999997</v>
      </c>
      <c r="E35">
        <f t="shared" si="8"/>
        <v>3.2589243665818963E-5</v>
      </c>
      <c r="F35" s="38">
        <f t="shared" si="9"/>
        <v>3.1262991478632775E-3</v>
      </c>
      <c r="G35" s="38">
        <f t="shared" si="10"/>
        <v>4.2798446318408203E-4</v>
      </c>
      <c r="H35" s="38">
        <f t="shared" si="11"/>
        <v>1.6284592189546134E-4</v>
      </c>
      <c r="I35" s="38">
        <f t="shared" si="12"/>
        <v>1.728935152764113E-2</v>
      </c>
      <c r="J35" s="70">
        <f t="shared" si="13"/>
        <v>2.3780936607397232E-2</v>
      </c>
      <c r="O35">
        <v>6.9571899999999998</v>
      </c>
      <c r="P35">
        <v>1424.2550000000001</v>
      </c>
      <c r="Q35">
        <v>213.21</v>
      </c>
      <c r="T35">
        <f>'Loading Loss'!$H$19/1000/'Loading Loss'!$G$16*'Fuel Composition'!J35*10000</f>
        <v>7.9731152574638475E-2</v>
      </c>
      <c r="U35">
        <f>'Loading Loss'!$I$19/1000/'Loading Loss'!$G$16*'Fuel Composition'!J35*10000</f>
        <v>6.6537845164154591E-2</v>
      </c>
      <c r="V35">
        <f>'Loading Loss'!$J$19/1000/'Loading Loss'!$G$16*'Fuel Composition'!J35*10000</f>
        <v>6.2250020255747301E-2</v>
      </c>
    </row>
    <row r="36" spans="1:22" x14ac:dyDescent="0.3">
      <c r="A36" t="s">
        <v>170</v>
      </c>
      <c r="B36" s="41">
        <v>86.18</v>
      </c>
      <c r="C36" s="42">
        <f t="shared" si="14"/>
        <v>2.3473094072581069</v>
      </c>
      <c r="D36">
        <v>2.4630000000000001</v>
      </c>
      <c r="E36">
        <f t="shared" si="8"/>
        <v>2.8579716871663958E-4</v>
      </c>
      <c r="F36" s="38">
        <f t="shared" si="9"/>
        <v>2.7416636427119563E-2</v>
      </c>
      <c r="G36" s="38">
        <f t="shared" si="10"/>
        <v>6.4355328600753048E-2</v>
      </c>
      <c r="H36" s="38">
        <f t="shared" si="11"/>
        <v>2.4486876782644763E-2</v>
      </c>
      <c r="I36" s="38">
        <f t="shared" si="12"/>
        <v>2.1102790411283259</v>
      </c>
      <c r="J36" s="70">
        <f t="shared" si="13"/>
        <v>2.9026196859240234</v>
      </c>
      <c r="O36">
        <v>6.87601</v>
      </c>
      <c r="P36">
        <v>1171.17</v>
      </c>
      <c r="Q36">
        <v>224.41</v>
      </c>
      <c r="T36">
        <f>'Loading Loss'!$H$19/1000/'Loading Loss'!$G$16*'Fuel Composition'!J36*10000</f>
        <v>9.7317114487647967</v>
      </c>
      <c r="U36">
        <f>'Loading Loss'!$I$19/1000/'Loading Loss'!$G$16*'Fuel Composition'!J36*10000</f>
        <v>8.1213815259220663</v>
      </c>
      <c r="V36">
        <f>'Loading Loss'!$J$19/1000/'Loading Loss'!$G$16*'Fuel Composition'!J36*10000</f>
        <v>7.5980243009981772</v>
      </c>
    </row>
    <row r="37" spans="1:22" x14ac:dyDescent="0.3">
      <c r="A37" t="s">
        <v>147</v>
      </c>
      <c r="B37" s="41">
        <v>128.16999999999999</v>
      </c>
      <c r="C37" s="42">
        <f t="shared" si="14"/>
        <v>3.4923466305314911E-3</v>
      </c>
      <c r="D37">
        <v>0.219</v>
      </c>
      <c r="E37">
        <f t="shared" si="8"/>
        <v>1.7086681750799723E-5</v>
      </c>
      <c r="F37" s="38">
        <f t="shared" si="9"/>
        <v>1.6391321978841574E-3</v>
      </c>
      <c r="G37" s="38">
        <f t="shared" si="10"/>
        <v>5.724417808276414E-6</v>
      </c>
      <c r="H37" s="38">
        <f t="shared" si="11"/>
        <v>2.178112000534509E-6</v>
      </c>
      <c r="I37" s="38">
        <f t="shared" si="12"/>
        <v>2.7916861510850801E-4</v>
      </c>
      <c r="J37" s="73">
        <f t="shared" si="13"/>
        <v>3.8398728419955275E-4</v>
      </c>
      <c r="O37">
        <v>7.37</v>
      </c>
      <c r="P37">
        <v>1968.36</v>
      </c>
      <c r="Q37">
        <v>222.61</v>
      </c>
      <c r="T37">
        <f>'Loading Loss'!$H$19/1000/'Loading Loss'!$G$16*'Fuel Composition'!J37*10000</f>
        <v>1.2874071887358867E-3</v>
      </c>
      <c r="U37">
        <f>'Loading Loss'!$I$19/1000/'Loading Loss'!$G$16*'Fuel Composition'!J37*10000</f>
        <v>1.0743767952825982E-3</v>
      </c>
      <c r="V37">
        <f>'Loading Loss'!$J$19/1000/'Loading Loss'!$G$16*'Fuel Composition'!J37*10000</f>
        <v>1.0051419174102792E-3</v>
      </c>
    </row>
    <row r="38" spans="1:22" x14ac:dyDescent="0.3">
      <c r="A38" t="s">
        <v>171</v>
      </c>
      <c r="B38" s="41">
        <v>84.14</v>
      </c>
      <c r="C38" s="42">
        <f t="shared" si="14"/>
        <v>1.210419170557314</v>
      </c>
      <c r="D38">
        <v>4.0000000000000002E-4</v>
      </c>
      <c r="E38">
        <f t="shared" si="8"/>
        <v>4.7539814594723075E-8</v>
      </c>
      <c r="F38" s="38">
        <f t="shared" si="9"/>
        <v>4.560513382301782E-6</v>
      </c>
      <c r="G38" s="38">
        <f t="shared" si="10"/>
        <v>5.5201328255212538E-6</v>
      </c>
      <c r="H38" s="38">
        <f t="shared" si="11"/>
        <v>2.1003825986336417E-6</v>
      </c>
      <c r="I38" s="38">
        <f t="shared" si="12"/>
        <v>1.7672619184903461E-4</v>
      </c>
      <c r="J38" s="72">
        <f t="shared" si="13"/>
        <v>2.4308108713676032E-4</v>
      </c>
      <c r="O38">
        <v>6.9592599999999996</v>
      </c>
      <c r="P38">
        <v>1246.02</v>
      </c>
      <c r="Q38">
        <v>221.35</v>
      </c>
      <c r="T38">
        <f>'Loading Loss'!$H$19/1000/'Loading Loss'!$G$16*'Fuel Composition'!J38*10000</f>
        <v>8.1498620371753499E-4</v>
      </c>
      <c r="U38">
        <f>'Loading Loss'!$I$19/1000/'Loading Loss'!$G$16*'Fuel Composition'!J38*10000</f>
        <v>6.8012845773320204E-4</v>
      </c>
      <c r="V38">
        <f>'Loading Loss'!$J$19/1000/'Loading Loss'!$G$16*'Fuel Composition'!J38*10000</f>
        <v>6.3629969028829365E-4</v>
      </c>
    </row>
    <row r="39" spans="1:22" x14ac:dyDescent="0.3">
      <c r="A39" t="s">
        <v>172</v>
      </c>
      <c r="B39" s="41">
        <v>94.111199999999997</v>
      </c>
      <c r="C39" s="42">
        <f t="shared" si="14"/>
        <v>4.2558416808476194E-3</v>
      </c>
      <c r="D39">
        <v>0.32300000000000001</v>
      </c>
      <c r="E39">
        <f t="shared" si="8"/>
        <v>3.4321100995418191E-5</v>
      </c>
      <c r="F39" s="38">
        <f t="shared" si="9"/>
        <v>3.2924369124971218E-3</v>
      </c>
      <c r="G39" s="38">
        <f t="shared" si="10"/>
        <v>1.4012090243766497E-5</v>
      </c>
      <c r="H39" s="38">
        <f t="shared" si="11"/>
        <v>5.3315294121953115E-6</v>
      </c>
      <c r="I39" s="38">
        <f t="shared" si="12"/>
        <v>5.0175663081699533E-4</v>
      </c>
      <c r="J39" s="71">
        <f t="shared" si="13"/>
        <v>6.9014980756933891E-4</v>
      </c>
      <c r="O39">
        <v>7.1345000000000001</v>
      </c>
      <c r="P39">
        <v>1516.07</v>
      </c>
      <c r="Q39">
        <v>174.57</v>
      </c>
      <c r="T39">
        <f>'Loading Loss'!$H$19/1000/'Loading Loss'!$G$16*'Fuel Composition'!J39*10000</f>
        <v>2.313888662801951E-3</v>
      </c>
      <c r="U39">
        <f>'Loading Loss'!$I$19/1000/'Loading Loss'!$G$16*'Fuel Composition'!J39*10000</f>
        <v>1.9310038874514163E-3</v>
      </c>
      <c r="V39">
        <f>'Loading Loss'!$J$19/1000/'Loading Loss'!$G$16*'Fuel Composition'!J39*10000</f>
        <v>1.8065663354624921E-3</v>
      </c>
    </row>
    <row r="40" spans="1:22" x14ac:dyDescent="0.3">
      <c r="A40" t="s">
        <v>70</v>
      </c>
      <c r="B40" s="41">
        <v>92.14</v>
      </c>
      <c r="C40" s="42">
        <f t="shared" si="14"/>
        <v>0.4222068746271907</v>
      </c>
      <c r="D40">
        <v>0.878</v>
      </c>
      <c r="E40">
        <f t="shared" si="8"/>
        <v>9.5289776427176027E-5</v>
      </c>
      <c r="F40" s="38">
        <f t="shared" si="9"/>
        <v>9.1411862729670491E-3</v>
      </c>
      <c r="G40" s="38">
        <f t="shared" si="10"/>
        <v>3.8594716866943955E-3</v>
      </c>
      <c r="H40" s="38">
        <f t="shared" si="11"/>
        <v>1.4685094411449552E-3</v>
      </c>
      <c r="I40" s="38">
        <f t="shared" si="12"/>
        <v>0.13530845990709617</v>
      </c>
      <c r="J40" s="70">
        <f t="shared" si="13"/>
        <v>0.18611235374275595</v>
      </c>
      <c r="O40">
        <v>6.9546400000000004</v>
      </c>
      <c r="P40">
        <v>1344.8</v>
      </c>
      <c r="Q40">
        <v>219.48</v>
      </c>
      <c r="T40">
        <f>'Loading Loss'!$H$19/1000/'Loading Loss'!$G$16*'Fuel Composition'!J40*10000</f>
        <v>0.62398519945900688</v>
      </c>
      <c r="U40">
        <f>'Loading Loss'!$I$19/1000/'Loading Loss'!$G$16*'Fuel Composition'!J40*10000</f>
        <v>0.52073285341586917</v>
      </c>
      <c r="V40">
        <f>'Loading Loss'!$J$19/1000/'Loading Loss'!$G$16*'Fuel Composition'!J40*10000</f>
        <v>0.48717584095184924</v>
      </c>
    </row>
    <row r="41" spans="1:22" x14ac:dyDescent="0.3">
      <c r="A41" t="s">
        <v>173</v>
      </c>
      <c r="B41" s="57">
        <v>120.19</v>
      </c>
      <c r="C41" s="42">
        <f t="shared" si="14"/>
        <v>2.7986508440504987E-2</v>
      </c>
      <c r="D41">
        <v>0.32600000000000001</v>
      </c>
      <c r="E41">
        <f t="shared" si="8"/>
        <v>2.7123720775438891E-5</v>
      </c>
      <c r="F41" s="38">
        <f t="shared" si="9"/>
        <v>2.6019893562634218E-3</v>
      </c>
      <c r="G41" s="38">
        <f t="shared" si="10"/>
        <v>7.2820597081170392E-5</v>
      </c>
      <c r="H41" s="38">
        <f t="shared" si="11"/>
        <v>2.770786859045538E-5</v>
      </c>
      <c r="I41" s="38">
        <f t="shared" si="12"/>
        <v>3.3302087258868323E-3</v>
      </c>
      <c r="J41" s="62">
        <f t="shared" si="13"/>
        <v>4.5805930010216463E-3</v>
      </c>
      <c r="O41">
        <v>7.0438299999999998</v>
      </c>
      <c r="P41">
        <v>1573.2670000000001</v>
      </c>
      <c r="Q41">
        <v>208.56399999999999</v>
      </c>
      <c r="T41">
        <f>'Loading Loss'!$H$19/1000/'Loading Loss'!$G$16*'Fuel Composition'!J41*10000</f>
        <v>1.5357509482329426E-2</v>
      </c>
      <c r="U41">
        <f>'Loading Loss'!$I$19/1000/'Loading Loss'!$G$16*'Fuel Composition'!J41*10000</f>
        <v>1.2816265098960972E-2</v>
      </c>
      <c r="V41">
        <f>'Loading Loss'!$J$19/1000/'Loading Loss'!$G$16*'Fuel Composition'!J41*10000</f>
        <v>1.1990360674366219E-2</v>
      </c>
    </row>
    <row r="42" spans="1:22" x14ac:dyDescent="0.3">
      <c r="A42" t="s">
        <v>143</v>
      </c>
      <c r="B42" s="41">
        <v>106.14</v>
      </c>
      <c r="C42" s="42">
        <f t="shared" si="14"/>
        <v>0.12596357432098818</v>
      </c>
      <c r="D42">
        <v>1.42</v>
      </c>
      <c r="E42">
        <f t="shared" si="8"/>
        <v>1.337855662332768E-4</v>
      </c>
      <c r="F42" s="38">
        <f t="shared" si="9"/>
        <v>1.2834102748760085E-2</v>
      </c>
      <c r="G42" s="38">
        <f t="shared" si="10"/>
        <v>1.6166294554366396E-3</v>
      </c>
      <c r="H42" s="38">
        <f t="shared" si="11"/>
        <v>6.1511932483564202E-4</v>
      </c>
      <c r="I42" s="38">
        <f t="shared" si="12"/>
        <v>6.5288765138055038E-2</v>
      </c>
      <c r="J42" s="70">
        <f t="shared" si="13"/>
        <v>8.9802557512992265E-2</v>
      </c>
      <c r="O42">
        <v>6.9905200000000001</v>
      </c>
      <c r="P42">
        <v>1453.43</v>
      </c>
      <c r="Q42">
        <v>215.31</v>
      </c>
      <c r="T42">
        <f>'Loading Loss'!$H$19/1000/'Loading Loss'!$G$16*'Fuel Composition'!J42*10000</f>
        <v>0.30108407977648549</v>
      </c>
      <c r="U42">
        <f>'Loading Loss'!$I$19/1000/'Loading Loss'!$G$16*'Fuel Composition'!J42*10000</f>
        <v>0.25126296603834836</v>
      </c>
      <c r="V42">
        <f>'Loading Loss'!$J$19/1000/'Loading Loss'!$G$16*'Fuel Composition'!J42*10000</f>
        <v>0.23507110407345372</v>
      </c>
    </row>
    <row r="43" spans="1:22" x14ac:dyDescent="0.3">
      <c r="A43" t="s">
        <v>149</v>
      </c>
      <c r="B43" s="41">
        <v>58.12</v>
      </c>
      <c r="C43" s="42">
        <f t="shared" si="14"/>
        <v>30.07569864234873</v>
      </c>
      <c r="D43">
        <v>2.5</v>
      </c>
      <c r="E43">
        <f t="shared" si="8"/>
        <v>4.3014452856159676E-4</v>
      </c>
      <c r="F43" s="38">
        <f t="shared" si="9"/>
        <v>4.1263936251169135E-2</v>
      </c>
      <c r="G43" s="38">
        <f t="shared" si="10"/>
        <v>1.2410417114872521</v>
      </c>
      <c r="H43" s="38">
        <f t="shared" si="11"/>
        <v>0.47221008939041165</v>
      </c>
      <c r="I43" s="38">
        <f t="shared" si="12"/>
        <v>27.444850395370725</v>
      </c>
      <c r="J43" s="40">
        <f t="shared" si="13"/>
        <v>37.749492594234866</v>
      </c>
      <c r="K43" s="38"/>
      <c r="M43" s="40"/>
      <c r="O43">
        <v>6.8089599999999999</v>
      </c>
      <c r="P43">
        <v>935.86</v>
      </c>
      <c r="Q43">
        <v>238.73</v>
      </c>
      <c r="T43">
        <f>'Loading Loss'!$H$19/1000/'Loading Loss'!$G$16*'Fuel Composition'!J43*10000</f>
        <v>126.56400390512381</v>
      </c>
      <c r="U43">
        <f>'Loading Loss'!$I$19/1000/'Loading Loss'!$G$16*'Fuel Composition'!J43*10000</f>
        <v>105.62115087087426</v>
      </c>
      <c r="V43">
        <f>'Loading Loss'!$J$19/1000/'Loading Loss'!$G$16*'Fuel Composition'!J43*10000</f>
        <v>98.814723634743117</v>
      </c>
    </row>
    <row r="44" spans="1:22" x14ac:dyDescent="0.3">
      <c r="A44" t="s">
        <v>151</v>
      </c>
      <c r="B44" s="41">
        <v>72.150000000000006</v>
      </c>
      <c r="C44" s="42">
        <f t="shared" si="14"/>
        <v>8.5242886491898577</v>
      </c>
      <c r="D44">
        <v>5.9</v>
      </c>
      <c r="E44">
        <f t="shared" si="8"/>
        <v>8.1774081774081773E-4</v>
      </c>
      <c r="F44" s="38">
        <f t="shared" si="9"/>
        <v>7.844620292177909E-2</v>
      </c>
      <c r="G44" s="38">
        <f t="shared" si="10"/>
        <v>0.66869807713816576</v>
      </c>
      <c r="H44" s="38">
        <f t="shared" si="11"/>
        <v>0.25443623357525896</v>
      </c>
      <c r="I44" s="38">
        <f t="shared" si="12"/>
        <v>18.357574252454935</v>
      </c>
      <c r="J44" s="40">
        <f t="shared" si="13"/>
        <v>25.250241969183936</v>
      </c>
      <c r="K44" s="38"/>
      <c r="M44" s="40"/>
      <c r="O44">
        <v>6.8529600000000004</v>
      </c>
      <c r="P44">
        <v>1064.8399999999999</v>
      </c>
      <c r="Q44">
        <v>233.01</v>
      </c>
      <c r="T44">
        <f>'Loading Loss'!$H$19/1000/'Loading Loss'!$G$16*'Fuel Composition'!J44*10000</f>
        <v>84.657342485212041</v>
      </c>
      <c r="U44">
        <f>'Loading Loss'!$I$19/1000/'Loading Loss'!$G$16*'Fuel Composition'!J44*10000</f>
        <v>70.648886469021249</v>
      </c>
      <c r="V44">
        <f>'Loading Loss'!$J$19/1000/'Loading Loss'!$G$16*'Fuel Composition'!J44*10000</f>
        <v>66.096138263759215</v>
      </c>
    </row>
    <row r="45" spans="1:22" x14ac:dyDescent="0.3">
      <c r="A45" t="s">
        <v>174</v>
      </c>
      <c r="B45" s="57">
        <v>100.2</v>
      </c>
      <c r="C45" s="42">
        <f t="shared" si="14"/>
        <v>3.3164041247597318</v>
      </c>
      <c r="D45">
        <v>3.1</v>
      </c>
      <c r="E45">
        <f t="shared" si="8"/>
        <v>3.0938123752495008E-4</v>
      </c>
      <c r="F45" s="38">
        <f t="shared" si="9"/>
        <v>2.9679065557866841E-2</v>
      </c>
      <c r="G45" s="38">
        <f t="shared" si="10"/>
        <v>9.8427775435124085E-2</v>
      </c>
      <c r="H45" s="38">
        <f t="shared" si="11"/>
        <v>3.7451270337255489E-2</v>
      </c>
      <c r="I45" s="38">
        <f t="shared" si="12"/>
        <v>3.752617287793</v>
      </c>
      <c r="J45" s="40">
        <f t="shared" si="13"/>
        <v>5.1616021393373694</v>
      </c>
      <c r="K45" s="38"/>
      <c r="M45" s="40"/>
      <c r="O45" s="59">
        <v>6.8391000000000002</v>
      </c>
      <c r="P45" s="59">
        <v>1135.4100000000001</v>
      </c>
      <c r="Q45" s="59">
        <v>226.57</v>
      </c>
      <c r="T45">
        <f>'Loading Loss'!$H$19/1000/'Loading Loss'!$G$16*'Fuel Composition'!J45*10000</f>
        <v>17.305478522367178</v>
      </c>
      <c r="U45">
        <f>'Loading Loss'!$I$19/1000/'Loading Loss'!$G$16*'Fuel Composition'!J45*10000</f>
        <v>14.441898972110662</v>
      </c>
      <c r="V45">
        <f>'Loading Loss'!$J$19/1000/'Loading Loss'!$G$16*'Fuel Composition'!J45*10000</f>
        <v>13.511235618277292</v>
      </c>
    </row>
    <row r="46" spans="1:22" x14ac:dyDescent="0.3">
      <c r="A46" t="s">
        <v>175</v>
      </c>
      <c r="B46" s="41">
        <v>100.2</v>
      </c>
      <c r="C46" s="42">
        <f t="shared" si="14"/>
        <v>0.68492909687757286</v>
      </c>
      <c r="D46">
        <v>80.778599999999997</v>
      </c>
      <c r="E46">
        <f t="shared" si="8"/>
        <v>8.0617365269461082E-3</v>
      </c>
      <c r="F46" s="38">
        <f t="shared" si="9"/>
        <v>0.7733656016363557</v>
      </c>
      <c r="G46" s="38">
        <f t="shared" si="10"/>
        <v>0.52970060308496991</v>
      </c>
      <c r="H46" s="38">
        <f t="shared" si="11"/>
        <v>0.20154839826709398</v>
      </c>
      <c r="I46" s="38">
        <f t="shared" si="12"/>
        <v>20.195149506362817</v>
      </c>
      <c r="J46" s="40">
        <f t="shared" si="13"/>
        <v>27.777766529873304</v>
      </c>
      <c r="K46" s="38"/>
      <c r="M46" s="40"/>
      <c r="O46">
        <v>6.8967700000000001</v>
      </c>
      <c r="P46">
        <v>1264.9000000000001</v>
      </c>
      <c r="Q46">
        <v>216.54</v>
      </c>
      <c r="T46">
        <f>'Loading Loss'!$H$19/1000/'Loading Loss'!$G$16*'Fuel Composition'!J46*10000</f>
        <v>93.131459788135473</v>
      </c>
      <c r="U46">
        <f>'Loading Loss'!$I$19/1000/'Loading Loss'!$G$16*'Fuel Composition'!J46*10000</f>
        <v>77.720771005958895</v>
      </c>
      <c r="V46">
        <f>'Loading Loss'!$J$19/1000/'Loading Loss'!$G$16*'Fuel Composition'!J46*10000</f>
        <v>72.712297151751486</v>
      </c>
    </row>
    <row r="47" spans="1:22" x14ac:dyDescent="0.3">
      <c r="A47" s="33"/>
      <c r="B47" s="34"/>
      <c r="C47" s="69"/>
      <c r="E47" s="38"/>
      <c r="F47" s="38"/>
      <c r="G47" s="38"/>
      <c r="H47" s="38"/>
      <c r="I47" s="38"/>
      <c r="J47" s="38"/>
      <c r="K47" s="38"/>
      <c r="M47" s="40"/>
    </row>
    <row r="48" spans="1:22" x14ac:dyDescent="0.3">
      <c r="A48" s="33"/>
      <c r="B48" s="34"/>
      <c r="C48" s="69"/>
      <c r="D48">
        <f t="shared" ref="D48:J48" si="15">SUM(D32:D46)</f>
        <v>100</v>
      </c>
      <c r="E48" s="40">
        <f t="shared" si="15"/>
        <v>1.042422433825395E-2</v>
      </c>
      <c r="F48" s="40">
        <f t="shared" si="15"/>
        <v>1</v>
      </c>
      <c r="G48" s="40">
        <f t="shared" si="15"/>
        <v>2.6281558555628179</v>
      </c>
      <c r="H48" s="40">
        <f t="shared" si="15"/>
        <v>0.99999999999999978</v>
      </c>
      <c r="I48" s="40">
        <f t="shared" si="15"/>
        <v>72.702567661961439</v>
      </c>
      <c r="J48" s="40">
        <f t="shared" si="15"/>
        <v>100</v>
      </c>
      <c r="K48" s="38"/>
      <c r="M48" s="40"/>
    </row>
    <row r="49" spans="1:21" ht="15" thickBot="1" x14ac:dyDescent="0.35">
      <c r="A49" s="33"/>
      <c r="B49" s="34"/>
      <c r="C49" s="69"/>
      <c r="E49" s="38"/>
      <c r="F49" s="38"/>
      <c r="G49" s="38"/>
      <c r="H49" s="38"/>
      <c r="I49" s="38"/>
      <c r="J49" s="38"/>
      <c r="K49" s="38"/>
      <c r="M49" s="40"/>
    </row>
    <row r="50" spans="1:21" ht="15" thickBot="1" x14ac:dyDescent="0.35">
      <c r="A50" s="33"/>
      <c r="B50" s="34"/>
      <c r="C50" s="69"/>
      <c r="E50" s="38"/>
      <c r="F50" s="38"/>
      <c r="G50" s="38">
        <f>SUM(G32:G33,G35:G37,G39:G40,G42)</f>
        <v>7.8245841657467882E-2</v>
      </c>
      <c r="H50" s="38"/>
      <c r="I50" s="38"/>
      <c r="J50" s="74">
        <f>SUM(J32:J33,J35:J37,J39:J40,J42)</f>
        <v>3.5291179416323279</v>
      </c>
      <c r="K50" s="22" t="s">
        <v>160</v>
      </c>
      <c r="M50" s="40"/>
    </row>
    <row r="51" spans="1:21" x14ac:dyDescent="0.3">
      <c r="A51" s="33"/>
      <c r="B51" s="34"/>
      <c r="C51" s="69" t="s">
        <v>176</v>
      </c>
      <c r="E51" s="38"/>
      <c r="F51" s="38"/>
      <c r="G51" s="38"/>
      <c r="H51" s="38"/>
      <c r="I51" s="38"/>
      <c r="J51" s="38"/>
      <c r="K51" s="38"/>
      <c r="M51" s="40"/>
    </row>
    <row r="52" spans="1:21" x14ac:dyDescent="0.3">
      <c r="A52" s="33"/>
      <c r="B52" s="34"/>
      <c r="C52" s="69">
        <f>EXP(((2799/(M30+459.6))-2.227)*LOG10(7.5)-(7261/(68+459.6))+12.82)</f>
        <v>5.7618271161321388</v>
      </c>
      <c r="E52" s="38"/>
      <c r="F52" s="38"/>
      <c r="G52" s="38"/>
      <c r="H52" s="38"/>
      <c r="I52" s="38"/>
      <c r="J52" s="38"/>
      <c r="K52" s="38"/>
      <c r="M52" s="40"/>
    </row>
    <row r="54" spans="1:21" x14ac:dyDescent="0.3">
      <c r="A54" s="68" t="s">
        <v>177</v>
      </c>
      <c r="O54" s="68" t="s">
        <v>178</v>
      </c>
    </row>
    <row r="55" spans="1:21" x14ac:dyDescent="0.3">
      <c r="A55" s="68"/>
    </row>
    <row r="56" spans="1:21" x14ac:dyDescent="0.3">
      <c r="A56" s="68" t="s">
        <v>179</v>
      </c>
    </row>
    <row r="59" spans="1:21" ht="57.6" x14ac:dyDescent="0.3">
      <c r="A59" s="23"/>
      <c r="B59" s="24" t="s">
        <v>126</v>
      </c>
      <c r="C59" s="24" t="s">
        <v>127</v>
      </c>
      <c r="D59" s="25" t="s">
        <v>180</v>
      </c>
      <c r="E59" s="25" t="s">
        <v>181</v>
      </c>
      <c r="F59" s="25" t="s">
        <v>182</v>
      </c>
      <c r="G59" s="26" t="s">
        <v>183</v>
      </c>
      <c r="H59" s="25" t="s">
        <v>184</v>
      </c>
      <c r="I59" s="25" t="s">
        <v>133</v>
      </c>
      <c r="J59" s="27" t="s">
        <v>185</v>
      </c>
      <c r="K59" s="28"/>
      <c r="L59" s="29" t="s">
        <v>135</v>
      </c>
      <c r="M59" s="30">
        <v>68</v>
      </c>
      <c r="N59" s="31" t="s">
        <v>136</v>
      </c>
      <c r="O59" s="32" t="s">
        <v>137</v>
      </c>
      <c r="P59" s="25" t="s">
        <v>138</v>
      </c>
      <c r="Q59" s="32" t="s">
        <v>139</v>
      </c>
      <c r="T59" t="s">
        <v>140</v>
      </c>
      <c r="U59" t="s">
        <v>15</v>
      </c>
    </row>
    <row r="60" spans="1:21" x14ac:dyDescent="0.3">
      <c r="A60" s="33"/>
      <c r="B60" s="34"/>
      <c r="C60" s="35"/>
      <c r="D60" s="36"/>
      <c r="E60" s="37"/>
      <c r="F60" s="37"/>
      <c r="G60" s="37"/>
      <c r="H60" s="37"/>
      <c r="I60" s="37"/>
      <c r="J60" s="37"/>
      <c r="K60" s="38"/>
      <c r="L60" s="39"/>
      <c r="M60" s="40">
        <f>(M59-32)/1.8</f>
        <v>20</v>
      </c>
      <c r="N60" t="s">
        <v>139</v>
      </c>
      <c r="O60" s="39"/>
      <c r="P60" s="39"/>
      <c r="Q60" s="39"/>
      <c r="T60" t="s">
        <v>141</v>
      </c>
      <c r="U60" t="s">
        <v>141</v>
      </c>
    </row>
    <row r="61" spans="1:21" x14ac:dyDescent="0.3">
      <c r="A61" t="s">
        <v>149</v>
      </c>
      <c r="B61" s="41">
        <v>58.12</v>
      </c>
      <c r="C61" s="42">
        <f>10^(O61-(P61/($M$60+Q61)))*(14.696/760)</f>
        <v>30.07569864234873</v>
      </c>
      <c r="D61">
        <v>1.5</v>
      </c>
      <c r="E61">
        <f>D61/100/$B61</f>
        <v>2.5808671713695803E-4</v>
      </c>
      <c r="F61" s="38">
        <f>E61/E$77</f>
        <v>2.3986254350075221E-2</v>
      </c>
      <c r="G61" s="38">
        <f>C61*F61</f>
        <v>0.72140335739158867</v>
      </c>
      <c r="H61" s="38">
        <f>F61*$C61/$G$77</f>
        <v>0.1986532187491471</v>
      </c>
      <c r="I61" s="38">
        <f>H61*B61</f>
        <v>11.545725073700428</v>
      </c>
      <c r="J61" s="40">
        <f>(H61*$B61)/$I$77*100</f>
        <v>15.349771871711754</v>
      </c>
      <c r="K61" s="38"/>
      <c r="M61" s="40"/>
      <c r="O61">
        <v>6.8089599999999999</v>
      </c>
      <c r="P61">
        <v>935.86</v>
      </c>
      <c r="Q61">
        <v>238.73</v>
      </c>
      <c r="T61">
        <f>'Loading Loss'!$H$3/1000/'Loading Loss'!$G$3*'Fuel Composition'!J61*10000</f>
        <v>170.75869491996062</v>
      </c>
      <c r="U61">
        <f>'Loading Loss'!$I$3/1000/'Loading Loss'!$G$3*'Fuel Composition'!J61*10000</f>
        <v>426.89673729990147</v>
      </c>
    </row>
    <row r="62" spans="1:21" x14ac:dyDescent="0.3">
      <c r="A62" t="s">
        <v>151</v>
      </c>
      <c r="B62" s="41">
        <v>72.150000000000006</v>
      </c>
      <c r="C62" s="42">
        <f t="shared" ref="C62:C75" si="16">10^(O62-(P62/($M$60+Q62)))*(14.696/760)</f>
        <v>8.5242886491898577</v>
      </c>
      <c r="D62">
        <v>14.6</v>
      </c>
      <c r="E62">
        <f t="shared" ref="E62:E75" si="17">D62/100/$B62</f>
        <v>2.0235620235620234E-3</v>
      </c>
      <c r="F62" s="38">
        <f t="shared" ref="F62:F75" si="18">E62/E$77</f>
        <v>0.18806730516299403</v>
      </c>
      <c r="G62" s="38">
        <f t="shared" ref="G62:G75" si="19">C62*F62</f>
        <v>1.6031399946846352</v>
      </c>
      <c r="H62" s="38">
        <f t="shared" ref="H62:H75" si="20">F62*$C62/$G$77</f>
        <v>0.44145749640131438</v>
      </c>
      <c r="I62" s="38">
        <f t="shared" ref="I62:I75" si="21">H62*B62</f>
        <v>31.851158365354834</v>
      </c>
      <c r="J62" s="40">
        <f t="shared" ref="J62:J75" si="22">(H62*$B62)/$I$77*100</f>
        <v>42.345371264003617</v>
      </c>
      <c r="K62" s="38"/>
      <c r="M62" s="40"/>
      <c r="O62">
        <v>6.8529600000000004</v>
      </c>
      <c r="P62">
        <v>1064.8399999999999</v>
      </c>
      <c r="Q62">
        <v>233.01</v>
      </c>
      <c r="T62">
        <f>'Loading Loss'!$H$3/1000/'Loading Loss'!$G$3*'Fuel Composition'!J62*10000</f>
        <v>471.07151776426383</v>
      </c>
      <c r="U62">
        <f>'Loading Loss'!$I$3/1000/'Loading Loss'!$G$3*'Fuel Composition'!J62*10000</f>
        <v>1177.6787944106595</v>
      </c>
    </row>
    <row r="63" spans="1:21" x14ac:dyDescent="0.3">
      <c r="A63" t="s">
        <v>186</v>
      </c>
      <c r="B63" s="41">
        <v>70.099999999999994</v>
      </c>
      <c r="C63" s="42">
        <f t="shared" si="16"/>
        <v>5.0216305359184528</v>
      </c>
      <c r="D63">
        <v>1.5</v>
      </c>
      <c r="E63">
        <f t="shared" si="17"/>
        <v>2.1398002853067048E-4</v>
      </c>
      <c r="F63" s="38">
        <f t="shared" si="18"/>
        <v>1.9887034277123707E-2</v>
      </c>
      <c r="G63" s="38">
        <f t="shared" si="19"/>
        <v>9.9865338594861366E-2</v>
      </c>
      <c r="H63" s="38">
        <f t="shared" si="20"/>
        <v>2.7499970370354072E-2</v>
      </c>
      <c r="I63" s="38">
        <f t="shared" si="21"/>
        <v>1.9277479229618204</v>
      </c>
      <c r="J63" s="40">
        <f t="shared" si="22"/>
        <v>2.5628958471420016</v>
      </c>
      <c r="K63" s="38"/>
      <c r="M63" s="40"/>
      <c r="O63">
        <v>6.8867599999999998</v>
      </c>
      <c r="P63">
        <v>1124.162</v>
      </c>
      <c r="Q63">
        <v>231.36099999999999</v>
      </c>
      <c r="T63">
        <f>'Loading Loss'!$H$3/1000/'Loading Loss'!$G$3*'Fuel Composition'!J63*10000</f>
        <v>28.510961187656484</v>
      </c>
      <c r="U63">
        <f>'Loading Loss'!$I$3/1000/'Loading Loss'!$G$3*'Fuel Composition'!J63*10000</f>
        <v>71.277402969141207</v>
      </c>
    </row>
    <row r="64" spans="1:21" x14ac:dyDescent="0.3">
      <c r="A64" t="s">
        <v>68</v>
      </c>
      <c r="B64" s="41">
        <v>78.11</v>
      </c>
      <c r="C64" s="42">
        <f t="shared" si="16"/>
        <v>1.4541857267658553</v>
      </c>
      <c r="D64">
        <v>1.8</v>
      </c>
      <c r="E64">
        <f t="shared" si="17"/>
        <v>2.3044424529509669E-4</v>
      </c>
      <c r="F64" s="38">
        <f t="shared" si="18"/>
        <v>2.1417197841398623E-2</v>
      </c>
      <c r="G64" s="38">
        <f t="shared" si="19"/>
        <v>3.1144583408282366E-2</v>
      </c>
      <c r="H64" s="38">
        <f t="shared" si="20"/>
        <v>8.5763001755731951E-3</v>
      </c>
      <c r="I64" s="38">
        <f t="shared" si="21"/>
        <v>0.66989480671402224</v>
      </c>
      <c r="J64" s="70">
        <f t="shared" si="22"/>
        <v>0.89060950225874769</v>
      </c>
      <c r="O64">
        <v>6.9056499999999996</v>
      </c>
      <c r="P64">
        <v>1211.0329999999999</v>
      </c>
      <c r="Q64">
        <v>220.79</v>
      </c>
      <c r="T64">
        <f>'Loading Loss'!$H$3/1000/'Loading Loss'!$G$3*'Fuel Composition'!J64*10000</f>
        <v>9.9075945597138126</v>
      </c>
      <c r="U64">
        <f>'Loading Loss'!$I$3/1000/'Loading Loss'!$G$3*'Fuel Composition'!J64*10000</f>
        <v>24.768986399284525</v>
      </c>
    </row>
    <row r="65" spans="1:21" x14ac:dyDescent="0.3">
      <c r="A65" t="s">
        <v>169</v>
      </c>
      <c r="B65" s="41">
        <v>84.162000000000006</v>
      </c>
      <c r="C65" s="42">
        <f t="shared" si="16"/>
        <v>1.4994094007164092</v>
      </c>
      <c r="D65">
        <v>7.5</v>
      </c>
      <c r="E65">
        <f t="shared" si="17"/>
        <v>8.9113851857132659E-4</v>
      </c>
      <c r="F65" s="38">
        <f t="shared" si="18"/>
        <v>8.2821291249398285E-2</v>
      </c>
      <c r="G65" s="38">
        <f t="shared" si="19"/>
        <v>0.12418302267881946</v>
      </c>
      <c r="H65" s="38">
        <f t="shared" si="20"/>
        <v>3.4196343718642989E-2</v>
      </c>
      <c r="I65" s="38">
        <f t="shared" si="21"/>
        <v>2.8780326800484315</v>
      </c>
      <c r="J65" s="40">
        <f t="shared" si="22"/>
        <v>3.8262772408035302</v>
      </c>
      <c r="O65">
        <v>6.8413000000000004</v>
      </c>
      <c r="P65">
        <v>1201.5309999999999</v>
      </c>
      <c r="Q65">
        <v>222.64699999999999</v>
      </c>
      <c r="T65">
        <f>'Loading Loss'!$H$3/1000/'Loading Loss'!$G$3*'Fuel Composition'!J65*10000</f>
        <v>42.565460483856498</v>
      </c>
      <c r="U65">
        <f>'Loading Loss'!$I$3/1000/'Loading Loss'!$G$3*'Fuel Composition'!J65*10000</f>
        <v>106.41365120964124</v>
      </c>
    </row>
    <row r="66" spans="1:21" x14ac:dyDescent="0.3">
      <c r="A66" t="s">
        <v>170</v>
      </c>
      <c r="B66" s="41">
        <v>86.18</v>
      </c>
      <c r="C66" s="42">
        <f t="shared" si="16"/>
        <v>2.3473094072581069</v>
      </c>
      <c r="D66">
        <v>8.5</v>
      </c>
      <c r="E66">
        <f t="shared" si="17"/>
        <v>9.8630772801113951E-4</v>
      </c>
      <c r="F66" s="38">
        <f t="shared" si="18"/>
        <v>9.1666197679462838E-2</v>
      </c>
      <c r="G66" s="38">
        <f t="shared" si="19"/>
        <v>0.21516892814058436</v>
      </c>
      <c r="H66" s="38">
        <f t="shared" si="20"/>
        <v>5.9251179956359597E-2</v>
      </c>
      <c r="I66" s="38">
        <f t="shared" si="21"/>
        <v>5.1062666886390708</v>
      </c>
      <c r="J66" s="70">
        <f t="shared" si="22"/>
        <v>6.7886623218899986</v>
      </c>
      <c r="O66">
        <v>6.87601</v>
      </c>
      <c r="P66">
        <v>1171.17</v>
      </c>
      <c r="Q66">
        <v>224.41</v>
      </c>
      <c r="T66">
        <f>'Loading Loss'!$H$3/1000/'Loading Loss'!$G$3*'Fuel Composition'!J66*10000</f>
        <v>75.520543759649584</v>
      </c>
      <c r="U66">
        <f>'Loading Loss'!$I$3/1000/'Loading Loss'!$G$3*'Fuel Composition'!J66*10000</f>
        <v>188.80135939912392</v>
      </c>
    </row>
    <row r="67" spans="1:21" x14ac:dyDescent="0.3">
      <c r="A67" t="s">
        <v>174</v>
      </c>
      <c r="B67" s="57">
        <v>100.2</v>
      </c>
      <c r="C67" s="42">
        <f t="shared" si="16"/>
        <v>3.3164041247597318</v>
      </c>
      <c r="D67">
        <v>6.5</v>
      </c>
      <c r="E67">
        <f t="shared" si="17"/>
        <v>6.4870259481037925E-4</v>
      </c>
      <c r="F67" s="38">
        <f t="shared" si="18"/>
        <v>6.0289601918638837E-2</v>
      </c>
      <c r="G67" s="38">
        <f t="shared" si="19"/>
        <v>0.19994468448309607</v>
      </c>
      <c r="H67" s="38">
        <f t="shared" si="20"/>
        <v>5.5058872040692833E-2</v>
      </c>
      <c r="I67" s="38">
        <f t="shared" si="21"/>
        <v>5.5168989784774221</v>
      </c>
      <c r="J67" s="40">
        <f t="shared" si="22"/>
        <v>7.3345883622159489</v>
      </c>
      <c r="K67" s="38"/>
      <c r="M67" s="40"/>
      <c r="O67" s="59">
        <v>6.8391000000000002</v>
      </c>
      <c r="P67" s="59">
        <v>1135.4100000000001</v>
      </c>
      <c r="Q67" s="59">
        <v>226.57</v>
      </c>
      <c r="T67">
        <f>'Loading Loss'!$H$3/1000/'Loading Loss'!$G$3*'Fuel Composition'!J67*10000</f>
        <v>81.593703605150608</v>
      </c>
      <c r="U67">
        <f>'Loading Loss'!$I$3/1000/'Loading Loss'!$G$3*'Fuel Composition'!J67*10000</f>
        <v>203.98425901287652</v>
      </c>
    </row>
    <row r="68" spans="1:21" x14ac:dyDescent="0.3">
      <c r="A68" t="s">
        <v>70</v>
      </c>
      <c r="B68" s="41">
        <v>92.14</v>
      </c>
      <c r="C68" s="42">
        <f t="shared" si="16"/>
        <v>0.4222068746271907</v>
      </c>
      <c r="D68">
        <v>3</v>
      </c>
      <c r="E68">
        <f t="shared" si="17"/>
        <v>3.2559149120902974E-4</v>
      </c>
      <c r="F68" s="38">
        <f t="shared" si="18"/>
        <v>3.0260063009037809E-2</v>
      </c>
      <c r="G68" s="38">
        <f t="shared" si="19"/>
        <v>1.2776006629067718E-2</v>
      </c>
      <c r="H68" s="38">
        <f t="shared" si="20"/>
        <v>3.5181356083529851E-3</v>
      </c>
      <c r="I68" s="38">
        <f t="shared" si="21"/>
        <v>0.32416101495364402</v>
      </c>
      <c r="J68" s="70">
        <f t="shared" si="22"/>
        <v>0.43096449962897176</v>
      </c>
      <c r="O68">
        <v>6.9546400000000004</v>
      </c>
      <c r="P68">
        <v>1344.8</v>
      </c>
      <c r="Q68">
        <v>219.48</v>
      </c>
      <c r="T68">
        <f>'Loading Loss'!$H$3/1000/'Loading Loss'!$G$3*'Fuel Composition'!J68*10000</f>
        <v>4.7942690046813352</v>
      </c>
      <c r="U68">
        <f>'Loading Loss'!$I$3/1000/'Loading Loss'!$G$3*'Fuel Composition'!J68*10000</f>
        <v>11.985672511703338</v>
      </c>
    </row>
    <row r="69" spans="1:21" x14ac:dyDescent="0.3">
      <c r="A69" t="s">
        <v>143</v>
      </c>
      <c r="B69" s="41">
        <v>106.14</v>
      </c>
      <c r="C69" s="42">
        <f t="shared" si="16"/>
        <v>0.12596357432098818</v>
      </c>
      <c r="D69">
        <v>2.8</v>
      </c>
      <c r="E69">
        <f t="shared" si="17"/>
        <v>2.6380252496702465E-4</v>
      </c>
      <c r="F69" s="38">
        <f t="shared" si="18"/>
        <v>2.4517474328960748E-2</v>
      </c>
      <c r="G69" s="38">
        <f t="shared" si="19"/>
        <v>3.0883086997989667E-3</v>
      </c>
      <c r="H69" s="38">
        <f t="shared" si="20"/>
        <v>8.5042917726960306E-4</v>
      </c>
      <c r="I69" s="38">
        <f t="shared" si="21"/>
        <v>9.0264552875395671E-2</v>
      </c>
      <c r="J69" s="70">
        <f t="shared" si="22"/>
        <v>0.12000461520562763</v>
      </c>
      <c r="O69">
        <v>6.9905200000000001</v>
      </c>
      <c r="P69">
        <v>1453.43</v>
      </c>
      <c r="Q69">
        <v>215.31</v>
      </c>
      <c r="T69">
        <f>'Loading Loss'!$H$3/1000/'Loading Loss'!$G$3*'Fuel Composition'!J69*10000</f>
        <v>1.3349925750134197</v>
      </c>
      <c r="U69">
        <f>'Loading Loss'!$I$3/1000/'Loading Loss'!$G$3*'Fuel Composition'!J69*10000</f>
        <v>3.3374814375335498</v>
      </c>
    </row>
    <row r="70" spans="1:21" x14ac:dyDescent="0.3">
      <c r="A70" t="s">
        <v>187</v>
      </c>
      <c r="B70" s="41">
        <v>100.2</v>
      </c>
      <c r="C70" s="42">
        <f t="shared" si="16"/>
        <v>0.68492909687757286</v>
      </c>
      <c r="D70">
        <v>4.4000000000000004</v>
      </c>
      <c r="E70">
        <f t="shared" si="17"/>
        <v>4.3912175648702596E-4</v>
      </c>
      <c r="F70" s="38">
        <f t="shared" si="18"/>
        <v>4.0811422837232443E-2</v>
      </c>
      <c r="G70" s="38">
        <f t="shared" si="19"/>
        <v>2.795293098619437E-2</v>
      </c>
      <c r="H70" s="38">
        <f t="shared" si="20"/>
        <v>7.6974131836013374E-3</v>
      </c>
      <c r="I70" s="38">
        <f t="shared" si="21"/>
        <v>0.77128080099685403</v>
      </c>
      <c r="J70" s="40">
        <f t="shared" si="22"/>
        <v>1.0253998141095872</v>
      </c>
      <c r="K70" s="38"/>
      <c r="M70" s="40"/>
      <c r="O70">
        <v>6.8967700000000001</v>
      </c>
      <c r="P70">
        <v>1264.9000000000001</v>
      </c>
      <c r="Q70">
        <v>216.54</v>
      </c>
      <c r="T70">
        <f>'Loading Loss'!$H$3/1000/'Loading Loss'!$G$3*'Fuel Composition'!J70*10000</f>
        <v>11.4070707689936</v>
      </c>
      <c r="U70">
        <f>'Loading Loss'!$I$3/1000/'Loading Loss'!$G$3*'Fuel Composition'!J70*10000</f>
        <v>28.517676922484</v>
      </c>
    </row>
    <row r="71" spans="1:21" x14ac:dyDescent="0.3">
      <c r="A71" t="s">
        <v>153</v>
      </c>
      <c r="B71" s="57">
        <v>86.18</v>
      </c>
      <c r="C71" s="42">
        <f t="shared" si="16"/>
        <v>3.3164041247597318</v>
      </c>
      <c r="D71" s="48">
        <v>14.9</v>
      </c>
      <c r="E71">
        <f t="shared" si="17"/>
        <v>1.7289394291018795E-3</v>
      </c>
      <c r="F71" s="38">
        <f t="shared" si="18"/>
        <v>0.16068545240282306</v>
      </c>
      <c r="G71" s="38">
        <f t="shared" si="19"/>
        <v>0.53289789713760594</v>
      </c>
      <c r="H71" s="38">
        <f t="shared" si="20"/>
        <v>0.14674437185017686</v>
      </c>
      <c r="I71" s="38">
        <f t="shared" si="21"/>
        <v>12.646429966048242</v>
      </c>
      <c r="J71" s="40">
        <f t="shared" si="22"/>
        <v>16.813133322618096</v>
      </c>
      <c r="K71" s="40"/>
      <c r="O71" s="59">
        <v>6.8391000000000002</v>
      </c>
      <c r="P71" s="59">
        <v>1135.4100000000001</v>
      </c>
      <c r="Q71" s="59">
        <v>226.57</v>
      </c>
      <c r="T71">
        <f>'Loading Loss'!$H$3/1000/'Loading Loss'!$G$3*'Fuel Composition'!J71*10000</f>
        <v>187.03787441796061</v>
      </c>
      <c r="U71">
        <f>'Loading Loss'!$I$3/1000/'Loading Loss'!$G$3*'Fuel Composition'!J71*10000</f>
        <v>467.59468604490149</v>
      </c>
    </row>
    <row r="72" spans="1:21" x14ac:dyDescent="0.3">
      <c r="A72" t="s">
        <v>155</v>
      </c>
      <c r="B72" s="57">
        <v>114.23</v>
      </c>
      <c r="C72" s="42">
        <f t="shared" si="16"/>
        <v>0.40166681117717029</v>
      </c>
      <c r="D72" s="48">
        <v>16.8</v>
      </c>
      <c r="E72">
        <f t="shared" si="17"/>
        <v>1.470716974525081E-3</v>
      </c>
      <c r="F72" s="38">
        <f t="shared" si="18"/>
        <v>0.13668658278609266</v>
      </c>
      <c r="G72" s="38">
        <f t="shared" si="19"/>
        <v>5.4902463838394137E-2</v>
      </c>
      <c r="H72" s="38">
        <f t="shared" si="20"/>
        <v>1.5118520099755244E-2</v>
      </c>
      <c r="I72" s="38">
        <f t="shared" si="21"/>
        <v>1.7269885509950416</v>
      </c>
      <c r="J72" s="40">
        <f t="shared" si="22"/>
        <v>2.2959909502102653</v>
      </c>
      <c r="K72" s="40"/>
      <c r="O72" s="59">
        <v>6.8539599999999998</v>
      </c>
      <c r="P72" s="59">
        <v>1315.08</v>
      </c>
      <c r="Q72" s="59">
        <v>217.53</v>
      </c>
      <c r="T72">
        <f>'Loading Loss'!$H$3/1000/'Loading Loss'!$G$3*'Fuel Composition'!J72*10000</f>
        <v>25.541774919044705</v>
      </c>
      <c r="U72">
        <f>'Loading Loss'!$I$3/1000/'Loading Loss'!$G$3*'Fuel Composition'!J72*10000</f>
        <v>63.85443729761176</v>
      </c>
    </row>
    <row r="73" spans="1:21" x14ac:dyDescent="0.3">
      <c r="A73" t="s">
        <v>156</v>
      </c>
      <c r="B73" s="57">
        <v>120.19</v>
      </c>
      <c r="C73" s="42">
        <f t="shared" si="16"/>
        <v>2.7986508440504987E-2</v>
      </c>
      <c r="D73" s="48">
        <v>7.2</v>
      </c>
      <c r="E73">
        <f t="shared" si="17"/>
        <v>5.9905150178883441E-4</v>
      </c>
      <c r="F73" s="38">
        <f t="shared" si="18"/>
        <v>5.5675091884238172E-2</v>
      </c>
      <c r="G73" s="38">
        <f t="shared" si="19"/>
        <v>1.5581514289441222E-3</v>
      </c>
      <c r="H73" s="38">
        <f t="shared" si="20"/>
        <v>4.2906897159104054E-4</v>
      </c>
      <c r="I73" s="38">
        <f t="shared" si="21"/>
        <v>5.1569799695527163E-2</v>
      </c>
      <c r="J73" s="40">
        <f t="shared" si="22"/>
        <v>6.8560844446169347E-2</v>
      </c>
      <c r="O73">
        <v>7.0438299999999998</v>
      </c>
      <c r="P73">
        <v>1573.2670000000001</v>
      </c>
      <c r="Q73">
        <v>208.56399999999999</v>
      </c>
      <c r="T73">
        <f>'Loading Loss'!$H$3/1000/'Loading Loss'!$G$3*'Fuel Composition'!J73*10000</f>
        <v>0.76270581856750053</v>
      </c>
      <c r="U73">
        <f>'Loading Loss'!$I$3/1000/'Loading Loss'!$G$3*'Fuel Composition'!J73*10000</f>
        <v>1.9067645464187513</v>
      </c>
    </row>
    <row r="74" spans="1:21" x14ac:dyDescent="0.3">
      <c r="A74" t="s">
        <v>144</v>
      </c>
      <c r="B74" s="41">
        <v>106.17</v>
      </c>
      <c r="C74" s="42">
        <f t="shared" si="16"/>
        <v>0.13689811593257009</v>
      </c>
      <c r="D74">
        <v>2</v>
      </c>
      <c r="E74">
        <f t="shared" si="17"/>
        <v>1.8837713101629462E-4</v>
      </c>
      <c r="F74" s="38">
        <f t="shared" si="18"/>
        <v>1.7507533236964263E-2</v>
      </c>
      <c r="G74" s="38">
        <f t="shared" si="19"/>
        <v>2.3967483147672576E-3</v>
      </c>
      <c r="H74" s="38">
        <f t="shared" si="20"/>
        <v>6.5999383338281804E-4</v>
      </c>
      <c r="I74" s="38">
        <f t="shared" si="21"/>
        <v>7.0071545290253792E-2</v>
      </c>
      <c r="J74" s="70">
        <f t="shared" si="22"/>
        <v>9.315848316479855E-2</v>
      </c>
      <c r="O74">
        <v>6.9571899999999998</v>
      </c>
      <c r="P74">
        <v>1424.2550000000001</v>
      </c>
      <c r="Q74">
        <v>213.21</v>
      </c>
      <c r="T74">
        <f>'Loading Loss'!$H$3/1000/'Loading Loss'!$G$3*'Fuel Composition'!J74*10000</f>
        <v>1.0363425032563796</v>
      </c>
      <c r="U74">
        <f>'Loading Loss'!$I$3/1000/'Loading Loss'!$G$3*'Fuel Composition'!J74*10000</f>
        <v>2.5908562581409487</v>
      </c>
    </row>
    <row r="75" spans="1:21" x14ac:dyDescent="0.3">
      <c r="A75" t="s">
        <v>188</v>
      </c>
      <c r="B75" s="57">
        <v>142.29</v>
      </c>
      <c r="C75" s="42">
        <f t="shared" si="16"/>
        <v>2.2929132776109109E-2</v>
      </c>
      <c r="D75" s="58">
        <v>7</v>
      </c>
      <c r="E75">
        <f t="shared" si="17"/>
        <v>4.9195305362288288E-4</v>
      </c>
      <c r="F75" s="38">
        <f t="shared" si="18"/>
        <v>4.5721497035559319E-2</v>
      </c>
      <c r="G75" s="38">
        <f t="shared" si="19"/>
        <v>1.0483542762508187E-3</v>
      </c>
      <c r="H75" s="38">
        <f t="shared" si="20"/>
        <v>2.8868586378592571E-4</v>
      </c>
      <c r="I75" s="38">
        <f t="shared" si="21"/>
        <v>4.1077111558099365E-2</v>
      </c>
      <c r="J75" s="40">
        <f t="shared" si="22"/>
        <v>5.4611060590895835E-2</v>
      </c>
      <c r="O75">
        <v>7.44</v>
      </c>
      <c r="P75">
        <v>1843.12</v>
      </c>
      <c r="Q75">
        <v>230.22</v>
      </c>
      <c r="T75">
        <f>'Loading Loss'!$H$3/1000/'Loading Loss'!$G$3*'Fuel Composition'!J75*10000</f>
        <v>0.60752130472257881</v>
      </c>
      <c r="U75">
        <f>'Loading Loss'!$I$3/1000/'Loading Loss'!$G$3*'Fuel Composition'!J75*10000</f>
        <v>1.5188032618064471</v>
      </c>
    </row>
    <row r="76" spans="1:21" x14ac:dyDescent="0.3">
      <c r="A76" s="33"/>
      <c r="B76" s="34"/>
      <c r="C76" s="69"/>
      <c r="E76" s="38"/>
      <c r="F76" s="38"/>
      <c r="G76" s="38"/>
      <c r="H76" s="38"/>
      <c r="I76" s="38"/>
      <c r="J76" s="38"/>
      <c r="K76" s="38"/>
      <c r="M76" s="40"/>
    </row>
    <row r="77" spans="1:21" x14ac:dyDescent="0.3">
      <c r="A77" s="33"/>
      <c r="B77" s="34"/>
      <c r="C77" s="69"/>
      <c r="D77">
        <f t="shared" ref="D77:J77" si="23">SUM(D61:D75)</f>
        <v>100</v>
      </c>
      <c r="E77" s="40">
        <f t="shared" si="23"/>
        <v>1.0759775718635647E-2</v>
      </c>
      <c r="F77" s="40">
        <f t="shared" si="23"/>
        <v>1.0000000000000002</v>
      </c>
      <c r="G77" s="40">
        <f t="shared" si="23"/>
        <v>3.631470770692891</v>
      </c>
      <c r="H77" s="40">
        <f t="shared" si="23"/>
        <v>1</v>
      </c>
      <c r="I77" s="40">
        <f t="shared" si="23"/>
        <v>75.217567858309081</v>
      </c>
      <c r="J77" s="40">
        <f t="shared" si="23"/>
        <v>100.00000000000003</v>
      </c>
      <c r="K77" s="38"/>
      <c r="M77" s="40"/>
    </row>
    <row r="78" spans="1:21" ht="15" thickBot="1" x14ac:dyDescent="0.35">
      <c r="A78" s="33"/>
      <c r="B78" s="34"/>
      <c r="C78" s="69"/>
      <c r="E78" s="38"/>
      <c r="F78" s="38"/>
      <c r="G78" s="38"/>
      <c r="H78" s="38"/>
      <c r="I78" s="38"/>
      <c r="J78" s="38"/>
      <c r="K78" s="38"/>
      <c r="M78" s="40"/>
    </row>
    <row r="79" spans="1:21" ht="15" thickBot="1" x14ac:dyDescent="0.35">
      <c r="A79" s="33"/>
      <c r="B79" s="34"/>
      <c r="C79" s="69"/>
      <c r="E79" s="38"/>
      <c r="F79" s="38"/>
      <c r="G79" s="38">
        <f>SUM(G64,G66,G68:G69,G74)</f>
        <v>0.26457457519250066</v>
      </c>
      <c r="H79" s="38"/>
      <c r="I79" s="38"/>
      <c r="J79" s="74">
        <f>SUM(J64,J66,J68:J69,J74)</f>
        <v>8.3233994221481442</v>
      </c>
      <c r="K79" s="22" t="s">
        <v>160</v>
      </c>
      <c r="M79" s="40"/>
    </row>
    <row r="80" spans="1:21" x14ac:dyDescent="0.3">
      <c r="A80" s="33"/>
      <c r="B80" s="34"/>
      <c r="C80" s="69"/>
      <c r="E80" s="38"/>
      <c r="F80" s="38"/>
      <c r="G80" s="38"/>
      <c r="H80" s="38"/>
      <c r="I80" s="38"/>
      <c r="J80" s="38"/>
      <c r="K80" s="38"/>
      <c r="M80" s="40"/>
    </row>
    <row r="81" spans="1:21" x14ac:dyDescent="0.3">
      <c r="A81" s="68" t="s">
        <v>189</v>
      </c>
    </row>
    <row r="85" spans="1:21" ht="66.599999999999994" x14ac:dyDescent="0.3">
      <c r="A85" s="23"/>
      <c r="B85" s="24" t="s">
        <v>126</v>
      </c>
      <c r="C85" s="24" t="s">
        <v>127</v>
      </c>
      <c r="D85" s="25" t="s">
        <v>190</v>
      </c>
      <c r="E85" s="25" t="s">
        <v>191</v>
      </c>
      <c r="F85" s="25" t="s">
        <v>192</v>
      </c>
      <c r="G85" s="86" t="s">
        <v>193</v>
      </c>
      <c r="H85" s="25" t="s">
        <v>194</v>
      </c>
      <c r="I85" s="25" t="s">
        <v>133</v>
      </c>
      <c r="J85" s="27" t="s">
        <v>195</v>
      </c>
      <c r="K85" s="28"/>
      <c r="L85" s="29" t="s">
        <v>135</v>
      </c>
      <c r="M85" s="30">
        <v>68</v>
      </c>
      <c r="N85" s="31" t="s">
        <v>136</v>
      </c>
      <c r="O85" s="32" t="s">
        <v>137</v>
      </c>
      <c r="P85" s="25" t="s">
        <v>138</v>
      </c>
      <c r="Q85" s="32" t="s">
        <v>139</v>
      </c>
      <c r="T85" t="s">
        <v>140</v>
      </c>
      <c r="U85" t="s">
        <v>15</v>
      </c>
    </row>
    <row r="86" spans="1:21" x14ac:dyDescent="0.3">
      <c r="A86" s="33"/>
      <c r="B86" s="34"/>
      <c r="C86" s="35"/>
      <c r="D86" s="36"/>
      <c r="E86" s="37"/>
      <c r="F86" s="37"/>
      <c r="G86" s="37"/>
      <c r="H86" s="37"/>
      <c r="I86" s="37"/>
      <c r="J86" s="37"/>
      <c r="K86" s="38"/>
      <c r="L86" s="39"/>
      <c r="M86" s="40">
        <f>(M85-32)/1.8</f>
        <v>20</v>
      </c>
      <c r="N86" t="s">
        <v>139</v>
      </c>
      <c r="O86" s="39"/>
      <c r="P86" s="39"/>
      <c r="Q86" s="39"/>
      <c r="T86" t="s">
        <v>141</v>
      </c>
      <c r="U86" t="s">
        <v>141</v>
      </c>
    </row>
    <row r="87" spans="1:21" x14ac:dyDescent="0.3">
      <c r="A87" t="s">
        <v>68</v>
      </c>
      <c r="B87" s="41">
        <v>78.11</v>
      </c>
      <c r="C87" s="42">
        <f>10^(O87-(P87/($M$86+Q87)))*(14.696/760)</f>
        <v>1.4541857267658553</v>
      </c>
      <c r="D87">
        <v>4.0000000000000001E-3</v>
      </c>
      <c r="E87">
        <f>D87/100/$B87</f>
        <v>5.1209832287799262E-7</v>
      </c>
      <c r="F87" s="38">
        <f t="shared" ref="F87:F98" si="24">E87/E$100</f>
        <v>6.6263358222038688E-5</v>
      </c>
      <c r="G87" s="38">
        <f>C87*F87</f>
        <v>9.6359229734061544E-5</v>
      </c>
      <c r="H87" s="38">
        <f t="shared" ref="H87:H98" si="25">F87*$C87/$G$100</f>
        <v>1.808701188795623E-3</v>
      </c>
      <c r="I87" s="38">
        <f>H87*B87</f>
        <v>0.14127764985682612</v>
      </c>
      <c r="J87" s="70">
        <f t="shared" ref="J87:J98" si="26">(H87*$B87)/$I$100*100</f>
        <v>0.11742876058067746</v>
      </c>
      <c r="O87">
        <v>6.9056499999999996</v>
      </c>
      <c r="P87">
        <v>1211.0329999999999</v>
      </c>
      <c r="Q87">
        <v>220.79</v>
      </c>
      <c r="T87">
        <f>'Loading Loss'!$H$4/1000/'Loading Loss'!$G$4*'Fuel Composition'!J87*10000</f>
        <v>1.0538547038326978E-3</v>
      </c>
      <c r="U87">
        <f>'Loading Loss'!$I$4/1000/'Loading Loss'!$G$4*'Fuel Composition'!J87*10000</f>
        <v>2.6346367595817448E-3</v>
      </c>
    </row>
    <row r="88" spans="1:21" x14ac:dyDescent="0.3">
      <c r="A88" t="s">
        <v>168</v>
      </c>
      <c r="B88" s="41">
        <v>154.20779999999999</v>
      </c>
      <c r="C88" s="42">
        <f t="shared" ref="C88:C98" si="27">10^(O88-(P88/($M$86+Q88)))*(14.696/760)</f>
        <v>3.6178738110413943E-4</v>
      </c>
      <c r="D88">
        <v>0.12</v>
      </c>
      <c r="E88">
        <f t="shared" ref="E88:E98" si="28">D88/100/$B88</f>
        <v>7.78170754008552E-6</v>
      </c>
      <c r="F88" s="38">
        <f t="shared" si="24"/>
        <v>1.0069200606046078E-3</v>
      </c>
      <c r="G88" s="38">
        <f t="shared" ref="G88:G98" si="29">C88*F88</f>
        <v>3.6429097170736242E-7</v>
      </c>
      <c r="H88" s="38">
        <f t="shared" si="25"/>
        <v>6.8378868886050272E-6</v>
      </c>
      <c r="I88" s="38">
        <f t="shared" ref="I88:I98" si="30">H88*B88</f>
        <v>1.0544554937406262E-3</v>
      </c>
      <c r="J88" s="71">
        <f t="shared" si="26"/>
        <v>8.764542858897596E-4</v>
      </c>
      <c r="O88">
        <v>7.2454000000000001</v>
      </c>
      <c r="P88">
        <v>1998.72</v>
      </c>
      <c r="Q88">
        <v>202.74</v>
      </c>
      <c r="T88">
        <f>'Loading Loss'!$H$4/1000/'Loading Loss'!$G$4*'Fuel Composition'!J88*10000</f>
        <v>7.8656665310255835E-6</v>
      </c>
      <c r="U88">
        <f>'Loading Loss'!$I$4/1000/'Loading Loss'!$G$4*'Fuel Composition'!J88*10000</f>
        <v>1.9664166327563966E-5</v>
      </c>
    </row>
    <row r="89" spans="1:21" x14ac:dyDescent="0.3">
      <c r="A89" t="s">
        <v>144</v>
      </c>
      <c r="B89" s="41">
        <v>106.17</v>
      </c>
      <c r="C89" s="42">
        <f t="shared" si="27"/>
        <v>0.13689811593257009</v>
      </c>
      <c r="D89">
        <v>0.127</v>
      </c>
      <c r="E89">
        <f t="shared" si="28"/>
        <v>1.1961947819534709E-5</v>
      </c>
      <c r="F89" s="38">
        <f t="shared" si="24"/>
        <v>1.5478254819202154E-3</v>
      </c>
      <c r="G89" s="38">
        <f t="shared" si="29"/>
        <v>2.1189439226729982E-4</v>
      </c>
      <c r="H89" s="38">
        <f t="shared" si="25"/>
        <v>3.9773422873005471E-3</v>
      </c>
      <c r="I89" s="38">
        <f t="shared" si="30"/>
        <v>0.42227443064269909</v>
      </c>
      <c r="J89" s="70">
        <f t="shared" si="26"/>
        <v>0.35099085428966376</v>
      </c>
      <c r="O89">
        <v>6.9571899999999998</v>
      </c>
      <c r="P89">
        <v>1424.2550000000001</v>
      </c>
      <c r="Q89">
        <v>213.21</v>
      </c>
      <c r="T89">
        <f>'Loading Loss'!$H$4/1000/'Loading Loss'!$G$4*'Fuel Composition'!J89*10000</f>
        <v>3.1499384049215959E-3</v>
      </c>
      <c r="U89">
        <f>'Loading Loss'!$I$4/1000/'Loading Loss'!$G$4*'Fuel Composition'!J89*10000</f>
        <v>7.8748460123039925E-3</v>
      </c>
    </row>
    <row r="90" spans="1:21" x14ac:dyDescent="0.3">
      <c r="A90" t="s">
        <v>170</v>
      </c>
      <c r="B90" s="41">
        <v>86.18</v>
      </c>
      <c r="C90" s="42">
        <f t="shared" si="27"/>
        <v>2.3473094072581069</v>
      </c>
      <c r="D90">
        <v>5.0000000000000001E-3</v>
      </c>
      <c r="E90">
        <f t="shared" si="28"/>
        <v>5.8018101647714089E-7</v>
      </c>
      <c r="F90" s="38">
        <f t="shared" si="24"/>
        <v>7.5072970972433304E-5</v>
      </c>
      <c r="G90" s="38">
        <f t="shared" si="29"/>
        <v>1.7621949099440749E-4</v>
      </c>
      <c r="H90" s="38">
        <f t="shared" si="25"/>
        <v>3.3077101563616868E-3</v>
      </c>
      <c r="I90" s="38">
        <f t="shared" si="30"/>
        <v>0.2850584612752502</v>
      </c>
      <c r="J90" s="70">
        <f t="shared" si="26"/>
        <v>0.23693812740027187</v>
      </c>
      <c r="O90">
        <v>6.87601</v>
      </c>
      <c r="P90">
        <v>1171.17</v>
      </c>
      <c r="Q90">
        <v>224.41</v>
      </c>
      <c r="T90">
        <f>'Loading Loss'!$H$4/1000/'Loading Loss'!$G$4*'Fuel Composition'!J90*10000</f>
        <v>2.1263816363499503E-3</v>
      </c>
      <c r="U90">
        <f>'Loading Loss'!$I$4/1000/'Loading Loss'!$G$4*'Fuel Composition'!J90*10000</f>
        <v>5.3159540908748783E-3</v>
      </c>
    </row>
    <row r="91" spans="1:21" x14ac:dyDescent="0.3">
      <c r="A91" t="s">
        <v>147</v>
      </c>
      <c r="B91" s="41">
        <v>128.16999999999999</v>
      </c>
      <c r="C91" s="42">
        <f t="shared" si="27"/>
        <v>3.4923466305314911E-3</v>
      </c>
      <c r="D91">
        <v>0.73299999999999998</v>
      </c>
      <c r="E91">
        <f t="shared" si="28"/>
        <v>5.7189669969571666E-5</v>
      </c>
      <c r="F91" s="38">
        <f t="shared" si="24"/>
        <v>7.4001015400645296E-3</v>
      </c>
      <c r="G91" s="38">
        <f t="shared" si="29"/>
        <v>2.5843719679035258E-5</v>
      </c>
      <c r="H91" s="38">
        <f t="shared" si="25"/>
        <v>4.8509692984655269E-4</v>
      </c>
      <c r="I91" s="38">
        <f t="shared" si="30"/>
        <v>6.2174873498432655E-2</v>
      </c>
      <c r="J91" s="70">
        <f t="shared" si="26"/>
        <v>5.1679217070644004E-2</v>
      </c>
      <c r="O91">
        <v>7.37</v>
      </c>
      <c r="P91">
        <v>1968.36</v>
      </c>
      <c r="Q91">
        <v>222.61</v>
      </c>
      <c r="T91">
        <f>'Loading Loss'!$H$4/1000/'Loading Loss'!$G$4*'Fuel Composition'!J91*10000</f>
        <v>4.6379086120790453E-4</v>
      </c>
      <c r="U91">
        <f>'Loading Loss'!$I$4/1000/'Loading Loss'!$G$4*'Fuel Composition'!J91*10000</f>
        <v>1.1594771530197617E-3</v>
      </c>
    </row>
    <row r="92" spans="1:21" x14ac:dyDescent="0.3">
      <c r="A92" t="s">
        <v>172</v>
      </c>
      <c r="B92" s="41">
        <v>94.111199999999997</v>
      </c>
      <c r="C92" s="42">
        <f t="shared" si="27"/>
        <v>4.2558416808476194E-3</v>
      </c>
      <c r="D92">
        <v>0.77</v>
      </c>
      <c r="E92">
        <f t="shared" si="28"/>
        <v>8.1818104540161001E-5</v>
      </c>
      <c r="F92" s="38">
        <f t="shared" si="24"/>
        <v>1.0586916863394181E-2</v>
      </c>
      <c r="G92" s="38">
        <f t="shared" si="29"/>
        <v>4.5056242058901498E-5</v>
      </c>
      <c r="H92" s="38">
        <f t="shared" si="25"/>
        <v>8.4572364058439374E-4</v>
      </c>
      <c r="I92" s="38">
        <f t="shared" si="30"/>
        <v>7.9592066683765991E-2</v>
      </c>
      <c r="J92" s="70">
        <f t="shared" si="26"/>
        <v>6.6156237396368903E-2</v>
      </c>
      <c r="O92">
        <v>7.1345000000000001</v>
      </c>
      <c r="P92">
        <v>1516.07</v>
      </c>
      <c r="Q92">
        <v>174.57</v>
      </c>
      <c r="T92">
        <f>'Loading Loss'!$H$4/1000/'Loading Loss'!$G$4*'Fuel Composition'!J92*10000</f>
        <v>5.9371368328576266E-4</v>
      </c>
      <c r="U92">
        <f>'Loading Loss'!$I$4/1000/'Loading Loss'!$G$4*'Fuel Composition'!J92*10000</f>
        <v>1.4842842082144069E-3</v>
      </c>
    </row>
    <row r="93" spans="1:21" x14ac:dyDescent="0.3">
      <c r="A93" t="s">
        <v>70</v>
      </c>
      <c r="B93" s="41">
        <v>92.14</v>
      </c>
      <c r="C93" s="42">
        <f t="shared" si="27"/>
        <v>0.4222068746271907</v>
      </c>
      <c r="D93">
        <v>0.13</v>
      </c>
      <c r="E93">
        <f t="shared" si="28"/>
        <v>1.4108964619057954E-5</v>
      </c>
      <c r="F93" s="38">
        <f t="shared" si="24"/>
        <v>1.8256403798405888E-3</v>
      </c>
      <c r="G93" s="38">
        <f t="shared" si="29"/>
        <v>7.7079791896569232E-4</v>
      </c>
      <c r="H93" s="38">
        <f t="shared" si="25"/>
        <v>1.4468184482193213E-2</v>
      </c>
      <c r="I93" s="38">
        <f t="shared" si="30"/>
        <v>1.3330985181892827</v>
      </c>
      <c r="J93" s="70">
        <f t="shared" si="26"/>
        <v>1.1080599576900549</v>
      </c>
      <c r="O93">
        <v>6.9546400000000004</v>
      </c>
      <c r="P93">
        <v>1344.8</v>
      </c>
      <c r="Q93">
        <v>219.48</v>
      </c>
      <c r="T93">
        <f>'Loading Loss'!$H$4/1000/'Loading Loss'!$G$4*'Fuel Composition'!J93*10000</f>
        <v>9.9441924854350491E-3</v>
      </c>
      <c r="U93">
        <f>'Loading Loss'!$I$4/1000/'Loading Loss'!$G$4*'Fuel Composition'!J93*10000</f>
        <v>2.486048121358763E-2</v>
      </c>
    </row>
    <row r="94" spans="1:21" x14ac:dyDescent="0.3">
      <c r="A94" t="s">
        <v>143</v>
      </c>
      <c r="B94" s="41">
        <v>106.14</v>
      </c>
      <c r="C94" s="42">
        <f t="shared" si="27"/>
        <v>0.12596357432098818</v>
      </c>
      <c r="D94">
        <v>0.31</v>
      </c>
      <c r="E94">
        <f t="shared" si="28"/>
        <v>2.920670812134916E-5</v>
      </c>
      <c r="F94" s="38">
        <f t="shared" si="24"/>
        <v>3.779224567373909E-3</v>
      </c>
      <c r="G94" s="38">
        <f t="shared" si="29"/>
        <v>4.7604463466810779E-4</v>
      </c>
      <c r="H94" s="38">
        <f t="shared" si="25"/>
        <v>8.9355477313412569E-3</v>
      </c>
      <c r="I94" s="38">
        <f t="shared" si="30"/>
        <v>0.94841903620456103</v>
      </c>
      <c r="J94" s="70">
        <f t="shared" si="26"/>
        <v>0.78831769954758424</v>
      </c>
      <c r="O94">
        <v>6.9905200000000001</v>
      </c>
      <c r="P94">
        <v>1453.43</v>
      </c>
      <c r="Q94">
        <v>215.31</v>
      </c>
      <c r="T94">
        <f>'Loading Loss'!$H$4/1000/'Loading Loss'!$G$4*'Fuel Composition'!J94*10000</f>
        <v>7.0746920232716308E-3</v>
      </c>
      <c r="U94">
        <f>'Loading Loss'!$I$4/1000/'Loading Loss'!$G$4*'Fuel Composition'!J94*10000</f>
        <v>1.7686730058179084E-2</v>
      </c>
    </row>
    <row r="95" spans="1:21" x14ac:dyDescent="0.3">
      <c r="A95" t="s">
        <v>187</v>
      </c>
      <c r="B95" s="41">
        <v>100.2</v>
      </c>
      <c r="C95" s="42">
        <f t="shared" si="27"/>
        <v>0.68492909687757286</v>
      </c>
      <c r="D95">
        <v>0.08</v>
      </c>
      <c r="E95">
        <f t="shared" si="28"/>
        <v>7.9840319361277452E-6</v>
      </c>
      <c r="F95" s="38">
        <f t="shared" si="24"/>
        <v>1.0330999821803277E-3</v>
      </c>
      <c r="G95" s="38">
        <f t="shared" si="29"/>
        <v>7.0760023777900847E-4</v>
      </c>
      <c r="H95" s="38">
        <f t="shared" si="25"/>
        <v>1.3281938790867637E-2</v>
      </c>
      <c r="I95" s="38">
        <f t="shared" si="30"/>
        <v>1.3308502668449373</v>
      </c>
      <c r="J95" s="40">
        <f t="shared" si="26"/>
        <v>1.1061912306188737</v>
      </c>
      <c r="K95" s="38"/>
      <c r="M95" s="40"/>
      <c r="O95">
        <v>6.8967700000000001</v>
      </c>
      <c r="P95">
        <v>1264.9000000000001</v>
      </c>
      <c r="Q95">
        <v>216.54</v>
      </c>
      <c r="T95">
        <f>'Loading Loss'!$H$4/1000/'Loading Loss'!$G$4*'Fuel Composition'!J95*10000</f>
        <v>9.9274217488249938E-3</v>
      </c>
      <c r="U95">
        <f>'Loading Loss'!$I$4/1000/'Loading Loss'!$G$4*'Fuel Composition'!J95*10000</f>
        <v>2.4818554372062492E-2</v>
      </c>
    </row>
    <row r="96" spans="1:21" x14ac:dyDescent="0.3">
      <c r="A96" t="s">
        <v>155</v>
      </c>
      <c r="B96" s="57">
        <v>114.23</v>
      </c>
      <c r="C96" s="42">
        <f t="shared" si="27"/>
        <v>0.40166681117717029</v>
      </c>
      <c r="D96" s="48">
        <v>6.1</v>
      </c>
      <c r="E96">
        <f t="shared" si="28"/>
        <v>5.3401033003589251E-4</v>
      </c>
      <c r="F96" s="38">
        <f t="shared" si="24"/>
        <v>6.9098679321134976E-2</v>
      </c>
      <c r="G96" s="38">
        <f t="shared" si="29"/>
        <v>2.7754646179474162E-2</v>
      </c>
      <c r="H96" s="38">
        <f t="shared" si="25"/>
        <v>0.52096578270666605</v>
      </c>
      <c r="I96" s="38">
        <f t="shared" si="30"/>
        <v>59.509921358582467</v>
      </c>
      <c r="J96" s="40">
        <f t="shared" si="26"/>
        <v>49.464131902490557</v>
      </c>
      <c r="K96" s="40"/>
      <c r="O96" s="59">
        <v>6.8539599999999998</v>
      </c>
      <c r="P96" s="59">
        <v>1315.08</v>
      </c>
      <c r="Q96" s="59">
        <v>217.53</v>
      </c>
      <c r="T96">
        <f>'Loading Loss'!$H$4/1000/'Loading Loss'!$G$4*'Fuel Composition'!J96*10000</f>
        <v>0.44391176249047615</v>
      </c>
      <c r="U96">
        <f>'Loading Loss'!$I$4/1000/'Loading Loss'!$G$4*'Fuel Composition'!J96*10000</f>
        <v>1.1097794062261908</v>
      </c>
    </row>
    <row r="97" spans="1:23" x14ac:dyDescent="0.3">
      <c r="A97" t="s">
        <v>156</v>
      </c>
      <c r="B97" s="57">
        <v>120.19</v>
      </c>
      <c r="C97" s="42">
        <f t="shared" si="27"/>
        <v>2.7986508440504987E-2</v>
      </c>
      <c r="D97" s="48">
        <v>42.1</v>
      </c>
      <c r="E97">
        <f t="shared" si="28"/>
        <v>3.5027872535152681E-3</v>
      </c>
      <c r="F97" s="38">
        <f t="shared" si="24"/>
        <v>0.45324586351080981</v>
      </c>
      <c r="G97" s="38">
        <f t="shared" si="29"/>
        <v>1.268476918476925E-2</v>
      </c>
      <c r="H97" s="38">
        <f t="shared" si="25"/>
        <v>0.23809817873606598</v>
      </c>
      <c r="I97" s="38">
        <f t="shared" si="30"/>
        <v>28.617020102287771</v>
      </c>
      <c r="J97" s="40">
        <f t="shared" si="26"/>
        <v>23.786219586251256</v>
      </c>
      <c r="O97">
        <v>7.0438299999999998</v>
      </c>
      <c r="P97">
        <v>1573.2670000000001</v>
      </c>
      <c r="Q97">
        <v>208.56399999999999</v>
      </c>
      <c r="T97">
        <f>'Loading Loss'!$H$4/1000/'Loading Loss'!$G$4*'Fuel Composition'!J97*10000</f>
        <v>0.21346746123703075</v>
      </c>
      <c r="U97">
        <f>'Loading Loss'!$I$4/1000/'Loading Loss'!$G$4*'Fuel Composition'!J97*10000</f>
        <v>0.53366865309257705</v>
      </c>
    </row>
    <row r="98" spans="1:23" x14ac:dyDescent="0.3">
      <c r="A98" t="s">
        <v>196</v>
      </c>
      <c r="B98" s="57">
        <v>142.29</v>
      </c>
      <c r="C98" s="42">
        <f t="shared" si="27"/>
        <v>2.2929132776109109E-2</v>
      </c>
      <c r="D98" s="58">
        <v>49.521000000000001</v>
      </c>
      <c r="E98">
        <f t="shared" si="28"/>
        <v>3.4802867383512547E-3</v>
      </c>
      <c r="F98" s="38">
        <f t="shared" si="24"/>
        <v>0.45033439196348229</v>
      </c>
      <c r="G98" s="38">
        <f t="shared" si="29"/>
        <v>1.0325777066979049E-2</v>
      </c>
      <c r="H98" s="38">
        <f t="shared" si="25"/>
        <v>0.1938189554630885</v>
      </c>
      <c r="I98" s="38">
        <f t="shared" si="30"/>
        <v>27.578499172842861</v>
      </c>
      <c r="J98" s="40">
        <f t="shared" si="26"/>
        <v>22.923009972378161</v>
      </c>
      <c r="O98">
        <v>7.44</v>
      </c>
      <c r="P98">
        <v>1843.12</v>
      </c>
      <c r="Q98">
        <v>230.22</v>
      </c>
      <c r="T98">
        <f>'Loading Loss'!$H$4/1000/'Loading Loss'!$G$4*'Fuel Composition'!J98*10000</f>
        <v>0.2057206579200633</v>
      </c>
      <c r="U98">
        <f>'Loading Loss'!$I$4/1000/'Loading Loss'!$G$4*'Fuel Composition'!J98*10000</f>
        <v>0.51430164480015839</v>
      </c>
    </row>
    <row r="99" spans="1:23" x14ac:dyDescent="0.3">
      <c r="B99" s="57"/>
      <c r="C99" s="42"/>
      <c r="D99" s="48"/>
      <c r="F99" s="38"/>
      <c r="G99" s="38"/>
      <c r="H99" s="38"/>
      <c r="I99" s="38"/>
      <c r="J99" s="40"/>
      <c r="K99" s="40"/>
      <c r="O99" s="59"/>
      <c r="P99" s="59"/>
      <c r="Q99" s="59"/>
    </row>
    <row r="100" spans="1:23" x14ac:dyDescent="0.3">
      <c r="A100" s="33"/>
      <c r="B100" s="34"/>
      <c r="C100" s="69"/>
      <c r="D100">
        <f t="shared" ref="D100:J100" si="31">SUM(D87:D99)</f>
        <v>100</v>
      </c>
      <c r="E100" s="40">
        <f t="shared" si="31"/>
        <v>7.7282277357876589E-3</v>
      </c>
      <c r="F100" s="40">
        <f t="shared" si="31"/>
        <v>1</v>
      </c>
      <c r="G100" s="40">
        <f t="shared" si="31"/>
        <v>5.3275372588340683E-2</v>
      </c>
      <c r="H100" s="40">
        <f t="shared" si="31"/>
        <v>1</v>
      </c>
      <c r="I100" s="40">
        <f t="shared" si="31"/>
        <v>120.30924039240259</v>
      </c>
      <c r="J100" s="40">
        <f t="shared" si="31"/>
        <v>100</v>
      </c>
      <c r="K100" s="38"/>
      <c r="M100" s="40"/>
    </row>
    <row r="101" spans="1:23" ht="15" thickBot="1" x14ac:dyDescent="0.35">
      <c r="A101" s="33"/>
      <c r="B101" s="34"/>
      <c r="C101" s="69"/>
      <c r="E101" s="38"/>
      <c r="F101" s="38"/>
      <c r="G101" s="38"/>
      <c r="H101" s="38"/>
      <c r="I101" s="38"/>
      <c r="J101" s="38"/>
      <c r="K101" s="38"/>
      <c r="M101" s="40"/>
    </row>
    <row r="102" spans="1:23" ht="15" thickBot="1" x14ac:dyDescent="0.35">
      <c r="A102" s="33"/>
      <c r="B102" s="34"/>
      <c r="C102" s="69"/>
      <c r="E102" s="38"/>
      <c r="F102" s="38"/>
      <c r="G102" s="38">
        <f>SUM(G87:G94)</f>
        <v>1.8025799193392132E-3</v>
      </c>
      <c r="H102" s="38"/>
      <c r="I102" s="38"/>
      <c r="J102" s="74">
        <f>SUM(J87,J88,J89,J90,J91,J92,J93,J94)</f>
        <v>2.7204473082611553</v>
      </c>
      <c r="K102" s="22" t="s">
        <v>160</v>
      </c>
      <c r="M102" s="40"/>
    </row>
    <row r="103" spans="1:23" x14ac:dyDescent="0.3">
      <c r="A103" s="68" t="s">
        <v>197</v>
      </c>
    </row>
    <row r="104" spans="1:23" x14ac:dyDescent="0.3">
      <c r="A104" s="68" t="s">
        <v>177</v>
      </c>
    </row>
    <row r="108" spans="1:23" ht="57.6" x14ac:dyDescent="0.3">
      <c r="A108" s="23"/>
      <c r="B108" s="24" t="s">
        <v>126</v>
      </c>
      <c r="C108" s="24" t="s">
        <v>127</v>
      </c>
      <c r="D108" s="25" t="s">
        <v>198</v>
      </c>
      <c r="E108" s="25" t="s">
        <v>199</v>
      </c>
      <c r="F108" s="25" t="s">
        <v>200</v>
      </c>
      <c r="G108" s="86" t="s">
        <v>201</v>
      </c>
      <c r="H108" s="25" t="s">
        <v>202</v>
      </c>
      <c r="I108" s="25" t="s">
        <v>133</v>
      </c>
      <c r="J108" s="27" t="s">
        <v>203</v>
      </c>
      <c r="K108" s="28"/>
      <c r="L108" s="29" t="s">
        <v>135</v>
      </c>
      <c r="M108" s="30">
        <v>68</v>
      </c>
      <c r="N108" s="31" t="s">
        <v>136</v>
      </c>
      <c r="O108" s="32" t="s">
        <v>137</v>
      </c>
      <c r="P108" s="25" t="s">
        <v>138</v>
      </c>
      <c r="Q108" s="32" t="s">
        <v>139</v>
      </c>
      <c r="T108" t="s">
        <v>140</v>
      </c>
      <c r="U108" t="s">
        <v>15</v>
      </c>
    </row>
    <row r="109" spans="1:23" x14ac:dyDescent="0.3">
      <c r="A109" s="33"/>
      <c r="B109" s="34"/>
      <c r="C109" s="35"/>
      <c r="D109" s="36"/>
      <c r="E109" s="37"/>
      <c r="F109" s="37"/>
      <c r="G109" s="37"/>
      <c r="H109" s="37"/>
      <c r="I109" s="37"/>
      <c r="J109" s="37"/>
      <c r="K109" s="38"/>
      <c r="L109" s="39"/>
      <c r="M109" s="40">
        <f>(M108-32)/1.8</f>
        <v>20</v>
      </c>
      <c r="N109" t="s">
        <v>139</v>
      </c>
      <c r="O109" s="39"/>
      <c r="P109" s="39"/>
      <c r="Q109" s="39"/>
      <c r="T109" t="s">
        <v>141</v>
      </c>
      <c r="U109" t="s">
        <v>141</v>
      </c>
    </row>
    <row r="110" spans="1:23" x14ac:dyDescent="0.3">
      <c r="A110" t="s">
        <v>68</v>
      </c>
      <c r="B110" s="41">
        <v>78.11</v>
      </c>
      <c r="C110" s="42">
        <f>10^(O110-(P110/($M$109+Q110)))*(14.696/760)</f>
        <v>1.4541857267658553</v>
      </c>
      <c r="D110">
        <v>8.0000000000000004E-4</v>
      </c>
      <c r="E110">
        <f>D110/100/$B110</f>
        <v>1.0241966457559851E-7</v>
      </c>
      <c r="F110" s="38">
        <f>E110/E$124</f>
        <v>1.3816958430433385E-5</v>
      </c>
      <c r="G110" s="38">
        <f>C110*F110</f>
        <v>2.0092423736853386E-5</v>
      </c>
      <c r="H110" s="38">
        <f>F110*$C110/$G$124</f>
        <v>6.3581289046872551E-5</v>
      </c>
      <c r="I110" s="38">
        <f>H110*B110</f>
        <v>4.966334487451215E-3</v>
      </c>
      <c r="J110" s="70">
        <f>(H110*$B110)/$I$124*100</f>
        <v>5.3616643917879549E-3</v>
      </c>
      <c r="O110">
        <v>6.9056499999999996</v>
      </c>
      <c r="P110">
        <v>1211.0329999999999</v>
      </c>
      <c r="Q110">
        <v>220.79</v>
      </c>
      <c r="T110">
        <f>'Loading Loss'!$H$5/1000/'Loading Loss'!$G$5*'Fuel Composition'!J110*10000</f>
        <v>4.0803396942814754E-5</v>
      </c>
      <c r="U110">
        <f>'Loading Loss'!$I$5/1000/'Loading Loss'!$G$5*'Fuel Composition'!J110*10000</f>
        <v>1.0200849235703687E-4</v>
      </c>
    </row>
    <row r="111" spans="1:23" x14ac:dyDescent="0.3">
      <c r="A111" t="s">
        <v>168</v>
      </c>
      <c r="B111" s="41">
        <v>154.20779999999999</v>
      </c>
      <c r="C111" s="42">
        <f t="shared" ref="C111:C122" si="32">10^(O111-(P111/($M$109+Q111)))*(14.696/760)</f>
        <v>3.6178738110413943E-4</v>
      </c>
      <c r="D111">
        <v>0.1</v>
      </c>
      <c r="E111">
        <f t="shared" ref="E111:E122" si="33">D111/100/$B111</f>
        <v>6.4847562834046015E-6</v>
      </c>
      <c r="F111" s="38">
        <f t="shared" ref="F111:F122" si="34">E111/E$124</f>
        <v>8.7482817260309785E-4</v>
      </c>
      <c r="G111" s="38">
        <f t="shared" ref="G111:G122" si="35">C111*F111</f>
        <v>3.1650179348219484E-7</v>
      </c>
      <c r="H111" s="38">
        <f t="shared" ref="H111:H122" si="36">F111*$C111/$G$124</f>
        <v>1.0015512453250941E-6</v>
      </c>
      <c r="I111" s="38">
        <f t="shared" ref="I111:I122" si="37">H111*B111</f>
        <v>1.5444701412884305E-4</v>
      </c>
      <c r="J111" s="70">
        <f t="shared" ref="J111:J122" si="38">(H111*$B111)/$I$124*100</f>
        <v>1.667412974629457E-4</v>
      </c>
      <c r="O111">
        <v>7.2454000000000001</v>
      </c>
      <c r="P111">
        <v>1998.72</v>
      </c>
      <c r="Q111">
        <v>202.74</v>
      </c>
      <c r="T111">
        <f>'Loading Loss'!$H$5/1000/'Loading Loss'!$G$5*'Fuel Composition'!J111*10000</f>
        <v>1.2689364439820379E-6</v>
      </c>
      <c r="U111">
        <f>'Loading Loss'!$I$5/1000/'Loading Loss'!$G$5*'Fuel Composition'!J111*10000</f>
        <v>3.1723411099550949E-6</v>
      </c>
    </row>
    <row r="112" spans="1:23" x14ac:dyDescent="0.3">
      <c r="A112" t="s">
        <v>144</v>
      </c>
      <c r="B112" s="41">
        <v>106.17</v>
      </c>
      <c r="C112" s="42">
        <f t="shared" si="32"/>
        <v>0.13689811593257009</v>
      </c>
      <c r="D112">
        <v>1.2999999999999999E-2</v>
      </c>
      <c r="E112">
        <f t="shared" si="33"/>
        <v>1.224451351605915E-6</v>
      </c>
      <c r="F112" s="38">
        <f t="shared" si="34"/>
        <v>1.6518501105555915E-4</v>
      </c>
      <c r="G112" s="38">
        <f t="shared" si="35"/>
        <v>2.261351679380681E-5</v>
      </c>
      <c r="H112" s="38">
        <f t="shared" si="36"/>
        <v>7.155913922898912E-5</v>
      </c>
      <c r="I112" s="38">
        <f t="shared" si="37"/>
        <v>7.5974338119417749E-3</v>
      </c>
      <c r="J112" s="70">
        <f t="shared" si="38"/>
        <v>8.2022043503879455E-3</v>
      </c>
      <c r="O112">
        <v>6.9571899999999998</v>
      </c>
      <c r="P112">
        <v>1424.2550000000001</v>
      </c>
      <c r="Q112">
        <v>213.21</v>
      </c>
      <c r="T112">
        <f>'Loading Loss'!$H$5/1000/'Loading Loss'!$G$5*'Fuel Composition'!J112*10000</f>
        <v>6.2420505175139529E-5</v>
      </c>
      <c r="U112">
        <f>'Loading Loss'!$I$5/1000/'Loading Loss'!$G$5*'Fuel Composition'!J112*10000</f>
        <v>1.5605126293784881E-4</v>
      </c>
      <c r="V112" s="119"/>
      <c r="W112" s="119"/>
    </row>
    <row r="113" spans="1:23" x14ac:dyDescent="0.3">
      <c r="A113" t="s">
        <v>170</v>
      </c>
      <c r="B113" s="41">
        <v>86.18</v>
      </c>
      <c r="C113" s="42">
        <f>10^(O113-(P113/($M$109+Q113)))*(14.696/760)</f>
        <v>2.3473094072581069</v>
      </c>
      <c r="D113">
        <v>1</v>
      </c>
      <c r="E113">
        <f t="shared" si="33"/>
        <v>1.1603620329542817E-4</v>
      </c>
      <c r="F113" s="38">
        <f t="shared" si="34"/>
        <v>1.5653902050956597E-2</v>
      </c>
      <c r="G113" s="38">
        <f t="shared" si="35"/>
        <v>3.6744551544507391E-2</v>
      </c>
      <c r="H113" s="38">
        <f>F113*$C113/$G$124</f>
        <v>0.11627596467437964</v>
      </c>
      <c r="I113" s="38">
        <f t="shared" si="37"/>
        <v>10.020662635638038</v>
      </c>
      <c r="J113" s="70">
        <f>(H113*$B113)/$I$124*100</f>
        <v>10.818326911201282</v>
      </c>
      <c r="O113">
        <v>6.87601</v>
      </c>
      <c r="P113">
        <v>1171.17</v>
      </c>
      <c r="Q113">
        <v>224.41</v>
      </c>
      <c r="T113">
        <f>'Loading Loss'!$H$5/1000/'Loading Loss'!$G$5*'Fuel Composition'!J113*10000</f>
        <v>8.2329749674555627E-2</v>
      </c>
      <c r="U113">
        <f>'Loading Loss'!$I$5/1000/'Loading Loss'!$G$5*'Fuel Composition'!J113*10000</f>
        <v>0.2058243741863891</v>
      </c>
      <c r="V113" s="120"/>
      <c r="W113" s="119"/>
    </row>
    <row r="114" spans="1:23" x14ac:dyDescent="0.3">
      <c r="A114" t="s">
        <v>147</v>
      </c>
      <c r="B114" s="41">
        <v>128.16999999999999</v>
      </c>
      <c r="C114" s="42">
        <f t="shared" si="32"/>
        <v>3.4923466305314911E-3</v>
      </c>
      <c r="D114">
        <v>0.55000000000000004</v>
      </c>
      <c r="E114">
        <f t="shared" si="33"/>
        <v>4.2911757821643142E-5</v>
      </c>
      <c r="F114" s="38">
        <f t="shared" si="34"/>
        <v>5.7890247586275421E-3</v>
      </c>
      <c r="G114" s="38">
        <f t="shared" si="35"/>
        <v>2.0217281109856275E-5</v>
      </c>
      <c r="H114" s="38">
        <f t="shared" si="36"/>
        <v>6.3976392834573829E-5</v>
      </c>
      <c r="I114" s="38">
        <f t="shared" si="37"/>
        <v>8.1998542696073273E-3</v>
      </c>
      <c r="J114" s="70">
        <f t="shared" si="38"/>
        <v>8.8525786505707863E-3</v>
      </c>
      <c r="O114">
        <v>7.37</v>
      </c>
      <c r="P114">
        <v>1968.36</v>
      </c>
      <c r="Q114">
        <v>222.61</v>
      </c>
      <c r="T114">
        <f>'Loading Loss'!$H$5/1000/'Loading Loss'!$G$5*'Fuel Composition'!J114*10000</f>
        <v>6.7369990781215722E-5</v>
      </c>
      <c r="U114">
        <f>'Loading Loss'!$I$5/1000/'Loading Loss'!$G$5*'Fuel Composition'!J114*10000</f>
        <v>1.6842497695303933E-4</v>
      </c>
      <c r="V114" s="120"/>
      <c r="W114" s="119"/>
    </row>
    <row r="115" spans="1:23" x14ac:dyDescent="0.3">
      <c r="A115" t="s">
        <v>172</v>
      </c>
      <c r="B115" s="41">
        <v>94.111199999999997</v>
      </c>
      <c r="C115" s="42">
        <f t="shared" si="32"/>
        <v>4.2558416808476194E-3</v>
      </c>
      <c r="D115">
        <v>6.4000000000000001E-2</v>
      </c>
      <c r="E115">
        <f t="shared" si="33"/>
        <v>6.800465831909487E-6</v>
      </c>
      <c r="F115" s="38">
        <f t="shared" si="34"/>
        <v>9.1741907275746308E-4</v>
      </c>
      <c r="G115" s="38">
        <f t="shared" si="35"/>
        <v>3.9043903286457863E-6</v>
      </c>
      <c r="H115" s="38">
        <f t="shared" si="36"/>
        <v>1.2355212755249134E-5</v>
      </c>
      <c r="I115" s="38">
        <f t="shared" si="37"/>
        <v>1.1627638986518023E-3</v>
      </c>
      <c r="J115" s="70">
        <f t="shared" si="38"/>
        <v>1.2553221711527234E-3</v>
      </c>
      <c r="O115">
        <v>7.1345000000000001</v>
      </c>
      <c r="P115">
        <v>1516.07</v>
      </c>
      <c r="Q115">
        <v>174.57</v>
      </c>
      <c r="T115">
        <f>'Loading Loss'!$H$5/1000/'Loading Loss'!$G$5*'Fuel Composition'!J115*10000</f>
        <v>9.5532665041684563E-6</v>
      </c>
      <c r="U115">
        <f>'Loading Loss'!$I$5/1000/'Loading Loss'!$G$5*'Fuel Composition'!J115*10000</f>
        <v>2.3883166260421139E-5</v>
      </c>
      <c r="V115" s="120"/>
      <c r="W115" s="119"/>
    </row>
    <row r="116" spans="1:23" x14ac:dyDescent="0.3">
      <c r="A116" t="s">
        <v>204</v>
      </c>
      <c r="B116" s="41">
        <v>104.15</v>
      </c>
      <c r="C116" s="42">
        <f t="shared" si="32"/>
        <v>8.7703078852619062E-2</v>
      </c>
      <c r="D116">
        <v>3.2000000000000001E-2</v>
      </c>
      <c r="E116">
        <f t="shared" si="33"/>
        <v>3.0724915986557848E-6</v>
      </c>
      <c r="F116" s="38">
        <f t="shared" si="34"/>
        <v>4.144954865102839E-4</v>
      </c>
      <c r="G116" s="38">
        <f t="shared" si="35"/>
        <v>3.6352530337466129E-5</v>
      </c>
      <c r="H116" s="38">
        <f t="shared" si="36"/>
        <v>1.1503543670205361E-4</v>
      </c>
      <c r="I116" s="38">
        <f t="shared" si="37"/>
        <v>1.1980940732518885E-2</v>
      </c>
      <c r="J116" s="70">
        <f t="shared" si="38"/>
        <v>1.2934646965077061E-2</v>
      </c>
      <c r="O116">
        <v>6.9570999999999996</v>
      </c>
      <c r="P116">
        <v>1445.58</v>
      </c>
      <c r="Q116">
        <v>209.44</v>
      </c>
      <c r="T116">
        <f>'Loading Loss'!$H$5/1000/'Loading Loss'!$G$5*'Fuel Composition'!J116*10000</f>
        <v>9.8435391674191563E-5</v>
      </c>
      <c r="U116">
        <f>'Loading Loss'!$I$5/1000/'Loading Loss'!$G$5*'Fuel Composition'!J116*10000</f>
        <v>2.4608847918547894E-4</v>
      </c>
      <c r="V116" s="120"/>
      <c r="W116" s="119"/>
    </row>
    <row r="117" spans="1:23" x14ac:dyDescent="0.3">
      <c r="A117" t="s">
        <v>70</v>
      </c>
      <c r="B117" s="41">
        <v>92.14</v>
      </c>
      <c r="C117" s="42">
        <f t="shared" si="32"/>
        <v>0.4222068746271907</v>
      </c>
      <c r="D117">
        <v>3.2000000000000001E-2</v>
      </c>
      <c r="E117">
        <f t="shared" si="33"/>
        <v>3.4729759062296506E-6</v>
      </c>
      <c r="F117" s="38">
        <f t="shared" si="34"/>
        <v>4.6852295333238631E-4</v>
      </c>
      <c r="G117" s="38">
        <f t="shared" si="35"/>
        <v>1.9781361181756793E-4</v>
      </c>
      <c r="H117" s="38">
        <f t="shared" si="36"/>
        <v>6.2596949950391174E-4</v>
      </c>
      <c r="I117" s="38">
        <f t="shared" si="37"/>
        <v>5.7676829684290429E-2</v>
      </c>
      <c r="J117" s="70">
        <f t="shared" si="38"/>
        <v>6.2268017736394211E-2</v>
      </c>
      <c r="O117">
        <v>6.9546400000000004</v>
      </c>
      <c r="P117">
        <v>1344.8</v>
      </c>
      <c r="Q117">
        <v>219.48</v>
      </c>
      <c r="T117">
        <f>'Loading Loss'!$H$5/1000/'Loading Loss'!$G$5*'Fuel Composition'!J117*10000</f>
        <v>4.7387274899782738E-4</v>
      </c>
      <c r="U117">
        <f>'Loading Loss'!$I$5/1000/'Loading Loss'!$G$5*'Fuel Composition'!J117*10000</f>
        <v>1.1846818724945685E-3</v>
      </c>
      <c r="V117" s="120"/>
      <c r="W117" s="119"/>
    </row>
    <row r="118" spans="1:23" x14ac:dyDescent="0.3">
      <c r="A118" t="s">
        <v>143</v>
      </c>
      <c r="B118" s="41">
        <v>106.14</v>
      </c>
      <c r="C118" s="42">
        <f t="shared" si="32"/>
        <v>0.12596357432098818</v>
      </c>
      <c r="D118">
        <v>2.9000000000000001E-2</v>
      </c>
      <c r="E118">
        <f t="shared" si="33"/>
        <v>2.73224043715847E-6</v>
      </c>
      <c r="F118" s="38">
        <f t="shared" si="34"/>
        <v>3.6859379200859013E-4</v>
      </c>
      <c r="G118" s="38">
        <f t="shared" si="35"/>
        <v>4.6429391513928901E-5</v>
      </c>
      <c r="H118" s="38">
        <f t="shared" si="36"/>
        <v>1.4692306915182722E-4</v>
      </c>
      <c r="I118" s="38">
        <f t="shared" si="37"/>
        <v>1.5594414559774943E-2</v>
      </c>
      <c r="J118" s="70">
        <f t="shared" si="38"/>
        <v>1.6835760351461081E-2</v>
      </c>
      <c r="O118">
        <v>6.9905200000000001</v>
      </c>
      <c r="P118">
        <v>1453.43</v>
      </c>
      <c r="Q118">
        <v>215.31</v>
      </c>
      <c r="T118">
        <f>'Loading Loss'!$H$5/1000/'Loading Loss'!$G$5*'Fuel Composition'!J118*10000</f>
        <v>1.2812368739582552E-4</v>
      </c>
      <c r="U118">
        <f>'Loading Loss'!$I$5/1000/'Loading Loss'!$G$5*'Fuel Composition'!J118*10000</f>
        <v>3.2030921848956375E-4</v>
      </c>
      <c r="V118" s="120"/>
      <c r="W118" s="119"/>
    </row>
    <row r="119" spans="1:23" x14ac:dyDescent="0.3">
      <c r="A119" t="s">
        <v>153</v>
      </c>
      <c r="B119" s="57">
        <v>86.18</v>
      </c>
      <c r="C119" s="42">
        <f t="shared" si="32"/>
        <v>3.3164041247597318</v>
      </c>
      <c r="D119" s="48">
        <v>3.7</v>
      </c>
      <c r="E119">
        <f>D119/100/$B119</f>
        <v>4.2933395219308426E-4</v>
      </c>
      <c r="F119" s="38">
        <f t="shared" si="34"/>
        <v>5.7919437588539423E-2</v>
      </c>
      <c r="G119" s="38">
        <f t="shared" si="35"/>
        <v>0.19208426172239598</v>
      </c>
      <c r="H119" s="38">
        <f t="shared" si="36"/>
        <v>0.6078393092778468</v>
      </c>
      <c r="I119" s="38">
        <f t="shared" si="37"/>
        <v>52.383591673564844</v>
      </c>
      <c r="J119" s="40">
        <f t="shared" si="38"/>
        <v>56.553427663760758</v>
      </c>
      <c r="K119" s="40"/>
      <c r="O119" s="59">
        <v>6.8391000000000002</v>
      </c>
      <c r="P119" s="59">
        <v>1135.4100000000001</v>
      </c>
      <c r="Q119" s="59">
        <v>226.57</v>
      </c>
      <c r="T119">
        <f>'Loading Loss'!$H$5/1000/'Loading Loss'!$G$5*'Fuel Composition'!J119*10000</f>
        <v>0.43038351318212298</v>
      </c>
      <c r="U119">
        <f>'Loading Loss'!$I$5/1000/'Loading Loss'!$G$5*'Fuel Composition'!J119*10000</f>
        <v>1.0759587829553077</v>
      </c>
      <c r="V119" s="120"/>
      <c r="W119" s="119"/>
    </row>
    <row r="120" spans="1:23" x14ac:dyDescent="0.3">
      <c r="A120" t="s">
        <v>154</v>
      </c>
      <c r="B120" s="57">
        <v>100.2</v>
      </c>
      <c r="C120" s="42">
        <f t="shared" si="32"/>
        <v>0.99952842247674345</v>
      </c>
      <c r="D120" s="58">
        <v>5</v>
      </c>
      <c r="E120" s="44">
        <f>D120/100/$B120</f>
        <v>4.990019960079841E-4</v>
      </c>
      <c r="F120" s="38">
        <f t="shared" si="34"/>
        <v>6.7318027881808379E-2</v>
      </c>
      <c r="G120" s="38">
        <f t="shared" si="35"/>
        <v>6.7286282212949355E-2</v>
      </c>
      <c r="H120" s="38">
        <f t="shared" si="36"/>
        <v>0.21292346878112176</v>
      </c>
      <c r="I120" s="38">
        <f t="shared" si="37"/>
        <v>21.334931571868399</v>
      </c>
      <c r="J120" s="40">
        <f t="shared" si="38"/>
        <v>23.033233705695523</v>
      </c>
      <c r="K120" s="40"/>
      <c r="O120">
        <v>6.8731799999999996</v>
      </c>
      <c r="P120">
        <v>1236.0229999999999</v>
      </c>
      <c r="Q120">
        <v>219.55</v>
      </c>
      <c r="T120">
        <f>'Loading Loss'!$H$5/1000/'Loading Loss'!$G$5*'Fuel Composition'!J120*10000</f>
        <v>0.17528776683777247</v>
      </c>
      <c r="U120">
        <f>'Loading Loss'!$I$5/1000/'Loading Loss'!$G$5*'Fuel Composition'!J120*10000</f>
        <v>0.43821941709443124</v>
      </c>
      <c r="V120" s="120"/>
      <c r="W120" s="119"/>
    </row>
    <row r="121" spans="1:23" x14ac:dyDescent="0.3">
      <c r="A121" t="s">
        <v>156</v>
      </c>
      <c r="B121" s="57">
        <v>120.19</v>
      </c>
      <c r="C121" s="42">
        <f t="shared" si="32"/>
        <v>2.7986508440504987E-2</v>
      </c>
      <c r="D121" s="48">
        <v>1</v>
      </c>
      <c r="E121">
        <f>D121/100/$B121</f>
        <v>8.320159747067144E-5</v>
      </c>
      <c r="F121" s="38">
        <f t="shared" si="34"/>
        <v>1.122433878651668E-2</v>
      </c>
      <c r="G121" s="38">
        <f t="shared" si="35"/>
        <v>3.1413005218793657E-4</v>
      </c>
      <c r="H121" s="38">
        <f t="shared" si="36"/>
        <v>9.9404600998118466E-4</v>
      </c>
      <c r="I121" s="38">
        <f t="shared" si="37"/>
        <v>0.11947438993963859</v>
      </c>
      <c r="J121" s="40">
        <f t="shared" si="38"/>
        <v>0.12898478422839857</v>
      </c>
      <c r="O121">
        <v>7.0438299999999998</v>
      </c>
      <c r="P121">
        <v>1573.2670000000001</v>
      </c>
      <c r="Q121">
        <v>208.56399999999999</v>
      </c>
      <c r="T121">
        <f>'Loading Loss'!$H$5/1000/'Loading Loss'!$G$5*'Fuel Composition'!J121*10000</f>
        <v>9.8160141438834061E-4</v>
      </c>
      <c r="U121">
        <f>'Loading Loss'!$I$5/1000/'Loading Loss'!$G$5*'Fuel Composition'!J121*10000</f>
        <v>2.4540035359708512E-3</v>
      </c>
      <c r="V121" s="120"/>
      <c r="W121" s="119"/>
    </row>
    <row r="122" spans="1:23" x14ac:dyDescent="0.3">
      <c r="A122" t="s">
        <v>205</v>
      </c>
      <c r="B122" s="57">
        <v>142.29</v>
      </c>
      <c r="C122" s="42">
        <f t="shared" si="32"/>
        <v>2.2929132776109109E-2</v>
      </c>
      <c r="D122" s="58">
        <v>88.479200000000006</v>
      </c>
      <c r="E122">
        <f t="shared" si="33"/>
        <v>6.2182303745871113E-3</v>
      </c>
      <c r="F122" s="38">
        <f t="shared" si="34"/>
        <v>0.83887240748685366</v>
      </c>
      <c r="G122" s="38">
        <f t="shared" si="35"/>
        <v>1.9234616813480373E-2</v>
      </c>
      <c r="H122" s="38">
        <f t="shared" si="36"/>
        <v>6.0866809666201796E-2</v>
      </c>
      <c r="I122" s="38">
        <f t="shared" si="37"/>
        <v>8.6607383474038535</v>
      </c>
      <c r="J122" s="40">
        <f t="shared" si="38"/>
        <v>9.3501499991997576</v>
      </c>
      <c r="O122">
        <v>7.44</v>
      </c>
      <c r="P122">
        <v>1843.12</v>
      </c>
      <c r="Q122">
        <v>230.22</v>
      </c>
      <c r="T122">
        <f>'Loading Loss'!$H$5/1000/'Loading Loss'!$G$5*'Fuel Composition'!J122*10000</f>
        <v>7.1156613695655416E-2</v>
      </c>
      <c r="U122">
        <f>'Loading Loss'!$I$5/1000/'Loading Loss'!$G$5*'Fuel Composition'!J122*10000</f>
        <v>0.17789153423913853</v>
      </c>
      <c r="V122" s="120"/>
      <c r="W122" s="119"/>
    </row>
    <row r="123" spans="1:23" x14ac:dyDescent="0.3">
      <c r="B123" s="57"/>
      <c r="C123" s="42"/>
      <c r="D123" s="48"/>
      <c r="F123" s="38"/>
      <c r="G123" s="38"/>
      <c r="H123" s="38"/>
      <c r="I123" s="38"/>
      <c r="J123" s="40"/>
      <c r="K123" s="40"/>
      <c r="O123" s="59"/>
      <c r="P123" s="59"/>
      <c r="Q123" s="59"/>
      <c r="T123" s="117"/>
      <c r="U123" s="118"/>
      <c r="V123" s="120"/>
      <c r="W123" s="119"/>
    </row>
    <row r="124" spans="1:23" x14ac:dyDescent="0.3">
      <c r="A124" s="33"/>
      <c r="B124" s="34"/>
      <c r="C124" s="69"/>
      <c r="D124">
        <f t="shared" ref="D124:J124" si="39">SUM(D110:D123)</f>
        <v>100</v>
      </c>
      <c r="E124" s="40">
        <f t="shared" si="39"/>
        <v>7.4126056824494616E-3</v>
      </c>
      <c r="F124" s="40">
        <f t="shared" si="39"/>
        <v>1</v>
      </c>
      <c r="G124" s="40">
        <f t="shared" si="39"/>
        <v>0.31601158199295265</v>
      </c>
      <c r="H124" s="40">
        <f t="shared" si="39"/>
        <v>1</v>
      </c>
      <c r="I124" s="40">
        <f t="shared" si="39"/>
        <v>92.626731636873131</v>
      </c>
      <c r="J124" s="40">
        <f t="shared" si="39"/>
        <v>100</v>
      </c>
      <c r="K124" s="38"/>
      <c r="M124" s="40"/>
      <c r="T124" s="121"/>
      <c r="U124" s="122"/>
      <c r="V124" s="122"/>
      <c r="W124" s="121"/>
    </row>
    <row r="125" spans="1:23" ht="15" thickBot="1" x14ac:dyDescent="0.35">
      <c r="A125" s="33"/>
      <c r="B125" s="34"/>
      <c r="C125" s="69"/>
      <c r="E125" s="38"/>
      <c r="F125" s="38"/>
      <c r="G125" s="38"/>
      <c r="H125" s="38"/>
      <c r="I125" s="38"/>
      <c r="J125" s="38"/>
      <c r="K125" s="38"/>
      <c r="M125" s="40"/>
      <c r="T125" s="121"/>
      <c r="U125" s="122"/>
      <c r="V125" s="122"/>
      <c r="W125" s="121"/>
    </row>
    <row r="126" spans="1:23" ht="15" thickBot="1" x14ac:dyDescent="0.35">
      <c r="A126" s="33"/>
      <c r="B126" s="34"/>
      <c r="C126" s="69"/>
      <c r="E126" s="38"/>
      <c r="F126" s="38"/>
      <c r="G126" s="38">
        <f>SUM(G110:G118)</f>
        <v>3.7092291191938985E-2</v>
      </c>
      <c r="H126" s="38"/>
      <c r="I126" s="38"/>
      <c r="J126" s="74">
        <f>SUM(J110:J118)</f>
        <v>10.934203847115576</v>
      </c>
      <c r="K126" s="22" t="s">
        <v>160</v>
      </c>
      <c r="M126" s="40"/>
      <c r="T126" s="121"/>
      <c r="U126" s="122"/>
      <c r="V126" s="121"/>
      <c r="W126" s="121"/>
    </row>
    <row r="128" spans="1:23" x14ac:dyDescent="0.3">
      <c r="A128" s="68" t="s">
        <v>177</v>
      </c>
    </row>
    <row r="129" spans="1:26" x14ac:dyDescent="0.3">
      <c r="A129" s="68" t="s">
        <v>206</v>
      </c>
    </row>
    <row r="133" spans="1:26" ht="57.6" x14ac:dyDescent="0.3">
      <c r="A133" s="23"/>
      <c r="B133" s="24" t="s">
        <v>126</v>
      </c>
      <c r="C133" s="24" t="s">
        <v>127</v>
      </c>
      <c r="D133" s="25" t="s">
        <v>207</v>
      </c>
      <c r="E133" s="25" t="s">
        <v>208</v>
      </c>
      <c r="F133" s="25" t="s">
        <v>209</v>
      </c>
      <c r="G133" s="86" t="s">
        <v>210</v>
      </c>
      <c r="H133" s="25" t="s">
        <v>211</v>
      </c>
      <c r="I133" s="25" t="s">
        <v>133</v>
      </c>
      <c r="J133" s="27" t="s">
        <v>212</v>
      </c>
      <c r="K133" s="28"/>
      <c r="L133" s="29" t="s">
        <v>135</v>
      </c>
      <c r="M133" s="30">
        <v>68</v>
      </c>
      <c r="N133" s="31" t="s">
        <v>136</v>
      </c>
      <c r="O133" s="32" t="s">
        <v>137</v>
      </c>
      <c r="P133" s="25" t="s">
        <v>138</v>
      </c>
      <c r="Q133" s="32" t="s">
        <v>139</v>
      </c>
      <c r="T133" t="s">
        <v>140</v>
      </c>
      <c r="U133" t="s">
        <v>15</v>
      </c>
    </row>
    <row r="134" spans="1:26" x14ac:dyDescent="0.3">
      <c r="A134" s="33"/>
      <c r="B134" s="34"/>
      <c r="C134" s="35"/>
      <c r="D134" s="36"/>
      <c r="E134" s="37"/>
      <c r="F134" s="37"/>
      <c r="G134" s="37"/>
      <c r="H134" s="37"/>
      <c r="I134" s="37"/>
      <c r="J134" s="37"/>
      <c r="K134" s="38"/>
      <c r="L134" s="39"/>
      <c r="M134" s="40">
        <f>(M133-32)/1.8</f>
        <v>20</v>
      </c>
      <c r="N134" t="s">
        <v>139</v>
      </c>
      <c r="O134" s="39"/>
      <c r="P134" s="39"/>
      <c r="Q134" s="39"/>
      <c r="T134" t="s">
        <v>141</v>
      </c>
      <c r="U134" t="s">
        <v>141</v>
      </c>
    </row>
    <row r="135" spans="1:26" x14ac:dyDescent="0.3">
      <c r="A135" t="s">
        <v>68</v>
      </c>
      <c r="B135" s="41">
        <v>78.11</v>
      </c>
      <c r="C135" s="42">
        <f>10^(O135-(P135/($M$134+Q135)))*(14.696/760)</f>
        <v>1.4541857267658553</v>
      </c>
      <c r="D135">
        <v>1E-3</v>
      </c>
      <c r="E135">
        <f>D135/100/$B135</f>
        <v>1.2802458071949816E-7</v>
      </c>
      <c r="F135" s="38">
        <f>E135/E$148</f>
        <v>1.78952863324422E-5</v>
      </c>
      <c r="G135" s="38">
        <f>C135*F135</f>
        <v>2.6023069961025537E-5</v>
      </c>
      <c r="H135" s="38">
        <f>F135*$C135/$G$148</f>
        <v>2.3897626468019002E-4</v>
      </c>
      <c r="I135" s="38">
        <f>H135*B135</f>
        <v>1.8666436034169641E-2</v>
      </c>
      <c r="J135" s="70">
        <f>(H135*$B135)/$I$148*100</f>
        <v>1.9517093354739643E-2</v>
      </c>
      <c r="O135">
        <v>6.9056499999999996</v>
      </c>
      <c r="P135">
        <v>1211.0329999999999</v>
      </c>
      <c r="Q135">
        <v>220.79</v>
      </c>
      <c r="T135">
        <f>'Loading Loss'!$H$6/1000/'Loading Loss'!$G$6*'Fuel Composition'!J135*10000</f>
        <v>8.5953515122217622E-5</v>
      </c>
      <c r="U135">
        <f>'Loading Loss'!$I$6/1000/'Loading Loss'!$G$6*'Fuel Composition'!J135*10000</f>
        <v>2.1488378780554399E-4</v>
      </c>
    </row>
    <row r="136" spans="1:26" x14ac:dyDescent="0.3">
      <c r="A136" t="s">
        <v>144</v>
      </c>
      <c r="B136" s="41">
        <v>106.17</v>
      </c>
      <c r="C136" s="42">
        <f t="shared" ref="C136:C146" si="40">10^(O136-(P136/($M$134+Q136)))*(14.696/760)</f>
        <v>0.13689811593257009</v>
      </c>
      <c r="D136">
        <v>2.2000000000000001E-3</v>
      </c>
      <c r="E136">
        <f t="shared" ref="E136:E146" si="41">D136/100/$B136</f>
        <v>2.072148441179241E-7</v>
      </c>
      <c r="F136" s="38">
        <f t="shared" ref="F136:F146" si="42">E136/E$148</f>
        <v>2.8964507807662547E-5</v>
      </c>
      <c r="G136" s="38">
        <f t="shared" ref="G136:G146" si="43">C136*F136</f>
        <v>3.9651865477832185E-6</v>
      </c>
      <c r="H136" s="38">
        <f t="shared" ref="H136:H146" si="44">F136*$C136/$G$148</f>
        <v>3.6413285264519504E-5</v>
      </c>
      <c r="I136" s="38">
        <f t="shared" ref="I136:I146" si="45">H136*B136</f>
        <v>3.8659984965340359E-3</v>
      </c>
      <c r="J136" s="70">
        <f t="shared" ref="J136:J146" si="46">(H136*$B136)/$I$148*100</f>
        <v>4.0421778119839333E-3</v>
      </c>
      <c r="O136">
        <v>6.9571899999999998</v>
      </c>
      <c r="P136">
        <v>1424.2550000000001</v>
      </c>
      <c r="Q136">
        <v>213.21</v>
      </c>
      <c r="T136">
        <f>'Loading Loss'!$H$6/1000/'Loading Loss'!$G$6*'Fuel Composition'!J136*10000</f>
        <v>1.7801799959350983E-5</v>
      </c>
      <c r="U136">
        <f>'Loading Loss'!$I$6/1000/'Loading Loss'!$G$6*'Fuel Composition'!J136*10000</f>
        <v>4.450449989837744E-5</v>
      </c>
    </row>
    <row r="137" spans="1:26" x14ac:dyDescent="0.3">
      <c r="A137" t="s">
        <v>213</v>
      </c>
      <c r="B137" s="41">
        <v>70.906000000000006</v>
      </c>
      <c r="C137" s="42">
        <f t="shared" si="40"/>
        <v>97.683729192129164</v>
      </c>
      <c r="D137">
        <v>1.3100000000000001E-2</v>
      </c>
      <c r="E137">
        <f t="shared" si="41"/>
        <v>1.8475164302033679E-6</v>
      </c>
      <c r="F137" s="38">
        <f t="shared" si="42"/>
        <v>2.5824599726531589E-4</v>
      </c>
      <c r="G137" s="38">
        <f t="shared" si="43"/>
        <v>2.5226432061816448E-2</v>
      </c>
      <c r="H137" s="38">
        <f t="shared" si="44"/>
        <v>0.23166054252516419</v>
      </c>
      <c r="I137" s="38">
        <f t="shared" si="45"/>
        <v>16.426122428289293</v>
      </c>
      <c r="J137" s="70">
        <f t="shared" si="46"/>
        <v>17.174685317671354</v>
      </c>
      <c r="O137">
        <v>6.9317000000000002</v>
      </c>
      <c r="P137">
        <v>859.17</v>
      </c>
      <c r="Q137">
        <v>246.14</v>
      </c>
      <c r="T137">
        <f>'Loading Loss'!$H$6/1000/'Loading Loss'!$G$6*'Fuel Composition'!J137*10000</f>
        <v>7.5637521804100952E-2</v>
      </c>
      <c r="U137">
        <f>'Loading Loss'!$I$6/1000/'Loading Loss'!$G$6*'Fuel Composition'!J137*10000</f>
        <v>0.18909380451025234</v>
      </c>
    </row>
    <row r="138" spans="1:26" x14ac:dyDescent="0.3">
      <c r="A138" t="s">
        <v>147</v>
      </c>
      <c r="B138" s="41">
        <v>128.16999999999999</v>
      </c>
      <c r="C138" s="42">
        <f t="shared" si="40"/>
        <v>3.4923466305314911E-3</v>
      </c>
      <c r="D138">
        <v>0.1</v>
      </c>
      <c r="E138">
        <f t="shared" si="41"/>
        <v>7.8021377857532973E-6</v>
      </c>
      <c r="F138" s="38">
        <f t="shared" si="42"/>
        <v>1.0905834559000237E-3</v>
      </c>
      <c r="G138" s="38">
        <f t="shared" si="43"/>
        <v>3.8086954575258368E-6</v>
      </c>
      <c r="H138" s="38">
        <f t="shared" si="44"/>
        <v>3.4976189016403907E-5</v>
      </c>
      <c r="I138" s="38">
        <f t="shared" si="45"/>
        <v>4.4828981462324878E-3</v>
      </c>
      <c r="J138" s="70">
        <f t="shared" si="46"/>
        <v>4.6871904984780782E-3</v>
      </c>
      <c r="O138">
        <v>7.37</v>
      </c>
      <c r="P138">
        <v>1968.36</v>
      </c>
      <c r="Q138">
        <v>222.61</v>
      </c>
      <c r="T138">
        <f>'Loading Loss'!$H$6/1000/'Loading Loss'!$G$6*'Fuel Composition'!J138*10000</f>
        <v>2.0642443629743279E-5</v>
      </c>
      <c r="U138">
        <f>'Loading Loss'!$I$6/1000/'Loading Loss'!$G$6*'Fuel Composition'!J138*10000</f>
        <v>5.1606109074358182E-5</v>
      </c>
      <c r="X138" t="s">
        <v>214</v>
      </c>
      <c r="Y138">
        <v>4.3</v>
      </c>
      <c r="Z138">
        <f>Y138/8</f>
        <v>0.53749999999999998</v>
      </c>
    </row>
    <row r="139" spans="1:26" x14ac:dyDescent="0.3">
      <c r="A139" t="s">
        <v>70</v>
      </c>
      <c r="B139" s="41">
        <v>92.14</v>
      </c>
      <c r="C139" s="42">
        <f t="shared" si="40"/>
        <v>0.4222068746271907</v>
      </c>
      <c r="D139">
        <v>6.0000000000000001E-3</v>
      </c>
      <c r="E139">
        <f t="shared" si="41"/>
        <v>6.5118298241805947E-7</v>
      </c>
      <c r="F139" s="38">
        <f t="shared" si="42"/>
        <v>9.1022410381618848E-5</v>
      </c>
      <c r="G139" s="38">
        <f t="shared" si="43"/>
        <v>3.8430287408256851E-5</v>
      </c>
      <c r="H139" s="38">
        <f t="shared" si="44"/>
        <v>3.5291480018176288E-4</v>
      </c>
      <c r="I139" s="38">
        <f t="shared" si="45"/>
        <v>3.2517569688747631E-2</v>
      </c>
      <c r="J139" s="70">
        <f t="shared" si="46"/>
        <v>3.3999443821133873E-2</v>
      </c>
      <c r="O139">
        <v>6.9546400000000004</v>
      </c>
      <c r="P139">
        <v>1344.8</v>
      </c>
      <c r="Q139">
        <v>219.48</v>
      </c>
      <c r="T139">
        <f>'Loading Loss'!$H$6/1000/'Loading Loss'!$G$6*'Fuel Composition'!J139*10000</f>
        <v>1.4973396168733975E-4</v>
      </c>
      <c r="U139">
        <f>'Loading Loss'!$I$6/1000/'Loading Loss'!$G$6*'Fuel Composition'!J139*10000</f>
        <v>3.7433490421834921E-4</v>
      </c>
      <c r="X139" t="s">
        <v>215</v>
      </c>
      <c r="Y139">
        <v>1.4</v>
      </c>
      <c r="Z139">
        <f>Y139/7</f>
        <v>0.19999999999999998</v>
      </c>
    </row>
    <row r="140" spans="1:26" x14ac:dyDescent="0.3">
      <c r="A140" t="s">
        <v>143</v>
      </c>
      <c r="B140" s="41">
        <v>106.14</v>
      </c>
      <c r="C140" s="42">
        <f t="shared" si="40"/>
        <v>0.12596357432098818</v>
      </c>
      <c r="D140">
        <v>1.2999999999999999E-2</v>
      </c>
      <c r="E140">
        <f t="shared" si="41"/>
        <v>1.2247974373469003E-6</v>
      </c>
      <c r="F140" s="38">
        <f t="shared" si="42"/>
        <v>1.7120228566564708E-4</v>
      </c>
      <c r="G140" s="38">
        <f t="shared" si="43"/>
        <v>2.1565251834367783E-5</v>
      </c>
      <c r="H140" s="38">
        <f t="shared" si="44"/>
        <v>1.980390222207946E-4</v>
      </c>
      <c r="I140" s="38">
        <f t="shared" si="45"/>
        <v>2.1019861818515138E-2</v>
      </c>
      <c r="J140" s="70">
        <f t="shared" si="46"/>
        <v>2.1977768260888954E-2</v>
      </c>
      <c r="O140">
        <v>6.9905200000000001</v>
      </c>
      <c r="P140">
        <v>1453.43</v>
      </c>
      <c r="Q140">
        <v>215.31</v>
      </c>
      <c r="T140">
        <f>'Loading Loss'!$H$6/1000/'Loading Loss'!$G$6*'Fuel Composition'!J140*10000</f>
        <v>9.6790357161772827E-5</v>
      </c>
      <c r="U140">
        <f>'Loading Loss'!$I$6/1000/'Loading Loss'!$G$6*'Fuel Composition'!J140*10000</f>
        <v>2.4197589290443202E-4</v>
      </c>
      <c r="X140" t="s">
        <v>216</v>
      </c>
      <c r="Y140">
        <v>1.8</v>
      </c>
      <c r="Z140">
        <f>Y140/6</f>
        <v>0.3</v>
      </c>
    </row>
    <row r="141" spans="1:26" x14ac:dyDescent="0.3">
      <c r="A141" t="s">
        <v>171</v>
      </c>
      <c r="B141" s="41">
        <v>84.14</v>
      </c>
      <c r="C141" s="42">
        <f>10^(O141-(P141/($M$134+Q141)))*(14.696/760)</f>
        <v>1.210419170557314</v>
      </c>
      <c r="D141">
        <v>1.1299999999999999</v>
      </c>
      <c r="E141">
        <f>D141/100/$B141</f>
        <v>1.3429997623009269E-4</v>
      </c>
      <c r="F141" s="38">
        <f>E141/E$148</f>
        <v>1.8772461628625836E-2</v>
      </c>
      <c r="G141" s="38">
        <f>C141*F141</f>
        <v>2.2722547433840289E-2</v>
      </c>
      <c r="H141" s="38">
        <f>F141*$C141/$G$148</f>
        <v>0.20866675291924683</v>
      </c>
      <c r="I141" s="38">
        <f>H141*B141</f>
        <v>17.557220590625427</v>
      </c>
      <c r="J141" s="40">
        <f>(H141*$B141)/$I$148*100</f>
        <v>18.357329309662017</v>
      </c>
      <c r="O141">
        <v>6.9592599999999996</v>
      </c>
      <c r="P141">
        <v>1246.02</v>
      </c>
      <c r="Q141">
        <v>221.35</v>
      </c>
      <c r="T141">
        <f>'Loading Loss'!$H$6/1000/'Loading Loss'!$G$6*'Fuel Composition'!J141*10000</f>
        <v>8.0845900244586474E-2</v>
      </c>
      <c r="U141">
        <f>'Loading Loss'!$I$6/1000/'Loading Loss'!$G$6*'Fuel Composition'!J141*10000</f>
        <v>0.20211475061146614</v>
      </c>
    </row>
    <row r="142" spans="1:26" x14ac:dyDescent="0.3">
      <c r="A142" t="s">
        <v>153</v>
      </c>
      <c r="B142" s="57">
        <v>86.18</v>
      </c>
      <c r="C142" s="42">
        <f t="shared" si="40"/>
        <v>3.3164041247597318</v>
      </c>
      <c r="D142" s="48">
        <v>0.5</v>
      </c>
      <c r="E142">
        <f t="shared" si="41"/>
        <v>5.8018101647714083E-5</v>
      </c>
      <c r="F142" s="38">
        <f t="shared" si="42"/>
        <v>8.1097749792704808E-3</v>
      </c>
      <c r="G142" s="38">
        <f t="shared" si="43"/>
        <v>2.689529119212589E-2</v>
      </c>
      <c r="H142" s="38">
        <f t="shared" si="44"/>
        <v>0.24698608719902804</v>
      </c>
      <c r="I142" s="38">
        <f t="shared" si="45"/>
        <v>21.285260994812237</v>
      </c>
      <c r="J142" s="40">
        <f t="shared" si="46"/>
        <v>22.255262073343545</v>
      </c>
      <c r="K142" s="40"/>
      <c r="O142" s="59">
        <v>6.8391000000000002</v>
      </c>
      <c r="P142" s="59">
        <v>1135.4100000000001</v>
      </c>
      <c r="Q142" s="59">
        <v>226.57</v>
      </c>
      <c r="T142">
        <f>'Loading Loss'!$H$6/1000/'Loading Loss'!$G$6*'Fuel Composition'!J142*10000</f>
        <v>9.8012443267096766E-2</v>
      </c>
      <c r="U142">
        <f>'Loading Loss'!$I$6/1000/'Loading Loss'!$G$6*'Fuel Composition'!J142*10000</f>
        <v>0.24503110816774182</v>
      </c>
      <c r="X142" t="s">
        <v>217</v>
      </c>
      <c r="Y142">
        <v>10.1</v>
      </c>
    </row>
    <row r="143" spans="1:26" x14ac:dyDescent="0.3">
      <c r="A143" t="s">
        <v>154</v>
      </c>
      <c r="B143" s="57">
        <v>100.2</v>
      </c>
      <c r="C143" s="42">
        <f t="shared" si="40"/>
        <v>0.99952842247674345</v>
      </c>
      <c r="D143" s="58">
        <v>0.5</v>
      </c>
      <c r="E143">
        <f t="shared" si="41"/>
        <v>4.99001996007984E-5</v>
      </c>
      <c r="F143" s="38">
        <f t="shared" si="42"/>
        <v>6.9750539691969069E-3</v>
      </c>
      <c r="G143" s="38">
        <f t="shared" si="43"/>
        <v>6.9717646905215324E-3</v>
      </c>
      <c r="H143" s="38">
        <f t="shared" si="44"/>
        <v>6.4023433302272018E-2</v>
      </c>
      <c r="I143" s="38">
        <f t="shared" si="45"/>
        <v>6.415148016887656</v>
      </c>
      <c r="J143" s="40">
        <f t="shared" si="46"/>
        <v>6.7074958766031481</v>
      </c>
      <c r="K143" s="40"/>
      <c r="O143">
        <v>6.8731799999999996</v>
      </c>
      <c r="P143">
        <v>1236.0229999999999</v>
      </c>
      <c r="Q143">
        <v>219.55</v>
      </c>
      <c r="T143">
        <f>'Loading Loss'!$H$6/1000/'Loading Loss'!$G$6*'Fuel Composition'!J143*10000</f>
        <v>2.9539892943219046E-2</v>
      </c>
      <c r="U143">
        <f>'Loading Loss'!$I$6/1000/'Loading Loss'!$G$6*'Fuel Composition'!J143*10000</f>
        <v>7.3849732358047607E-2</v>
      </c>
      <c r="X143" t="s">
        <v>218</v>
      </c>
      <c r="Y143">
        <v>3.4</v>
      </c>
    </row>
    <row r="144" spans="1:26" x14ac:dyDescent="0.3">
      <c r="A144" t="s">
        <v>155</v>
      </c>
      <c r="B144" s="57">
        <v>114.23</v>
      </c>
      <c r="C144" s="42">
        <f t="shared" si="40"/>
        <v>0.40166681117717029</v>
      </c>
      <c r="D144" s="48">
        <v>1.0375000000000001</v>
      </c>
      <c r="E144">
        <f t="shared" si="41"/>
        <v>9.0825527444629258E-5</v>
      </c>
      <c r="F144" s="38">
        <f t="shared" si="42"/>
        <v>1.2695599632369561E-2</v>
      </c>
      <c r="G144" s="38">
        <f t="shared" si="43"/>
        <v>5.0994010203159372E-3</v>
      </c>
      <c r="H144" s="38">
        <f t="shared" si="44"/>
        <v>4.6829056286079612E-2</v>
      </c>
      <c r="I144" s="38">
        <f t="shared" si="45"/>
        <v>5.3492830995588747</v>
      </c>
      <c r="J144" s="40">
        <f t="shared" si="46"/>
        <v>5.5930579058535237</v>
      </c>
      <c r="K144" s="40"/>
      <c r="O144" s="59">
        <v>6.8539599999999998</v>
      </c>
      <c r="P144" s="59">
        <v>1315.08</v>
      </c>
      <c r="Q144" s="59">
        <v>217.53</v>
      </c>
      <c r="T144">
        <f>'Loading Loss'!$H$6/1000/'Loading Loss'!$G$6*'Fuel Composition'!J144*10000</f>
        <v>2.4631894644981712E-2</v>
      </c>
      <c r="U144">
        <f>'Loading Loss'!$I$6/1000/'Loading Loss'!$G$6*'Fuel Composition'!J144*10000</f>
        <v>6.1579736612454271E-2</v>
      </c>
      <c r="X144" t="s">
        <v>219</v>
      </c>
      <c r="Y144">
        <v>4.3</v>
      </c>
    </row>
    <row r="145" spans="1:21" x14ac:dyDescent="0.3">
      <c r="A145" t="s">
        <v>156</v>
      </c>
      <c r="B145" s="57">
        <v>120.19</v>
      </c>
      <c r="C145" s="42">
        <f t="shared" si="40"/>
        <v>2.7986508440504987E-2</v>
      </c>
      <c r="D145" s="48">
        <v>1.0375000000000001</v>
      </c>
      <c r="E145">
        <f t="shared" si="41"/>
        <v>8.6321657375821627E-5</v>
      </c>
      <c r="F145" s="38">
        <f t="shared" si="42"/>
        <v>1.2066048306893878E-2</v>
      </c>
      <c r="G145" s="38">
        <f t="shared" si="43"/>
        <v>3.3768656278442639E-4</v>
      </c>
      <c r="H145" s="38">
        <f t="shared" si="44"/>
        <v>3.1010589268590061E-3</v>
      </c>
      <c r="I145" s="38">
        <f t="shared" si="45"/>
        <v>0.37271627241918392</v>
      </c>
      <c r="J145" s="40">
        <f t="shared" si="46"/>
        <v>0.38970150865006181</v>
      </c>
      <c r="O145">
        <v>7.0438299999999998</v>
      </c>
      <c r="P145">
        <v>1573.2670000000001</v>
      </c>
      <c r="Q145">
        <v>208.56399999999999</v>
      </c>
      <c r="T145">
        <f>'Loading Loss'!$H$6/1000/'Loading Loss'!$G$6*'Fuel Composition'!J145*10000</f>
        <v>1.7162501561109606E-3</v>
      </c>
      <c r="U145">
        <f>'Loading Loss'!$I$6/1000/'Loading Loss'!$G$6*'Fuel Composition'!J145*10000</f>
        <v>4.2906253902774008E-3</v>
      </c>
    </row>
    <row r="146" spans="1:21" x14ac:dyDescent="0.3">
      <c r="A146" t="s">
        <v>205</v>
      </c>
      <c r="B146" s="57">
        <v>142.29</v>
      </c>
      <c r="C146" s="42">
        <f t="shared" si="40"/>
        <v>2.2929132776109109E-2</v>
      </c>
      <c r="D146" s="58">
        <v>95.659700000000001</v>
      </c>
      <c r="E146">
        <f t="shared" si="41"/>
        <v>6.7228687890926982E-3</v>
      </c>
      <c r="F146" s="38">
        <f t="shared" si="42"/>
        <v>0.93972314754029063</v>
      </c>
      <c r="G146" s="38">
        <f t="shared" si="43"/>
        <v>2.1547036822734494E-2</v>
      </c>
      <c r="H146" s="38">
        <f t="shared" si="44"/>
        <v>0.19787174927998674</v>
      </c>
      <c r="I146" s="38">
        <f t="shared" si="45"/>
        <v>28.15517120504931</v>
      </c>
      <c r="J146" s="40">
        <f t="shared" si="46"/>
        <v>29.438244334469132</v>
      </c>
      <c r="O146">
        <v>7.44</v>
      </c>
      <c r="P146">
        <v>1843.12</v>
      </c>
      <c r="Q146">
        <v>230.22</v>
      </c>
      <c r="T146">
        <f>'Loading Loss'!$H$6/1000/'Loading Loss'!$G$6*'Fuel Composition'!J146*10000</f>
        <v>0.12964638399702341</v>
      </c>
      <c r="U146">
        <f>'Loading Loss'!$I$6/1000/'Loading Loss'!$G$6*'Fuel Composition'!J146*10000</f>
        <v>0.32411595999255849</v>
      </c>
    </row>
    <row r="147" spans="1:21" x14ac:dyDescent="0.3">
      <c r="B147" s="57"/>
      <c r="C147" s="42"/>
      <c r="D147" s="48"/>
      <c r="F147" s="38"/>
      <c r="G147" s="38"/>
      <c r="H147" s="38"/>
      <c r="I147" s="38"/>
      <c r="J147" s="40"/>
      <c r="K147" s="40"/>
      <c r="O147" s="59"/>
      <c r="P147" s="59"/>
      <c r="Q147" s="59"/>
    </row>
    <row r="148" spans="1:21" x14ac:dyDescent="0.3">
      <c r="A148" s="33"/>
      <c r="B148" s="34"/>
      <c r="C148" s="69"/>
      <c r="D148">
        <f t="shared" ref="D148:J148" si="47">SUM(D135:D147)</f>
        <v>100</v>
      </c>
      <c r="E148" s="40">
        <f t="shared" si="47"/>
        <v>7.1540951254523135E-3</v>
      </c>
      <c r="F148" s="40">
        <f t="shared" si="47"/>
        <v>1</v>
      </c>
      <c r="G148" s="40">
        <f t="shared" si="47"/>
        <v>0.10889395227534797</v>
      </c>
      <c r="H148" s="40">
        <f t="shared" si="47"/>
        <v>1</v>
      </c>
      <c r="I148" s="40">
        <f t="shared" si="47"/>
        <v>95.641475371826175</v>
      </c>
      <c r="J148" s="40">
        <f t="shared" si="47"/>
        <v>100.00000000000001</v>
      </c>
      <c r="K148" s="38"/>
      <c r="M148" s="40"/>
    </row>
    <row r="149" spans="1:21" ht="15" thickBot="1" x14ac:dyDescent="0.35">
      <c r="A149" s="33"/>
      <c r="B149" s="34"/>
      <c r="C149" s="69"/>
      <c r="E149" s="38"/>
      <c r="F149" s="38"/>
      <c r="G149" s="38"/>
      <c r="H149" s="38"/>
      <c r="I149" s="38"/>
      <c r="J149" s="38"/>
      <c r="K149" s="38"/>
      <c r="M149" s="40"/>
    </row>
    <row r="150" spans="1:21" ht="15" thickBot="1" x14ac:dyDescent="0.35">
      <c r="A150" s="33"/>
      <c r="B150" s="34"/>
      <c r="C150" s="69"/>
      <c r="E150" s="38"/>
      <c r="F150" s="38"/>
      <c r="G150" s="38">
        <f>SUM(G135:G140)</f>
        <v>2.5320224553025406E-2</v>
      </c>
      <c r="H150" s="38"/>
      <c r="I150" s="38"/>
      <c r="J150" s="74">
        <f>SUM(J135,J136:J140)</f>
        <v>17.258908991418583</v>
      </c>
      <c r="K150" s="22" t="s">
        <v>160</v>
      </c>
      <c r="M150" s="40"/>
    </row>
    <row r="152" spans="1:21" x14ac:dyDescent="0.3">
      <c r="A152" s="68" t="s">
        <v>220</v>
      </c>
    </row>
    <row r="153" spans="1:21" x14ac:dyDescent="0.3">
      <c r="A153" s="68" t="s">
        <v>177</v>
      </c>
    </row>
    <row r="156" spans="1:21" x14ac:dyDescent="0.3">
      <c r="B156" t="s">
        <v>221</v>
      </c>
    </row>
    <row r="157" spans="1:21" x14ac:dyDescent="0.3">
      <c r="E157" t="s">
        <v>68</v>
      </c>
      <c r="F157" t="s">
        <v>70</v>
      </c>
    </row>
    <row r="158" spans="1:21" x14ac:dyDescent="0.3">
      <c r="B158" t="s">
        <v>222</v>
      </c>
      <c r="C158" t="s">
        <v>223</v>
      </c>
      <c r="D158" t="s">
        <v>224</v>
      </c>
      <c r="E158" t="s">
        <v>225</v>
      </c>
      <c r="F158" t="s">
        <v>226</v>
      </c>
    </row>
    <row r="159" spans="1:21" x14ac:dyDescent="0.3">
      <c r="B159">
        <v>1191584</v>
      </c>
      <c r="C159">
        <v>0.73</v>
      </c>
      <c r="D159">
        <v>0.63</v>
      </c>
      <c r="E159">
        <f>C159*2000/B159</f>
        <v>1.2252598222198352E-3</v>
      </c>
      <c r="F159">
        <f>D159*2000/B159</f>
        <v>1.057416010956844E-3</v>
      </c>
    </row>
    <row r="160" spans="1:21" x14ac:dyDescent="0.3">
      <c r="B160">
        <v>1237852</v>
      </c>
      <c r="C160">
        <v>0.59</v>
      </c>
      <c r="D160">
        <v>0.28999999999999998</v>
      </c>
      <c r="E160">
        <f t="shared" ref="E160:E162" si="48">C160*2000/B160</f>
        <v>9.5326420282877114E-4</v>
      </c>
      <c r="F160">
        <f t="shared" ref="F160:F162" si="49">D160*2000/B160</f>
        <v>4.6855359122092142E-4</v>
      </c>
    </row>
    <row r="161" spans="2:22" x14ac:dyDescent="0.3">
      <c r="B161">
        <v>1230000</v>
      </c>
      <c r="C161">
        <v>0.78</v>
      </c>
      <c r="D161">
        <v>0.52</v>
      </c>
      <c r="E161">
        <f t="shared" si="48"/>
        <v>1.2682926829268293E-3</v>
      </c>
      <c r="F161">
        <f t="shared" si="49"/>
        <v>8.455284552845528E-4</v>
      </c>
    </row>
    <row r="162" spans="2:22" x14ac:dyDescent="0.3">
      <c r="B162">
        <v>1233533</v>
      </c>
      <c r="C162">
        <v>0.95</v>
      </c>
      <c r="D162">
        <v>0.57999999999999996</v>
      </c>
      <c r="E162">
        <f t="shared" si="48"/>
        <v>1.5402911798873642E-3</v>
      </c>
      <c r="F162">
        <f t="shared" si="49"/>
        <v>9.4038829929965397E-4</v>
      </c>
    </row>
    <row r="163" spans="2:22" x14ac:dyDescent="0.3">
      <c r="D163" t="s">
        <v>227</v>
      </c>
      <c r="E163">
        <f>AVERAGE(E159:E162)</f>
        <v>1.2467769719657E-3</v>
      </c>
      <c r="F163">
        <f>AVERAGE(F159:F162)</f>
        <v>8.279715891904931E-4</v>
      </c>
    </row>
    <row r="165" spans="2:22" x14ac:dyDescent="0.3">
      <c r="B165" t="s">
        <v>228</v>
      </c>
    </row>
    <row r="171" spans="2:22" x14ac:dyDescent="0.3">
      <c r="S171" s="103" t="s">
        <v>229</v>
      </c>
      <c r="T171" s="107">
        <v>50000</v>
      </c>
      <c r="U171" s="108">
        <v>911</v>
      </c>
      <c r="V171" s="108">
        <v>16.04</v>
      </c>
    </row>
    <row r="172" spans="2:22" x14ac:dyDescent="0.3">
      <c r="S172" s="104" t="s">
        <v>230</v>
      </c>
      <c r="T172" s="109">
        <v>30000</v>
      </c>
      <c r="U172" s="111">
        <v>1631</v>
      </c>
      <c r="V172" s="110">
        <v>30.07</v>
      </c>
    </row>
    <row r="173" spans="2:22" x14ac:dyDescent="0.3">
      <c r="S173" s="104" t="s">
        <v>231</v>
      </c>
      <c r="T173" s="109">
        <v>21000</v>
      </c>
      <c r="U173" s="111">
        <v>2353</v>
      </c>
      <c r="V173" s="110">
        <v>44.09</v>
      </c>
    </row>
    <row r="174" spans="2:22" x14ac:dyDescent="0.3">
      <c r="S174" s="104" t="s">
        <v>232</v>
      </c>
      <c r="T174" s="109">
        <v>19000</v>
      </c>
      <c r="U174" s="111">
        <v>3101</v>
      </c>
      <c r="V174" s="110">
        <v>58.12</v>
      </c>
    </row>
    <row r="175" spans="2:22" x14ac:dyDescent="0.3">
      <c r="S175" s="104" t="s">
        <v>151</v>
      </c>
      <c r="T175" s="109">
        <v>14000</v>
      </c>
      <c r="U175" s="111">
        <v>3709</v>
      </c>
      <c r="V175" s="110">
        <v>72.150000000000006</v>
      </c>
    </row>
    <row r="176" spans="2:22" x14ac:dyDescent="0.3">
      <c r="S176" s="104" t="s">
        <v>142</v>
      </c>
      <c r="T176" s="109">
        <v>11000</v>
      </c>
      <c r="U176" s="111">
        <v>4404</v>
      </c>
      <c r="V176" s="110">
        <v>86.17</v>
      </c>
    </row>
    <row r="177" spans="19:22" x14ac:dyDescent="0.3">
      <c r="S177" s="104" t="s">
        <v>233</v>
      </c>
      <c r="T177" s="109">
        <v>10000</v>
      </c>
      <c r="U177" s="111">
        <v>5796</v>
      </c>
      <c r="V177" s="110">
        <v>114.23</v>
      </c>
    </row>
    <row r="178" spans="19:22" x14ac:dyDescent="0.3">
      <c r="S178" s="104" t="s">
        <v>234</v>
      </c>
      <c r="T178" s="109">
        <v>8000</v>
      </c>
      <c r="U178" s="111">
        <v>6493</v>
      </c>
      <c r="V178" s="110">
        <v>128.25</v>
      </c>
    </row>
    <row r="179" spans="19:22" x14ac:dyDescent="0.3">
      <c r="S179" s="104" t="s">
        <v>188</v>
      </c>
      <c r="T179" s="109">
        <v>8000</v>
      </c>
      <c r="U179" s="111">
        <v>7190</v>
      </c>
      <c r="V179" s="110">
        <v>142.28</v>
      </c>
    </row>
    <row r="180" spans="19:22" x14ac:dyDescent="0.3">
      <c r="S180" s="104" t="s">
        <v>235</v>
      </c>
      <c r="T180" s="109">
        <v>27000</v>
      </c>
      <c r="U180" s="111">
        <v>1499</v>
      </c>
      <c r="V180" s="110">
        <v>28.05</v>
      </c>
    </row>
    <row r="181" spans="19:22" x14ac:dyDescent="0.3">
      <c r="S181" s="104" t="s">
        <v>236</v>
      </c>
      <c r="T181" s="109">
        <v>20000</v>
      </c>
      <c r="U181" s="111">
        <v>2182</v>
      </c>
      <c r="V181" s="110">
        <v>42.08</v>
      </c>
    </row>
    <row r="182" spans="19:22" x14ac:dyDescent="0.3">
      <c r="S182" s="104" t="s">
        <v>169</v>
      </c>
      <c r="T182" s="109">
        <v>13000</v>
      </c>
      <c r="U182" s="111">
        <v>4180</v>
      </c>
      <c r="V182" s="110">
        <v>84.16</v>
      </c>
    </row>
    <row r="183" spans="19:22" x14ac:dyDescent="0.3">
      <c r="S183" s="105" t="s">
        <v>237</v>
      </c>
      <c r="T183" s="112">
        <v>14000</v>
      </c>
      <c r="U183" s="114">
        <v>3475</v>
      </c>
      <c r="V183" s="113">
        <v>78.11</v>
      </c>
    </row>
    <row r="184" spans="19:22" x14ac:dyDescent="0.3">
      <c r="S184" s="105" t="s">
        <v>238</v>
      </c>
      <c r="T184" s="112">
        <v>11000</v>
      </c>
      <c r="U184" s="114">
        <v>4274</v>
      </c>
      <c r="V184" s="113">
        <v>92.14</v>
      </c>
    </row>
    <row r="185" spans="19:22" x14ac:dyDescent="0.3">
      <c r="S185" s="106" t="s">
        <v>239</v>
      </c>
      <c r="T185" s="115">
        <v>82500</v>
      </c>
      <c r="U185" s="116">
        <v>705</v>
      </c>
      <c r="V185" s="116">
        <v>50.49</v>
      </c>
    </row>
  </sheetData>
  <hyperlinks>
    <hyperlink ref="A54" r:id="rId1" display="https://www.epa.gov/sites/default/files/documents/2000petro4.pdf" xr:uid="{836473A4-92E5-41D1-92EA-C68B562EEEB6}"/>
    <hyperlink ref="A56" r:id="rId2" display="https://www.researchgate.net/figure/Crude-oil-Composition-and-Properties_tbl1_316040219" xr:uid="{8B9129EC-D420-4D8C-BA94-8D58033E32D4}"/>
    <hyperlink ref="O54" r:id="rId3" display="https://www.slideshare.net/slideshow/antoine-coefficient-table/52611161" xr:uid="{E7BD7C3D-851A-4E11-9B30-70A7AE766CF5}"/>
    <hyperlink ref="A81" r:id="rId4" display="https://www.researchgate.net/figure/Typical-composition-of-a-naphtha-feed-containing-10-wt-aromatics-DSM_tbl1_241875069" xr:uid="{1602018E-C195-4DF0-A6EE-EAD71F2F77EF}"/>
    <hyperlink ref="A103" r:id="rId5" display="https://patents.google.com/patent/WO2004050804A1/en" xr:uid="{AF6D64E7-0419-48B6-87CA-979CC676038E}"/>
    <hyperlink ref="A104" r:id="rId6" display="https://www.epa.gov/sites/default/files/documents/2000petro4.pdf" xr:uid="{918966A8-9378-4A02-8972-3177720599FA}"/>
    <hyperlink ref="A128" r:id="rId7" display="https://www.epa.gov/sites/default/files/documents/2000petro4.pdf" xr:uid="{38235B91-B119-4702-BD67-769A7EA51F95}"/>
    <hyperlink ref="A129" r:id="rId8" display="https://www.researchgate.net/figure/Setup-of-composition-of-diesel-mass_tbl1_343448116" xr:uid="{B0AF62B5-0128-4202-B5C7-0599888471D5}"/>
    <hyperlink ref="A152" r:id="rId9" display="https://www.researchgate.net/figure/Composition-of-oil-fractions-for-heavy-fuel-oil-16_tbl5_330004860" xr:uid="{76B6B8BD-3756-4F06-8AB0-5B0D25846D5D}"/>
    <hyperlink ref="A153" r:id="rId10" display="https://www.epa.gov/sites/default/files/documents/2000petro4.pdf" xr:uid="{04EDFBC8-D3E2-486F-AF76-9DC1DBD56001}"/>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8E3F5-6505-4FBE-AF03-EFEF692507FD}">
  <dimension ref="A1"/>
  <sheetViews>
    <sheetView workbookViewId="0"/>
  </sheetViews>
  <sheetFormatPr defaultRowHeight="14.4" x14ac:dyDescent="0.3"/>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707A9-61E5-4B46-B45B-AB8EA38EA9B5}">
  <dimension ref="A1"/>
  <sheetViews>
    <sheetView showGridLines="0" tabSelected="1" topLeftCell="A31" workbookViewId="0">
      <selection activeCellId="3" sqref="A9:XFD1048576 S8:XFD8 A8:Q8 A1:XFD7"/>
    </sheetView>
  </sheetViews>
  <sheetFormatPr defaultRowHeight="14.4" x14ac:dyDescent="0.3"/>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7591C-6C89-41DC-8E45-0299E9DDED60}">
  <dimension ref="A1:L21"/>
  <sheetViews>
    <sheetView workbookViewId="0">
      <selection activeCell="F28" sqref="F28"/>
    </sheetView>
  </sheetViews>
  <sheetFormatPr defaultRowHeight="14.4" x14ac:dyDescent="0.3"/>
  <cols>
    <col min="1" max="1" width="19.6640625" customWidth="1"/>
    <col min="2" max="2" width="41.5546875" customWidth="1"/>
    <col min="3" max="3" width="22.5546875" customWidth="1"/>
    <col min="4" max="4" width="18.88671875" customWidth="1"/>
    <col min="9" max="9" width="15.44140625" customWidth="1"/>
    <col min="10" max="10" width="31.88671875" customWidth="1"/>
    <col min="11" max="11" width="16.5546875" customWidth="1"/>
    <col min="12" max="12" width="13.44140625" customWidth="1"/>
  </cols>
  <sheetData>
    <row r="1" spans="1:12" x14ac:dyDescent="0.3">
      <c r="A1" s="9" t="s">
        <v>240</v>
      </c>
      <c r="I1" s="9" t="s">
        <v>241</v>
      </c>
    </row>
    <row r="2" spans="1:12" x14ac:dyDescent="0.3">
      <c r="A2" s="1" t="s">
        <v>242</v>
      </c>
      <c r="B2" s="2" t="s">
        <v>243</v>
      </c>
      <c r="C2" s="1" t="s">
        <v>244</v>
      </c>
      <c r="D2" s="1" t="s">
        <v>245</v>
      </c>
      <c r="I2" s="1" t="s">
        <v>242</v>
      </c>
      <c r="J2" s="2" t="s">
        <v>243</v>
      </c>
      <c r="K2" s="1" t="s">
        <v>244</v>
      </c>
      <c r="L2" s="1" t="s">
        <v>245</v>
      </c>
    </row>
    <row r="3" spans="1:12" ht="16.2" x14ac:dyDescent="0.3">
      <c r="A3" s="7" t="s">
        <v>246</v>
      </c>
      <c r="B3" s="5" t="s">
        <v>247</v>
      </c>
      <c r="C3" s="5" t="s">
        <v>248</v>
      </c>
      <c r="D3" s="6"/>
      <c r="I3" s="7" t="s">
        <v>249</v>
      </c>
      <c r="J3" t="s">
        <v>250</v>
      </c>
      <c r="K3" s="5" t="s">
        <v>248</v>
      </c>
      <c r="L3" s="6"/>
    </row>
    <row r="4" spans="1:12" ht="16.2" x14ac:dyDescent="0.3">
      <c r="A4" s="7" t="s">
        <v>251</v>
      </c>
      <c r="B4" s="5" t="s">
        <v>241</v>
      </c>
      <c r="C4" s="5" t="s">
        <v>248</v>
      </c>
      <c r="D4" s="16" t="e">
        <f>K8</f>
        <v>#DIV/0!</v>
      </c>
      <c r="I4" s="7" t="s">
        <v>252</v>
      </c>
      <c r="J4" t="s">
        <v>253</v>
      </c>
      <c r="K4" s="14" t="s">
        <v>248</v>
      </c>
      <c r="L4" s="15"/>
    </row>
    <row r="5" spans="1:12" x14ac:dyDescent="0.3">
      <c r="I5" s="7" t="s">
        <v>254</v>
      </c>
      <c r="J5" s="5" t="s">
        <v>255</v>
      </c>
      <c r="K5" s="5" t="s">
        <v>256</v>
      </c>
      <c r="L5" s="17">
        <v>1.02</v>
      </c>
    </row>
    <row r="6" spans="1:12" x14ac:dyDescent="0.3">
      <c r="I6" s="7" t="s">
        <v>257</v>
      </c>
      <c r="J6" s="5" t="s">
        <v>258</v>
      </c>
      <c r="K6" s="5" t="s">
        <v>259</v>
      </c>
      <c r="L6" s="6"/>
    </row>
    <row r="8" spans="1:12" ht="16.2" x14ac:dyDescent="0.3">
      <c r="A8" s="7" t="s">
        <v>260</v>
      </c>
      <c r="B8" s="5" t="s">
        <v>261</v>
      </c>
      <c r="C8" s="8" t="e">
        <f>D3+D4</f>
        <v>#DIV/0!</v>
      </c>
      <c r="I8" s="7" t="s">
        <v>251</v>
      </c>
      <c r="J8" s="5" t="s">
        <v>241</v>
      </c>
      <c r="K8" s="8" t="e">
        <f>(1.84*(0.44*L3-0.42)*L4*L5/L6)</f>
        <v>#DIV/0!</v>
      </c>
    </row>
    <row r="11" spans="1:12" x14ac:dyDescent="0.3">
      <c r="A11" s="9" t="s">
        <v>262</v>
      </c>
      <c r="D11" t="s">
        <v>263</v>
      </c>
    </row>
    <row r="12" spans="1:12" x14ac:dyDescent="0.3">
      <c r="A12" s="1" t="s">
        <v>242</v>
      </c>
      <c r="B12" s="2" t="s">
        <v>243</v>
      </c>
      <c r="C12" s="1" t="s">
        <v>244</v>
      </c>
      <c r="D12" s="1" t="s">
        <v>245</v>
      </c>
      <c r="H12" s="4"/>
      <c r="I12" s="3" t="s">
        <v>264</v>
      </c>
    </row>
    <row r="13" spans="1:12" x14ac:dyDescent="0.3">
      <c r="A13" s="5" t="s">
        <v>265</v>
      </c>
      <c r="B13" s="5" t="s">
        <v>266</v>
      </c>
      <c r="C13" s="5" t="s">
        <v>256</v>
      </c>
      <c r="D13" s="6">
        <v>1</v>
      </c>
      <c r="H13" s="18"/>
      <c r="I13" s="19" t="s">
        <v>267</v>
      </c>
    </row>
    <row r="14" spans="1:12" x14ac:dyDescent="0.3">
      <c r="A14" s="5" t="s">
        <v>249</v>
      </c>
      <c r="B14" s="5" t="s">
        <v>268</v>
      </c>
      <c r="C14" s="5" t="s">
        <v>97</v>
      </c>
      <c r="D14" s="6">
        <v>6.6</v>
      </c>
    </row>
    <row r="15" spans="1:12" x14ac:dyDescent="0.3">
      <c r="A15" s="5" t="s">
        <v>252</v>
      </c>
      <c r="B15" s="5" t="s">
        <v>269</v>
      </c>
      <c r="C15" s="5" t="s">
        <v>270</v>
      </c>
      <c r="D15" s="6">
        <v>66</v>
      </c>
    </row>
    <row r="16" spans="1:12" x14ac:dyDescent="0.3">
      <c r="A16" s="5" t="s">
        <v>257</v>
      </c>
      <c r="B16" s="5" t="s">
        <v>271</v>
      </c>
      <c r="C16" s="5" t="s">
        <v>259</v>
      </c>
      <c r="D16" s="6">
        <v>540</v>
      </c>
    </row>
    <row r="17" spans="1:4" x14ac:dyDescent="0.3">
      <c r="A17" s="5" t="s">
        <v>272</v>
      </c>
      <c r="B17" s="5" t="s">
        <v>273</v>
      </c>
      <c r="C17" s="5" t="s">
        <v>274</v>
      </c>
      <c r="D17" s="6">
        <v>94</v>
      </c>
    </row>
    <row r="18" spans="1:4" x14ac:dyDescent="0.3">
      <c r="B18" s="5" t="s">
        <v>275</v>
      </c>
      <c r="C18" s="5" t="s">
        <v>276</v>
      </c>
      <c r="D18" s="6">
        <v>8000</v>
      </c>
    </row>
    <row r="20" spans="1:4" ht="16.2" x14ac:dyDescent="0.3">
      <c r="A20" s="7" t="s">
        <v>277</v>
      </c>
      <c r="B20" s="5" t="s">
        <v>278</v>
      </c>
      <c r="C20" s="8">
        <f>(12.46*D13*D14*D15/D16)*(1-(D17/100))*D18/1000</f>
        <v>4.8245120000000048</v>
      </c>
    </row>
    <row r="21" spans="1:4" x14ac:dyDescent="0.3">
      <c r="A21" s="9"/>
    </row>
  </sheetData>
  <phoneticPr fontId="7"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29f62856-1543-49d4-a736-4569d363f533" ContentTypeId="0x01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2025-02-04T02:39:07+00:00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xsi:nil="true"/>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89ACEB5CD14E544C890619B1F504DD44" ma:contentTypeVersion="12" ma:contentTypeDescription="Create a new document." ma:contentTypeScope="" ma:versionID="7885eb2a9d71f4f3de64996143593645">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bd6563f2-84fd-49bb-ba49-e16e67e66c70" xmlns:ns6="88ca8544-bb20-4614-9b73-bf8401c81147" targetNamespace="http://schemas.microsoft.com/office/2006/metadata/properties" ma:root="true" ma:fieldsID="ec2196ef3727cc2b6ab09906bcc1f931" ns1:_="" ns2:_="" ns3:_="" ns4:_="" ns5:_="" ns6:_="">
    <xsd:import namespace="http://schemas.microsoft.com/sharepoint/v3"/>
    <xsd:import namespace="4ffa91fb-a0ff-4ac5-b2db-65c790d184a4"/>
    <xsd:import namespace="http://schemas.microsoft.com/sharepoint.v3"/>
    <xsd:import namespace="http://schemas.microsoft.com/sharepoint/v3/fields"/>
    <xsd:import namespace="bd6563f2-84fd-49bb-ba49-e16e67e66c70"/>
    <xsd:import namespace="88ca8544-bb20-4614-9b73-bf8401c81147"/>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ObjectDetectorVersions" minOccurs="0"/>
                <xsd:element ref="ns6:SharedWithUsers" minOccurs="0"/>
                <xsd:element ref="ns6:SharedWithDetails" minOccurs="0"/>
                <xsd:element ref="ns5:MediaServiceSearchProperties" minOccurs="0"/>
                <xsd:element ref="ns5:MediaServiceDateTaken" minOccurs="0"/>
                <xsd:element ref="ns5:MediaServiceGenerationTime" minOccurs="0"/>
                <xsd:element ref="ns5:MediaServiceEventHashCode" minOccurs="0"/>
                <xsd:element ref="ns5: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ma:readOnly="false">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2416a9ae-61a2-4525-842e-f75ab01c9399}" ma:internalName="TaxCatchAllLabel" ma:readOnly="true" ma:showField="CatchAllDataLabel" ma:web="88ca8544-bb20-4614-9b73-bf8401c81147">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2416a9ae-61a2-4525-842e-f75ab01c9399}" ma:internalName="TaxCatchAll" ma:showField="CatchAllData" ma:web="88ca8544-bb20-4614-9b73-bf8401c8114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d6563f2-84fd-49bb-ba49-e16e67e66c7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MediaServiceSearchProperties" ma:index="33" nillable="true" ma:displayName="MediaServiceSearchProperties" ma:hidden="true" ma:internalName="MediaServiceSearchProperties" ma:readOnly="true">
      <xsd:simpleType>
        <xsd:restriction base="dms:Note"/>
      </xsd:simpleType>
    </xsd:element>
    <xsd:element name="MediaServiceDateTaken" ma:index="34" nillable="true" ma:displayName="MediaServiceDateTaken" ma:hidden="true" ma:indexed="true" ma:internalName="MediaServiceDateTaken" ma:readOnly="true">
      <xsd:simpleType>
        <xsd:restriction base="dms:Text"/>
      </xsd:simpleType>
    </xsd:element>
    <xsd:element name="MediaServiceGenerationTime" ma:index="35" nillable="true" ma:displayName="MediaServiceGenerationTime" ma:hidden="true" ma:internalName="MediaServiceGenerationTime" ma:readOnly="true">
      <xsd:simpleType>
        <xsd:restriction base="dms:Text"/>
      </xsd:simpleType>
    </xsd:element>
    <xsd:element name="MediaServiceEventHashCode" ma:index="36" nillable="true" ma:displayName="MediaServiceEventHashCode" ma:hidden="true" ma:internalName="MediaServiceEventHashCode" ma:readOnly="true">
      <xsd:simpleType>
        <xsd:restriction base="dms:Text"/>
      </xsd:simpleType>
    </xsd:element>
    <xsd:element name="MediaLengthInSeconds" ma:index="3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8ca8544-bb20-4614-9b73-bf8401c81147" elementFormDefault="qualified">
    <xsd:import namespace="http://schemas.microsoft.com/office/2006/documentManagement/types"/>
    <xsd:import namespace="http://schemas.microsoft.com/office/infopath/2007/PartnerControls"/>
    <xsd:element name="SharedWithUsers" ma:index="3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4EF6A5-C9DD-4F32-B213-E7FEA1E2EFC1}">
  <ds:schemaRefs>
    <ds:schemaRef ds:uri="Microsoft.SharePoint.Taxonomy.ContentTypeSync"/>
  </ds:schemaRefs>
</ds:datastoreItem>
</file>

<file path=customXml/itemProps2.xml><?xml version="1.0" encoding="utf-8"?>
<ds:datastoreItem xmlns:ds="http://schemas.openxmlformats.org/officeDocument/2006/customXml" ds:itemID="{782E1E55-73D4-4EA2-B20B-9952C008889C}">
  <ds:schemaRefs>
    <ds:schemaRef ds:uri="http://schemas.microsoft.com/sharepoint/v3/contenttype/forms"/>
  </ds:schemaRefs>
</ds:datastoreItem>
</file>

<file path=customXml/itemProps3.xml><?xml version="1.0" encoding="utf-8"?>
<ds:datastoreItem xmlns:ds="http://schemas.openxmlformats.org/officeDocument/2006/customXml" ds:itemID="{F519042B-2AAE-4D44-993C-27BA32850571}">
  <ds:schemaRefs>
    <ds:schemaRef ds:uri="http://schemas.microsoft.com/office/2006/metadata/properties"/>
    <ds:schemaRef ds:uri="http://schemas.microsoft.com/office/infopath/2007/PartnerControls"/>
    <ds:schemaRef ds:uri="http://schemas.microsoft.com/sharepoint/v3/fields"/>
    <ds:schemaRef ds:uri="http://schemas.microsoft.com/sharepoint/v3"/>
    <ds:schemaRef ds:uri="4ffa91fb-a0ff-4ac5-b2db-65c790d184a4"/>
    <ds:schemaRef ds:uri="http://schemas.microsoft.com/sharepoint.v3"/>
  </ds:schemaRefs>
</ds:datastoreItem>
</file>

<file path=customXml/itemProps4.xml><?xml version="1.0" encoding="utf-8"?>
<ds:datastoreItem xmlns:ds="http://schemas.openxmlformats.org/officeDocument/2006/customXml" ds:itemID="{24576C13-6B57-4A85-89D0-9EE06C0679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bd6563f2-84fd-49bb-ba49-e16e67e66c70"/>
    <ds:schemaRef ds:uri="88ca8544-bb20-4614-9b73-bf8401c8114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Gasoline MP</vt:lpstr>
      <vt:lpstr>Crude Oil MP</vt:lpstr>
      <vt:lpstr>Benzene_Toluene MP</vt:lpstr>
      <vt:lpstr>Alcohols MP</vt:lpstr>
      <vt:lpstr>Naphtha MP</vt:lpstr>
      <vt:lpstr>Kerosene MP</vt:lpstr>
      <vt:lpstr>Distillate MP</vt:lpstr>
      <vt:lpstr>Residual MP</vt:lpstr>
      <vt:lpstr>VP Costs</vt:lpstr>
      <vt:lpstr>Threshold Costs</vt:lpstr>
      <vt:lpstr>Loading Loss</vt:lpstr>
      <vt:lpstr>Fuel Composition</vt:lpstr>
      <vt:lpstr>Instructions</vt:lpstr>
      <vt:lpstr>AP-42Ch5</vt:lpstr>
      <vt:lpstr>LoadingLoss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Clemens, Fallon</dc:creator>
  <cp:keywords/>
  <dc:description/>
  <cp:lastModifiedBy>Clemens, Fallon</cp:lastModifiedBy>
  <cp:revision/>
  <dcterms:created xsi:type="dcterms:W3CDTF">2024-12-15T23:26:25Z</dcterms:created>
  <dcterms:modified xsi:type="dcterms:W3CDTF">2026-01-12T17:16:02Z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0x01010089ACEB5CD14E544C890619B1F504DD44</vt:lpwstr>
  </property>
  <property fmtid="{D5CDD505-2E9C-101B-9397-08002B2CF9AE}" pid="3" name="TaxKeyword">
    <vt:lpwstr/>
  </property>
  <property fmtid="{D5CDD505-2E9C-101B-9397-08002B2CF9AE}" pid="4" name="e3f09c3df709400db2417a7161762d62">
    <vt:lpwstr/>
  </property>
  <property fmtid="{D5CDD505-2E9C-101B-9397-08002B2CF9AE}" pid="5" name="EPA_x0020_Subject">
    <vt:lpwstr/>
  </property>
  <property fmtid="{D5CDD505-2E9C-101B-9397-08002B2CF9AE}" pid="6" name="Document Type">
    <vt:lpwstr/>
  </property>
  <property fmtid="{D5CDD505-2E9C-101B-9397-08002B2CF9AE}" pid="7" name="EPA Subject">
    <vt:lpwstr/>
  </property>
  <property fmtid="{D5CDD505-2E9C-101B-9397-08002B2CF9AE}" pid="8" name="Document_x0020_Type">
    <vt:lpwstr/>
  </property>
</Properties>
</file>