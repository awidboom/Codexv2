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rtifile02\ehe\Projects\0217382-EPA_MME\0217382.050-Ref-Dist-Tanks\Technical_Record\MVL\Proposal Docket\"/>
    </mc:Choice>
  </mc:AlternateContent>
  <xr:revisionPtr revIDLastSave="0" documentId="8_{69F58946-0018-442D-BBBF-3593C01EA71C}" xr6:coauthVersionLast="47" xr6:coauthVersionMax="47" xr10:uidLastSave="{00000000-0000-0000-0000-000000000000}"/>
  <bookViews>
    <workbookView xWindow="-57720" yWindow="-120" windowWidth="29040" windowHeight="15720" firstSheet="4" activeTab="4" xr2:uid="{3F77BDC4-381F-43F1-953B-D5A5010E21D9}"/>
  </bookViews>
  <sheets>
    <sheet name="Assumptions" sheetId="3" r:id="rId1"/>
    <sheet name="MonitoringOptCosts" sheetId="1" r:id="rId2"/>
    <sheet name="2nd_Impacts" sheetId="6" r:id="rId3"/>
    <sheet name="ElectronicReporting" sheetId="5" r:id="rId4"/>
    <sheet name="NationalCosts" sheetId="4" r:id="rId5"/>
  </sheets>
  <definedNames>
    <definedName name="CRF">MonitoringOptCosts!$F$1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F16" i="4"/>
  <c r="C29" i="4"/>
  <c r="F5" i="4"/>
  <c r="I5" i="5"/>
  <c r="J33" i="1" l="1"/>
  <c r="J34" i="1"/>
  <c r="J32" i="1"/>
  <c r="F61" i="1"/>
  <c r="B67" i="1"/>
  <c r="B66" i="1"/>
  <c r="B65" i="1"/>
  <c r="B59" i="1"/>
  <c r="B72" i="1" l="1"/>
  <c r="B3" i="6" s="1"/>
  <c r="B62" i="1" l="1"/>
  <c r="G35" i="1" l="1"/>
  <c r="J12" i="4" s="1"/>
  <c r="F35" i="1"/>
  <c r="H35" i="1"/>
  <c r="F5" i="5"/>
  <c r="B4" i="5"/>
  <c r="B15" i="4" s="1"/>
  <c r="B8" i="5"/>
  <c r="B23" i="4"/>
  <c r="B5" i="5" l="1"/>
  <c r="B10" i="5" s="1"/>
  <c r="E15" i="4" s="1"/>
  <c r="D15" i="4"/>
  <c r="F12" i="4"/>
  <c r="D28" i="1"/>
  <c r="B33" i="1"/>
  <c r="F33" i="1" s="1"/>
  <c r="I10" i="4" s="1"/>
  <c r="C33" i="1"/>
  <c r="G33" i="1" s="1"/>
  <c r="J10" i="4" s="1"/>
  <c r="B34" i="1"/>
  <c r="F34" i="1" s="1"/>
  <c r="I11" i="4" s="1"/>
  <c r="C34" i="1"/>
  <c r="G34" i="1" s="1"/>
  <c r="J11" i="4" s="1"/>
  <c r="C32" i="1"/>
  <c r="G32" i="1" s="1"/>
  <c r="J9" i="4" s="1"/>
  <c r="B32" i="1"/>
  <c r="F32" i="1" s="1"/>
  <c r="I9" i="4" s="1"/>
  <c r="D26" i="1"/>
  <c r="D33" i="1" l="1"/>
  <c r="H33" i="1" s="1"/>
  <c r="K10" i="4" s="1"/>
  <c r="D29" i="1"/>
  <c r="D34" i="1" s="1"/>
  <c r="H34" i="1" s="1"/>
  <c r="K11" i="4" s="1"/>
  <c r="D27" i="1"/>
  <c r="D32" i="1" s="1"/>
  <c r="H32" i="1" s="1"/>
  <c r="K9" i="4" s="1"/>
  <c r="F5" i="1"/>
  <c r="G5" i="1"/>
  <c r="F6" i="1"/>
  <c r="G6" i="1"/>
  <c r="F8" i="1"/>
  <c r="G8" i="1"/>
  <c r="F9" i="1"/>
  <c r="G9" i="1"/>
  <c r="F11" i="1"/>
  <c r="G11" i="1"/>
  <c r="F12" i="1"/>
  <c r="G12" i="1"/>
  <c r="F14" i="1"/>
  <c r="G14" i="1"/>
  <c r="F15" i="1"/>
  <c r="G15" i="1"/>
  <c r="C7" i="4"/>
  <c r="B10" i="6" s="1"/>
  <c r="C6" i="4"/>
  <c r="C5" i="4"/>
  <c r="B51" i="1"/>
  <c r="B41" i="1"/>
  <c r="B58" i="1"/>
  <c r="J5" i="4" s="1"/>
  <c r="K5" i="4" s="1"/>
  <c r="J42" i="1"/>
  <c r="B39" i="1"/>
  <c r="G3" i="4" l="1"/>
  <c r="G4" i="4"/>
  <c r="G5" i="4"/>
  <c r="B9" i="6"/>
  <c r="E10" i="6"/>
  <c r="C10" i="6"/>
  <c r="D10" i="6"/>
  <c r="H16" i="4"/>
  <c r="B41" i="4"/>
  <c r="F17" i="4"/>
  <c r="H17" i="4"/>
  <c r="G12" i="4"/>
  <c r="G11" i="4"/>
  <c r="G10" i="4"/>
  <c r="B60" i="1"/>
  <c r="G9" i="4"/>
  <c r="D16" i="4" l="1"/>
  <c r="B61" i="1"/>
  <c r="K4" i="4" s="1"/>
  <c r="H4" i="4"/>
  <c r="B16" i="4"/>
  <c r="B40" i="4"/>
  <c r="B42" i="4" s="1"/>
  <c r="D9" i="6"/>
  <c r="E9" i="6"/>
  <c r="C9" i="6"/>
  <c r="B12" i="6"/>
  <c r="F18" i="4"/>
  <c r="H18" i="4"/>
  <c r="E41" i="4"/>
  <c r="D41" i="4"/>
  <c r="C41" i="4"/>
  <c r="D34" i="4"/>
  <c r="D29" i="4"/>
  <c r="D30" i="4"/>
  <c r="D31" i="4"/>
  <c r="D32" i="4"/>
  <c r="D33" i="4"/>
  <c r="C30" i="4"/>
  <c r="C31" i="4"/>
  <c r="C32" i="4"/>
  <c r="C33" i="4"/>
  <c r="C34" i="4"/>
  <c r="D17" i="4"/>
  <c r="D18" i="4" s="1"/>
  <c r="E16" i="4" l="1"/>
  <c r="I16" i="4" s="1"/>
  <c r="E12" i="6"/>
  <c r="E40" i="4"/>
  <c r="C40" i="4"/>
  <c r="C42" i="4" s="1"/>
  <c r="C12" i="6"/>
  <c r="D40" i="4"/>
  <c r="D42" i="4" s="1"/>
  <c r="D12" i="6"/>
  <c r="E42" i="4"/>
  <c r="E34" i="4"/>
  <c r="E29" i="4"/>
  <c r="E32" i="4"/>
  <c r="E33" i="4"/>
  <c r="D35" i="4"/>
  <c r="E31" i="4"/>
  <c r="E30" i="4"/>
  <c r="C35" i="4"/>
  <c r="B42" i="1"/>
  <c r="G16" i="4" l="1"/>
  <c r="B43" i="1"/>
  <c r="D47" i="1"/>
  <c r="D48" i="1" s="1"/>
  <c r="E35" i="4"/>
  <c r="B52" i="1"/>
  <c r="B47" i="1"/>
  <c r="B48" i="1" l="1"/>
  <c r="K12" i="4" s="1"/>
  <c r="H12" i="4"/>
  <c r="B17" i="4" s="1"/>
  <c r="B18" i="4" s="1"/>
  <c r="B53" i="1"/>
  <c r="B54" i="1" s="1"/>
  <c r="B55" i="1" s="1"/>
  <c r="C20" i="1" l="1"/>
  <c r="G20" i="1" s="1"/>
  <c r="C21" i="1"/>
  <c r="G21" i="1" s="1"/>
  <c r="B21" i="1"/>
  <c r="F21" i="1" s="1"/>
  <c r="B20" i="1"/>
  <c r="F20" i="1" s="1"/>
  <c r="C17" i="4" s="1"/>
  <c r="H22" i="4" l="1"/>
  <c r="C18" i="4"/>
  <c r="D15" i="1"/>
  <c r="D14" i="1"/>
  <c r="D13" i="1"/>
  <c r="D12" i="1"/>
  <c r="D11" i="1"/>
  <c r="D10" i="1"/>
  <c r="H14" i="1" l="1"/>
  <c r="H12" i="1"/>
  <c r="H15" i="1"/>
  <c r="H11" i="1"/>
  <c r="D6" i="1"/>
  <c r="D5" i="1"/>
  <c r="D4" i="1"/>
  <c r="H5" i="1" l="1"/>
  <c r="H6" i="1"/>
  <c r="D20" i="1"/>
  <c r="H20" i="1" s="1"/>
  <c r="D21" i="1"/>
  <c r="H21" i="1" s="1"/>
  <c r="D8" i="1"/>
  <c r="D9" i="1"/>
  <c r="D7" i="1"/>
  <c r="E17" i="4" l="1"/>
  <c r="H9" i="1"/>
  <c r="H8" i="1"/>
  <c r="H23" i="4" l="1"/>
  <c r="E18" i="4"/>
  <c r="G18" i="4"/>
  <c r="G17" i="4"/>
  <c r="I18" i="4"/>
  <c r="I17" i="4"/>
</calcChain>
</file>

<file path=xl/sharedStrings.xml><?xml version="1.0" encoding="utf-8"?>
<sst xmlns="http://schemas.openxmlformats.org/spreadsheetml/2006/main" count="247" uniqueCount="185">
  <si>
    <t>Flare costs are in 2019$</t>
  </si>
  <si>
    <t>Considered the following options:</t>
  </si>
  <si>
    <t>Flare with continuous natural gas (NG) pilot [Baseline]</t>
  </si>
  <si>
    <t>Flare with continuous NG pilot + calorimeter + flow meter</t>
  </si>
  <si>
    <t>Flare with continuous NG pilot + simplified VISR</t>
  </si>
  <si>
    <t>Flare with consistent flare gas (14-day sampling option)</t>
  </si>
  <si>
    <t>Flare with once every 5-year performance evaluation</t>
  </si>
  <si>
    <t>Used $90,000 for simplified VISR based on information collected during call with Dr. Zeng on 4/4/2022.</t>
  </si>
  <si>
    <t>Converted to 2019$, that is $68,493 (based on 2019 CEPCI of 607.5 and 2022 CEPCI of 816.0)</t>
  </si>
  <si>
    <t>Control Costs for Flares with monitoring options from OOOOb Storage Tank Analysis</t>
  </si>
  <si>
    <t>CRF</t>
  </si>
  <si>
    <t>Year</t>
  </si>
  <si>
    <t>CEPCI</t>
  </si>
  <si>
    <t>NG costs</t>
  </si>
  <si>
    <t>https://www.eia.gov/dnav/ng/hist/n3035us3m.htm</t>
  </si>
  <si>
    <t>Costs are in 2019$</t>
  </si>
  <si>
    <t>$/Mscf</t>
  </si>
  <si>
    <t>Flare Size/Monitoring</t>
  </si>
  <si>
    <t>TCI</t>
  </si>
  <si>
    <t>AOC</t>
  </si>
  <si>
    <t>TAC</t>
  </si>
  <si>
    <t>1 - continuous pilot, NG</t>
  </si>
  <si>
    <t>1 - flow+calorimeter</t>
  </si>
  <si>
    <t>1 - VISR</t>
  </si>
  <si>
    <t>2 - continuous pilot, NG</t>
  </si>
  <si>
    <t>2 - flow+calorimeter</t>
  </si>
  <si>
    <t>2 - VISR</t>
  </si>
  <si>
    <t>3 - continuous pilot, NG</t>
  </si>
  <si>
    <t>3 - flow+calorimeter</t>
  </si>
  <si>
    <t>3 - VISR</t>
  </si>
  <si>
    <t>4 - continuous pilot, NG</t>
  </si>
  <si>
    <t>4 - flow+calorimeter</t>
  </si>
  <si>
    <t>4 - VISR</t>
  </si>
  <si>
    <t>Costs escalated to 2023$</t>
  </si>
  <si>
    <t>Added Costs</t>
  </si>
  <si>
    <t>Flow and calorimeter</t>
  </si>
  <si>
    <t>VISR</t>
  </si>
  <si>
    <t>Did not escalate since cost quote was from April 2022 and annual 2022 CEPCI was just slightly less than 2023.</t>
  </si>
  <si>
    <t>Control Costs for Flares with monitoring options for MTVLO</t>
  </si>
  <si>
    <t>Continuous pilot, NG</t>
  </si>
  <si>
    <t>Pilot plus flow and calorimeter</t>
  </si>
  <si>
    <t>Pilot plus calorimeter only</t>
  </si>
  <si>
    <t>Pilot plus VISR</t>
  </si>
  <si>
    <t>Annual Cost Capital Only</t>
  </si>
  <si>
    <t>Calorimeter only</t>
  </si>
  <si>
    <t>Escalated here because used descalated 2019 costs for VISR in spreadsheet input.</t>
  </si>
  <si>
    <t xml:space="preserve">NG addition costs (for one-time assessment) </t>
  </si>
  <si>
    <t>Sampling costs</t>
  </si>
  <si>
    <t>2023 costs</t>
  </si>
  <si>
    <t>basis</t>
  </si>
  <si>
    <t>reference</t>
  </si>
  <si>
    <t>Fully Loaded Hourly Tech rate</t>
  </si>
  <si>
    <t>(from memo)</t>
  </si>
  <si>
    <t>Analysis cost</t>
  </si>
  <si>
    <t>$200 for GC analysis in 2020</t>
  </si>
  <si>
    <t>Fee Schedule 2020 4-17-20 new</t>
  </si>
  <si>
    <t>Shipping and Handling</t>
  </si>
  <si>
    <t>Interest Rate</t>
  </si>
  <si>
    <t>Labor (assuming 1 hr))</t>
  </si>
  <si>
    <t>includes sample collection, mailing, and data review</t>
  </si>
  <si>
    <t>Life</t>
  </si>
  <si>
    <t>years</t>
  </si>
  <si>
    <t>Tax</t>
  </si>
  <si>
    <t>assumes 8%</t>
  </si>
  <si>
    <t>Subtotal</t>
  </si>
  <si>
    <t>per sample</t>
  </si>
  <si>
    <t>Cost of 14-day sampling option</t>
  </si>
  <si>
    <t>Sample Costs only</t>
  </si>
  <si>
    <t>No. of samples</t>
  </si>
  <si>
    <t>Total cost of demonstration</t>
  </si>
  <si>
    <t>Costs Annualized over 5 years</t>
  </si>
  <si>
    <t>per year</t>
  </si>
  <si>
    <t>Cost of Flare Performance Test</t>
  </si>
  <si>
    <t>2-hour VE monitoring</t>
  </si>
  <si>
    <t>Includes 0.5 hours for set-up</t>
  </si>
  <si>
    <t xml:space="preserve">Heat content anayses </t>
  </si>
  <si>
    <t>Assumes 8 samples</t>
  </si>
  <si>
    <t>Flow measurement determination</t>
  </si>
  <si>
    <t>Assumed comparable to heat content determinations</t>
  </si>
  <si>
    <t>Non-Flare performance test</t>
  </si>
  <si>
    <t>Test crew</t>
  </si>
  <si>
    <t>$18,500 in 2020 from gasoline distribution analysis</t>
  </si>
  <si>
    <t>On-site staff</t>
  </si>
  <si>
    <t>Assumes 4 hours on-site labor.</t>
  </si>
  <si>
    <t>Annualized Testing contractor costs only</t>
  </si>
  <si>
    <t>Annual additional NG usage costs</t>
  </si>
  <si>
    <t>Annual RATA</t>
  </si>
  <si>
    <t>Test Crew</t>
  </si>
  <si>
    <t>Assumes testing cost is 75% of performance test.</t>
  </si>
  <si>
    <t>Assumes testing cost is 75% of performance test + 4 hours on-site labor.</t>
  </si>
  <si>
    <r>
      <t xml:space="preserve">Thermal combustors - operating limit </t>
    </r>
    <r>
      <rPr>
        <b/>
        <sz val="11"/>
        <color theme="1"/>
        <rFont val="Aptos Narrow"/>
        <family val="2"/>
      </rPr>
      <t>Δ</t>
    </r>
    <r>
      <rPr>
        <b/>
        <sz val="11"/>
        <color theme="1"/>
        <rFont val="Calibri"/>
        <family val="2"/>
        <scheme val="minor"/>
      </rPr>
      <t>NG usage</t>
    </r>
  </si>
  <si>
    <t>Annual additional NG usage (+25 deg F)</t>
  </si>
  <si>
    <t>scfm</t>
  </si>
  <si>
    <t>Difference in Cell D49, Design Parameters, for Oxidizer Costs, no heat recovery</t>
  </si>
  <si>
    <t>Low flow hours when more auxilary gas needed</t>
  </si>
  <si>
    <t>hours</t>
  </si>
  <si>
    <t>Assumed needed only during low waste gas flows (Flare flow mode 3)</t>
  </si>
  <si>
    <t>Quantity of additional NG used</t>
  </si>
  <si>
    <t>Mscf/year</t>
  </si>
  <si>
    <t>Secondary Impacts</t>
  </si>
  <si>
    <t>Secondary Impact Factors</t>
  </si>
  <si>
    <t>Source</t>
  </si>
  <si>
    <t>Flow/flare (Mscf/yr)</t>
  </si>
  <si>
    <t>Natural Gas Usage</t>
  </si>
  <si>
    <t>lb CO2/10^6 Btu</t>
  </si>
  <si>
    <t>Converted from Table C-1, 40 CFR part 98, subpart C</t>
  </si>
  <si>
    <t>NG usage increase for combustors</t>
  </si>
  <si>
    <t>See MonitoringOptCosts tab</t>
  </si>
  <si>
    <t>lb NOx/10^6 Btu</t>
  </si>
  <si>
    <t>AP-42 Table 13.5-1</t>
  </si>
  <si>
    <t>Natural Gas use increase for flare requirements</t>
  </si>
  <si>
    <t xml:space="preserve">Based on Cell C64 in "Design Parameters" tab for flare 101b cost sheets </t>
  </si>
  <si>
    <t>lb CO/10^6 Btu</t>
  </si>
  <si>
    <t>AP-42 Table 13.5-2</t>
  </si>
  <si>
    <t>Natural Gas Btu</t>
  </si>
  <si>
    <t>Btu/scf</t>
  </si>
  <si>
    <t>https://www.eia.gov/energyexplained/units-and-calculators/british-thermal-units.php</t>
  </si>
  <si>
    <t xml:space="preserve">National Impacts </t>
  </si>
  <si>
    <t>Flow/flare (MMscf/yr)</t>
  </si>
  <si>
    <t>CO2 tons/yr</t>
  </si>
  <si>
    <t>NOx tons/yr</t>
  </si>
  <si>
    <t>CO tons/yr</t>
  </si>
  <si>
    <t>Natural Gas use increase for theroal combustors</t>
  </si>
  <si>
    <t>TOTAL</t>
  </si>
  <si>
    <t>No.Facilities</t>
  </si>
  <si>
    <t>First year hrs</t>
  </si>
  <si>
    <t>First year cost</t>
  </si>
  <si>
    <t>Annualized</t>
  </si>
  <si>
    <t>Subsequent time saving</t>
  </si>
  <si>
    <t>Cost</t>
  </si>
  <si>
    <t>National Costs</t>
  </si>
  <si>
    <t>Breakdown of Vapor Recovery Systems</t>
  </si>
  <si>
    <t>Monitor Type</t>
  </si>
  <si>
    <t>Fraction</t>
  </si>
  <si>
    <t>Number</t>
  </si>
  <si>
    <t>First Year Cost</t>
  </si>
  <si>
    <r>
      <t>Assumed Number of Controls</t>
    </r>
    <r>
      <rPr>
        <vertAlign val="superscript"/>
        <sz val="11"/>
        <color theme="1"/>
        <rFont val="Calibri"/>
        <family val="2"/>
        <scheme val="minor"/>
      </rPr>
      <t>1</t>
    </r>
  </si>
  <si>
    <t>Currently testing annually</t>
  </si>
  <si>
    <t>Assumed Breakdown of Control</t>
  </si>
  <si>
    <t>Subject to periodic testing</t>
  </si>
  <si>
    <t xml:space="preserve"> - Vapor recovery systems</t>
  </si>
  <si>
    <t>Subject to annual RATA</t>
  </si>
  <si>
    <t xml:space="preserve"> - Thermal combustor (not flare)</t>
  </si>
  <si>
    <t xml:space="preserve"> - Flare</t>
  </si>
  <si>
    <t>Breakdown of Flares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</si>
  <si>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Some sources only require submerged loading but some may have multiple controls)</t>
    </r>
  </si>
  <si>
    <t>NHV-flow monitor</t>
  </si>
  <si>
    <t>NHV only</t>
  </si>
  <si>
    <t>One-time assessment</t>
  </si>
  <si>
    <t>Option</t>
  </si>
  <si>
    <t>Total Capital Investment, TCI ($)</t>
  </si>
  <si>
    <t>Annual Operating Cost, AOC ($/yr)</t>
  </si>
  <si>
    <t>Total Annualized Cost, TAC ($/yr)</t>
  </si>
  <si>
    <t>HAP Emissions Reduction (tpy)</t>
  </si>
  <si>
    <t>Cost-Effectiveness ($/ton HAP)</t>
  </si>
  <si>
    <t>VOC Emissions Reduction (tpy)</t>
  </si>
  <si>
    <t>Cost-Effectiveness ($/ton VOC)</t>
  </si>
  <si>
    <t>Comments</t>
  </si>
  <si>
    <t>Electronic Reporting</t>
  </si>
  <si>
    <t>Periodic Performance Testing/RATA</t>
  </si>
  <si>
    <t>Assumes option improves average performance from 95% to 98%</t>
  </si>
  <si>
    <t>Enhanced Flare Monitoring</t>
  </si>
  <si>
    <t>Assumes option improves average performance from 94% to 99%</t>
  </si>
  <si>
    <t>Total</t>
  </si>
  <si>
    <t>Assumed per control inlet HAP loading</t>
  </si>
  <si>
    <t>tons/year</t>
  </si>
  <si>
    <t>Assumed per control inlet VOC loading</t>
  </si>
  <si>
    <t>HAP reductions at 3% CE improvement</t>
  </si>
  <si>
    <t>tons/year/contol</t>
  </si>
  <si>
    <t>First year costs, excluding e-reporting</t>
  </si>
  <si>
    <t>HAP reductions at 5% CE improvement</t>
  </si>
  <si>
    <t>Total annualized costs, excluding e-reporting</t>
  </si>
  <si>
    <t>Speciated HAP Emissions Reductions</t>
  </si>
  <si>
    <t>HAP</t>
  </si>
  <si>
    <t>% of total HAP</t>
  </si>
  <si>
    <t>Emission Reductions (tpy) for:</t>
  </si>
  <si>
    <t>Periodic Performance Test</t>
  </si>
  <si>
    <t>Hexane</t>
  </si>
  <si>
    <t>Benzene</t>
  </si>
  <si>
    <t>Methanol</t>
  </si>
  <si>
    <t xml:space="preserve">Toluene </t>
  </si>
  <si>
    <t>Xylene</t>
  </si>
  <si>
    <t>Ethylbenzene</t>
  </si>
  <si>
    <t>Total HAP Reductions</t>
  </si>
  <si>
    <t>Add'l NG usage for flares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</si>
</sst>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0.0"/>
    <numFmt numFmtId="167" formatCode="#,##0.0"/>
    <numFmt numFmtId="168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73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0" fontId="4" fillId="0" borderId="0" xfId="1"/>
    <xf numFmtId="1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66" fontId="0" fillId="0" borderId="1" xfId="0" applyNumberFormat="1" applyBorder="1"/>
    <xf numFmtId="164" fontId="0" fillId="3" borderId="1" xfId="0" applyNumberFormat="1" applyFill="1" applyBorder="1"/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9" fontId="0" fillId="0" borderId="2" xfId="2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1" fillId="4" borderId="1" xfId="0" applyFont="1" applyFill="1" applyBorder="1"/>
    <xf numFmtId="0" fontId="1" fillId="0" borderId="3" xfId="0" applyFont="1" applyBorder="1"/>
    <xf numFmtId="164" fontId="0" fillId="2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8" fillId="0" borderId="0" xfId="0" applyFont="1"/>
    <xf numFmtId="0" fontId="8" fillId="0" borderId="1" xfId="0" applyFont="1" applyBorder="1"/>
    <xf numFmtId="3" fontId="8" fillId="0" borderId="1" xfId="0" applyNumberFormat="1" applyFont="1" applyBorder="1"/>
    <xf numFmtId="3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167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0" xfId="0" applyNumberFormat="1"/>
    <xf numFmtId="2" fontId="0" fillId="0" borderId="0" xfId="0" applyNumberFormat="1" applyFill="1"/>
    <xf numFmtId="166" fontId="0" fillId="0" borderId="0" xfId="0" applyNumberFormat="1" applyBorder="1"/>
    <xf numFmtId="168" fontId="0" fillId="0" borderId="1" xfId="0" applyNumberFormat="1" applyBorder="1"/>
    <xf numFmtId="168" fontId="0" fillId="7" borderId="1" xfId="0" applyNumberFormat="1" applyFill="1" applyBorder="1"/>
    <xf numFmtId="0" fontId="1" fillId="2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3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ite-env.com/pdf/Schedule-of-Fe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nergyexplained/units-and-calculators/british-thermal-units.ph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63C9-BC71-46C5-BF35-DE2B923CBF3B}">
  <dimension ref="A1:B12"/>
  <sheetViews>
    <sheetView workbookViewId="0">
      <selection activeCell="M12" sqref="M12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s="4" t="s">
        <v>1</v>
      </c>
    </row>
    <row r="4" spans="1:2" x14ac:dyDescent="0.3">
      <c r="B4" s="5" t="s">
        <v>2</v>
      </c>
    </row>
    <row r="5" spans="1:2" x14ac:dyDescent="0.3">
      <c r="B5" s="5" t="s">
        <v>3</v>
      </c>
    </row>
    <row r="6" spans="1:2" x14ac:dyDescent="0.3">
      <c r="B6" s="5" t="s">
        <v>4</v>
      </c>
    </row>
    <row r="7" spans="1:2" x14ac:dyDescent="0.3">
      <c r="B7" s="5" t="s">
        <v>5</v>
      </c>
    </row>
    <row r="8" spans="1:2" x14ac:dyDescent="0.3">
      <c r="B8" s="5" t="s">
        <v>6</v>
      </c>
    </row>
    <row r="10" spans="1:2" x14ac:dyDescent="0.3">
      <c r="A10" t="s">
        <v>7</v>
      </c>
    </row>
    <row r="12" spans="1:2" x14ac:dyDescent="0.3">
      <c r="A1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4581-3A51-46B3-ADDE-921CC7B10A29}">
  <dimension ref="A1:P74"/>
  <sheetViews>
    <sheetView workbookViewId="0">
      <selection activeCell="F2" sqref="F2"/>
    </sheetView>
  </sheetViews>
  <sheetFormatPr defaultRowHeight="14.4" x14ac:dyDescent="0.3"/>
  <cols>
    <col min="1" max="1" width="45" customWidth="1"/>
    <col min="2" max="4" width="11.6640625" customWidth="1"/>
    <col min="6" max="6" width="11.88671875" bestFit="1" customWidth="1"/>
    <col min="7" max="7" width="12.6640625" customWidth="1"/>
    <col min="8" max="8" width="10.88671875" bestFit="1" customWidth="1"/>
    <col min="10" max="10" width="9.88671875" bestFit="1" customWidth="1"/>
    <col min="21" max="21" width="9.88671875" bestFit="1" customWidth="1"/>
  </cols>
  <sheetData>
    <row r="1" spans="1:16" x14ac:dyDescent="0.3">
      <c r="A1" s="11" t="s">
        <v>9</v>
      </c>
      <c r="E1" t="s">
        <v>10</v>
      </c>
      <c r="F1">
        <v>0.10979999999999999</v>
      </c>
      <c r="K1" s="3" t="s">
        <v>11</v>
      </c>
      <c r="L1" s="3" t="s">
        <v>12</v>
      </c>
      <c r="M1" s="53"/>
      <c r="N1" s="3" t="s">
        <v>11</v>
      </c>
      <c r="O1" s="3" t="s">
        <v>13</v>
      </c>
      <c r="P1" t="s">
        <v>14</v>
      </c>
    </row>
    <row r="2" spans="1:16" x14ac:dyDescent="0.3">
      <c r="A2" t="s">
        <v>15</v>
      </c>
      <c r="K2" s="2">
        <v>2019</v>
      </c>
      <c r="L2" s="14">
        <v>607.5</v>
      </c>
      <c r="M2" s="53"/>
      <c r="N2" s="2">
        <v>2017</v>
      </c>
      <c r="O2" s="54">
        <v>4.0683333333333342</v>
      </c>
      <c r="P2" t="s">
        <v>16</v>
      </c>
    </row>
    <row r="3" spans="1:16" x14ac:dyDescent="0.3">
      <c r="A3" s="3" t="s">
        <v>17</v>
      </c>
      <c r="B3" s="3" t="s">
        <v>18</v>
      </c>
      <c r="C3" s="3" t="s">
        <v>19</v>
      </c>
      <c r="D3" s="3" t="s">
        <v>20</v>
      </c>
      <c r="K3" s="2">
        <v>2020</v>
      </c>
      <c r="L3" s="14">
        <v>596.20000000000005</v>
      </c>
      <c r="M3" s="53"/>
      <c r="N3" s="2">
        <v>2018</v>
      </c>
      <c r="O3" s="54">
        <v>3.8433333333333337</v>
      </c>
    </row>
    <row r="4" spans="1:16" x14ac:dyDescent="0.3">
      <c r="A4" s="2" t="s">
        <v>21</v>
      </c>
      <c r="B4" s="1">
        <v>79352</v>
      </c>
      <c r="C4" s="1">
        <v>22840</v>
      </c>
      <c r="D4" s="1">
        <f t="shared" ref="D4:D15" si="0">B4*CRF+C4</f>
        <v>31552.849600000001</v>
      </c>
      <c r="K4" s="2">
        <v>2021</v>
      </c>
      <c r="L4" s="14">
        <v>708.8</v>
      </c>
      <c r="M4" s="53"/>
      <c r="N4" s="2">
        <v>2019</v>
      </c>
      <c r="O4" s="54">
        <v>4.0558333333333332</v>
      </c>
    </row>
    <row r="5" spans="1:16" x14ac:dyDescent="0.3">
      <c r="A5" s="2" t="s">
        <v>22</v>
      </c>
      <c r="B5" s="1">
        <v>434667</v>
      </c>
      <c r="C5" s="1">
        <v>37052</v>
      </c>
      <c r="D5" s="1">
        <f t="shared" si="0"/>
        <v>84778.436600000001</v>
      </c>
      <c r="F5" s="6">
        <f>B5-B4</f>
        <v>355315</v>
      </c>
      <c r="G5" s="6">
        <f t="shared" ref="G5" si="1">C5-C4</f>
        <v>14212</v>
      </c>
      <c r="H5" s="6">
        <f t="shared" ref="H5" si="2">D5-D4</f>
        <v>53225.587</v>
      </c>
      <c r="K5" s="2">
        <v>2022</v>
      </c>
      <c r="L5" s="14">
        <v>816</v>
      </c>
      <c r="M5" s="53"/>
      <c r="N5" s="2">
        <v>2020</v>
      </c>
      <c r="O5" s="54">
        <v>5.4483333333333333</v>
      </c>
    </row>
    <row r="6" spans="1:16" x14ac:dyDescent="0.3">
      <c r="A6" s="2" t="s">
        <v>23</v>
      </c>
      <c r="B6" s="1">
        <v>300141</v>
      </c>
      <c r="C6" s="1">
        <v>31671</v>
      </c>
      <c r="D6" s="1">
        <f t="shared" si="0"/>
        <v>64626.481800000001</v>
      </c>
      <c r="F6" s="6">
        <f t="shared" ref="F6" si="3">B6-B4</f>
        <v>220789</v>
      </c>
      <c r="G6" s="6">
        <f t="shared" ref="G6" si="4">C6-C4</f>
        <v>8831</v>
      </c>
      <c r="H6" s="6">
        <f t="shared" ref="H6" si="5">D6-D4</f>
        <v>33073.6322</v>
      </c>
      <c r="K6" s="2">
        <v>2023</v>
      </c>
      <c r="L6" s="14">
        <v>797.9</v>
      </c>
      <c r="M6" s="53"/>
      <c r="N6" s="2">
        <v>2021</v>
      </c>
      <c r="O6" s="54">
        <v>3.2625000000000006</v>
      </c>
    </row>
    <row r="7" spans="1:16" x14ac:dyDescent="0.3">
      <c r="A7" s="2" t="s">
        <v>24</v>
      </c>
      <c r="B7" s="1">
        <v>84761</v>
      </c>
      <c r="C7" s="1">
        <v>23282</v>
      </c>
      <c r="D7" s="1">
        <f t="shared" si="0"/>
        <v>32588.757799999999</v>
      </c>
      <c r="N7" s="2">
        <v>2022</v>
      </c>
      <c r="O7" s="54">
        <v>7.7625000000000002</v>
      </c>
    </row>
    <row r="8" spans="1:16" x14ac:dyDescent="0.3">
      <c r="A8" s="2" t="s">
        <v>25</v>
      </c>
      <c r="B8" s="1">
        <v>440077</v>
      </c>
      <c r="C8" s="1">
        <v>37494</v>
      </c>
      <c r="D8" s="1">
        <f t="shared" si="0"/>
        <v>85814.454599999997</v>
      </c>
      <c r="F8" s="6">
        <f>B8-B7</f>
        <v>355316</v>
      </c>
      <c r="G8" s="6">
        <f t="shared" ref="G8" si="6">C8-C7</f>
        <v>14212</v>
      </c>
      <c r="H8" s="6">
        <f t="shared" ref="H8" si="7">D8-D7</f>
        <v>53225.696799999998</v>
      </c>
      <c r="N8" s="2">
        <v>2023</v>
      </c>
      <c r="O8" s="55">
        <v>4.4633333333333338</v>
      </c>
    </row>
    <row r="9" spans="1:16" x14ac:dyDescent="0.3">
      <c r="A9" s="2" t="s">
        <v>26</v>
      </c>
      <c r="B9" s="1">
        <v>305551</v>
      </c>
      <c r="C9" s="1">
        <v>32114</v>
      </c>
      <c r="D9" s="1">
        <f t="shared" si="0"/>
        <v>65663.499799999991</v>
      </c>
      <c r="F9" s="6">
        <f t="shared" ref="F9:H9" si="8">B9-B7</f>
        <v>220790</v>
      </c>
      <c r="G9" s="6">
        <f t="shared" si="8"/>
        <v>8832</v>
      </c>
      <c r="H9" s="6">
        <f t="shared" si="8"/>
        <v>33074.741999999991</v>
      </c>
      <c r="N9" s="2">
        <v>2024</v>
      </c>
      <c r="O9" s="54">
        <v>3.8841666666666659</v>
      </c>
    </row>
    <row r="10" spans="1:16" x14ac:dyDescent="0.3">
      <c r="A10" s="2" t="s">
        <v>27</v>
      </c>
      <c r="B10" s="1">
        <v>92874</v>
      </c>
      <c r="C10" s="1">
        <v>23812</v>
      </c>
      <c r="D10" s="1">
        <f t="shared" si="0"/>
        <v>34009.565199999997</v>
      </c>
    </row>
    <row r="11" spans="1:16" x14ac:dyDescent="0.3">
      <c r="A11" s="2" t="s">
        <v>28</v>
      </c>
      <c r="B11" s="1">
        <v>448190</v>
      </c>
      <c r="C11" s="1">
        <v>38024</v>
      </c>
      <c r="D11" s="1">
        <f t="shared" si="0"/>
        <v>87235.261999999988</v>
      </c>
      <c r="F11" s="6">
        <f t="shared" ref="F11" si="9">B11-B10</f>
        <v>355316</v>
      </c>
      <c r="G11" s="6">
        <f t="shared" ref="G11" si="10">C11-C10</f>
        <v>14212</v>
      </c>
      <c r="H11" s="6">
        <f t="shared" ref="H11" si="11">D11-D10</f>
        <v>53225.696799999991</v>
      </c>
    </row>
    <row r="12" spans="1:16" x14ac:dyDescent="0.3">
      <c r="A12" s="2" t="s">
        <v>29</v>
      </c>
      <c r="B12" s="1">
        <v>313664</v>
      </c>
      <c r="C12" s="1">
        <v>32643</v>
      </c>
      <c r="D12" s="1">
        <f t="shared" si="0"/>
        <v>67083.307199999996</v>
      </c>
      <c r="F12" s="6">
        <f t="shared" ref="F12:H12" si="12">B12-B10</f>
        <v>220790</v>
      </c>
      <c r="G12" s="6">
        <f t="shared" si="12"/>
        <v>8831</v>
      </c>
      <c r="H12" s="6">
        <f t="shared" si="12"/>
        <v>33073.741999999998</v>
      </c>
    </row>
    <row r="13" spans="1:16" x14ac:dyDescent="0.3">
      <c r="A13" s="2" t="s">
        <v>30</v>
      </c>
      <c r="B13" s="1">
        <v>145328</v>
      </c>
      <c r="C13" s="1">
        <v>33526</v>
      </c>
      <c r="D13" s="1">
        <f t="shared" si="0"/>
        <v>49483.0144</v>
      </c>
    </row>
    <row r="14" spans="1:16" x14ac:dyDescent="0.3">
      <c r="A14" s="2" t="s">
        <v>31</v>
      </c>
      <c r="B14" s="1">
        <v>500644</v>
      </c>
      <c r="C14" s="1">
        <v>47738</v>
      </c>
      <c r="D14" s="1">
        <f t="shared" si="0"/>
        <v>102708.71119999999</v>
      </c>
      <c r="F14" s="6">
        <f t="shared" ref="F14" si="13">B14-B13</f>
        <v>355316</v>
      </c>
      <c r="G14" s="6">
        <f t="shared" ref="G14" si="14">C14-C13</f>
        <v>14212</v>
      </c>
      <c r="H14" s="6">
        <f t="shared" ref="H14" si="15">D14-D13</f>
        <v>53225.696799999991</v>
      </c>
    </row>
    <row r="15" spans="1:16" x14ac:dyDescent="0.3">
      <c r="A15" s="2" t="s">
        <v>32</v>
      </c>
      <c r="B15" s="1">
        <v>366118</v>
      </c>
      <c r="C15" s="1">
        <v>42357</v>
      </c>
      <c r="D15" s="1">
        <f t="shared" si="0"/>
        <v>82556.756399999998</v>
      </c>
      <c r="F15" s="6">
        <f t="shared" ref="F15:H15" si="16">B15-B13</f>
        <v>220790</v>
      </c>
      <c r="G15" s="6">
        <f t="shared" si="16"/>
        <v>8831</v>
      </c>
      <c r="H15" s="6">
        <f t="shared" si="16"/>
        <v>33073.741999999998</v>
      </c>
    </row>
    <row r="18" spans="1:10" x14ac:dyDescent="0.3">
      <c r="F18" t="s">
        <v>33</v>
      </c>
    </row>
    <row r="19" spans="1:10" x14ac:dyDescent="0.3">
      <c r="A19" t="s">
        <v>34</v>
      </c>
      <c r="F19" t="s">
        <v>18</v>
      </c>
      <c r="G19" t="s">
        <v>19</v>
      </c>
      <c r="H19" t="s">
        <v>20</v>
      </c>
    </row>
    <row r="20" spans="1:10" x14ac:dyDescent="0.3">
      <c r="A20" t="s">
        <v>35</v>
      </c>
      <c r="B20" s="6">
        <f>B5-B4</f>
        <v>355315</v>
      </c>
      <c r="C20" s="6">
        <f>C5-C4</f>
        <v>14212</v>
      </c>
      <c r="D20" s="6">
        <f>D5-D4</f>
        <v>53225.587</v>
      </c>
      <c r="F20" s="6">
        <f>B20*797.9/607.5</f>
        <v>466676.27736625512</v>
      </c>
      <c r="G20" s="6">
        <f>C20*797.9/607.5</f>
        <v>18666.263045267489</v>
      </c>
      <c r="H20" s="6">
        <f>D20*797.9/607.5</f>
        <v>69907.318300082305</v>
      </c>
    </row>
    <row r="21" spans="1:10" x14ac:dyDescent="0.3">
      <c r="A21" t="s">
        <v>36</v>
      </c>
      <c r="B21" s="6">
        <f>B6-B4</f>
        <v>220789</v>
      </c>
      <c r="C21" s="6">
        <f>C6-C4</f>
        <v>8831</v>
      </c>
      <c r="D21" s="6">
        <f>D6-D4</f>
        <v>33073.6322</v>
      </c>
      <c r="F21" s="6">
        <f>B21</f>
        <v>220789</v>
      </c>
      <c r="G21" s="6">
        <f>C21</f>
        <v>8831</v>
      </c>
      <c r="H21" s="6">
        <f>D21</f>
        <v>33073.6322</v>
      </c>
      <c r="I21" t="s">
        <v>37</v>
      </c>
    </row>
    <row r="22" spans="1:10" x14ac:dyDescent="0.3">
      <c r="B22" s="6"/>
      <c r="C22" s="6"/>
      <c r="D22" s="6"/>
      <c r="F22" s="6"/>
      <c r="G22" s="6"/>
      <c r="H22" s="6"/>
    </row>
    <row r="23" spans="1:10" x14ac:dyDescent="0.3">
      <c r="F23" s="6"/>
      <c r="G23" s="6"/>
      <c r="H23" s="6"/>
    </row>
    <row r="24" spans="1:10" x14ac:dyDescent="0.3">
      <c r="A24" s="11" t="s">
        <v>38</v>
      </c>
      <c r="B24" s="6"/>
      <c r="C24" s="6"/>
      <c r="D24" s="6"/>
      <c r="F24" s="6"/>
      <c r="G24" s="6"/>
      <c r="H24" s="6"/>
    </row>
    <row r="25" spans="1:10" x14ac:dyDescent="0.3">
      <c r="A25" s="3" t="s">
        <v>17</v>
      </c>
      <c r="B25" s="3" t="s">
        <v>18</v>
      </c>
      <c r="C25" s="3" t="s">
        <v>19</v>
      </c>
      <c r="D25" s="3" t="s">
        <v>20</v>
      </c>
      <c r="F25" s="6"/>
      <c r="G25" s="6"/>
      <c r="H25" s="6"/>
    </row>
    <row r="26" spans="1:10" x14ac:dyDescent="0.3">
      <c r="A26" s="2" t="s">
        <v>39</v>
      </c>
      <c r="B26" s="1">
        <v>211648</v>
      </c>
      <c r="C26" s="1">
        <v>37623</v>
      </c>
      <c r="D26" s="1">
        <f t="shared" ref="D26:D29" si="17">B26*CRF+C26</f>
        <v>60861.950400000002</v>
      </c>
      <c r="F26" s="6"/>
      <c r="G26" s="6"/>
      <c r="H26" s="6"/>
    </row>
    <row r="27" spans="1:10" x14ac:dyDescent="0.3">
      <c r="A27" s="2" t="s">
        <v>40</v>
      </c>
      <c r="B27" s="1">
        <v>566964</v>
      </c>
      <c r="C27" s="1">
        <v>56342</v>
      </c>
      <c r="D27" s="1">
        <f t="shared" si="17"/>
        <v>118594.64720000001</v>
      </c>
      <c r="F27" s="6"/>
      <c r="G27" s="6"/>
      <c r="H27" s="6"/>
    </row>
    <row r="28" spans="1:10" x14ac:dyDescent="0.3">
      <c r="A28" s="2" t="s">
        <v>41</v>
      </c>
      <c r="B28" s="1">
        <v>414648</v>
      </c>
      <c r="C28" s="1">
        <v>50249</v>
      </c>
      <c r="D28" s="1">
        <f t="shared" si="17"/>
        <v>95777.350399999996</v>
      </c>
      <c r="F28" s="6"/>
      <c r="G28" s="6"/>
      <c r="H28" s="6"/>
    </row>
    <row r="29" spans="1:10" x14ac:dyDescent="0.3">
      <c r="A29" s="2" t="s">
        <v>42</v>
      </c>
      <c r="B29" s="1">
        <v>379676</v>
      </c>
      <c r="C29" s="1">
        <v>48851</v>
      </c>
      <c r="D29" s="1">
        <f t="shared" si="17"/>
        <v>90539.424800000008</v>
      </c>
      <c r="F29" s="6"/>
      <c r="G29" s="6"/>
      <c r="H29" s="6"/>
    </row>
    <row r="30" spans="1:10" x14ac:dyDescent="0.3">
      <c r="F30" t="s">
        <v>33</v>
      </c>
    </row>
    <row r="31" spans="1:10" x14ac:dyDescent="0.3">
      <c r="A31" t="s">
        <v>34</v>
      </c>
      <c r="F31" s="3" t="s">
        <v>18</v>
      </c>
      <c r="G31" s="3" t="s">
        <v>19</v>
      </c>
      <c r="H31" s="3" t="s">
        <v>20</v>
      </c>
      <c r="J31" s="56" t="s">
        <v>43</v>
      </c>
    </row>
    <row r="32" spans="1:10" x14ac:dyDescent="0.3">
      <c r="A32" t="s">
        <v>35</v>
      </c>
      <c r="B32" s="6">
        <f t="shared" ref="B32:D33" si="18">B27-B$26</f>
        <v>355316</v>
      </c>
      <c r="C32" s="6">
        <f t="shared" si="18"/>
        <v>18719</v>
      </c>
      <c r="D32" s="6">
        <f t="shared" si="18"/>
        <v>57732.696800000005</v>
      </c>
      <c r="F32" s="15">
        <f>B32*$L$6/$L$2</f>
        <v>466677.59078189294</v>
      </c>
      <c r="G32" s="15">
        <f t="shared" ref="G32:H34" si="19">C32*$L$6/$L$2</f>
        <v>24585.82732510288</v>
      </c>
      <c r="H32" s="15">
        <f t="shared" si="19"/>
        <v>75827.026792954741</v>
      </c>
      <c r="J32" s="7">
        <f>F32*CRF</f>
        <v>51241.199467851846</v>
      </c>
    </row>
    <row r="33" spans="1:11" x14ac:dyDescent="0.3">
      <c r="A33" t="s">
        <v>44</v>
      </c>
      <c r="B33" s="6">
        <f t="shared" si="18"/>
        <v>203000</v>
      </c>
      <c r="C33" s="6">
        <f t="shared" si="18"/>
        <v>12626</v>
      </c>
      <c r="D33" s="6">
        <f t="shared" si="18"/>
        <v>34915.399999999994</v>
      </c>
      <c r="F33" s="15">
        <f>B33*$L$6/$L$2</f>
        <v>266623.37448559672</v>
      </c>
      <c r="G33" s="15">
        <f t="shared" ref="G33" si="20">C33*$L$6/$L$2</f>
        <v>16583.185843621399</v>
      </c>
      <c r="H33" s="15">
        <f t="shared" ref="H33" si="21">D33*$L$6/$L$2</f>
        <v>45858.432362139909</v>
      </c>
      <c r="J33" s="7">
        <f>F33*CRF</f>
        <v>29275.246518518517</v>
      </c>
    </row>
    <row r="34" spans="1:11" x14ac:dyDescent="0.3">
      <c r="A34" t="s">
        <v>36</v>
      </c>
      <c r="B34" s="6">
        <f t="shared" ref="B34:D34" si="22">B29-B$26</f>
        <v>168028</v>
      </c>
      <c r="C34" s="6">
        <f t="shared" si="22"/>
        <v>11228</v>
      </c>
      <c r="D34" s="6">
        <f t="shared" si="22"/>
        <v>29677.474400000006</v>
      </c>
      <c r="F34" s="15">
        <f>B34*$L$6/$L$2</f>
        <v>220690.60279835391</v>
      </c>
      <c r="G34" s="15">
        <f t="shared" si="19"/>
        <v>14747.030781893003</v>
      </c>
      <c r="H34" s="15">
        <f t="shared" si="19"/>
        <v>38978.858969152265</v>
      </c>
      <c r="I34" t="s">
        <v>45</v>
      </c>
      <c r="J34" s="7">
        <f>F34*CRF</f>
        <v>24231.82818725926</v>
      </c>
    </row>
    <row r="35" spans="1:11" x14ac:dyDescent="0.3">
      <c r="A35" t="s">
        <v>46</v>
      </c>
      <c r="B35" s="6"/>
      <c r="C35" s="6">
        <v>4507</v>
      </c>
      <c r="D35" s="6">
        <v>4507</v>
      </c>
      <c r="F35" s="15">
        <f>B35*$L$6/$L$2</f>
        <v>0</v>
      </c>
      <c r="G35" s="15">
        <f>C35*$L$6/$L$2</f>
        <v>5919.5642798353911</v>
      </c>
      <c r="H35" s="15">
        <f t="shared" ref="H35" si="23">D35*$L$6/$L$2</f>
        <v>5919.5642798353911</v>
      </c>
    </row>
    <row r="36" spans="1:11" x14ac:dyDescent="0.3">
      <c r="B36" s="6"/>
      <c r="C36" s="6"/>
      <c r="D36" s="6"/>
    </row>
    <row r="38" spans="1:11" x14ac:dyDescent="0.3">
      <c r="A38" s="11" t="s">
        <v>47</v>
      </c>
      <c r="B38" s="6" t="s">
        <v>48</v>
      </c>
      <c r="C38" s="6" t="s">
        <v>49</v>
      </c>
      <c r="D38" s="6" t="s">
        <v>50</v>
      </c>
      <c r="I38" s="10" t="s">
        <v>51</v>
      </c>
      <c r="J38" s="6">
        <v>109.16</v>
      </c>
      <c r="K38" t="s">
        <v>52</v>
      </c>
    </row>
    <row r="39" spans="1:11" x14ac:dyDescent="0.3">
      <c r="A39" t="s">
        <v>53</v>
      </c>
      <c r="B39" s="6">
        <f>ROUNDUP(200*797.9/596.2,0)</f>
        <v>268</v>
      </c>
      <c r="C39" s="6" t="s">
        <v>54</v>
      </c>
      <c r="D39" s="8" t="s">
        <v>55</v>
      </c>
    </row>
    <row r="40" spans="1:11" x14ac:dyDescent="0.3">
      <c r="A40" t="s">
        <v>56</v>
      </c>
      <c r="B40" s="6">
        <v>25</v>
      </c>
      <c r="C40" s="6"/>
      <c r="D40" s="6"/>
      <c r="I40" t="s">
        <v>57</v>
      </c>
      <c r="J40" s="9">
        <v>7.4999999999999997E-2</v>
      </c>
    </row>
    <row r="41" spans="1:11" x14ac:dyDescent="0.3">
      <c r="A41" t="s">
        <v>58</v>
      </c>
      <c r="B41" s="6">
        <f>1*$J$38</f>
        <v>109.16</v>
      </c>
      <c r="C41" s="6" t="s">
        <v>59</v>
      </c>
      <c r="D41" s="6"/>
      <c r="I41" t="s">
        <v>60</v>
      </c>
      <c r="J41">
        <v>5</v>
      </c>
      <c r="K41" t="s">
        <v>61</v>
      </c>
    </row>
    <row r="42" spans="1:11" x14ac:dyDescent="0.3">
      <c r="A42" t="s">
        <v>62</v>
      </c>
      <c r="B42" s="6">
        <f>SUM(B39:B41)*0.08</f>
        <v>32.172799999999995</v>
      </c>
      <c r="C42" s="6" t="s">
        <v>63</v>
      </c>
      <c r="D42" s="6"/>
      <c r="I42" t="s">
        <v>10</v>
      </c>
      <c r="J42">
        <f>(J40*(1+J40)^J41)/(((1+J40)^J41)-1)</f>
        <v>0.24716471778672036</v>
      </c>
    </row>
    <row r="43" spans="1:11" x14ac:dyDescent="0.3">
      <c r="A43" t="s">
        <v>64</v>
      </c>
      <c r="B43" s="6">
        <f>SUM(B39:B42)</f>
        <v>434.33279999999996</v>
      </c>
      <c r="C43" s="6" t="s">
        <v>65</v>
      </c>
      <c r="D43" s="6"/>
    </row>
    <row r="44" spans="1:11" x14ac:dyDescent="0.3">
      <c r="B44" s="6"/>
      <c r="C44" s="6"/>
      <c r="D44" s="6"/>
    </row>
    <row r="45" spans="1:11" x14ac:dyDescent="0.3">
      <c r="A45" s="11" t="s">
        <v>66</v>
      </c>
      <c r="B45" s="6"/>
      <c r="C45" s="6"/>
      <c r="D45" s="6" t="s">
        <v>67</v>
      </c>
    </row>
    <row r="46" spans="1:11" x14ac:dyDescent="0.3">
      <c r="A46" t="s">
        <v>68</v>
      </c>
      <c r="B46">
        <v>14</v>
      </c>
    </row>
    <row r="47" spans="1:11" x14ac:dyDescent="0.3">
      <c r="A47" t="s">
        <v>69</v>
      </c>
      <c r="B47" s="7">
        <f>B46*B43</f>
        <v>6080.6591999999991</v>
      </c>
      <c r="D47" s="7">
        <f>SUM(B39,B40,B42)*B46</f>
        <v>4552.4192000000003</v>
      </c>
    </row>
    <row r="48" spans="1:11" x14ac:dyDescent="0.3">
      <c r="A48" t="s">
        <v>70</v>
      </c>
      <c r="B48" s="7">
        <f>B47*$J$42</f>
        <v>1502.9244151252246</v>
      </c>
      <c r="C48" t="s">
        <v>71</v>
      </c>
      <c r="D48" s="7">
        <f>D47*$J$42</f>
        <v>1125.1974068148475</v>
      </c>
    </row>
    <row r="50" spans="1:6" x14ac:dyDescent="0.3">
      <c r="A50" s="11" t="s">
        <v>72</v>
      </c>
    </row>
    <row r="51" spans="1:6" x14ac:dyDescent="0.3">
      <c r="A51" t="s">
        <v>73</v>
      </c>
      <c r="B51" s="6">
        <f>2.5*$J$38</f>
        <v>272.89999999999998</v>
      </c>
      <c r="C51" t="s">
        <v>74</v>
      </c>
    </row>
    <row r="52" spans="1:6" x14ac:dyDescent="0.3">
      <c r="A52" t="s">
        <v>75</v>
      </c>
      <c r="B52" s="7">
        <f>8*B43</f>
        <v>3474.6623999999997</v>
      </c>
      <c r="C52" t="s">
        <v>76</v>
      </c>
    </row>
    <row r="53" spans="1:6" x14ac:dyDescent="0.3">
      <c r="A53" t="s">
        <v>77</v>
      </c>
      <c r="B53" s="7">
        <f>B52</f>
        <v>3474.6623999999997</v>
      </c>
      <c r="C53" t="s">
        <v>78</v>
      </c>
    </row>
    <row r="54" spans="1:6" x14ac:dyDescent="0.3">
      <c r="A54" t="s">
        <v>64</v>
      </c>
      <c r="B54" s="7">
        <f>SUM(B51:B53)</f>
        <v>7222.2248</v>
      </c>
    </row>
    <row r="55" spans="1:6" x14ac:dyDescent="0.3">
      <c r="A55" t="s">
        <v>70</v>
      </c>
      <c r="B55" s="7">
        <f>B54*$J$42</f>
        <v>1785.079154484253</v>
      </c>
      <c r="C55" t="s">
        <v>71</v>
      </c>
    </row>
    <row r="57" spans="1:6" x14ac:dyDescent="0.3">
      <c r="A57" s="11" t="s">
        <v>79</v>
      </c>
    </row>
    <row r="58" spans="1:6" x14ac:dyDescent="0.3">
      <c r="A58" t="s">
        <v>80</v>
      </c>
      <c r="B58" s="6">
        <f>ROUNDUP(18500*797.9/596.2,0)</f>
        <v>24759</v>
      </c>
      <c r="C58" t="s">
        <v>81</v>
      </c>
    </row>
    <row r="59" spans="1:6" x14ac:dyDescent="0.3">
      <c r="A59" t="s">
        <v>82</v>
      </c>
      <c r="B59" s="6">
        <f>4*$J$38</f>
        <v>436.64</v>
      </c>
      <c r="C59" t="s">
        <v>83</v>
      </c>
    </row>
    <row r="60" spans="1:6" x14ac:dyDescent="0.3">
      <c r="A60" t="s">
        <v>64</v>
      </c>
      <c r="B60" s="6">
        <f>SUM(B58:B59)</f>
        <v>25195.64</v>
      </c>
      <c r="F60" t="s">
        <v>84</v>
      </c>
    </row>
    <row r="61" spans="1:6" x14ac:dyDescent="0.3">
      <c r="A61" t="s">
        <v>70</v>
      </c>
      <c r="B61" s="7">
        <f>B60*$J$42</f>
        <v>6227.473250055803</v>
      </c>
      <c r="C61" t="s">
        <v>71</v>
      </c>
      <c r="F61" s="7">
        <f>B58*J42</f>
        <v>6119.5512476814092</v>
      </c>
    </row>
    <row r="62" spans="1:6" x14ac:dyDescent="0.3">
      <c r="A62" t="s">
        <v>85</v>
      </c>
      <c r="B62" s="7">
        <f>B72*O8</f>
        <v>1642.9530000000002</v>
      </c>
      <c r="C62" t="s">
        <v>71</v>
      </c>
    </row>
    <row r="63" spans="1:6" x14ac:dyDescent="0.3">
      <c r="B63" s="7"/>
    </row>
    <row r="64" spans="1:6" x14ac:dyDescent="0.3">
      <c r="A64" s="11" t="s">
        <v>86</v>
      </c>
    </row>
    <row r="65" spans="1:4" x14ac:dyDescent="0.3">
      <c r="A65" t="s">
        <v>87</v>
      </c>
      <c r="B65" s="7">
        <f>0.75*B58</f>
        <v>18569.25</v>
      </c>
      <c r="C65" t="s">
        <v>88</v>
      </c>
    </row>
    <row r="66" spans="1:4" x14ac:dyDescent="0.3">
      <c r="A66" t="s">
        <v>82</v>
      </c>
      <c r="B66" s="7">
        <f>B59</f>
        <v>436.64</v>
      </c>
      <c r="C66" t="s">
        <v>83</v>
      </c>
    </row>
    <row r="67" spans="1:4" x14ac:dyDescent="0.3">
      <c r="A67" t="s">
        <v>64</v>
      </c>
      <c r="B67" s="7">
        <f>B65+B66</f>
        <v>19005.89</v>
      </c>
      <c r="C67" t="s">
        <v>89</v>
      </c>
    </row>
    <row r="69" spans="1:4" x14ac:dyDescent="0.3">
      <c r="A69" s="11" t="s">
        <v>90</v>
      </c>
    </row>
    <row r="70" spans="1:4" x14ac:dyDescent="0.3">
      <c r="A70" t="s">
        <v>91</v>
      </c>
      <c r="B70" s="52">
        <v>12.27</v>
      </c>
      <c r="C70" t="s">
        <v>92</v>
      </c>
      <c r="D70" t="s">
        <v>93</v>
      </c>
    </row>
    <row r="71" spans="1:4" x14ac:dyDescent="0.3">
      <c r="A71" t="s">
        <v>94</v>
      </c>
      <c r="B71">
        <v>500</v>
      </c>
      <c r="C71" t="s">
        <v>95</v>
      </c>
      <c r="D71" t="s">
        <v>96</v>
      </c>
    </row>
    <row r="72" spans="1:4" x14ac:dyDescent="0.3">
      <c r="A72" t="s">
        <v>97</v>
      </c>
      <c r="B72">
        <f>B71*60*B70/1000</f>
        <v>368.1</v>
      </c>
      <c r="C72" t="s">
        <v>98</v>
      </c>
    </row>
    <row r="74" spans="1:4" x14ac:dyDescent="0.3">
      <c r="A74" s="11"/>
    </row>
  </sheetData>
  <phoneticPr fontId="2" type="noConversion"/>
  <hyperlinks>
    <hyperlink ref="D39" r:id="rId1" display="https://www.onsite-env.com/pdf/Schedule-of-Fees.pdf" xr:uid="{AEA1BE6E-7006-44C6-93C5-11EACE7002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A9E4-28C9-424B-A23A-F0956B237310}">
  <dimension ref="A1:K12"/>
  <sheetViews>
    <sheetView workbookViewId="0">
      <selection activeCell="A10" sqref="A10"/>
    </sheetView>
  </sheetViews>
  <sheetFormatPr defaultRowHeight="14.4" x14ac:dyDescent="0.3"/>
  <cols>
    <col min="1" max="1" width="22.44140625" customWidth="1"/>
    <col min="2" max="2" width="10.44140625" customWidth="1"/>
    <col min="3" max="5" width="10.5546875" customWidth="1"/>
    <col min="8" max="8" width="16.88671875" customWidth="1"/>
    <col min="10" max="10" width="16.5546875" customWidth="1"/>
    <col min="11" max="11" width="27.33203125" customWidth="1"/>
  </cols>
  <sheetData>
    <row r="1" spans="1:11" x14ac:dyDescent="0.3">
      <c r="A1" s="11" t="s">
        <v>99</v>
      </c>
      <c r="H1" s="61" t="s">
        <v>100</v>
      </c>
      <c r="I1" s="62"/>
      <c r="J1" s="62"/>
      <c r="K1" s="44" t="s">
        <v>101</v>
      </c>
    </row>
    <row r="2" spans="1:11" ht="28.8" x14ac:dyDescent="0.3">
      <c r="B2" s="41" t="s">
        <v>102</v>
      </c>
      <c r="C2" s="41"/>
      <c r="D2" s="41"/>
      <c r="E2" s="41"/>
      <c r="H2" s="45" t="s">
        <v>103</v>
      </c>
      <c r="I2" s="45">
        <v>117</v>
      </c>
      <c r="J2" s="45" t="s">
        <v>104</v>
      </c>
      <c r="K2" s="44" t="s">
        <v>105</v>
      </c>
    </row>
    <row r="3" spans="1:11" ht="28.8" x14ac:dyDescent="0.3">
      <c r="A3" s="42" t="s">
        <v>106</v>
      </c>
      <c r="B3" s="43">
        <f>MonitoringOptCosts!B72</f>
        <v>368.1</v>
      </c>
      <c r="C3" s="43" t="s">
        <v>107</v>
      </c>
      <c r="D3" s="43"/>
      <c r="H3" s="45" t="s">
        <v>103</v>
      </c>
      <c r="I3" s="45">
        <v>6.8000000000000005E-2</v>
      </c>
      <c r="J3" s="45" t="s">
        <v>108</v>
      </c>
      <c r="K3" s="44" t="s">
        <v>109</v>
      </c>
    </row>
    <row r="4" spans="1:11" ht="28.8" x14ac:dyDescent="0.3">
      <c r="A4" s="42" t="s">
        <v>110</v>
      </c>
      <c r="B4" s="48">
        <v>1088.5999999999999</v>
      </c>
      <c r="C4" s="63" t="s">
        <v>111</v>
      </c>
      <c r="D4" s="63"/>
      <c r="E4" s="63"/>
      <c r="F4" s="63"/>
      <c r="H4" s="45" t="s">
        <v>103</v>
      </c>
      <c r="I4" s="45">
        <v>0.31</v>
      </c>
      <c r="J4" s="45" t="s">
        <v>112</v>
      </c>
      <c r="K4" s="44" t="s">
        <v>113</v>
      </c>
    </row>
    <row r="5" spans="1:11" x14ac:dyDescent="0.3">
      <c r="H5" s="45" t="s">
        <v>114</v>
      </c>
      <c r="I5" s="46">
        <v>1036</v>
      </c>
      <c r="J5" s="45" t="s">
        <v>115</v>
      </c>
      <c r="K5" s="8" t="s">
        <v>116</v>
      </c>
    </row>
    <row r="7" spans="1:11" x14ac:dyDescent="0.3">
      <c r="A7" s="11" t="s">
        <v>117</v>
      </c>
    </row>
    <row r="8" spans="1:11" ht="28.8" x14ac:dyDescent="0.3">
      <c r="B8" s="41" t="s">
        <v>118</v>
      </c>
      <c r="C8" s="41" t="s">
        <v>119</v>
      </c>
      <c r="D8" s="41" t="s">
        <v>120</v>
      </c>
      <c r="E8" s="41" t="s">
        <v>121</v>
      </c>
    </row>
    <row r="9" spans="1:11" ht="28.8" x14ac:dyDescent="0.3">
      <c r="A9" s="42" t="s">
        <v>122</v>
      </c>
      <c r="B9" s="48">
        <f>NationalCosts!$C$6*B3/1000</f>
        <v>36.81</v>
      </c>
      <c r="C9" s="47">
        <f>$B9*$I$5*$I2/2000</f>
        <v>2230.9068600000005</v>
      </c>
      <c r="D9" s="48">
        <f>$B9*$I$5*$I3/2000</f>
        <v>1.2965954400000004</v>
      </c>
      <c r="E9" s="48">
        <f>$B9*$I$5*$I4/2000</f>
        <v>5.9109498</v>
      </c>
    </row>
    <row r="10" spans="1:11" ht="28.8" x14ac:dyDescent="0.3">
      <c r="A10" s="42" t="s">
        <v>110</v>
      </c>
      <c r="B10" s="48">
        <f>NationalCosts!$C$7*B4/1000</f>
        <v>54.429999999999993</v>
      </c>
      <c r="C10" s="47">
        <f>$B10*$I$5*$I2/2000</f>
        <v>3298.7845799999996</v>
      </c>
      <c r="D10" s="48">
        <f>$B10*$I$5*$I3/2000</f>
        <v>1.9172423200000002</v>
      </c>
      <c r="E10" s="48">
        <f>$B10*$I$5*$I4/2000</f>
        <v>8.7403693999999987</v>
      </c>
    </row>
    <row r="12" spans="1:11" x14ac:dyDescent="0.3">
      <c r="A12" t="s">
        <v>123</v>
      </c>
      <c r="B12" s="51">
        <f>SUM(B9:B10)</f>
        <v>91.24</v>
      </c>
      <c r="C12" s="51">
        <f t="shared" ref="C12:E12" si="0">SUM(C9:C10)</f>
        <v>5529.6914400000005</v>
      </c>
      <c r="D12" s="51">
        <f t="shared" si="0"/>
        <v>3.2138377600000005</v>
      </c>
      <c r="E12" s="51">
        <f t="shared" si="0"/>
        <v>14.6513192</v>
      </c>
    </row>
  </sheetData>
  <mergeCells count="2">
    <mergeCell ref="H1:J1"/>
    <mergeCell ref="C4:F4"/>
  </mergeCells>
  <hyperlinks>
    <hyperlink ref="K5" r:id="rId1" xr:uid="{38B69D28-89C1-49AA-A825-163C0F90683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4F50-219A-4402-8103-C777F913F5D3}">
  <dimension ref="A2:I10"/>
  <sheetViews>
    <sheetView workbookViewId="0">
      <selection activeCell="I5" sqref="I5"/>
    </sheetView>
  </sheetViews>
  <sheetFormatPr defaultRowHeight="14.4" x14ac:dyDescent="0.3"/>
  <cols>
    <col min="1" max="1" width="20.5546875" bestFit="1" customWidth="1"/>
    <col min="2" max="2" width="10.88671875" bestFit="1" customWidth="1"/>
    <col min="5" max="5" width="12.88671875" customWidth="1"/>
  </cols>
  <sheetData>
    <row r="2" spans="1:9" x14ac:dyDescent="0.3">
      <c r="A2" t="s">
        <v>124</v>
      </c>
      <c r="B2">
        <v>190</v>
      </c>
    </row>
    <row r="3" spans="1:9" x14ac:dyDescent="0.3">
      <c r="A3" t="s">
        <v>125</v>
      </c>
      <c r="B3">
        <v>2</v>
      </c>
      <c r="C3" t="s">
        <v>95</v>
      </c>
      <c r="E3" t="s">
        <v>57</v>
      </c>
      <c r="F3" s="9">
        <v>7.4999999999999997E-2</v>
      </c>
      <c r="I3" s="9">
        <v>7.0000000000000007E-2</v>
      </c>
    </row>
    <row r="4" spans="1:9" x14ac:dyDescent="0.3">
      <c r="A4" t="s">
        <v>126</v>
      </c>
      <c r="B4" s="6">
        <f>B$2*B3*MonitoringOptCosts!$J$38</f>
        <v>41480.799999999996</v>
      </c>
      <c r="E4" t="s">
        <v>60</v>
      </c>
      <c r="F4">
        <v>8</v>
      </c>
      <c r="G4" t="s">
        <v>61</v>
      </c>
      <c r="I4">
        <v>15</v>
      </c>
    </row>
    <row r="5" spans="1:9" x14ac:dyDescent="0.3">
      <c r="A5" t="s">
        <v>127</v>
      </c>
      <c r="B5" s="6">
        <f>B4*F5</f>
        <v>7081.8935047895948</v>
      </c>
      <c r="E5" t="s">
        <v>10</v>
      </c>
      <c r="F5">
        <f>(F3*(1+F3)^F4)/(((1+F3)^F4)-1)</f>
        <v>0.17072702322013064</v>
      </c>
      <c r="I5">
        <f>(I3*(1+I3)^I4)/(((1+I3)^I4)-1)</f>
        <v>0.10979462470100652</v>
      </c>
    </row>
    <row r="7" spans="1:9" x14ac:dyDescent="0.3">
      <c r="A7" t="s">
        <v>128</v>
      </c>
      <c r="B7">
        <v>2</v>
      </c>
      <c r="C7" t="s">
        <v>95</v>
      </c>
    </row>
    <row r="8" spans="1:9" x14ac:dyDescent="0.3">
      <c r="A8" t="s">
        <v>129</v>
      </c>
      <c r="B8" s="6">
        <f>-B$2*B7*MonitoringOptCosts!$J$38</f>
        <v>-41480.799999999996</v>
      </c>
    </row>
    <row r="9" spans="1:9" x14ac:dyDescent="0.3">
      <c r="B9" s="6"/>
    </row>
    <row r="10" spans="1:9" x14ac:dyDescent="0.3">
      <c r="A10" t="s">
        <v>20</v>
      </c>
      <c r="B10" s="6">
        <f>B5+B8</f>
        <v>-34398.906495210402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AC5D-95B1-45A6-8AEA-74D8CB37B3DE}">
  <dimension ref="A1:P42"/>
  <sheetViews>
    <sheetView tabSelected="1" topLeftCell="A11" workbookViewId="0">
      <selection activeCell="B22" sqref="B22"/>
    </sheetView>
  </sheetViews>
  <sheetFormatPr defaultRowHeight="14.4" x14ac:dyDescent="0.3"/>
  <cols>
    <col min="1" max="1" width="39.33203125" customWidth="1"/>
    <col min="2" max="2" width="11.109375" customWidth="1"/>
    <col min="3" max="4" width="14.6640625" customWidth="1"/>
    <col min="5" max="5" width="22.44140625" customWidth="1"/>
    <col min="6" max="9" width="14.6640625" customWidth="1"/>
  </cols>
  <sheetData>
    <row r="1" spans="1:16" ht="15.6" x14ac:dyDescent="0.3">
      <c r="A1" s="12" t="s">
        <v>130</v>
      </c>
      <c r="E1" s="11" t="s">
        <v>131</v>
      </c>
    </row>
    <row r="2" spans="1:16" ht="15.6" x14ac:dyDescent="0.3">
      <c r="A2" s="12"/>
      <c r="E2" s="59" t="s">
        <v>132</v>
      </c>
      <c r="F2" s="59" t="s">
        <v>133</v>
      </c>
      <c r="G2" s="59" t="s">
        <v>134</v>
      </c>
      <c r="H2" s="59" t="s">
        <v>135</v>
      </c>
      <c r="I2" s="59" t="s">
        <v>18</v>
      </c>
      <c r="J2" s="59" t="s">
        <v>19</v>
      </c>
      <c r="K2" s="59" t="s">
        <v>20</v>
      </c>
    </row>
    <row r="3" spans="1:16" ht="16.2" x14ac:dyDescent="0.3">
      <c r="A3" s="2" t="s">
        <v>136</v>
      </c>
      <c r="B3" s="29">
        <v>200</v>
      </c>
      <c r="E3" s="58" t="s">
        <v>137</v>
      </c>
      <c r="F3" s="29">
        <v>0.2</v>
      </c>
      <c r="G3" s="23">
        <f>F3*$C$5</f>
        <v>10</v>
      </c>
      <c r="H3" s="22">
        <v>0</v>
      </c>
      <c r="I3" s="22">
        <v>0</v>
      </c>
      <c r="J3" s="22">
        <v>0</v>
      </c>
      <c r="K3" s="22">
        <v>0</v>
      </c>
    </row>
    <row r="4" spans="1:16" x14ac:dyDescent="0.3">
      <c r="A4" s="32" t="s">
        <v>138</v>
      </c>
      <c r="B4" s="59" t="s">
        <v>133</v>
      </c>
      <c r="C4" s="59" t="s">
        <v>134</v>
      </c>
      <c r="E4" s="58" t="s">
        <v>139</v>
      </c>
      <c r="F4" s="29">
        <v>0.6</v>
      </c>
      <c r="G4" s="23">
        <f t="shared" ref="G4:G5" si="0">F4*$C$5</f>
        <v>30</v>
      </c>
      <c r="H4" s="22">
        <f>MonitoringOptCosts!B60</f>
        <v>25195.64</v>
      </c>
      <c r="I4" s="22">
        <v>0</v>
      </c>
      <c r="J4" s="22">
        <v>0</v>
      </c>
      <c r="K4" s="22">
        <f>MonitoringOptCosts!B61</f>
        <v>6227.473250055803</v>
      </c>
    </row>
    <row r="5" spans="1:16" x14ac:dyDescent="0.3">
      <c r="A5" s="2" t="s">
        <v>140</v>
      </c>
      <c r="B5" s="29">
        <v>0.25</v>
      </c>
      <c r="C5" s="23">
        <f>$B$3*B5</f>
        <v>50</v>
      </c>
      <c r="E5" s="58" t="s">
        <v>141</v>
      </c>
      <c r="F5" s="30">
        <f>1-SUM(F3:F4)</f>
        <v>0.19999999999999996</v>
      </c>
      <c r="G5" s="23">
        <f t="shared" si="0"/>
        <v>9.9999999999999982</v>
      </c>
      <c r="H5" s="22">
        <v>0</v>
      </c>
      <c r="I5" s="22">
        <v>0</v>
      </c>
      <c r="J5" s="22">
        <f>MonitoringOptCosts!B67</f>
        <v>19005.89</v>
      </c>
      <c r="K5" s="22">
        <f>J5</f>
        <v>19005.89</v>
      </c>
    </row>
    <row r="6" spans="1:16" x14ac:dyDescent="0.3">
      <c r="A6" s="2" t="s">
        <v>142</v>
      </c>
      <c r="B6" s="29">
        <v>0.5</v>
      </c>
      <c r="C6" s="23">
        <f>$B$3*B6</f>
        <v>100</v>
      </c>
    </row>
    <row r="7" spans="1:16" x14ac:dyDescent="0.3">
      <c r="A7" s="2" t="s">
        <v>143</v>
      </c>
      <c r="B7" s="29">
        <v>0.25</v>
      </c>
      <c r="C7" s="23">
        <f>$B$3*B7</f>
        <v>50</v>
      </c>
      <c r="E7" s="11" t="s">
        <v>144</v>
      </c>
    </row>
    <row r="8" spans="1:16" x14ac:dyDescent="0.3">
      <c r="B8" s="31"/>
      <c r="E8" s="59" t="s">
        <v>132</v>
      </c>
      <c r="F8" s="59" t="s">
        <v>133</v>
      </c>
      <c r="G8" s="59" t="s">
        <v>134</v>
      </c>
      <c r="H8" s="59" t="s">
        <v>135</v>
      </c>
      <c r="I8" s="59" t="s">
        <v>18</v>
      </c>
      <c r="J8" s="59" t="s">
        <v>19</v>
      </c>
      <c r="K8" s="59" t="s">
        <v>20</v>
      </c>
    </row>
    <row r="9" spans="1:16" x14ac:dyDescent="0.3">
      <c r="A9" s="64" t="s">
        <v>145</v>
      </c>
      <c r="B9" s="64"/>
      <c r="C9" s="64"/>
      <c r="E9" s="58" t="s">
        <v>146</v>
      </c>
      <c r="F9" s="29">
        <v>0.04</v>
      </c>
      <c r="G9" s="23">
        <f>F9*$C$7</f>
        <v>2</v>
      </c>
      <c r="H9" s="23"/>
      <c r="I9" s="22">
        <f>MonitoringOptCosts!F32</f>
        <v>466677.59078189294</v>
      </c>
      <c r="J9" s="22">
        <f>MonitoringOptCosts!G32</f>
        <v>24585.82732510288</v>
      </c>
      <c r="K9" s="22">
        <f>MonitoringOptCosts!H32</f>
        <v>75827.026792954741</v>
      </c>
    </row>
    <row r="10" spans="1:16" x14ac:dyDescent="0.3">
      <c r="A10" s="64"/>
      <c r="B10" s="64"/>
      <c r="C10" s="64"/>
      <c r="E10" s="58" t="s">
        <v>147</v>
      </c>
      <c r="F10" s="29">
        <v>0.16</v>
      </c>
      <c r="G10" s="23">
        <f>F10*$C$7</f>
        <v>8</v>
      </c>
      <c r="H10" s="23"/>
      <c r="I10" s="22">
        <f>MonitoringOptCosts!F33</f>
        <v>266623.37448559672</v>
      </c>
      <c r="J10" s="22">
        <f>MonitoringOptCosts!G33</f>
        <v>16583.185843621399</v>
      </c>
      <c r="K10" s="22">
        <f>MonitoringOptCosts!H33</f>
        <v>45858.432362139909</v>
      </c>
    </row>
    <row r="11" spans="1:16" x14ac:dyDescent="0.3">
      <c r="E11" s="58" t="s">
        <v>36</v>
      </c>
      <c r="F11" s="29">
        <v>0</v>
      </c>
      <c r="G11" s="23">
        <f>F11*$C$7</f>
        <v>0</v>
      </c>
      <c r="H11" s="23"/>
      <c r="I11" s="22">
        <f>MonitoringOptCosts!F34</f>
        <v>220690.60279835391</v>
      </c>
      <c r="J11" s="22">
        <f>MonitoringOptCosts!G34</f>
        <v>14747.030781893003</v>
      </c>
      <c r="K11" s="22">
        <f>MonitoringOptCosts!H34</f>
        <v>38978.858969152265</v>
      </c>
    </row>
    <row r="12" spans="1:16" x14ac:dyDescent="0.3">
      <c r="E12" s="58" t="s">
        <v>148</v>
      </c>
      <c r="F12" s="30">
        <f>1-SUM(F9:F11)</f>
        <v>0.8</v>
      </c>
      <c r="G12" s="23">
        <f>F12*$C$7</f>
        <v>40</v>
      </c>
      <c r="H12" s="22">
        <f>MonitoringOptCosts!B47</f>
        <v>6080.6591999999991</v>
      </c>
      <c r="I12" s="23">
        <v>0</v>
      </c>
      <c r="J12" s="22">
        <f>MonitoringOptCosts!G35</f>
        <v>5919.5642798353911</v>
      </c>
      <c r="K12" s="22">
        <f>MonitoringOptCosts!B48+J12</f>
        <v>7422.4886949606152</v>
      </c>
    </row>
    <row r="13" spans="1:16" x14ac:dyDescent="0.3">
      <c r="E13" s="10"/>
    </row>
    <row r="14" spans="1:16" ht="43.2" x14ac:dyDescent="0.3">
      <c r="A14" s="57" t="s">
        <v>149</v>
      </c>
      <c r="B14" s="60" t="s">
        <v>135</v>
      </c>
      <c r="C14" s="60" t="s">
        <v>150</v>
      </c>
      <c r="D14" s="60" t="s">
        <v>151</v>
      </c>
      <c r="E14" s="60" t="s">
        <v>152</v>
      </c>
      <c r="F14" s="60" t="s">
        <v>153</v>
      </c>
      <c r="G14" s="60" t="s">
        <v>154</v>
      </c>
      <c r="H14" s="60" t="s">
        <v>155</v>
      </c>
      <c r="I14" s="60" t="s">
        <v>156</v>
      </c>
      <c r="J14" s="68" t="s">
        <v>157</v>
      </c>
      <c r="K14" s="68"/>
      <c r="L14" s="68"/>
      <c r="M14" s="68"/>
      <c r="N14" s="68"/>
      <c r="O14" s="68"/>
      <c r="P14" s="68"/>
    </row>
    <row r="15" spans="1:16" x14ac:dyDescent="0.3">
      <c r="A15" s="2" t="s">
        <v>158</v>
      </c>
      <c r="B15" s="22">
        <f>ElectronicReporting!B4</f>
        <v>41480.799999999996</v>
      </c>
      <c r="C15" s="24"/>
      <c r="D15" s="22">
        <f>ElectronicReporting!B8</f>
        <v>-41480.799999999996</v>
      </c>
      <c r="E15" s="22">
        <f>ElectronicReporting!B10</f>
        <v>-34398.906495210402</v>
      </c>
      <c r="F15" s="24"/>
      <c r="G15" s="24"/>
      <c r="H15" s="24"/>
      <c r="I15" s="25"/>
      <c r="J15" s="70"/>
      <c r="K15" s="71"/>
      <c r="L15" s="71"/>
      <c r="M15" s="71"/>
      <c r="N15" s="71"/>
      <c r="O15" s="71"/>
      <c r="P15" s="72"/>
    </row>
    <row r="16" spans="1:16" x14ac:dyDescent="0.3">
      <c r="A16" s="2" t="s">
        <v>159</v>
      </c>
      <c r="B16" s="22">
        <f>$C6*MonitoringOptCosts!$B60+SUMPRODUCT($G$3:$G$5,H3:H5)</f>
        <v>3275433.2</v>
      </c>
      <c r="C16" s="25"/>
      <c r="D16" s="22">
        <f>C6*MonitoringOptCosts!B62+SUMPRODUCT(G3:G5,J3:J5)</f>
        <v>354354.19999999995</v>
      </c>
      <c r="E16" s="22">
        <f>$C6*MonitoringOptCosts!$B61+D16+SUMPRODUCT(G3:G5,K3:K5)</f>
        <v>1353984.6225072544</v>
      </c>
      <c r="F16" s="26">
        <f>(C5+C6)*(B$22)</f>
        <v>180</v>
      </c>
      <c r="G16" s="22">
        <f>$E16/F16</f>
        <v>7522.1367917069683</v>
      </c>
      <c r="H16" s="26">
        <f>(C5+C6)*(B$22)*B21/B20</f>
        <v>2250</v>
      </c>
      <c r="I16" s="22">
        <f>$E16/H16</f>
        <v>601.77094333655748</v>
      </c>
      <c r="J16" s="69" t="s">
        <v>160</v>
      </c>
      <c r="K16" s="69"/>
      <c r="L16" s="69"/>
      <c r="M16" s="69"/>
      <c r="N16" s="69"/>
      <c r="O16" s="69"/>
      <c r="P16" s="69"/>
    </row>
    <row r="17" spans="1:16" ht="15" thickBot="1" x14ac:dyDescent="0.35">
      <c r="A17" s="19" t="s">
        <v>161</v>
      </c>
      <c r="B17" s="37">
        <f>SUMPRODUCT($G9:$G12,H9:H12)</f>
        <v>243226.36799999996</v>
      </c>
      <c r="C17" s="37">
        <f>SUMPRODUCT($G9:$G12,I9:I12)</f>
        <v>3066342.1774485596</v>
      </c>
      <c r="D17" s="37">
        <f>SUMPRODUCT($G9:$G12,J9:J12)</f>
        <v>418619.71259259258</v>
      </c>
      <c r="E17" s="37">
        <f>SUMPRODUCT($G9:$G12,K9:K12)</f>
        <v>815421.06028145342</v>
      </c>
      <c r="F17" s="38">
        <f>C7*(B$23)</f>
        <v>100</v>
      </c>
      <c r="G17" s="37">
        <f>$E17/F17</f>
        <v>8154.2106028145345</v>
      </c>
      <c r="H17" s="38">
        <f>C7*(B$23)*B21/B20</f>
        <v>1250</v>
      </c>
      <c r="I17" s="37">
        <f>$E17/H17</f>
        <v>652.33684822516273</v>
      </c>
      <c r="J17" s="69" t="s">
        <v>162</v>
      </c>
      <c r="K17" s="69"/>
      <c r="L17" s="69"/>
      <c r="M17" s="69"/>
      <c r="N17" s="69"/>
      <c r="O17" s="69"/>
      <c r="P17" s="69"/>
    </row>
    <row r="18" spans="1:16" ht="15" thickTop="1" x14ac:dyDescent="0.3">
      <c r="A18" s="33" t="s">
        <v>163</v>
      </c>
      <c r="B18" s="34">
        <f>SUM(B15:B17)</f>
        <v>3560140.3679999998</v>
      </c>
      <c r="C18" s="34">
        <f>SUM(C15:C17)</f>
        <v>3066342.1774485596</v>
      </c>
      <c r="D18" s="34">
        <f>SUM(D15:D17)</f>
        <v>731493.1125925926</v>
      </c>
      <c r="E18" s="34">
        <f>SUM(E15:E17)</f>
        <v>2135006.7762934975</v>
      </c>
      <c r="F18" s="35">
        <f>SUM(F16:F17)</f>
        <v>280</v>
      </c>
      <c r="G18" s="36">
        <f>($E16+$E17)/(F16+F17)</f>
        <v>7747.877438531099</v>
      </c>
      <c r="H18" s="35">
        <f>SUM(H16:H17)</f>
        <v>3500</v>
      </c>
      <c r="I18" s="39">
        <f>($E16+$E17)/(H16+H17)</f>
        <v>619.83019508248799</v>
      </c>
      <c r="J18" s="40"/>
      <c r="K18" s="40"/>
      <c r="L18" s="40"/>
      <c r="M18" s="40"/>
      <c r="N18" s="40"/>
      <c r="O18" s="40"/>
      <c r="P18" s="40"/>
    </row>
    <row r="20" spans="1:16" x14ac:dyDescent="0.3">
      <c r="A20" t="s">
        <v>164</v>
      </c>
      <c r="B20" s="27">
        <v>40</v>
      </c>
      <c r="C20" t="s">
        <v>165</v>
      </c>
      <c r="G20" s="7"/>
    </row>
    <row r="21" spans="1:16" x14ac:dyDescent="0.3">
      <c r="A21" t="s">
        <v>166</v>
      </c>
      <c r="B21" s="27">
        <v>500</v>
      </c>
      <c r="C21" t="s">
        <v>165</v>
      </c>
    </row>
    <row r="22" spans="1:16" x14ac:dyDescent="0.3">
      <c r="A22" t="s">
        <v>167</v>
      </c>
      <c r="B22" s="13">
        <f>B20*0.03</f>
        <v>1.2</v>
      </c>
      <c r="C22" t="s">
        <v>168</v>
      </c>
      <c r="G22" s="10" t="s">
        <v>169</v>
      </c>
      <c r="H22" s="28">
        <f>C17+B17+B16</f>
        <v>6585001.7454485595</v>
      </c>
    </row>
    <row r="23" spans="1:16" x14ac:dyDescent="0.3">
      <c r="A23" t="s">
        <v>170</v>
      </c>
      <c r="B23" s="13">
        <f>B20*0.05</f>
        <v>2</v>
      </c>
      <c r="C23" t="s">
        <v>168</v>
      </c>
      <c r="G23" s="10" t="s">
        <v>171</v>
      </c>
      <c r="H23" s="28">
        <f>E17+E16</f>
        <v>2169405.6827887078</v>
      </c>
      <c r="I23" s="7"/>
    </row>
    <row r="25" spans="1:16" x14ac:dyDescent="0.3">
      <c r="A25" s="11" t="s">
        <v>172</v>
      </c>
    </row>
    <row r="26" spans="1:16" x14ac:dyDescent="0.3">
      <c r="A26" s="11"/>
    </row>
    <row r="27" spans="1:16" ht="15" customHeight="1" x14ac:dyDescent="0.3">
      <c r="A27" s="68" t="s">
        <v>173</v>
      </c>
      <c r="B27" s="67" t="s">
        <v>174</v>
      </c>
      <c r="C27" s="66" t="s">
        <v>175</v>
      </c>
      <c r="D27" s="66"/>
      <c r="E27" s="66"/>
    </row>
    <row r="28" spans="1:16" ht="43.2" x14ac:dyDescent="0.3">
      <c r="A28" s="68"/>
      <c r="B28" s="67"/>
      <c r="C28" s="60" t="s">
        <v>176</v>
      </c>
      <c r="D28" s="60" t="s">
        <v>161</v>
      </c>
      <c r="E28" s="60" t="s">
        <v>163</v>
      </c>
    </row>
    <row r="29" spans="1:16" x14ac:dyDescent="0.3">
      <c r="A29" s="2" t="s">
        <v>177</v>
      </c>
      <c r="B29" s="16">
        <v>0.42</v>
      </c>
      <c r="C29" s="17">
        <f>B29*$F$16</f>
        <v>75.599999999999994</v>
      </c>
      <c r="D29" s="17">
        <f>B29*$F$17</f>
        <v>42</v>
      </c>
      <c r="E29" s="17">
        <f>C29+D29</f>
        <v>117.6</v>
      </c>
    </row>
    <row r="30" spans="1:16" x14ac:dyDescent="0.3">
      <c r="A30" s="2" t="s">
        <v>178</v>
      </c>
      <c r="B30" s="16">
        <v>0.22</v>
      </c>
      <c r="C30" s="17">
        <f t="shared" ref="C30:C34" si="1">B30*$F$16</f>
        <v>39.6</v>
      </c>
      <c r="D30" s="17">
        <f t="shared" ref="D30:D34" si="2">B30*$F$17</f>
        <v>22</v>
      </c>
      <c r="E30" s="17">
        <f t="shared" ref="E30:E34" si="3">C30+D30</f>
        <v>61.6</v>
      </c>
    </row>
    <row r="31" spans="1:16" x14ac:dyDescent="0.3">
      <c r="A31" s="2" t="s">
        <v>179</v>
      </c>
      <c r="B31" s="16">
        <v>0.2</v>
      </c>
      <c r="C31" s="17">
        <f t="shared" si="1"/>
        <v>36</v>
      </c>
      <c r="D31" s="17">
        <f t="shared" si="2"/>
        <v>20</v>
      </c>
      <c r="E31" s="17">
        <f t="shared" si="3"/>
        <v>56</v>
      </c>
    </row>
    <row r="32" spans="1:16" x14ac:dyDescent="0.3">
      <c r="A32" s="2" t="s">
        <v>180</v>
      </c>
      <c r="B32" s="16">
        <v>0.12</v>
      </c>
      <c r="C32" s="17">
        <f t="shared" si="1"/>
        <v>21.599999999999998</v>
      </c>
      <c r="D32" s="17">
        <f t="shared" si="2"/>
        <v>12</v>
      </c>
      <c r="E32" s="17">
        <f t="shared" si="3"/>
        <v>33.599999999999994</v>
      </c>
    </row>
    <row r="33" spans="1:5" x14ac:dyDescent="0.3">
      <c r="A33" s="2" t="s">
        <v>181</v>
      </c>
      <c r="B33" s="16">
        <v>0.03</v>
      </c>
      <c r="C33" s="17">
        <f t="shared" si="1"/>
        <v>5.3999999999999995</v>
      </c>
      <c r="D33" s="17">
        <f t="shared" si="2"/>
        <v>3</v>
      </c>
      <c r="E33" s="17">
        <f t="shared" si="3"/>
        <v>8.3999999999999986</v>
      </c>
    </row>
    <row r="34" spans="1:5" ht="15" thickBot="1" x14ac:dyDescent="0.35">
      <c r="A34" s="19" t="s">
        <v>182</v>
      </c>
      <c r="B34" s="20">
        <v>0.01</v>
      </c>
      <c r="C34" s="21">
        <f t="shared" si="1"/>
        <v>1.8</v>
      </c>
      <c r="D34" s="21">
        <f t="shared" si="2"/>
        <v>1</v>
      </c>
      <c r="E34" s="21">
        <f t="shared" si="3"/>
        <v>2.8</v>
      </c>
    </row>
    <row r="35" spans="1:5" ht="15" thickTop="1" x14ac:dyDescent="0.3">
      <c r="A35" s="65" t="s">
        <v>183</v>
      </c>
      <c r="B35" s="65"/>
      <c r="C35" s="18">
        <f>SUM(C29:C34)</f>
        <v>180</v>
      </c>
      <c r="D35" s="18">
        <f>SUM(D29:D34)</f>
        <v>100</v>
      </c>
      <c r="E35" s="18">
        <f>SUM(E29:E34)</f>
        <v>279.99999999999994</v>
      </c>
    </row>
    <row r="38" spans="1:5" x14ac:dyDescent="0.3">
      <c r="A38" s="11" t="s">
        <v>99</v>
      </c>
    </row>
    <row r="39" spans="1:5" ht="28.8" x14ac:dyDescent="0.3">
      <c r="A39" s="57" t="s">
        <v>117</v>
      </c>
      <c r="B39" s="60" t="s">
        <v>118</v>
      </c>
      <c r="C39" s="60" t="s">
        <v>119</v>
      </c>
      <c r="D39" s="60" t="s">
        <v>120</v>
      </c>
      <c r="E39" s="60" t="s">
        <v>121</v>
      </c>
    </row>
    <row r="40" spans="1:5" x14ac:dyDescent="0.3">
      <c r="A40" s="2" t="s">
        <v>184</v>
      </c>
      <c r="B40" s="49">
        <f>'2nd_Impacts'!B9</f>
        <v>36.81</v>
      </c>
      <c r="C40" s="50">
        <f>'2nd_Impacts'!C9</f>
        <v>2230.9068600000005</v>
      </c>
      <c r="D40" s="49">
        <f>'2nd_Impacts'!D9</f>
        <v>1.2965954400000004</v>
      </c>
      <c r="E40" s="49">
        <f>'2nd_Impacts'!E9</f>
        <v>5.9109498</v>
      </c>
    </row>
    <row r="41" spans="1:5" x14ac:dyDescent="0.3">
      <c r="A41" s="2" t="s">
        <v>184</v>
      </c>
      <c r="B41" s="49">
        <f>'2nd_Impacts'!B10</f>
        <v>54.429999999999993</v>
      </c>
      <c r="C41" s="50">
        <f>'2nd_Impacts'!C10</f>
        <v>3298.7845799999996</v>
      </c>
      <c r="D41" s="49">
        <f>'2nd_Impacts'!D10</f>
        <v>1.9172423200000002</v>
      </c>
      <c r="E41" s="49">
        <f>'2nd_Impacts'!E10</f>
        <v>8.7403693999999987</v>
      </c>
    </row>
    <row r="42" spans="1:5" x14ac:dyDescent="0.3">
      <c r="A42" s="2" t="s">
        <v>163</v>
      </c>
      <c r="B42" s="49">
        <f>SUM(B40:B41)</f>
        <v>91.24</v>
      </c>
      <c r="C42" s="50">
        <f t="shared" ref="C42:E42" si="4">SUM(C40:C41)</f>
        <v>5529.6914400000005</v>
      </c>
      <c r="D42" s="49">
        <f t="shared" si="4"/>
        <v>3.2138377600000005</v>
      </c>
      <c r="E42" s="49">
        <f t="shared" si="4"/>
        <v>14.6513192</v>
      </c>
    </row>
  </sheetData>
  <mergeCells count="9">
    <mergeCell ref="J14:P14"/>
    <mergeCell ref="J16:P16"/>
    <mergeCell ref="J17:P17"/>
    <mergeCell ref="J15:P15"/>
    <mergeCell ref="A9:C10"/>
    <mergeCell ref="A35:B35"/>
    <mergeCell ref="C27:E27"/>
    <mergeCell ref="B27:B28"/>
    <mergeCell ref="A27:A28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CEB5CD14E544C890619B1F504DD44" ma:contentTypeVersion="12" ma:contentTypeDescription="Create a new document." ma:contentTypeScope="" ma:versionID="7885eb2a9d71f4f3de64996143593645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bd6563f2-84fd-49bb-ba49-e16e67e66c70" xmlns:ns6="88ca8544-bb20-4614-9b73-bf8401c81147" targetNamespace="http://schemas.microsoft.com/office/2006/metadata/properties" ma:root="true" ma:fieldsID="ec2196ef3727cc2b6ab09906bcc1f931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bd6563f2-84fd-49bb-ba49-e16e67e66c70"/>
    <xsd:import namespace="88ca8544-bb20-4614-9b73-bf8401c81147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MediaServiceSearchProperties" minOccurs="0"/>
                <xsd:element ref="ns5:MediaServiceDateTaken" minOccurs="0"/>
                <xsd:element ref="ns5:MediaServiceGenerationTime" minOccurs="0"/>
                <xsd:element ref="ns5:MediaServiceEventHashCode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2416a9ae-61a2-4525-842e-f75ab01c9399}" ma:internalName="TaxCatchAllLabel" ma:readOnly="true" ma:showField="CatchAllDataLabel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2416a9ae-61a2-4525-842e-f75ab01c9399}" ma:internalName="TaxCatchAll" ma:showField="CatchAllData" ma:web="88ca8544-bb20-4614-9b73-bf8401c811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563f2-84fd-49bb-ba49-e16e67e66c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8544-bb20-4614-9b73-bf8401c81147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2025-06-10T13:11:05+00:00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DE81C987-E958-4E93-ABEA-EA9CC9EAC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bd6563f2-84fd-49bb-ba49-e16e67e66c70"/>
    <ds:schemaRef ds:uri="88ca8544-bb20-4614-9b73-bf8401c81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4EAD4E-965B-437E-B260-6EE2AEA1271C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BE1F1906-C090-42D5-A349-EAB152F5E5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EC4356A-4AFC-4B24-9740-8A709701FF5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Assumptions</vt:lpstr>
      <vt:lpstr>MonitoringOptCosts</vt:lpstr>
      <vt:lpstr>2nd_Impacts</vt:lpstr>
      <vt:lpstr>ElectronicReporting</vt:lpstr>
      <vt:lpstr>NationalCosts</vt:lpstr>
      <vt:lpstr>CRF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Coburn, Jeff</dc:creator>
  <cp:keywords/>
  <dc:description/>
  <cp:lastModifiedBy>Clemens, Fallon</cp:lastModifiedBy>
  <cp:revision/>
  <dcterms:created xsi:type="dcterms:W3CDTF">2022-04-01T14:19:34Z</dcterms:created>
  <dcterms:modified xsi:type="dcterms:W3CDTF">2026-01-12T17:06:01Z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0x01010089ACEB5CD14E544C890619B1F504DD44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EPA Subject">
    <vt:lpwstr/>
  </property>
  <property fmtid="{D5CDD505-2E9C-101B-9397-08002B2CF9AE}" pid="8" name="Document Type">
    <vt:lpwstr/>
  </property>
</Properties>
</file>