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0" documentId="8_{8C941BDF-A349-43B7-8CAF-04A625627DA2}" xr6:coauthVersionLast="47" xr6:coauthVersionMax="47" xr10:uidLastSave="{00000000-0000-0000-0000-000000000000}"/>
  <bookViews>
    <workbookView xWindow="-57720" yWindow="-120" windowWidth="29040" windowHeight="15720" xr2:uid="{6B939483-7390-4D4D-9E94-1F1C80266C24}"/>
  </bookViews>
  <sheets>
    <sheet name="Burden_NESHAP_Y" sheetId="8" r:id="rId1"/>
    <sheet name="EPA_Burden" sheetId="10" r:id="rId2"/>
    <sheet name="No_Respondents" sheetId="11" r:id="rId3"/>
    <sheet name="LaborRates" sheetId="9"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8" l="1"/>
  <c r="D18" i="8"/>
  <c r="F18" i="8" s="1"/>
  <c r="D31" i="8"/>
  <c r="F31" i="8" s="1"/>
  <c r="D15" i="8"/>
  <c r="F15" i="8" s="1"/>
  <c r="D12" i="8"/>
  <c r="F12" i="8" s="1"/>
  <c r="D12" i="10"/>
  <c r="F12" i="10" s="1"/>
  <c r="D8" i="10"/>
  <c r="F8" i="10" s="1"/>
  <c r="D30" i="8"/>
  <c r="F30" i="8" s="1"/>
  <c r="D29" i="8"/>
  <c r="F29" i="8" s="1"/>
  <c r="D28" i="8"/>
  <c r="F28" i="8" s="1"/>
  <c r="H28" i="8" s="1"/>
  <c r="D27" i="8"/>
  <c r="F27" i="8" s="1"/>
  <c r="G27" i="8" s="1"/>
  <c r="D26" i="8"/>
  <c r="F26" i="8" s="1"/>
  <c r="D25" i="8"/>
  <c r="F25" i="8" s="1"/>
  <c r="D24" i="8"/>
  <c r="F24" i="8" s="1"/>
  <c r="H24" i="8" s="1"/>
  <c r="D23" i="8"/>
  <c r="F23" i="8" s="1"/>
  <c r="C11" i="11"/>
  <c r="F7" i="11"/>
  <c r="F10" i="11"/>
  <c r="F9" i="11"/>
  <c r="F11" i="11"/>
  <c r="F8" i="11"/>
  <c r="F6" i="11"/>
  <c r="F5" i="11"/>
  <c r="F4" i="11"/>
  <c r="P6" i="10"/>
  <c r="Q6" i="10" s="1"/>
  <c r="H2" i="10" s="1"/>
  <c r="P5" i="10"/>
  <c r="Q5" i="10" s="1"/>
  <c r="F2" i="10" s="1"/>
  <c r="P4" i="10"/>
  <c r="Q4" i="10" s="1"/>
  <c r="G2" i="10" s="1"/>
  <c r="D14" i="10"/>
  <c r="F14" i="10" s="1"/>
  <c r="D13" i="10"/>
  <c r="F13" i="10" s="1"/>
  <c r="D11" i="10"/>
  <c r="F11" i="10" s="1"/>
  <c r="G11" i="10" s="1"/>
  <c r="D10" i="10"/>
  <c r="F10" i="10" s="1"/>
  <c r="D9" i="10"/>
  <c r="F9" i="10" s="1"/>
  <c r="D7" i="10"/>
  <c r="F7" i="10" s="1"/>
  <c r="D6" i="10"/>
  <c r="F6" i="10" s="1"/>
  <c r="D5" i="10"/>
  <c r="F5" i="10" s="1"/>
  <c r="G18" i="8" l="1"/>
  <c r="H18" i="8"/>
  <c r="G31" i="8"/>
  <c r="H31" i="8"/>
  <c r="G15" i="8"/>
  <c r="H15" i="8"/>
  <c r="G12" i="8"/>
  <c r="H12" i="8"/>
  <c r="H12" i="10"/>
  <c r="G12" i="10"/>
  <c r="H8" i="10"/>
  <c r="G8" i="10"/>
  <c r="I8" i="10" s="1"/>
  <c r="G7" i="10"/>
  <c r="H7" i="10"/>
  <c r="H30" i="8"/>
  <c r="G30" i="8"/>
  <c r="H29" i="8"/>
  <c r="G29" i="8"/>
  <c r="G28" i="8"/>
  <c r="H27" i="8"/>
  <c r="H26" i="8"/>
  <c r="G26" i="8"/>
  <c r="G25" i="8"/>
  <c r="H25" i="8"/>
  <c r="G24" i="8"/>
  <c r="H23" i="8"/>
  <c r="G23" i="8"/>
  <c r="F12" i="11"/>
  <c r="H6" i="10"/>
  <c r="G6" i="10"/>
  <c r="G13" i="10"/>
  <c r="H13" i="10"/>
  <c r="H5" i="10"/>
  <c r="G5" i="10"/>
  <c r="H10" i="10"/>
  <c r="G10" i="10"/>
  <c r="I10" i="10" s="1"/>
  <c r="H9" i="10"/>
  <c r="G9" i="10"/>
  <c r="H14" i="10"/>
  <c r="G14" i="10"/>
  <c r="H11" i="10"/>
  <c r="I11" i="10" s="1"/>
  <c r="I7" i="10" l="1"/>
  <c r="I13" i="10"/>
  <c r="I5" i="10"/>
  <c r="I14" i="10"/>
  <c r="I12" i="10"/>
  <c r="I9" i="10"/>
  <c r="I6" i="10"/>
  <c r="F15" i="10"/>
  <c r="I15" i="10" l="1"/>
  <c r="I50" i="8" l="1"/>
  <c r="I49" i="8"/>
  <c r="I47" i="8"/>
  <c r="I51" i="8" l="1"/>
  <c r="F35" i="8" l="1"/>
  <c r="G35" i="8" s="1"/>
  <c r="D21" i="8"/>
  <c r="H26" i="9"/>
  <c r="H27" i="9"/>
  <c r="H28" i="9"/>
  <c r="H24" i="9"/>
  <c r="D17" i="8"/>
  <c r="F17" i="8" s="1"/>
  <c r="H17" i="8" s="1"/>
  <c r="D42" i="8"/>
  <c r="D41" i="8"/>
  <c r="D40" i="8"/>
  <c r="D39" i="8"/>
  <c r="D38" i="8"/>
  <c r="D37" i="8"/>
  <c r="D36" i="8"/>
  <c r="F36" i="8" s="1"/>
  <c r="D22" i="8"/>
  <c r="D16" i="8"/>
  <c r="F16" i="8" s="1"/>
  <c r="H16" i="8" s="1"/>
  <c r="D14" i="8"/>
  <c r="D13" i="8"/>
  <c r="H35" i="8" l="1"/>
  <c r="G36" i="8"/>
  <c r="H36" i="8"/>
  <c r="G16" i="8"/>
  <c r="G17" i="8"/>
  <c r="D10" i="8" l="1"/>
  <c r="M28" i="8"/>
  <c r="N28" i="8" l="1"/>
  <c r="M10" i="8"/>
  <c r="M18" i="8"/>
  <c r="N17" i="8"/>
  <c r="O17" i="8" s="1"/>
  <c r="N9" i="8"/>
  <c r="O9" i="8" s="1"/>
  <c r="M27" i="8"/>
  <c r="M26" i="8"/>
  <c r="M29" i="8" s="1"/>
  <c r="M25" i="8"/>
  <c r="H25" i="9"/>
  <c r="H29" i="9" s="1"/>
  <c r="O28" i="8" l="1"/>
  <c r="N26" i="8" l="1"/>
  <c r="N27" i="8"/>
  <c r="O27" i="8" l="1"/>
  <c r="P27" i="8" s="1"/>
  <c r="O26" i="8"/>
  <c r="N25" i="8"/>
  <c r="O25" i="8" s="1"/>
  <c r="P25" i="8" s="1"/>
  <c r="N14" i="8"/>
  <c r="N15" i="8"/>
  <c r="O15" i="8" s="1"/>
  <c r="N16" i="8"/>
  <c r="O16" i="8" s="1"/>
  <c r="N13" i="8"/>
  <c r="O13" i="8" s="1"/>
  <c r="G2" i="8" l="1"/>
  <c r="N18" i="8"/>
  <c r="O18" i="8" s="1"/>
  <c r="O14" i="8"/>
  <c r="N8" i="8"/>
  <c r="O8" i="8" s="1"/>
  <c r="N7" i="8"/>
  <c r="O7" i="8" s="1"/>
  <c r="N6" i="8"/>
  <c r="O6" i="8" s="1"/>
  <c r="N5" i="8"/>
  <c r="O5" i="8" s="1"/>
  <c r="N29" i="8" l="1"/>
  <c r="O29" i="8" s="1"/>
  <c r="N10" i="8"/>
  <c r="O10" i="8" s="1"/>
  <c r="P29" i="8" l="1"/>
  <c r="F14" i="8" l="1"/>
  <c r="G14" i="8" s="1"/>
  <c r="F10" i="8"/>
  <c r="F13" i="8"/>
  <c r="G13" i="8" s="1"/>
  <c r="H14" i="8" l="1"/>
  <c r="H10" i="8"/>
  <c r="G10" i="8"/>
  <c r="H13" i="8"/>
  <c r="F38" i="8"/>
  <c r="G38" i="8" s="1"/>
  <c r="F42" i="8" l="1"/>
  <c r="F41" i="8"/>
  <c r="F37" i="8"/>
  <c r="H38" i="8"/>
  <c r="G42" i="8" l="1"/>
  <c r="H42" i="8"/>
  <c r="H41" i="8"/>
  <c r="G41" i="8"/>
  <c r="F40" i="8"/>
  <c r="F39" i="8"/>
  <c r="G37" i="8"/>
  <c r="H37" i="8"/>
  <c r="G1" i="8"/>
  <c r="F44" i="8" l="1"/>
  <c r="F21" i="8"/>
  <c r="H40" i="8"/>
  <c r="G40" i="8"/>
  <c r="G39" i="8"/>
  <c r="H39" i="8"/>
  <c r="H2" i="8"/>
  <c r="H1" i="8" s="1"/>
  <c r="G21" i="8" l="1"/>
  <c r="H21" i="8"/>
  <c r="F22" i="8"/>
  <c r="G44" i="8"/>
  <c r="F33" i="8" l="1"/>
  <c r="H44" i="8"/>
  <c r="G22" i="8"/>
  <c r="H22" i="8"/>
  <c r="H33" i="8" l="1"/>
  <c r="G33" i="8"/>
  <c r="F45" i="8" l="1"/>
  <c r="F2" i="8"/>
  <c r="I18" i="8" s="1"/>
  <c r="F52" i="8" l="1"/>
  <c r="F15" i="11"/>
  <c r="I12" i="8"/>
  <c r="I31" i="8"/>
  <c r="I15" i="8"/>
  <c r="I25" i="8"/>
  <c r="I26" i="8"/>
  <c r="I27" i="8"/>
  <c r="I24" i="8"/>
  <c r="I28" i="8"/>
  <c r="I29" i="8"/>
  <c r="I23" i="8"/>
  <c r="I30" i="8"/>
  <c r="I16" i="8"/>
  <c r="I17" i="8"/>
  <c r="I36" i="8"/>
  <c r="I41" i="8"/>
  <c r="I21" i="8"/>
  <c r="I22" i="8"/>
  <c r="I40" i="8"/>
  <c r="I42" i="8"/>
  <c r="I39" i="8"/>
  <c r="I35" i="8"/>
  <c r="I37" i="8"/>
  <c r="I38" i="8"/>
  <c r="I13" i="8"/>
  <c r="I14" i="8"/>
  <c r="I10" i="8"/>
  <c r="I44" i="8" l="1"/>
  <c r="I33" i="8"/>
  <c r="I45" i="8" l="1"/>
  <c r="I52" i="8" s="1"/>
</calcChain>
</file>

<file path=xl/sharedStrings.xml><?xml version="1.0" encoding="utf-8"?>
<sst xmlns="http://schemas.openxmlformats.org/spreadsheetml/2006/main" count="229" uniqueCount="156">
  <si>
    <t>Burden item</t>
  </si>
  <si>
    <t>(A)</t>
  </si>
  <si>
    <t>(B)</t>
  </si>
  <si>
    <t>(C)</t>
  </si>
  <si>
    <t>(D)</t>
  </si>
  <si>
    <t>(E)</t>
  </si>
  <si>
    <t>(F)</t>
  </si>
  <si>
    <t>(G)</t>
  </si>
  <si>
    <t>(H)</t>
  </si>
  <si>
    <t>Person hours per occurrence</t>
  </si>
  <si>
    <t>No. of occurrences per respondent per year</t>
  </si>
  <si>
    <t>Person hours per respondent per year</t>
  </si>
  <si>
    <r>
      <t xml:space="preserve">Respondents per year </t>
    </r>
    <r>
      <rPr>
        <b/>
        <vertAlign val="superscript"/>
        <sz val="10"/>
        <color rgb="FF000000"/>
        <rFont val="Times New Roman"/>
        <family val="1"/>
      </rPr>
      <t>a</t>
    </r>
  </si>
  <si>
    <t>Technical person- hours per year</t>
  </si>
  <si>
    <t>Management person hours per year</t>
  </si>
  <si>
    <t>Clerical person hours per year</t>
  </si>
  <si>
    <r>
      <t>Total Cost per year,</t>
    </r>
    <r>
      <rPr>
        <b/>
        <vertAlign val="superscript"/>
        <sz val="10"/>
        <color rgb="FF000000"/>
        <rFont val="Times New Roman"/>
        <family val="1"/>
      </rPr>
      <t xml:space="preserve"> </t>
    </r>
    <r>
      <rPr>
        <b/>
        <sz val="10"/>
        <color rgb="FF000000"/>
        <rFont val="Times New Roman"/>
        <family val="1"/>
      </rPr>
      <t>($)</t>
    </r>
    <r>
      <rPr>
        <b/>
        <vertAlign val="superscript"/>
        <sz val="10"/>
        <color rgb="FF000000"/>
        <rFont val="Times New Roman"/>
        <family val="1"/>
      </rPr>
      <t xml:space="preserve"> b</t>
    </r>
  </si>
  <si>
    <t>Occupation Code</t>
  </si>
  <si>
    <t>Title</t>
  </si>
  <si>
    <t>Mean Hourly Rate</t>
  </si>
  <si>
    <t>110% OH and benefits</t>
  </si>
  <si>
    <t>Estimated Total Pay with Benefits</t>
  </si>
  <si>
    <t>(C=AxB)</t>
  </si>
  <si>
    <t>(E=CxD)</t>
  </si>
  <si>
    <t>(F=Ex0.05)</t>
  </si>
  <si>
    <t>(G=Ex0.1)</t>
  </si>
  <si>
    <t>11-0000</t>
  </si>
  <si>
    <t>Mgmt Occup</t>
  </si>
  <si>
    <t>1.  Applications</t>
  </si>
  <si>
    <t>N/A</t>
  </si>
  <si>
    <t>17-2081</t>
  </si>
  <si>
    <t>Environmental Engineer</t>
  </si>
  <si>
    <t>2.  Surveys and studies</t>
  </si>
  <si>
    <t>49-0000</t>
  </si>
  <si>
    <t>Maintenance/Inspections</t>
  </si>
  <si>
    <t>3.  Reporting requirements</t>
  </si>
  <si>
    <t>43-0000</t>
  </si>
  <si>
    <t>Office and Admin Support</t>
  </si>
  <si>
    <t xml:space="preserve">     a.  Familiarize with regulatory requirements</t>
  </si>
  <si>
    <t>Technical</t>
  </si>
  <si>
    <t>b.  Required activities</t>
  </si>
  <si>
    <t>Subtotal for Reporting Requirements</t>
  </si>
  <si>
    <t>4.  Recordkeeping requirements</t>
  </si>
  <si>
    <t>Subtotal for Recordkeeping Requirements</t>
  </si>
  <si>
    <t>TOTAL LABOR BURDEN AND COST</t>
  </si>
  <si>
    <t>GRAND TOTAL</t>
  </si>
  <si>
    <t>Assumptions:</t>
  </si>
  <si>
    <r>
      <t>a</t>
    </r>
    <r>
      <rPr>
        <sz val="10"/>
        <color theme="1"/>
        <rFont val="Times New Roman"/>
        <family val="1"/>
      </rPr>
      <t xml:space="preserve">  The average number of respondents per year over the first three years of this ICR.</t>
    </r>
  </si>
  <si>
    <t>May 2023 - National Occupational Employment and Wage Estimates</t>
  </si>
  <si>
    <t>Operators</t>
  </si>
  <si>
    <t>51-8000</t>
  </si>
  <si>
    <t>Chemical Manufacturing - May 2023 OEWS Industry-Specific Occupational Employment and Wage Estimates (bls.gov)</t>
  </si>
  <si>
    <t>Petroleum and Coal Products Manufacturing - May 2023 OEWS Industry-Specific Occupational Employment and Wage Estimates (bls.gov)</t>
  </si>
  <si>
    <t>MVL Labor Rates (Average of Chemical Manufacturing and Petroleum and Coal Products Manufacturing)</t>
  </si>
  <si>
    <r>
      <t>Table 1: Annual Respondent Bur</t>
    </r>
    <r>
      <rPr>
        <b/>
        <sz val="12"/>
        <color theme="1"/>
        <rFont val="Times New Roman"/>
        <family val="1"/>
      </rPr>
      <t>den and Cost – NESHAP Y</t>
    </r>
  </si>
  <si>
    <t>Petroleum and Coal Products Manufacturing - Specific Occupational Employment and Wage Estimates (bls.gov)</t>
  </si>
  <si>
    <t>Chemical Manufacturing- Specific Occupational Employment and Wage Estimates (bls.gov)</t>
  </si>
  <si>
    <t>NESHAP Y Labor Rates (Average of Chemical Manufacturing and Petroleum and Coal Products Manufacturing)</t>
  </si>
  <si>
    <t>Technical (Operators, Maintenance, Engineer)</t>
  </si>
  <si>
    <t xml:space="preserve">          a.  Familiarize with regulatory requirements</t>
  </si>
  <si>
    <t>c.  Write report</t>
  </si>
  <si>
    <t xml:space="preserve">  i.  Notification of compliance status</t>
  </si>
  <si>
    <t>vi. Notification of performance evaluation</t>
  </si>
  <si>
    <t xml:space="preserve">     b. Plan activities</t>
  </si>
  <si>
    <t xml:space="preserve"> c. Implement activities</t>
  </si>
  <si>
    <t xml:space="preserve"> f. Time to train personnel</t>
  </si>
  <si>
    <t xml:space="preserve"> g. Time to adjust existing ways to comply with previously applicable requirements</t>
  </si>
  <si>
    <t>included in 3a</t>
  </si>
  <si>
    <t>Annualized Cost of Flare Monitoring Equipment</t>
  </si>
  <si>
    <t xml:space="preserve">Annual Operating Cost of Monitoring and Control Systems </t>
  </si>
  <si>
    <t>TOTAL CAPITAL O&amp;M COST</t>
  </si>
  <si>
    <t>Table 2: Average Annual EPA Burden and Cost – NESHAP for Gasoline Distribution (40 CFR Part 63, Subpart R) (Proposed Amendments)</t>
  </si>
  <si>
    <t>2019:</t>
  </si>
  <si>
    <t>Activity</t>
  </si>
  <si>
    <t>(A) EPA person-hours per occurrence</t>
  </si>
  <si>
    <t>(B) No. of occurrences per plant per year</t>
  </si>
  <si>
    <t>(C) EPA person hours per plant per year (AxB)</t>
  </si>
  <si>
    <r>
      <t xml:space="preserve">(D) Plants per year </t>
    </r>
    <r>
      <rPr>
        <b/>
        <vertAlign val="superscript"/>
        <sz val="9"/>
        <rFont val="Times New Roman"/>
        <family val="1"/>
      </rPr>
      <t>a</t>
    </r>
    <r>
      <rPr>
        <b/>
        <sz val="9"/>
        <rFont val="Times New Roman"/>
        <family val="1"/>
      </rPr>
      <t xml:space="preserve">  </t>
    </r>
  </si>
  <si>
    <t>(E) Technical person-hours per year (CxD)</t>
  </si>
  <si>
    <t>(F) Management person-hours per year (Ex0.05)</t>
  </si>
  <si>
    <t>(G) Clerical person-hours per year (Ex0.1)</t>
  </si>
  <si>
    <r>
      <t xml:space="preserve">(H) Cost, $ </t>
    </r>
    <r>
      <rPr>
        <b/>
        <vertAlign val="superscript"/>
        <sz val="9"/>
        <rFont val="Times New Roman"/>
        <family val="1"/>
      </rPr>
      <t>b</t>
    </r>
  </si>
  <si>
    <t xml:space="preserve">Report review </t>
  </si>
  <si>
    <r>
      <t xml:space="preserve">Notification of applicability </t>
    </r>
    <r>
      <rPr>
        <vertAlign val="superscript"/>
        <sz val="10"/>
        <color rgb="FF000000"/>
        <rFont val="Times New Roman"/>
        <family val="1"/>
      </rPr>
      <t>c</t>
    </r>
  </si>
  <si>
    <r>
      <t xml:space="preserve">CEMS QA plan </t>
    </r>
    <r>
      <rPr>
        <vertAlign val="superscript"/>
        <sz val="10"/>
        <color rgb="FF000000"/>
        <rFont val="Times New Roman"/>
        <family val="1"/>
      </rPr>
      <t>c</t>
    </r>
  </si>
  <si>
    <r>
      <t xml:space="preserve">Notification of compliance status </t>
    </r>
    <r>
      <rPr>
        <vertAlign val="superscript"/>
        <sz val="10"/>
        <color rgb="FF000000"/>
        <rFont val="Times New Roman"/>
        <family val="1"/>
      </rPr>
      <t>c</t>
    </r>
  </si>
  <si>
    <t>TOTAL BURDEN AND COST</t>
  </si>
  <si>
    <t>Agency Worker Rates</t>
  </si>
  <si>
    <t>60% Overhead</t>
  </si>
  <si>
    <t>Total, $/hr</t>
  </si>
  <si>
    <t>Managerial (GS-13, step 5)</t>
  </si>
  <si>
    <t xml:space="preserve">Technical (GS-12, step 1) </t>
  </si>
  <si>
    <t>Clerical (GS-6, step 3)</t>
  </si>
  <si>
    <r>
      <t xml:space="preserve">Labor Rates, $/hr </t>
    </r>
    <r>
      <rPr>
        <b/>
        <vertAlign val="superscript"/>
        <sz val="9"/>
        <color rgb="FF000000"/>
        <rFont val="Times New Roman"/>
        <family val="1"/>
      </rPr>
      <t>a</t>
    </r>
  </si>
  <si>
    <t>https://www.opm.gov/policy-data-oversight/pay-leave/salaries-wages/salary-tables/pdf/2023/GS_h.pdf</t>
  </si>
  <si>
    <r>
      <t>a</t>
    </r>
    <r>
      <rPr>
        <sz val="10"/>
        <color rgb="FF000000"/>
        <rFont val="Times New Roman"/>
        <family val="1"/>
      </rPr>
      <t xml:space="preserve">  We have assumed that the average number of respondents that will be subject to this rule will be 190.  There will be no new facilities projected during the next three years of this ICR.</t>
    </r>
  </si>
  <si>
    <r>
      <t>b</t>
    </r>
    <r>
      <rPr>
        <sz val="10"/>
        <color rgb="FF000000"/>
        <rFont val="Times New Roman"/>
        <family val="1"/>
      </rPr>
      <t xml:space="preserve">  This cost is based on the following 2023 labor rates which incorporates a 1.6 benefits multiplication factor to account for government overhead expenses: $73.46 Managerial rate (GS-13, Step 5), $54.51 Technical rate (GS-12, Step 1), and $29.50 Clerical rate (GS-6, Step 3).  These rates are calculated from the hourly rates included in the Office of Personnel Management (OPM) 2023 General Schedule which excludes locality rates of pay; the rates have been increased by 60 percent to account for benefit packages available to government employees.</t>
    </r>
  </si>
  <si>
    <t>Effective January 2023</t>
  </si>
  <si>
    <t>a</t>
  </si>
  <si>
    <t>Information Collection Activity</t>
  </si>
  <si>
    <t>Number of Respondents</t>
  </si>
  <si>
    <t>Number of Existing Respondents That Keep Records But Do Not Submit Reports</t>
  </si>
  <si>
    <t>Total Annual  Responses</t>
  </si>
  <si>
    <t>E=(BxC)+D</t>
  </si>
  <si>
    <t>Notification of compliance status</t>
  </si>
  <si>
    <t xml:space="preserve">Semiannual compliance reports </t>
  </si>
  <si>
    <t>Notification of performance evaluation</t>
  </si>
  <si>
    <t>Performance evaluation</t>
  </si>
  <si>
    <t>Total</t>
  </si>
  <si>
    <t>Performance test (annual)</t>
  </si>
  <si>
    <t>Notification of performance test (periodic)</t>
  </si>
  <si>
    <t>Notification of performance test (annual)</t>
  </si>
  <si>
    <t>Performance test (periodic)</t>
  </si>
  <si>
    <t>Number of Responses (per year)</t>
  </si>
  <si>
    <t xml:space="preserve"> iv. Notification of performance test (periodic)</t>
  </si>
  <si>
    <t xml:space="preserve">        vii. Report of performance test (periodic)</t>
  </si>
  <si>
    <t xml:space="preserve">         ix. Report of performance evaluation</t>
  </si>
  <si>
    <t>x. Continuous Emissions Monitoring System (CEMS) QA plan</t>
  </si>
  <si>
    <r>
      <t>Notification of performance test (periodic)</t>
    </r>
    <r>
      <rPr>
        <vertAlign val="superscript"/>
        <sz val="10"/>
        <color rgb="FF000000"/>
        <rFont val="Times New Roman"/>
        <family val="1"/>
      </rPr>
      <t xml:space="preserve"> d</t>
    </r>
  </si>
  <si>
    <r>
      <t>Performance test report (periodic)</t>
    </r>
    <r>
      <rPr>
        <vertAlign val="superscript"/>
        <sz val="10"/>
        <color rgb="FF000000"/>
        <rFont val="Times New Roman"/>
        <family val="1"/>
      </rPr>
      <t xml:space="preserve"> d</t>
    </r>
  </si>
  <si>
    <r>
      <t>v.  Performance evaluations</t>
    </r>
    <r>
      <rPr>
        <vertAlign val="superscript"/>
        <sz val="10"/>
        <color theme="1"/>
        <rFont val="Times New Roman"/>
        <family val="1"/>
      </rPr>
      <t xml:space="preserve"> g</t>
    </r>
  </si>
  <si>
    <r>
      <t>iv.  Performance tests (annual)</t>
    </r>
    <r>
      <rPr>
        <vertAlign val="superscript"/>
        <sz val="10"/>
        <color theme="1"/>
        <rFont val="Times New Roman"/>
        <family val="1"/>
      </rPr>
      <t xml:space="preserve"> f</t>
    </r>
  </si>
  <si>
    <r>
      <t>iii.  Performance tests (periodic)</t>
    </r>
    <r>
      <rPr>
        <vertAlign val="superscript"/>
        <sz val="10"/>
        <color theme="1"/>
        <rFont val="Times New Roman"/>
        <family val="1"/>
      </rPr>
      <t xml:space="preserve"> e</t>
    </r>
  </si>
  <si>
    <r>
      <t>vii.  Vapor tightness checks</t>
    </r>
    <r>
      <rPr>
        <vertAlign val="superscript"/>
        <sz val="10"/>
        <color theme="1"/>
        <rFont val="Times New Roman"/>
        <family val="1"/>
      </rPr>
      <t xml:space="preserve"> c</t>
    </r>
  </si>
  <si>
    <t xml:space="preserve"> d. Develop/revise record system</t>
  </si>
  <si>
    <r>
      <t xml:space="preserve"> iii. Semiannual compliance reports for MTVLO sources subject to submerged loading standards</t>
    </r>
    <r>
      <rPr>
        <vertAlign val="superscript"/>
        <sz val="10"/>
        <color theme="1"/>
        <rFont val="Times New Roman"/>
        <family val="1"/>
      </rPr>
      <t xml:space="preserve"> c</t>
    </r>
  </si>
  <si>
    <r>
      <t>c</t>
    </r>
    <r>
      <rPr>
        <sz val="10"/>
        <color rgb="FF000000"/>
        <rFont val="Times New Roman"/>
        <family val="1"/>
      </rPr>
      <t xml:space="preserve">  We have assumed that existing respondents are in compliance with the rule requirements and that there are no new respondents having to submit a notification of applicability or compliance status.</t>
    </r>
  </si>
  <si>
    <r>
      <t xml:space="preserve">       viii. Report of performance test (annual)</t>
    </r>
    <r>
      <rPr>
        <vertAlign val="superscript"/>
        <sz val="10"/>
        <color theme="1"/>
        <rFont val="Times New Roman"/>
        <family val="1"/>
      </rPr>
      <t xml:space="preserve"> f</t>
    </r>
  </si>
  <si>
    <r>
      <t xml:space="preserve">         xi. Annual control efficiency report</t>
    </r>
    <r>
      <rPr>
        <vertAlign val="superscript"/>
        <sz val="10"/>
        <color theme="1"/>
        <rFont val="Times New Roman"/>
        <family val="1"/>
      </rPr>
      <t xml:space="preserve"> h</t>
    </r>
  </si>
  <si>
    <r>
      <t xml:space="preserve"> e. Time to enter information</t>
    </r>
    <r>
      <rPr>
        <vertAlign val="superscript"/>
        <sz val="10"/>
        <color theme="1"/>
        <rFont val="Times New Roman"/>
        <family val="1"/>
      </rPr>
      <t xml:space="preserve"> i</t>
    </r>
  </si>
  <si>
    <r>
      <t>c</t>
    </r>
    <r>
      <rPr>
        <sz val="10"/>
        <color theme="1"/>
        <rFont val="Times New Roman"/>
        <family val="1"/>
      </rPr>
      <t xml:space="preserve">  These requirements were not substantively changed, so no respondents were assigned to these items (burden unchanged).</t>
    </r>
  </si>
  <si>
    <r>
      <t xml:space="preserve"> v. Notification of performance test (annual)</t>
    </r>
    <r>
      <rPr>
        <vertAlign val="superscript"/>
        <sz val="10"/>
        <color theme="1"/>
        <rFont val="Times New Roman"/>
        <family val="1"/>
      </rPr>
      <t xml:space="preserve"> f</t>
    </r>
  </si>
  <si>
    <r>
      <t>e</t>
    </r>
    <r>
      <rPr>
        <sz val="10"/>
        <color theme="1"/>
        <rFont val="Times New Roman"/>
        <family val="1"/>
      </rPr>
      <t xml:space="preserve">  Estimated 130 control devices would require testing once every 5 years.</t>
    </r>
  </si>
  <si>
    <r>
      <t>f</t>
    </r>
    <r>
      <rPr>
        <sz val="10"/>
        <color theme="1"/>
        <rFont val="Times New Roman"/>
        <family val="1"/>
      </rPr>
      <t xml:space="preserve">  Estimated there are 10 control devices that currently comply with provisions that require annual performance testing. These requirements were not revised, so used 0 respondents to indicate no incremental change in burden.</t>
    </r>
  </si>
  <si>
    <r>
      <t>vi.  CEMS daily calibration checks</t>
    </r>
    <r>
      <rPr>
        <vertAlign val="superscript"/>
        <sz val="10"/>
        <color theme="1"/>
        <rFont val="Times New Roman"/>
        <family val="1"/>
      </rPr>
      <t xml:space="preserve"> c</t>
    </r>
  </si>
  <si>
    <r>
      <t xml:space="preserve">  ii. Semiannual compliance reports for MTVLO sources subject to control standards</t>
    </r>
    <r>
      <rPr>
        <vertAlign val="superscript"/>
        <sz val="10"/>
        <color theme="1"/>
        <rFont val="Times New Roman"/>
        <family val="1"/>
      </rPr>
      <t xml:space="preserve"> g</t>
    </r>
  </si>
  <si>
    <r>
      <rPr>
        <vertAlign val="superscript"/>
        <sz val="10"/>
        <color theme="1"/>
        <rFont val="Times New Roman"/>
        <family val="1"/>
      </rPr>
      <t xml:space="preserve">h  </t>
    </r>
    <r>
      <rPr>
        <sz val="10"/>
        <color theme="1"/>
        <rFont val="Times New Roman"/>
        <family val="1"/>
      </rPr>
      <t>Estimated the additional operating parameter requirement would require an additional 0.5 hour to report preparation. Assumed 20 facilities submit this annual report.</t>
    </r>
  </si>
  <si>
    <r>
      <t xml:space="preserve"> h. Time to transmit information</t>
    </r>
    <r>
      <rPr>
        <vertAlign val="superscript"/>
        <sz val="10"/>
        <color theme="1"/>
        <rFont val="Times New Roman"/>
        <family val="1"/>
      </rPr>
      <t xml:space="preserve"> g</t>
    </r>
  </si>
  <si>
    <r>
      <t>g</t>
    </r>
    <r>
      <rPr>
        <sz val="10"/>
        <color theme="1"/>
        <rFont val="Times New Roman"/>
        <family val="1"/>
      </rPr>
      <t xml:space="preserve">  Estimated that electronic reporting would reduce report preparation time by 1 hour and transmission time by 0.2 hours per report  for the 3 year period of this ICR.</t>
    </r>
  </si>
  <si>
    <r>
      <rPr>
        <vertAlign val="superscript"/>
        <sz val="10"/>
        <color theme="1"/>
        <rFont val="Times New Roman"/>
        <family val="1"/>
      </rPr>
      <t xml:space="preserve">i  </t>
    </r>
    <r>
      <rPr>
        <sz val="10"/>
        <color theme="1"/>
        <rFont val="Times New Roman"/>
        <family val="1"/>
      </rPr>
      <t xml:space="preserve">Estimated recordkeeping burden increase of 0.5 hours per week related to revised flare provisions for a 50 flares. </t>
    </r>
  </si>
  <si>
    <r>
      <t>Notification of performance evaluation</t>
    </r>
    <r>
      <rPr>
        <vertAlign val="superscript"/>
        <sz val="10"/>
        <color rgb="FF000000"/>
        <rFont val="Times New Roman"/>
        <family val="1"/>
      </rPr>
      <t xml:space="preserve"> f</t>
    </r>
  </si>
  <si>
    <r>
      <t>Performance test report (annual)</t>
    </r>
    <r>
      <rPr>
        <vertAlign val="superscript"/>
        <sz val="10"/>
        <color rgb="FF000000"/>
        <rFont val="Times New Roman"/>
        <family val="1"/>
      </rPr>
      <t xml:space="preserve"> e</t>
    </r>
  </si>
  <si>
    <r>
      <t>Performance evaluation report</t>
    </r>
    <r>
      <rPr>
        <vertAlign val="superscript"/>
        <sz val="10"/>
        <color rgb="FF000000"/>
        <rFont val="Times New Roman"/>
        <family val="1"/>
      </rPr>
      <t xml:space="preserve"> f</t>
    </r>
  </si>
  <si>
    <r>
      <t>Semiannual compliance reports</t>
    </r>
    <r>
      <rPr>
        <vertAlign val="superscript"/>
        <sz val="10"/>
        <color rgb="FF000000"/>
        <rFont val="Times New Roman"/>
        <family val="1"/>
      </rPr>
      <t xml:space="preserve"> g</t>
    </r>
  </si>
  <si>
    <r>
      <t>f</t>
    </r>
    <r>
      <rPr>
        <sz val="10"/>
        <color theme="1"/>
        <rFont val="Times New Roman"/>
        <family val="1"/>
      </rPr>
      <t xml:space="preserve">  Performance evaluations only required for vapor recovery systems using CEMS (10 control devices).</t>
    </r>
  </si>
  <si>
    <r>
      <t>e</t>
    </r>
    <r>
      <rPr>
        <sz val="10"/>
        <color theme="1"/>
        <rFont val="Times New Roman"/>
        <family val="1"/>
      </rPr>
      <t xml:space="preserve">  Annual testing is required for certain vapor recovery units (10 control devices). This requirement was not revised, so entered as 0 change.</t>
    </r>
  </si>
  <si>
    <r>
      <t xml:space="preserve">       i.  Equipment leaks monitoring </t>
    </r>
    <r>
      <rPr>
        <vertAlign val="superscript"/>
        <sz val="10"/>
        <color theme="1"/>
        <rFont val="Times New Roman"/>
        <family val="1"/>
      </rPr>
      <t>c</t>
    </r>
  </si>
  <si>
    <t>Hours/response</t>
  </si>
  <si>
    <r>
      <t>d</t>
    </r>
    <r>
      <rPr>
        <sz val="10"/>
        <color theme="1"/>
        <rFont val="Times New Roman"/>
        <family val="1"/>
      </rPr>
      <t xml:space="preserve">  Assumed 40 flares would use 14-sample one-time demonstration (0.33 occurrences in 3-year period of ICR) to determine minimum net heating value to use in operating limit calculations.</t>
    </r>
  </si>
  <si>
    <r>
      <t>b</t>
    </r>
    <r>
      <rPr>
        <sz val="10"/>
        <color rgb="FF000000"/>
        <rFont val="Times New Roman"/>
        <family val="1"/>
      </rPr>
      <t xml:space="preserve">  This ICR uses the following labor rates from the United States Department of Labor, Bureau of Labor Statistics, May 2023, national mean labor rates for Management Occupations (11-0000), Environmental Engineers (17-2081), Operators (51-8000), and Office and Administrative Support (43-0000) for the Chemical Manufacturing industry sector and the Petroleum and Coal Products Manufacturing industry sector. The rates have been increased by 110 percent to account for the benefit packages available to those employed by private industry.</t>
    </r>
  </si>
  <si>
    <r>
      <t>Notification of performance test (annual)</t>
    </r>
    <r>
      <rPr>
        <vertAlign val="superscript"/>
        <sz val="10"/>
        <color rgb="FF000000"/>
        <rFont val="Times New Roman"/>
        <family val="1"/>
      </rPr>
      <t xml:space="preserve"> e</t>
    </r>
  </si>
  <si>
    <r>
      <t>g</t>
    </r>
    <r>
      <rPr>
        <sz val="10"/>
        <color theme="1"/>
        <rFont val="Times New Roman"/>
        <family val="1"/>
      </rPr>
      <t xml:space="preserve">  Periodic reporting required annually if no deviations and semiannually if deviations. Assumed semi-annual compliance reports would, on average, require one additional hour to review.</t>
    </r>
  </si>
  <si>
    <r>
      <t>d</t>
    </r>
    <r>
      <rPr>
        <sz val="10"/>
        <color theme="1"/>
        <rFont val="Times New Roman"/>
        <family val="1"/>
      </rPr>
      <t xml:space="preserve">  Performance tests only required for non-flare vapor combustors (100 control devices) and vapor recovery systems not using CEMS (40 control devices).</t>
    </r>
    <r>
      <rPr>
        <vertAlign val="superscript"/>
        <sz val="10"/>
        <color theme="1"/>
        <rFont val="Times New Roman"/>
        <family val="1"/>
      </rPr>
      <t xml:space="preserve"> </t>
    </r>
    <r>
      <rPr>
        <sz val="10"/>
        <color theme="1"/>
        <rFont val="Times New Roman"/>
        <family val="1"/>
      </rPr>
      <t>We assume 10 of the 40 the vapor recovery devices are subject to current annual testing requirements.</t>
    </r>
  </si>
  <si>
    <r>
      <t xml:space="preserve"> ii.  Flare net heating value demonstration</t>
    </r>
    <r>
      <rPr>
        <vertAlign val="superscript"/>
        <sz val="10"/>
        <color theme="1"/>
        <rFont val="Times New Roman"/>
        <family val="1"/>
      </rPr>
      <t xml:space="preserve"> d</t>
    </r>
  </si>
  <si>
    <t>Annual Cost of Flare Gas Analysis (Outsourced)</t>
  </si>
  <si>
    <t>Annual Cost of Performance Test Contractors (Outsourced)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</si>
</sst>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quot;$&quot;#,##0"/>
    <numFmt numFmtId="166" formatCode="_(* #,##0.0_);_(* \(#,##0.0\);_(* &quot;-&quot;??_);_(@_)"/>
    <numFmt numFmtId="167" formatCode="_(&quot;$&quot;* #,##0_);_(&quot;$&quot;* \(#,##0\);_(&quot;$&quot;* &quot;-&quot;??_);_(@_)"/>
    <numFmt numFmtId="168" formatCode="0.0"/>
    <numFmt numFmtId="169" formatCode="&quot;$&quot;#,##0.00"/>
  </numFmts>
  <fonts count="28" x14ac:knownFonts="1">
    <font>
      <sz val="11"/>
      <color theme="1"/>
      <name val="Calibri"/>
      <family val="2"/>
      <scheme val="minor"/>
    </font>
    <font>
      <b/>
      <sz val="12"/>
      <color theme="1"/>
      <name val="Times New Roman"/>
      <family val="1"/>
    </font>
    <font>
      <b/>
      <sz val="12"/>
      <color rgb="FF000000"/>
      <name val="Times New Roman"/>
      <family val="1"/>
    </font>
    <font>
      <sz val="10"/>
      <color theme="1"/>
      <name val="Times New Roman"/>
      <family val="1"/>
    </font>
    <font>
      <b/>
      <sz val="10"/>
      <color rgb="FF000000"/>
      <name val="Times New Roman"/>
      <family val="1"/>
    </font>
    <font>
      <b/>
      <vertAlign val="superscript"/>
      <sz val="10"/>
      <color rgb="FF000000"/>
      <name val="Times New Roman"/>
      <family val="1"/>
    </font>
    <font>
      <sz val="10"/>
      <color rgb="FF000000"/>
      <name val="Times New Roman"/>
      <family val="1"/>
    </font>
    <font>
      <vertAlign val="superscript"/>
      <sz val="10"/>
      <color rgb="FF000000"/>
      <name val="Times New Roman"/>
      <family val="1"/>
    </font>
    <font>
      <b/>
      <sz val="10"/>
      <color theme="1"/>
      <name val="Times New Roman"/>
      <family val="1"/>
    </font>
    <font>
      <vertAlign val="superscript"/>
      <sz val="10"/>
      <color theme="1"/>
      <name val="Times New Roman"/>
      <family val="1"/>
    </font>
    <font>
      <u/>
      <sz val="11"/>
      <color theme="10"/>
      <name val="Calibri"/>
      <family val="2"/>
      <scheme val="minor"/>
    </font>
    <font>
      <sz val="9"/>
      <name val="Calibri"/>
      <family val="2"/>
      <scheme val="minor"/>
    </font>
    <font>
      <sz val="11"/>
      <color rgb="FF00000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name val="Calibri"/>
      <family val="2"/>
      <scheme val="minor"/>
    </font>
    <font>
      <b/>
      <sz val="12"/>
      <name val="Times New Roman"/>
      <family val="1"/>
    </font>
    <font>
      <b/>
      <sz val="9"/>
      <name val="Times New Roman"/>
      <family val="1"/>
    </font>
    <font>
      <b/>
      <vertAlign val="superscript"/>
      <sz val="9"/>
      <name val="Times New Roman"/>
      <family val="1"/>
    </font>
    <font>
      <sz val="9"/>
      <name val="Times New Roman"/>
      <family val="1"/>
    </font>
    <font>
      <sz val="9"/>
      <color theme="1"/>
      <name val="Times New Roman"/>
      <family val="1"/>
    </font>
    <font>
      <b/>
      <sz val="9"/>
      <color rgb="FF000000"/>
      <name val="Times New Roman"/>
      <family val="1"/>
    </font>
    <font>
      <b/>
      <vertAlign val="superscript"/>
      <sz val="9"/>
      <color rgb="FF000000"/>
      <name val="Times New Roman"/>
      <family val="1"/>
    </font>
    <font>
      <sz val="9"/>
      <color rgb="FF000000"/>
      <name val="Times New Roman"/>
      <family val="1"/>
    </font>
    <font>
      <sz val="9"/>
      <color theme="1"/>
      <name val="Calibri"/>
      <family val="2"/>
      <scheme val="minor"/>
    </font>
    <font>
      <vertAlign val="superscript"/>
      <sz val="11"/>
      <color theme="1"/>
      <name val="Calibri"/>
      <family val="2"/>
      <scheme val="minor"/>
    </font>
    <font>
      <b/>
      <sz val="9"/>
      <color theme="1"/>
      <name val="Times New Roman"/>
      <family val="1"/>
    </font>
  </fonts>
  <fills count="3">
    <fill>
      <patternFill patternType="none"/>
    </fill>
    <fill>
      <patternFill patternType="gray125"/>
    </fill>
    <fill>
      <patternFill patternType="solid">
        <fgColor theme="2"/>
        <bgColor indexed="64"/>
      </patternFill>
    </fill>
  </fills>
  <borders count="1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0" fillId="0" borderId="0" applyNumberFormat="0" applyFill="0" applyBorder="0" applyAlignment="0" applyProtection="0"/>
    <xf numFmtId="43" fontId="13" fillId="0" borderId="0" applyFont="0" applyFill="0" applyBorder="0" applyAlignment="0" applyProtection="0"/>
    <xf numFmtId="44" fontId="13" fillId="0" borderId="0" applyFont="0" applyFill="0" applyBorder="0" applyAlignment="0" applyProtection="0"/>
  </cellStyleXfs>
  <cellXfs count="140">
    <xf numFmtId="0" fontId="0" fillId="0" borderId="0" xfId="0"/>
    <xf numFmtId="0" fontId="2" fillId="0" borderId="0" xfId="0" applyFont="1" applyAlignment="1">
      <alignment vertical="center"/>
    </xf>
    <xf numFmtId="0" fontId="6" fillId="0" borderId="3" xfId="0" applyFont="1" applyBorder="1" applyAlignment="1">
      <alignment horizontal="left" vertical="center" wrapText="1" indent="1"/>
    </xf>
    <xf numFmtId="0" fontId="6" fillId="0" borderId="7" xfId="0" applyFont="1" applyBorder="1" applyAlignment="1">
      <alignment horizontal="center" vertical="center" wrapText="1"/>
    </xf>
    <xf numFmtId="0" fontId="6" fillId="0" borderId="7" xfId="0" applyFont="1" applyBorder="1" applyAlignment="1">
      <alignment horizontal="right" vertical="center" wrapText="1"/>
    </xf>
    <xf numFmtId="6" fontId="6" fillId="0" borderId="7" xfId="0" applyNumberFormat="1" applyFont="1" applyBorder="1" applyAlignment="1">
      <alignment horizontal="right" vertical="center" wrapText="1"/>
    </xf>
    <xf numFmtId="0" fontId="8" fillId="0" borderId="0" xfId="0" applyFont="1" applyAlignment="1">
      <alignment vertical="center"/>
    </xf>
    <xf numFmtId="0" fontId="9" fillId="0" borderId="0" xfId="0" applyFont="1" applyAlignment="1">
      <alignment vertical="center"/>
    </xf>
    <xf numFmtId="0" fontId="10" fillId="0" borderId="0" xfId="1"/>
    <xf numFmtId="0" fontId="11" fillId="0" borderId="0" xfId="0" applyFont="1"/>
    <xf numFmtId="0" fontId="0" fillId="0" borderId="10" xfId="0" applyBorder="1"/>
    <xf numFmtId="2" fontId="0" fillId="0" borderId="0" xfId="0" applyNumberFormat="1"/>
    <xf numFmtId="0" fontId="12" fillId="0" borderId="0" xfId="0" applyFont="1"/>
    <xf numFmtId="16" fontId="12" fillId="0" borderId="0" xfId="0" applyNumberFormat="1" applyFont="1"/>
    <xf numFmtId="0" fontId="4" fillId="2" borderId="10"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2" borderId="7" xfId="0" applyFill="1" applyBorder="1" applyAlignment="1">
      <alignment vertical="center" wrapText="1"/>
    </xf>
    <xf numFmtId="0" fontId="4" fillId="2" borderId="7"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9" xfId="0" applyFont="1" applyBorder="1" applyAlignment="1">
      <alignment horizontal="center" vertical="center" wrapText="1"/>
    </xf>
    <xf numFmtId="6" fontId="6" fillId="0" borderId="4" xfId="0" applyNumberFormat="1" applyFont="1" applyBorder="1" applyAlignment="1">
      <alignment horizontal="right" vertical="center" wrapText="1"/>
    </xf>
    <xf numFmtId="0" fontId="0" fillId="0" borderId="11" xfId="0" applyBorder="1"/>
    <xf numFmtId="0" fontId="3" fillId="0" borderId="11" xfId="0" applyFont="1" applyBorder="1" applyAlignment="1">
      <alignment horizontal="center"/>
    </xf>
    <xf numFmtId="0" fontId="3" fillId="0" borderId="4" xfId="0" applyFont="1" applyBorder="1" applyAlignment="1">
      <alignment horizontal="center"/>
    </xf>
    <xf numFmtId="165" fontId="4" fillId="0" borderId="7" xfId="0" applyNumberFormat="1" applyFont="1" applyBorder="1" applyAlignment="1">
      <alignment vertical="center" wrapText="1"/>
    </xf>
    <xf numFmtId="0" fontId="6" fillId="0" borderId="1" xfId="0" applyFont="1" applyBorder="1" applyAlignment="1">
      <alignment vertical="center" wrapText="1"/>
    </xf>
    <xf numFmtId="0" fontId="0" fillId="0" borderId="0" xfId="0" applyBorder="1"/>
    <xf numFmtId="0" fontId="6" fillId="2" borderId="7"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4" xfId="0" applyFont="1" applyFill="1" applyBorder="1" applyAlignment="1">
      <alignment horizontal="center" vertical="center" wrapText="1"/>
    </xf>
    <xf numFmtId="165" fontId="6" fillId="2" borderId="11" xfId="2" applyNumberFormat="1" applyFont="1" applyFill="1" applyBorder="1" applyAlignment="1">
      <alignment vertical="center" wrapText="1"/>
    </xf>
    <xf numFmtId="0" fontId="4" fillId="0" borderId="3" xfId="0" applyFont="1" applyBorder="1" applyAlignment="1">
      <alignment horizontal="center" vertical="center" wrapText="1"/>
    </xf>
    <xf numFmtId="0" fontId="4" fillId="0" borderId="11" xfId="0" applyFont="1" applyFill="1" applyBorder="1" applyAlignment="1">
      <alignment horizontal="center" vertical="center" wrapText="1"/>
    </xf>
    <xf numFmtId="0" fontId="6" fillId="0" borderId="3" xfId="0" applyFont="1" applyBorder="1" applyAlignment="1">
      <alignment horizontal="center" vertical="center" wrapText="1"/>
    </xf>
    <xf numFmtId="165" fontId="8" fillId="0" borderId="11" xfId="0" applyNumberFormat="1" applyFont="1" applyBorder="1"/>
    <xf numFmtId="0" fontId="0" fillId="0" borderId="0" xfId="0" applyFill="1" applyBorder="1"/>
    <xf numFmtId="0" fontId="0" fillId="0" borderId="10" xfId="0" applyFill="1" applyBorder="1"/>
    <xf numFmtId="166" fontId="6" fillId="2" borderId="8" xfId="2" applyNumberFormat="1" applyFont="1" applyFill="1" applyBorder="1" applyAlignment="1">
      <alignment horizontal="center" vertical="center" wrapText="1"/>
    </xf>
    <xf numFmtId="0" fontId="6" fillId="0" borderId="11" xfId="0" applyFont="1" applyBorder="1" applyAlignment="1">
      <alignment horizontal="left" vertical="center" wrapText="1" indent="2"/>
    </xf>
    <xf numFmtId="0" fontId="3" fillId="0" borderId="3" xfId="0" applyFont="1" applyBorder="1" applyAlignment="1">
      <alignment horizontal="left" vertical="center" wrapText="1" indent="2"/>
    </xf>
    <xf numFmtId="0" fontId="3" fillId="0" borderId="3" xfId="0" applyFont="1" applyBorder="1" applyAlignment="1">
      <alignment horizontal="left" vertical="center" wrapText="1" indent="4"/>
    </xf>
    <xf numFmtId="0" fontId="3" fillId="0" borderId="7" xfId="0" applyFont="1" applyBorder="1" applyAlignment="1">
      <alignment horizontal="center" vertical="center" wrapText="1"/>
    </xf>
    <xf numFmtId="0" fontId="3" fillId="0" borderId="7" xfId="0" applyFont="1" applyBorder="1" applyAlignment="1">
      <alignment horizontal="right"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indent="1"/>
    </xf>
    <xf numFmtId="0" fontId="3" fillId="0" borderId="3" xfId="0" applyFont="1" applyBorder="1" applyAlignment="1">
      <alignment horizontal="center"/>
    </xf>
    <xf numFmtId="2" fontId="6" fillId="0" borderId="7" xfId="0" applyNumberFormat="1" applyFont="1" applyBorder="1" applyAlignment="1">
      <alignment horizontal="center" vertical="center" wrapText="1"/>
    </xf>
    <xf numFmtId="2" fontId="6" fillId="0" borderId="4" xfId="0" applyNumberFormat="1" applyFont="1" applyBorder="1" applyAlignment="1">
      <alignment horizontal="center" vertical="center" wrapText="1"/>
    </xf>
    <xf numFmtId="164" fontId="6" fillId="2" borderId="13" xfId="2" applyNumberFormat="1"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Fill="1" applyBorder="1" applyAlignment="1">
      <alignment horizontal="center" vertical="center" wrapText="1"/>
    </xf>
    <xf numFmtId="0" fontId="4" fillId="2" borderId="3" xfId="0" applyFont="1" applyFill="1" applyBorder="1" applyAlignment="1">
      <alignment horizontal="center" vertical="center" wrapText="1"/>
    </xf>
    <xf numFmtId="167" fontId="6" fillId="2" borderId="3" xfId="3" applyNumberFormat="1" applyFont="1" applyFill="1" applyBorder="1" applyAlignment="1">
      <alignment horizontal="center" vertical="center" wrapText="1"/>
    </xf>
    <xf numFmtId="168" fontId="6" fillId="0" borderId="4" xfId="0" applyNumberFormat="1" applyFont="1" applyBorder="1" applyAlignment="1">
      <alignment horizontal="center" vertical="center" wrapText="1"/>
    </xf>
    <xf numFmtId="0" fontId="6" fillId="0" borderId="2" xfId="0" applyFont="1" applyBorder="1" applyAlignment="1">
      <alignment horizontal="left" vertical="center" wrapText="1" indent="1"/>
    </xf>
    <xf numFmtId="169" fontId="0" fillId="0" borderId="10" xfId="0" applyNumberFormat="1" applyBorder="1"/>
    <xf numFmtId="169" fontId="0" fillId="0" borderId="10" xfId="3" applyNumberFormat="1" applyFont="1" applyBorder="1"/>
    <xf numFmtId="0" fontId="9" fillId="0" borderId="0" xfId="0" applyFont="1" applyBorder="1" applyAlignment="1">
      <alignment vertical="center"/>
    </xf>
    <xf numFmtId="0" fontId="4" fillId="0" borderId="0" xfId="0" applyFont="1" applyBorder="1" applyAlignment="1">
      <alignment horizontal="center" vertical="center" wrapText="1"/>
    </xf>
    <xf numFmtId="0" fontId="3" fillId="0" borderId="0" xfId="0" applyFont="1" applyBorder="1" applyAlignment="1">
      <alignment vertical="center" wrapText="1"/>
    </xf>
    <xf numFmtId="6" fontId="3"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6"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11" fillId="0" borderId="0" xfId="0" applyFont="1" applyBorder="1"/>
    <xf numFmtId="0" fontId="7" fillId="0" borderId="0" xfId="0" applyFont="1" applyBorder="1" applyAlignment="1">
      <alignment vertical="center"/>
    </xf>
    <xf numFmtId="0" fontId="3" fillId="0" borderId="0" xfId="0" applyFont="1" applyFill="1" applyBorder="1" applyAlignment="1">
      <alignment vertical="center"/>
    </xf>
    <xf numFmtId="0" fontId="0" fillId="0" borderId="0" xfId="0" applyFont="1" applyFill="1" applyBorder="1" applyAlignment="1">
      <alignment wrapText="1"/>
    </xf>
    <xf numFmtId="0" fontId="0" fillId="0" borderId="0" xfId="0" applyFont="1" applyFill="1" applyBorder="1"/>
    <xf numFmtId="0" fontId="16" fillId="0" borderId="0" xfId="0" applyFont="1" applyFill="1" applyBorder="1"/>
    <xf numFmtId="0" fontId="16" fillId="0" borderId="0" xfId="0" applyFont="1" applyFill="1" applyBorder="1" applyAlignment="1">
      <alignment horizontal="center"/>
    </xf>
    <xf numFmtId="0" fontId="6" fillId="0" borderId="13" xfId="0" applyFont="1" applyBorder="1" applyAlignment="1">
      <alignment horizontal="center" vertical="center" wrapText="1"/>
    </xf>
    <xf numFmtId="0" fontId="6" fillId="0" borderId="12" xfId="0" applyFont="1" applyBorder="1" applyAlignment="1">
      <alignment horizontal="center" vertical="center" wrapText="1"/>
    </xf>
    <xf numFmtId="0" fontId="0" fillId="0" borderId="13" xfId="0" applyFill="1" applyBorder="1"/>
    <xf numFmtId="0" fontId="0" fillId="0" borderId="11" xfId="0" applyFill="1" applyBorder="1"/>
    <xf numFmtId="0" fontId="6" fillId="0" borderId="1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0" fillId="0" borderId="12" xfId="0" applyFill="1" applyBorder="1"/>
    <xf numFmtId="0" fontId="6" fillId="0" borderId="3" xfId="0" applyFont="1" applyBorder="1" applyAlignment="1">
      <alignment horizontal="left" vertical="center" wrapText="1"/>
    </xf>
    <xf numFmtId="165" fontId="6" fillId="0" borderId="7" xfId="0" applyNumberFormat="1" applyFont="1" applyBorder="1" applyAlignment="1">
      <alignment vertical="center" wrapText="1"/>
    </xf>
    <xf numFmtId="0" fontId="15" fillId="2" borderId="13" xfId="0" applyFont="1" applyFill="1" applyBorder="1"/>
    <xf numFmtId="0" fontId="15" fillId="2" borderId="11" xfId="0" applyFont="1" applyFill="1" applyBorder="1"/>
    <xf numFmtId="0" fontId="15" fillId="2" borderId="12" xfId="0" applyFont="1" applyFill="1" applyBorder="1"/>
    <xf numFmtId="165" fontId="4" fillId="2" borderId="7" xfId="0" applyNumberFormat="1" applyFont="1" applyFill="1" applyBorder="1" applyAlignment="1">
      <alignment vertical="center" wrapText="1"/>
    </xf>
    <xf numFmtId="0" fontId="17" fillId="0" borderId="0" xfId="0" applyFont="1"/>
    <xf numFmtId="46" fontId="11" fillId="0" borderId="0" xfId="0" quotePrefix="1" applyNumberFormat="1" applyFont="1"/>
    <xf numFmtId="8" fontId="11" fillId="0" borderId="0" xfId="0" applyNumberFormat="1" applyFont="1"/>
    <xf numFmtId="0" fontId="18" fillId="0" borderId="10" xfId="0" applyFont="1" applyBorder="1" applyAlignment="1">
      <alignment horizontal="center" vertical="center" wrapText="1"/>
    </xf>
    <xf numFmtId="0" fontId="6" fillId="0" borderId="10" xfId="0" applyFont="1" applyBorder="1" applyAlignment="1">
      <alignment vertical="center" wrapText="1"/>
    </xf>
    <xf numFmtId="0" fontId="6" fillId="0" borderId="10" xfId="0" applyFont="1" applyBorder="1" applyAlignment="1">
      <alignment horizontal="center" vertical="center" wrapText="1"/>
    </xf>
    <xf numFmtId="3" fontId="20" fillId="0" borderId="10" xfId="0" applyNumberFormat="1" applyFont="1" applyBorder="1" applyAlignment="1">
      <alignment horizontal="center" vertical="center"/>
    </xf>
    <xf numFmtId="6" fontId="20" fillId="0" borderId="10" xfId="0" applyNumberFormat="1" applyFont="1" applyBorder="1" applyAlignment="1">
      <alignment horizontal="right" vertical="center"/>
    </xf>
    <xf numFmtId="0" fontId="6" fillId="0" borderId="10" xfId="0" applyFont="1" applyBorder="1" applyAlignment="1">
      <alignment horizontal="left" vertical="center" wrapText="1" indent="1"/>
    </xf>
    <xf numFmtId="0" fontId="21" fillId="0" borderId="10" xfId="0" applyFont="1" applyBorder="1" applyAlignment="1">
      <alignment horizontal="center" vertical="center" wrapText="1"/>
    </xf>
    <xf numFmtId="3" fontId="6" fillId="0" borderId="10" xfId="0" applyNumberFormat="1" applyFont="1" applyBorder="1" applyAlignment="1">
      <alignment horizontal="center" vertical="center" wrapText="1"/>
    </xf>
    <xf numFmtId="0" fontId="18" fillId="0" borderId="14" xfId="0" applyFont="1" applyBorder="1" applyAlignment="1">
      <alignment horizontal="center" vertical="center"/>
    </xf>
    <xf numFmtId="0" fontId="11" fillId="0" borderId="14" xfId="0" applyFont="1" applyBorder="1" applyAlignment="1">
      <alignment vertical="center"/>
    </xf>
    <xf numFmtId="6" fontId="18" fillId="0" borderId="14" xfId="0" applyNumberFormat="1" applyFont="1" applyBorder="1" applyAlignment="1">
      <alignment vertical="center"/>
    </xf>
    <xf numFmtId="0" fontId="4" fillId="0" borderId="0" xfId="0" applyFont="1" applyAlignment="1">
      <alignment vertical="center"/>
    </xf>
    <xf numFmtId="0" fontId="7" fillId="0" borderId="0" xfId="0" applyFont="1" applyAlignment="1">
      <alignment vertical="center"/>
    </xf>
    <xf numFmtId="0" fontId="10" fillId="0" borderId="0" xfId="1" applyAlignment="1">
      <alignment vertical="center"/>
    </xf>
    <xf numFmtId="0" fontId="22" fillId="0" borderId="11" xfId="0" applyFont="1" applyBorder="1" applyAlignment="1">
      <alignment vertical="center" wrapText="1"/>
    </xf>
    <xf numFmtId="0" fontId="22" fillId="0" borderId="4" xfId="0" applyFont="1" applyBorder="1" applyAlignment="1">
      <alignment horizontal="center" vertical="center" wrapText="1"/>
    </xf>
    <xf numFmtId="0" fontId="24" fillId="0" borderId="3" xfId="0" applyFont="1" applyBorder="1" applyAlignment="1">
      <alignment vertical="center"/>
    </xf>
    <xf numFmtId="8" fontId="24" fillId="0" borderId="7" xfId="0" applyNumberFormat="1" applyFont="1" applyBorder="1" applyAlignment="1">
      <alignment horizontal="center" vertical="center"/>
    </xf>
    <xf numFmtId="8" fontId="21" fillId="0" borderId="7" xfId="0" applyNumberFormat="1" applyFont="1" applyBorder="1" applyAlignment="1">
      <alignment horizontal="center" vertical="center"/>
    </xf>
    <xf numFmtId="0" fontId="25" fillId="0" borderId="0" xfId="0" applyFont="1"/>
    <xf numFmtId="0" fontId="24" fillId="0" borderId="0" xfId="0" applyFont="1" applyAlignment="1">
      <alignment vertical="center"/>
    </xf>
    <xf numFmtId="0" fontId="26" fillId="0" borderId="0" xfId="0" applyFont="1" applyAlignment="1">
      <alignment horizontal="right"/>
    </xf>
    <xf numFmtId="0" fontId="27" fillId="0" borderId="10" xfId="0" applyFont="1" applyBorder="1" applyAlignment="1">
      <alignment horizontal="center" vertical="center" wrapText="1"/>
    </xf>
    <xf numFmtId="0" fontId="0" fillId="0" borderId="10" xfId="0" applyBorder="1" applyAlignment="1">
      <alignment vertical="top" wrapText="1"/>
    </xf>
    <xf numFmtId="0" fontId="21" fillId="0" borderId="10" xfId="0" applyFont="1" applyBorder="1"/>
    <xf numFmtId="0" fontId="21" fillId="0" borderId="10" xfId="0" applyFont="1" applyBorder="1" applyAlignment="1">
      <alignment horizontal="center"/>
    </xf>
    <xf numFmtId="0" fontId="21" fillId="0" borderId="10" xfId="0" applyFont="1" applyBorder="1" applyAlignment="1">
      <alignment horizontal="center" wrapText="1"/>
    </xf>
    <xf numFmtId="0" fontId="21" fillId="0" borderId="10" xfId="0" applyFont="1" applyBorder="1" applyAlignment="1">
      <alignment vertical="center" wrapText="1"/>
    </xf>
    <xf numFmtId="0" fontId="27" fillId="0" borderId="10" xfId="0" applyFont="1" applyBorder="1" applyAlignment="1">
      <alignment vertical="center" wrapText="1"/>
    </xf>
    <xf numFmtId="1" fontId="27" fillId="0" borderId="10" xfId="0" applyNumberFormat="1" applyFont="1" applyBorder="1" applyAlignment="1">
      <alignment horizontal="center" vertical="center" wrapText="1"/>
    </xf>
    <xf numFmtId="0" fontId="6" fillId="0" borderId="3" xfId="0" applyFont="1" applyBorder="1" applyAlignment="1">
      <alignment horizontal="left" vertical="center" wrapText="1" indent="2"/>
    </xf>
    <xf numFmtId="169" fontId="0" fillId="0" borderId="0" xfId="3" applyNumberFormat="1" applyFont="1" applyBorder="1"/>
    <xf numFmtId="0" fontId="3" fillId="0" borderId="4" xfId="0" applyFont="1" applyBorder="1" applyAlignment="1">
      <alignment horizontal="center" vertical="center"/>
    </xf>
    <xf numFmtId="0" fontId="3" fillId="0" borderId="0" xfId="0" applyFont="1" applyAlignment="1">
      <alignment vertical="center"/>
    </xf>
    <xf numFmtId="1" fontId="6" fillId="0" borderId="7" xfId="0" applyNumberFormat="1" applyFont="1" applyBorder="1" applyAlignment="1">
      <alignment horizontal="center" vertical="center" wrapText="1"/>
    </xf>
    <xf numFmtId="1" fontId="3" fillId="0" borderId="7" xfId="0" applyNumberFormat="1" applyFont="1" applyBorder="1" applyAlignment="1">
      <alignment horizontal="center" vertical="center" wrapText="1"/>
    </xf>
    <xf numFmtId="1" fontId="6" fillId="0" borderId="4" xfId="0" applyNumberFormat="1" applyFont="1" applyBorder="1" applyAlignment="1">
      <alignment horizontal="center" vertical="center" wrapText="1"/>
    </xf>
    <xf numFmtId="1" fontId="6" fillId="2" borderId="7"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7" fillId="0" borderId="0" xfId="0" applyFont="1" applyAlignment="1">
      <alignment horizontal="left" vertical="center" wrapText="1"/>
    </xf>
    <xf numFmtId="3" fontId="4" fillId="0" borderId="8" xfId="0" applyNumberFormat="1" applyFont="1" applyBorder="1" applyAlignment="1">
      <alignment horizontal="center" vertical="center" wrapText="1"/>
    </xf>
    <xf numFmtId="3" fontId="4" fillId="0" borderId="9" xfId="0" applyNumberFormat="1" applyFont="1" applyBorder="1" applyAlignment="1">
      <alignment horizontal="center" vertical="center" wrapText="1"/>
    </xf>
    <xf numFmtId="3" fontId="4" fillId="0" borderId="4" xfId="0" applyNumberFormat="1" applyFont="1" applyBorder="1" applyAlignment="1">
      <alignment horizontal="center" vertical="center" wrapText="1"/>
    </xf>
    <xf numFmtId="0" fontId="9" fillId="0" borderId="0" xfId="0" applyFont="1" applyAlignment="1">
      <alignment horizontal="left" vertical="center" wrapText="1"/>
    </xf>
    <xf numFmtId="3" fontId="18" fillId="0" borderId="15" xfId="0" applyNumberFormat="1" applyFont="1" applyBorder="1" applyAlignment="1">
      <alignment horizontal="center" vertical="center"/>
    </xf>
    <xf numFmtId="3" fontId="18" fillId="0" borderId="16" xfId="0" applyNumberFormat="1" applyFont="1" applyBorder="1" applyAlignment="1">
      <alignment horizontal="center" vertical="center"/>
    </xf>
    <xf numFmtId="3" fontId="18" fillId="0" borderId="17" xfId="0" applyNumberFormat="1" applyFont="1" applyBorder="1" applyAlignment="1">
      <alignment horizontal="center" vertical="center"/>
    </xf>
  </cellXfs>
  <cellStyles count="4">
    <cellStyle name="Comma" xfId="2" builtinId="3"/>
    <cellStyle name="Currency" xfId="3"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naics3_325000.htm" TargetMode="External"/><Relationship Id="rId1" Type="http://schemas.openxmlformats.org/officeDocument/2006/relationships/hyperlink" Target="https://www.bls.gov/oes/current/naics3_324000.ht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pm.gov/policy-data-oversight/pay-leave/salaries-wages/salary-tables/pdf/2023/GS_h.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574A-6288-4C17-B30E-20061ABBF66B}">
  <sheetPr>
    <tabColor theme="9"/>
  </sheetPr>
  <dimension ref="A1:AO69"/>
  <sheetViews>
    <sheetView tabSelected="1" zoomScale="90" zoomScaleNormal="90" workbookViewId="0">
      <selection activeCell="K22" sqref="K22"/>
    </sheetView>
  </sheetViews>
  <sheetFormatPr defaultRowHeight="14.4" x14ac:dyDescent="0.3"/>
  <cols>
    <col min="1" max="1" width="49.5546875" customWidth="1"/>
    <col min="2" max="2" width="25.88671875" customWidth="1"/>
    <col min="3" max="10" width="11.33203125" customWidth="1"/>
    <col min="11" max="11" width="27.33203125" customWidth="1"/>
    <col min="12" max="12" width="28.44140625" customWidth="1"/>
    <col min="13" max="13" width="20.44140625" customWidth="1"/>
    <col min="14" max="14" width="26.6640625" customWidth="1"/>
    <col min="15" max="15" width="30" customWidth="1"/>
    <col min="16" max="16" width="19.33203125" customWidth="1"/>
    <col min="18" max="18" width="13.6640625" bestFit="1" customWidth="1"/>
  </cols>
  <sheetData>
    <row r="1" spans="1:18" ht="15.6" x14ac:dyDescent="0.3">
      <c r="A1" s="1" t="s">
        <v>54</v>
      </c>
      <c r="B1" s="1"/>
      <c r="G1">
        <f>G2*0.05</f>
        <v>8.4430000000000014</v>
      </c>
      <c r="H1">
        <f>H2*0.1</f>
        <v>8.4879999999999995</v>
      </c>
      <c r="M1" s="12"/>
    </row>
    <row r="2" spans="1:18" ht="16.2" thickBot="1" x14ac:dyDescent="0.35">
      <c r="A2" s="1"/>
      <c r="B2" s="1"/>
      <c r="F2">
        <f>ROUND(O29,2)</f>
        <v>94.69</v>
      </c>
      <c r="G2" s="11">
        <f>ROUND(O25,2)</f>
        <v>168.86</v>
      </c>
      <c r="H2">
        <f>ROUND(O28,2)</f>
        <v>84.88</v>
      </c>
      <c r="K2" s="12" t="s">
        <v>48</v>
      </c>
      <c r="L2" s="13"/>
      <c r="M2" s="8"/>
    </row>
    <row r="3" spans="1:18" x14ac:dyDescent="0.3">
      <c r="A3" s="129" t="s">
        <v>0</v>
      </c>
      <c r="B3" s="15" t="s">
        <v>1</v>
      </c>
      <c r="C3" s="15" t="s">
        <v>2</v>
      </c>
      <c r="D3" s="15" t="s">
        <v>3</v>
      </c>
      <c r="E3" s="15" t="s">
        <v>4</v>
      </c>
      <c r="F3" s="15" t="s">
        <v>5</v>
      </c>
      <c r="G3" s="15" t="s">
        <v>6</v>
      </c>
      <c r="H3" s="15" t="s">
        <v>7</v>
      </c>
      <c r="I3" s="15" t="s">
        <v>8</v>
      </c>
      <c r="K3" s="8" t="s">
        <v>56</v>
      </c>
    </row>
    <row r="4" spans="1:18" ht="66" x14ac:dyDescent="0.3">
      <c r="A4" s="130"/>
      <c r="B4" s="16" t="s">
        <v>9</v>
      </c>
      <c r="C4" s="16" t="s">
        <v>10</v>
      </c>
      <c r="D4" s="16" t="s">
        <v>11</v>
      </c>
      <c r="E4" s="16" t="s">
        <v>12</v>
      </c>
      <c r="F4" s="16" t="s">
        <v>13</v>
      </c>
      <c r="G4" s="16" t="s">
        <v>14</v>
      </c>
      <c r="H4" s="16" t="s">
        <v>15</v>
      </c>
      <c r="I4" s="16" t="s">
        <v>16</v>
      </c>
      <c r="K4" s="14" t="s">
        <v>17</v>
      </c>
      <c r="L4" s="14" t="s">
        <v>18</v>
      </c>
      <c r="M4" s="14" t="s">
        <v>19</v>
      </c>
      <c r="N4" s="14" t="s">
        <v>20</v>
      </c>
      <c r="O4" s="14" t="s">
        <v>21</v>
      </c>
    </row>
    <row r="5" spans="1:18" ht="15" thickBot="1" x14ac:dyDescent="0.35">
      <c r="A5" s="131"/>
      <c r="B5" s="17"/>
      <c r="C5" s="17"/>
      <c r="D5" s="18" t="s">
        <v>22</v>
      </c>
      <c r="E5" s="17"/>
      <c r="F5" s="18" t="s">
        <v>23</v>
      </c>
      <c r="G5" s="18" t="s">
        <v>24</v>
      </c>
      <c r="H5" s="18" t="s">
        <v>25</v>
      </c>
      <c r="I5" s="17"/>
      <c r="K5" s="10" t="s">
        <v>26</v>
      </c>
      <c r="L5" s="10" t="s">
        <v>27</v>
      </c>
      <c r="M5" s="60">
        <v>81.239999999999995</v>
      </c>
      <c r="N5" s="60">
        <f>M5*1.1</f>
        <v>89.364000000000004</v>
      </c>
      <c r="O5" s="60">
        <f>M5+N5</f>
        <v>170.60399999999998</v>
      </c>
    </row>
    <row r="6" spans="1:18" ht="15" thickBot="1" x14ac:dyDescent="0.35">
      <c r="A6" s="2" t="s">
        <v>28</v>
      </c>
      <c r="B6" s="3" t="s">
        <v>29</v>
      </c>
      <c r="C6" s="3"/>
      <c r="D6" s="3"/>
      <c r="E6" s="3"/>
      <c r="F6" s="3"/>
      <c r="G6" s="3"/>
      <c r="H6" s="3"/>
      <c r="I6" s="4"/>
      <c r="K6" s="10" t="s">
        <v>30</v>
      </c>
      <c r="L6" s="10" t="s">
        <v>31</v>
      </c>
      <c r="M6" s="60">
        <v>66.28</v>
      </c>
      <c r="N6" s="60">
        <f>M6*1.1</f>
        <v>72.908000000000001</v>
      </c>
      <c r="O6" s="60">
        <f>M6+N6</f>
        <v>139.18799999999999</v>
      </c>
    </row>
    <row r="7" spans="1:18" ht="15" thickBot="1" x14ac:dyDescent="0.35">
      <c r="A7" s="2" t="s">
        <v>32</v>
      </c>
      <c r="B7" s="3" t="s">
        <v>29</v>
      </c>
      <c r="C7" s="3"/>
      <c r="D7" s="3"/>
      <c r="E7" s="3"/>
      <c r="F7" s="3"/>
      <c r="G7" s="3"/>
      <c r="H7" s="3"/>
      <c r="I7" s="4"/>
      <c r="K7" s="38" t="s">
        <v>36</v>
      </c>
      <c r="L7" s="10" t="s">
        <v>37</v>
      </c>
      <c r="M7" s="60">
        <v>26.97</v>
      </c>
      <c r="N7" s="60">
        <f>M7*1.1</f>
        <v>29.667000000000002</v>
      </c>
      <c r="O7" s="60">
        <f t="shared" ref="O7:O10" si="0">M7+N7</f>
        <v>56.637</v>
      </c>
    </row>
    <row r="8" spans="1:18" ht="15" thickBot="1" x14ac:dyDescent="0.35">
      <c r="A8" s="2" t="s">
        <v>35</v>
      </c>
      <c r="B8" s="3"/>
      <c r="C8" s="3"/>
      <c r="D8" s="3"/>
      <c r="E8" s="3"/>
      <c r="F8" s="3"/>
      <c r="G8" s="3"/>
      <c r="H8" s="3"/>
      <c r="I8" s="4"/>
      <c r="K8" s="10" t="s">
        <v>33</v>
      </c>
      <c r="L8" s="10" t="s">
        <v>34</v>
      </c>
      <c r="M8" s="60">
        <v>35.75</v>
      </c>
      <c r="N8" s="60">
        <f t="shared" ref="N8:N9" si="1">M8*1.1</f>
        <v>39.325000000000003</v>
      </c>
      <c r="O8" s="60">
        <f t="shared" si="0"/>
        <v>75.075000000000003</v>
      </c>
    </row>
    <row r="9" spans="1:18" ht="15" thickBot="1" x14ac:dyDescent="0.35">
      <c r="A9" s="58"/>
      <c r="B9" s="3"/>
      <c r="C9" s="3"/>
      <c r="D9" s="3"/>
      <c r="E9" s="3"/>
      <c r="F9" s="3"/>
      <c r="G9" s="3"/>
      <c r="H9" s="3"/>
      <c r="I9" s="4"/>
      <c r="K9" s="10" t="s">
        <v>50</v>
      </c>
      <c r="L9" s="10" t="s">
        <v>49</v>
      </c>
      <c r="M9" s="60">
        <v>37.450000000000003</v>
      </c>
      <c r="N9" s="60">
        <f t="shared" si="1"/>
        <v>41.195000000000007</v>
      </c>
      <c r="O9" s="60">
        <f t="shared" si="0"/>
        <v>78.64500000000001</v>
      </c>
    </row>
    <row r="10" spans="1:18" ht="15.75" customHeight="1" thickBot="1" x14ac:dyDescent="0.35">
      <c r="A10" s="26" t="s">
        <v>59</v>
      </c>
      <c r="B10" s="3">
        <v>2</v>
      </c>
      <c r="C10" s="3">
        <v>0.33</v>
      </c>
      <c r="D10" s="3">
        <f>B10*C10</f>
        <v>0.66</v>
      </c>
      <c r="E10" s="125">
        <v>190</v>
      </c>
      <c r="F10" s="3">
        <f>D10*E10</f>
        <v>125.4</v>
      </c>
      <c r="G10" s="3">
        <f>0.05*F10</f>
        <v>6.2700000000000005</v>
      </c>
      <c r="H10" s="3">
        <f>0.1*F10</f>
        <v>12.540000000000001</v>
      </c>
      <c r="I10" s="5">
        <f>F10*F$2+G10*G$2+H10*H$2</f>
        <v>13997.273400000002</v>
      </c>
      <c r="K10" s="10"/>
      <c r="L10" s="38" t="s">
        <v>39</v>
      </c>
      <c r="M10" s="60">
        <f>0.2*M6+AVERAGE(M9,M8)*0.8</f>
        <v>42.536000000000001</v>
      </c>
      <c r="N10" s="60">
        <f t="shared" ref="N10" si="2">0.2*N6+0.8*N7</f>
        <v>38.315200000000004</v>
      </c>
      <c r="O10" s="60">
        <f t="shared" si="0"/>
        <v>80.851200000000006</v>
      </c>
    </row>
    <row r="11" spans="1:18" ht="15" thickBot="1" x14ac:dyDescent="0.35">
      <c r="A11" s="40" t="s">
        <v>40</v>
      </c>
      <c r="B11" s="3"/>
      <c r="C11" s="3"/>
      <c r="D11" s="3"/>
      <c r="E11" s="125"/>
      <c r="F11" s="3"/>
      <c r="G11" s="3"/>
      <c r="H11" s="3"/>
      <c r="I11" s="5"/>
      <c r="K11" s="8" t="s">
        <v>55</v>
      </c>
      <c r="L11" s="37"/>
      <c r="M11" s="27"/>
      <c r="N11" s="27"/>
      <c r="O11" s="27"/>
    </row>
    <row r="12" spans="1:18" ht="16.2" thickBot="1" x14ac:dyDescent="0.35">
      <c r="A12" s="41" t="s">
        <v>146</v>
      </c>
      <c r="B12" s="43">
        <v>4</v>
      </c>
      <c r="C12" s="43">
        <v>1</v>
      </c>
      <c r="D12" s="3">
        <f t="shared" ref="D12:D17" si="3">B12*C12</f>
        <v>4</v>
      </c>
      <c r="E12" s="125">
        <v>0</v>
      </c>
      <c r="F12" s="3">
        <f>D12*E12</f>
        <v>0</v>
      </c>
      <c r="G12" s="3">
        <f>0.05*F12</f>
        <v>0</v>
      </c>
      <c r="H12" s="3">
        <f>0.1*F12</f>
        <v>0</v>
      </c>
      <c r="I12" s="5">
        <f>F12*F$2+G12*G$2+H12*H$2</f>
        <v>0</v>
      </c>
      <c r="K12" s="14" t="s">
        <v>17</v>
      </c>
      <c r="L12" s="14" t="s">
        <v>18</v>
      </c>
      <c r="M12" s="14" t="s">
        <v>19</v>
      </c>
      <c r="N12" s="14" t="s">
        <v>20</v>
      </c>
      <c r="O12" s="14" t="s">
        <v>21</v>
      </c>
      <c r="R12" s="37"/>
    </row>
    <row r="13" spans="1:18" ht="16.2" thickBot="1" x14ac:dyDescent="0.35">
      <c r="A13" s="42" t="s">
        <v>153</v>
      </c>
      <c r="B13" s="43">
        <v>14</v>
      </c>
      <c r="C13" s="43">
        <v>0.33</v>
      </c>
      <c r="D13" s="3">
        <f t="shared" si="3"/>
        <v>4.62</v>
      </c>
      <c r="E13" s="125">
        <v>40</v>
      </c>
      <c r="F13" s="3">
        <f>D13*E13</f>
        <v>184.8</v>
      </c>
      <c r="G13" s="3">
        <f>0.05*F13</f>
        <v>9.24</v>
      </c>
      <c r="H13" s="3">
        <f>0.1*F13</f>
        <v>18.48</v>
      </c>
      <c r="I13" s="5">
        <f>F13*F$2+G13*G$2+H13*H$2</f>
        <v>20627.560799999999</v>
      </c>
      <c r="K13" s="10" t="s">
        <v>26</v>
      </c>
      <c r="L13" s="10" t="s">
        <v>27</v>
      </c>
      <c r="M13" s="60">
        <v>79.569999999999993</v>
      </c>
      <c r="N13" s="60">
        <f>M13*1.1</f>
        <v>87.527000000000001</v>
      </c>
      <c r="O13" s="60">
        <f>M13+N13</f>
        <v>167.09699999999998</v>
      </c>
      <c r="R13" s="37"/>
    </row>
    <row r="14" spans="1:18" ht="16.2" thickBot="1" x14ac:dyDescent="0.35">
      <c r="A14" s="42" t="s">
        <v>122</v>
      </c>
      <c r="B14" s="43">
        <v>4</v>
      </c>
      <c r="C14" s="43">
        <v>0.2</v>
      </c>
      <c r="D14" s="3">
        <f t="shared" si="3"/>
        <v>0.8</v>
      </c>
      <c r="E14" s="125">
        <v>130</v>
      </c>
      <c r="F14" s="3">
        <f>D14*E14</f>
        <v>104</v>
      </c>
      <c r="G14" s="3">
        <f>0.05*F14</f>
        <v>5.2</v>
      </c>
      <c r="H14" s="3">
        <f>0.1*F14</f>
        <v>10.4</v>
      </c>
      <c r="I14" s="5">
        <f>F14*F$2+G14*G$2+H14*H$2</f>
        <v>11608.584000000001</v>
      </c>
      <c r="K14" s="10" t="s">
        <v>30</v>
      </c>
      <c r="L14" s="10" t="s">
        <v>31</v>
      </c>
      <c r="M14" s="60">
        <v>61.3</v>
      </c>
      <c r="N14" s="60">
        <f t="shared" ref="N14:N17" si="4">M14*1.1</f>
        <v>67.430000000000007</v>
      </c>
      <c r="O14" s="60">
        <f t="shared" ref="O14:O18" si="5">M14+N14</f>
        <v>128.73000000000002</v>
      </c>
      <c r="R14" s="37"/>
    </row>
    <row r="15" spans="1:18" ht="16.2" thickBot="1" x14ac:dyDescent="0.35">
      <c r="A15" s="42" t="s">
        <v>121</v>
      </c>
      <c r="B15" s="43">
        <v>4</v>
      </c>
      <c r="C15" s="43">
        <v>1</v>
      </c>
      <c r="D15" s="3">
        <f t="shared" si="3"/>
        <v>4</v>
      </c>
      <c r="E15" s="125">
        <v>0</v>
      </c>
      <c r="F15" s="3">
        <f>D15*E15</f>
        <v>0</v>
      </c>
      <c r="G15" s="3">
        <f>0.05*F15</f>
        <v>0</v>
      </c>
      <c r="H15" s="3">
        <f>0.1*F15</f>
        <v>0</v>
      </c>
      <c r="I15" s="5">
        <f>F15*F$2+G15*G$2+H15*H$2</f>
        <v>0</v>
      </c>
      <c r="K15" s="38" t="s">
        <v>36</v>
      </c>
      <c r="L15" s="10" t="s">
        <v>37</v>
      </c>
      <c r="M15" s="60">
        <v>30.48</v>
      </c>
      <c r="N15" s="60">
        <f t="shared" si="4"/>
        <v>33.528000000000006</v>
      </c>
      <c r="O15" s="60">
        <f t="shared" si="5"/>
        <v>64.00800000000001</v>
      </c>
      <c r="R15" s="37"/>
    </row>
    <row r="16" spans="1:18" ht="16.2" thickBot="1" x14ac:dyDescent="0.35">
      <c r="A16" s="42" t="s">
        <v>120</v>
      </c>
      <c r="B16" s="43">
        <v>4</v>
      </c>
      <c r="C16" s="43">
        <v>1</v>
      </c>
      <c r="D16" s="3">
        <f t="shared" si="3"/>
        <v>4</v>
      </c>
      <c r="E16" s="125">
        <v>10</v>
      </c>
      <c r="F16" s="3">
        <f t="shared" ref="F16:F17" si="6">D16*E16</f>
        <v>40</v>
      </c>
      <c r="G16" s="3">
        <f t="shared" ref="G16:G17" si="7">0.05*F16</f>
        <v>2</v>
      </c>
      <c r="H16" s="3">
        <f t="shared" ref="H16:H17" si="8">0.1*F16</f>
        <v>4</v>
      </c>
      <c r="I16" s="5">
        <f t="shared" ref="I16:I17" si="9">F16*F$2+G16*G$2+H16*H$2</f>
        <v>4464.84</v>
      </c>
      <c r="K16" s="10" t="s">
        <v>33</v>
      </c>
      <c r="L16" s="10" t="s">
        <v>34</v>
      </c>
      <c r="M16" s="60">
        <v>44.65</v>
      </c>
      <c r="N16" s="60">
        <f t="shared" si="4"/>
        <v>49.115000000000002</v>
      </c>
      <c r="O16" s="60">
        <f t="shared" si="5"/>
        <v>93.765000000000001</v>
      </c>
    </row>
    <row r="17" spans="1:41" ht="16.2" thickBot="1" x14ac:dyDescent="0.35">
      <c r="A17" s="42" t="s">
        <v>134</v>
      </c>
      <c r="B17" s="43">
        <v>0.1</v>
      </c>
      <c r="C17" s="43">
        <v>365</v>
      </c>
      <c r="D17" s="3">
        <f t="shared" si="3"/>
        <v>36.5</v>
      </c>
      <c r="E17" s="125">
        <v>0</v>
      </c>
      <c r="F17" s="3">
        <f t="shared" si="6"/>
        <v>0</v>
      </c>
      <c r="G17" s="3">
        <f t="shared" si="7"/>
        <v>0</v>
      </c>
      <c r="H17" s="3">
        <f t="shared" si="8"/>
        <v>0</v>
      </c>
      <c r="I17" s="5">
        <f t="shared" si="9"/>
        <v>0</v>
      </c>
      <c r="K17" s="10" t="s">
        <v>50</v>
      </c>
      <c r="L17" s="10" t="s">
        <v>49</v>
      </c>
      <c r="M17" s="60">
        <v>43.38</v>
      </c>
      <c r="N17" s="60">
        <f t="shared" si="4"/>
        <v>47.718000000000004</v>
      </c>
      <c r="O17" s="60">
        <f t="shared" si="5"/>
        <v>91.098000000000013</v>
      </c>
    </row>
    <row r="18" spans="1:41" ht="16.2" thickBot="1" x14ac:dyDescent="0.35">
      <c r="A18" s="42" t="s">
        <v>123</v>
      </c>
      <c r="B18" s="43">
        <v>8</v>
      </c>
      <c r="C18" s="43">
        <v>1</v>
      </c>
      <c r="D18" s="3">
        <f t="shared" ref="D18" si="10">B18*C18</f>
        <v>8</v>
      </c>
      <c r="E18" s="125">
        <v>0</v>
      </c>
      <c r="F18" s="3">
        <f>D18*E18</f>
        <v>0</v>
      </c>
      <c r="G18" s="3">
        <f>0.05*F18</f>
        <v>0</v>
      </c>
      <c r="H18" s="3">
        <f>0.1*F18</f>
        <v>0</v>
      </c>
      <c r="I18" s="5">
        <f>F18*F$2+G18*G$2+H18*H$2</f>
        <v>0</v>
      </c>
      <c r="K18" s="10"/>
      <c r="L18" s="38" t="s">
        <v>39</v>
      </c>
      <c r="M18" s="60">
        <f>0.2*M14+AVERAGE(M17,M16)*0.8</f>
        <v>47.472000000000001</v>
      </c>
      <c r="N18" s="60">
        <f>0.2*N14+0.8*N15</f>
        <v>40.308400000000006</v>
      </c>
      <c r="O18" s="60">
        <f t="shared" si="5"/>
        <v>87.780400000000014</v>
      </c>
    </row>
    <row r="19" spans="1:41" ht="15" thickBot="1" x14ac:dyDescent="0.35">
      <c r="A19" s="121"/>
      <c r="B19" s="43"/>
      <c r="C19" s="43"/>
      <c r="D19" s="43"/>
      <c r="E19" s="126"/>
      <c r="F19" s="43"/>
      <c r="G19" s="43"/>
      <c r="H19" s="43"/>
      <c r="I19" s="44"/>
      <c r="K19" s="27"/>
      <c r="L19" s="37"/>
      <c r="M19" s="122"/>
      <c r="N19" s="122"/>
      <c r="O19" s="122"/>
    </row>
    <row r="20" spans="1:41" ht="15" thickBot="1" x14ac:dyDescent="0.35">
      <c r="A20" s="40" t="s">
        <v>60</v>
      </c>
      <c r="B20" s="43"/>
      <c r="C20" s="43"/>
      <c r="D20" s="43"/>
      <c r="E20" s="126"/>
      <c r="F20" s="43"/>
      <c r="G20" s="43"/>
      <c r="H20" s="43"/>
      <c r="I20" s="44"/>
      <c r="K20" s="27"/>
      <c r="L20" s="37"/>
      <c r="M20" s="122"/>
      <c r="N20" s="122"/>
      <c r="O20" s="122"/>
    </row>
    <row r="21" spans="1:41" ht="15" thickBot="1" x14ac:dyDescent="0.35">
      <c r="A21" s="42" t="s">
        <v>61</v>
      </c>
      <c r="B21" s="43">
        <v>1</v>
      </c>
      <c r="C21" s="43">
        <v>0.33</v>
      </c>
      <c r="D21" s="3">
        <f t="shared" ref="D21:D22" si="11">B21*C21</f>
        <v>0.33</v>
      </c>
      <c r="E21" s="126">
        <v>0</v>
      </c>
      <c r="F21" s="3">
        <f>D21*E21</f>
        <v>0</v>
      </c>
      <c r="G21" s="3">
        <f>0.05*F21</f>
        <v>0</v>
      </c>
      <c r="H21" s="3">
        <f>0.1*F21</f>
        <v>0</v>
      </c>
      <c r="I21" s="5">
        <f>F21*F$2+G21*G$2+H21*H$2</f>
        <v>0</v>
      </c>
    </row>
    <row r="22" spans="1:41" ht="29.4" thickBot="1" x14ac:dyDescent="0.35">
      <c r="A22" s="42" t="s">
        <v>135</v>
      </c>
      <c r="B22" s="43">
        <v>-1</v>
      </c>
      <c r="C22" s="43">
        <v>2</v>
      </c>
      <c r="D22" s="3">
        <f t="shared" si="11"/>
        <v>-2</v>
      </c>
      <c r="E22" s="125">
        <v>180</v>
      </c>
      <c r="F22" s="3">
        <f t="shared" ref="F22" si="12">D22*E22</f>
        <v>-360</v>
      </c>
      <c r="G22" s="3">
        <f t="shared" ref="G22" si="13">0.05*F22</f>
        <v>-18</v>
      </c>
      <c r="H22" s="3">
        <f t="shared" ref="H22" si="14">0.1*F22</f>
        <v>-36</v>
      </c>
      <c r="I22" s="5">
        <f t="shared" ref="I22" si="15">F22*F$2+G22*G$2+H22*H$2</f>
        <v>-40183.560000000005</v>
      </c>
    </row>
    <row r="23" spans="1:41" ht="29.4" thickBot="1" x14ac:dyDescent="0.35">
      <c r="A23" s="42" t="s">
        <v>125</v>
      </c>
      <c r="B23" s="52">
        <v>0.1</v>
      </c>
      <c r="C23" s="51">
        <v>2</v>
      </c>
      <c r="D23" s="3">
        <f t="shared" ref="D23:D28" si="16">B23*C23</f>
        <v>0.2</v>
      </c>
      <c r="E23" s="127">
        <v>0</v>
      </c>
      <c r="F23" s="3">
        <f t="shared" ref="F23:F25" si="17">D23*E23</f>
        <v>0</v>
      </c>
      <c r="G23" s="3">
        <f t="shared" ref="G23:G25" si="18">0.05*F23</f>
        <v>0</v>
      </c>
      <c r="H23" s="3">
        <f t="shared" ref="H23:H25" si="19">0.1*F23</f>
        <v>0</v>
      </c>
      <c r="I23" s="5">
        <f t="shared" ref="I23:I30" si="20">F23*F$2+G23*G$2+H23*H$2</f>
        <v>0</v>
      </c>
      <c r="K23" t="s">
        <v>57</v>
      </c>
    </row>
    <row r="24" spans="1:41" ht="15" thickBot="1" x14ac:dyDescent="0.35">
      <c r="A24" s="42" t="s">
        <v>114</v>
      </c>
      <c r="B24" s="52">
        <v>0.5</v>
      </c>
      <c r="C24" s="51">
        <v>0.2</v>
      </c>
      <c r="D24" s="3">
        <f t="shared" si="16"/>
        <v>0.1</v>
      </c>
      <c r="E24" s="127">
        <v>130</v>
      </c>
      <c r="F24" s="3">
        <f t="shared" si="17"/>
        <v>13</v>
      </c>
      <c r="G24" s="3">
        <f t="shared" si="18"/>
        <v>0.65</v>
      </c>
      <c r="H24" s="3">
        <f t="shared" si="19"/>
        <v>1.3</v>
      </c>
      <c r="I24" s="5">
        <f t="shared" si="20"/>
        <v>1451.0730000000001</v>
      </c>
      <c r="K24" s="14" t="s">
        <v>17</v>
      </c>
      <c r="L24" s="14" t="s">
        <v>18</v>
      </c>
      <c r="M24" s="14" t="s">
        <v>19</v>
      </c>
      <c r="N24" s="14" t="s">
        <v>20</v>
      </c>
      <c r="O24" s="14" t="s">
        <v>21</v>
      </c>
    </row>
    <row r="25" spans="1:41" ht="16.2" thickBot="1" x14ac:dyDescent="0.35">
      <c r="A25" s="42" t="s">
        <v>131</v>
      </c>
      <c r="B25" s="52">
        <v>0.5</v>
      </c>
      <c r="C25" s="51">
        <v>1</v>
      </c>
      <c r="D25" s="3">
        <f t="shared" si="16"/>
        <v>0.5</v>
      </c>
      <c r="E25" s="127">
        <v>0</v>
      </c>
      <c r="F25" s="3">
        <f t="shared" si="17"/>
        <v>0</v>
      </c>
      <c r="G25" s="3">
        <f t="shared" si="18"/>
        <v>0</v>
      </c>
      <c r="H25" s="3">
        <f t="shared" si="19"/>
        <v>0</v>
      </c>
      <c r="I25" s="5">
        <f t="shared" si="20"/>
        <v>0</v>
      </c>
      <c r="K25" s="10" t="s">
        <v>26</v>
      </c>
      <c r="L25" s="10" t="s">
        <v>27</v>
      </c>
      <c r="M25" s="59">
        <f>ROUND(AVERAGE(M5,M13),2)</f>
        <v>80.41</v>
      </c>
      <c r="N25" s="59">
        <f>ROUND(M25*1.1,2)</f>
        <v>88.45</v>
      </c>
      <c r="O25" s="59">
        <f>M25+N25</f>
        <v>168.86</v>
      </c>
      <c r="P25">
        <f>ROUND(O25*0.05,2)</f>
        <v>8.44</v>
      </c>
    </row>
    <row r="26" spans="1:41" ht="15" thickBot="1" x14ac:dyDescent="0.35">
      <c r="A26" s="42" t="s">
        <v>62</v>
      </c>
      <c r="B26" s="52">
        <v>0.5</v>
      </c>
      <c r="C26" s="51">
        <v>1</v>
      </c>
      <c r="D26" s="3">
        <f t="shared" si="16"/>
        <v>0.5</v>
      </c>
      <c r="E26" s="127">
        <v>10</v>
      </c>
      <c r="F26" s="3">
        <f>D26*E26</f>
        <v>5</v>
      </c>
      <c r="G26" s="3">
        <f>0.05*F26</f>
        <v>0.25</v>
      </c>
      <c r="H26" s="3">
        <f>0.1*F26</f>
        <v>0.5</v>
      </c>
      <c r="I26" s="5">
        <f t="shared" si="20"/>
        <v>558.10500000000002</v>
      </c>
      <c r="K26" s="10" t="s">
        <v>30</v>
      </c>
      <c r="L26" s="10" t="s">
        <v>31</v>
      </c>
      <c r="M26" s="59">
        <f>ROUND(AVERAGE(M6,M14),2)</f>
        <v>63.79</v>
      </c>
      <c r="N26" s="59">
        <f t="shared" ref="N26:N27" si="21">ROUND(M26*1.1,2)</f>
        <v>70.17</v>
      </c>
      <c r="O26" s="59">
        <f t="shared" ref="O26:O27" si="22">M26+N26</f>
        <v>133.96</v>
      </c>
    </row>
    <row r="27" spans="1:41" ht="15" thickBot="1" x14ac:dyDescent="0.35">
      <c r="A27" s="41" t="s">
        <v>115</v>
      </c>
      <c r="B27" s="53">
        <v>3</v>
      </c>
      <c r="C27" s="43">
        <v>0.2</v>
      </c>
      <c r="D27" s="3">
        <f t="shared" si="16"/>
        <v>0.60000000000000009</v>
      </c>
      <c r="E27" s="127">
        <v>130</v>
      </c>
      <c r="F27" s="3">
        <f t="shared" ref="F27:F30" si="23">D27*E27</f>
        <v>78.000000000000014</v>
      </c>
      <c r="G27" s="3">
        <f t="shared" ref="G27:G28" si="24">0.05*F27</f>
        <v>3.9000000000000008</v>
      </c>
      <c r="H27" s="3">
        <f t="shared" ref="H27:H30" si="25">0.1*F27</f>
        <v>7.8000000000000016</v>
      </c>
      <c r="I27" s="5">
        <f t="shared" si="20"/>
        <v>8706.4380000000019</v>
      </c>
      <c r="K27" s="38" t="s">
        <v>36</v>
      </c>
      <c r="L27" s="10" t="s">
        <v>37</v>
      </c>
      <c r="M27" s="59">
        <f>ROUND(AVERAGE(M7,M15),2)</f>
        <v>28.73</v>
      </c>
      <c r="N27" s="59">
        <f t="shared" si="21"/>
        <v>31.6</v>
      </c>
      <c r="O27" s="59">
        <f t="shared" si="22"/>
        <v>60.33</v>
      </c>
      <c r="P27">
        <f>ROUND(O27*0.1,2)</f>
        <v>6.03</v>
      </c>
    </row>
    <row r="28" spans="1:41" ht="16.2" thickBot="1" x14ac:dyDescent="0.35">
      <c r="A28" s="41" t="s">
        <v>127</v>
      </c>
      <c r="B28" s="52">
        <v>3</v>
      </c>
      <c r="C28" s="51">
        <v>1</v>
      </c>
      <c r="D28" s="3">
        <f t="shared" si="16"/>
        <v>3</v>
      </c>
      <c r="E28" s="127">
        <v>0</v>
      </c>
      <c r="F28" s="3">
        <f t="shared" si="23"/>
        <v>0</v>
      </c>
      <c r="G28" s="3">
        <f t="shared" si="24"/>
        <v>0</v>
      </c>
      <c r="H28" s="3">
        <f t="shared" si="25"/>
        <v>0</v>
      </c>
      <c r="I28" s="5">
        <f t="shared" si="20"/>
        <v>0</v>
      </c>
      <c r="K28" s="10" t="s">
        <v>50</v>
      </c>
      <c r="L28" s="10" t="s">
        <v>49</v>
      </c>
      <c r="M28" s="59">
        <f>ROUND(AVERAGE(M9,M17),2)</f>
        <v>40.42</v>
      </c>
      <c r="N28" s="59">
        <f>ROUND(M28*1.1,2)</f>
        <v>44.46</v>
      </c>
      <c r="O28" s="59">
        <f>M28+N28</f>
        <v>84.88</v>
      </c>
    </row>
    <row r="29" spans="1:41" ht="15" thickBot="1" x14ac:dyDescent="0.35">
      <c r="A29" s="41" t="s">
        <v>116</v>
      </c>
      <c r="B29" s="53">
        <v>3</v>
      </c>
      <c r="C29" s="43">
        <v>1</v>
      </c>
      <c r="D29" s="3">
        <f t="shared" ref="D29:D31" si="26">B29*C29</f>
        <v>3</v>
      </c>
      <c r="E29" s="127">
        <v>10</v>
      </c>
      <c r="F29" s="3">
        <f t="shared" si="23"/>
        <v>30</v>
      </c>
      <c r="G29" s="3">
        <f>0.05*F29</f>
        <v>1.5</v>
      </c>
      <c r="H29" s="3">
        <f t="shared" si="25"/>
        <v>3</v>
      </c>
      <c r="I29" s="5">
        <f t="shared" si="20"/>
        <v>3348.6299999999997</v>
      </c>
      <c r="K29" s="10"/>
      <c r="L29" s="38" t="s">
        <v>58</v>
      </c>
      <c r="M29" s="59">
        <f>0.2*M26+0.8*M28</f>
        <v>45.094000000000008</v>
      </c>
      <c r="N29" s="59">
        <f>ROUND(M29*1.1,2)</f>
        <v>49.6</v>
      </c>
      <c r="O29" s="59">
        <f>M29+N29</f>
        <v>94.694000000000017</v>
      </c>
      <c r="P29">
        <f>ROUND(O29*1,2)</f>
        <v>94.69</v>
      </c>
    </row>
    <row r="30" spans="1:41" ht="27" thickBot="1" x14ac:dyDescent="0.35">
      <c r="A30" s="42" t="s">
        <v>117</v>
      </c>
      <c r="B30" s="53">
        <v>8</v>
      </c>
      <c r="C30" s="43">
        <v>0.2</v>
      </c>
      <c r="D30" s="3">
        <f t="shared" si="26"/>
        <v>1.6</v>
      </c>
      <c r="E30" s="126">
        <v>0</v>
      </c>
      <c r="F30" s="3">
        <f t="shared" si="23"/>
        <v>0</v>
      </c>
      <c r="G30" s="3">
        <f t="shared" ref="G30" si="27">0.05*F30</f>
        <v>0</v>
      </c>
      <c r="H30" s="3">
        <f t="shared" si="25"/>
        <v>0</v>
      </c>
      <c r="I30" s="5">
        <f t="shared" si="20"/>
        <v>0</v>
      </c>
    </row>
    <row r="31" spans="1:41" ht="16.2" thickBot="1" x14ac:dyDescent="0.35">
      <c r="A31" s="41" t="s">
        <v>128</v>
      </c>
      <c r="B31" s="43">
        <v>0.5</v>
      </c>
      <c r="C31" s="43">
        <v>1</v>
      </c>
      <c r="D31" s="3">
        <f t="shared" si="26"/>
        <v>0.5</v>
      </c>
      <c r="E31" s="126">
        <v>20</v>
      </c>
      <c r="F31" s="3">
        <f t="shared" ref="F31" si="28">D31*E31</f>
        <v>10</v>
      </c>
      <c r="G31" s="3">
        <f t="shared" ref="G31" si="29">0.05*F31</f>
        <v>0.5</v>
      </c>
      <c r="H31" s="3">
        <f t="shared" ref="H31" si="30">0.1*F31</f>
        <v>1</v>
      </c>
      <c r="I31" s="5">
        <f t="shared" ref="I31" si="31">F31*F$2+G31*G$2+H31*H$2</f>
        <v>1116.21</v>
      </c>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row>
    <row r="32" spans="1:41" ht="15" thickBot="1" x14ac:dyDescent="0.35">
      <c r="A32" s="42"/>
      <c r="B32" s="43"/>
      <c r="C32" s="54"/>
      <c r="D32" s="3"/>
      <c r="E32" s="126"/>
      <c r="F32" s="3"/>
      <c r="G32" s="3"/>
      <c r="H32" s="3"/>
      <c r="I32" s="5"/>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row>
    <row r="33" spans="1:41" ht="15" thickBot="1" x14ac:dyDescent="0.35">
      <c r="A33" s="55" t="s">
        <v>41</v>
      </c>
      <c r="B33" s="28"/>
      <c r="C33" s="28"/>
      <c r="D33" s="28"/>
      <c r="E33" s="128"/>
      <c r="F33" s="50">
        <f>SUM(F$6:F$32)</f>
        <v>230.20000000000005</v>
      </c>
      <c r="G33" s="50">
        <f>SUM(G$6:G$32)</f>
        <v>11.510000000000002</v>
      </c>
      <c r="H33" s="50">
        <f>SUM(H$6:H$32)</f>
        <v>23.020000000000003</v>
      </c>
      <c r="I33" s="56">
        <f>SUM(I$6:I$32)</f>
        <v>25695.154199999994</v>
      </c>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row>
    <row r="34" spans="1:41" ht="15" thickBot="1" x14ac:dyDescent="0.35">
      <c r="A34" s="45" t="s">
        <v>42</v>
      </c>
      <c r="B34" s="19"/>
      <c r="C34" s="19"/>
      <c r="D34" s="19"/>
      <c r="E34" s="127"/>
      <c r="F34" s="20"/>
      <c r="G34" s="20"/>
      <c r="H34" s="20"/>
      <c r="I34" s="21"/>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row>
    <row r="35" spans="1:41" ht="15" thickBot="1" x14ac:dyDescent="0.35">
      <c r="A35" s="46" t="s">
        <v>38</v>
      </c>
      <c r="B35" s="19" t="s">
        <v>67</v>
      </c>
      <c r="C35" s="19"/>
      <c r="D35" s="3">
        <v>0</v>
      </c>
      <c r="E35" s="127">
        <v>0</v>
      </c>
      <c r="F35" s="48">
        <f t="shared" ref="F35" si="32">D35*E35</f>
        <v>0</v>
      </c>
      <c r="G35" s="48">
        <f t="shared" ref="G35" si="33">0.05*F35</f>
        <v>0</v>
      </c>
      <c r="H35" s="48">
        <f t="shared" ref="H35" si="34">0.1*F35</f>
        <v>0</v>
      </c>
      <c r="I35" s="5">
        <f t="shared" ref="I35:I42" si="35">F35*F$2+G35*G$2+H35*H$2</f>
        <v>0</v>
      </c>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row>
    <row r="36" spans="1:41" ht="15.75" customHeight="1" thickBot="1" x14ac:dyDescent="0.35">
      <c r="A36" s="46" t="s">
        <v>63</v>
      </c>
      <c r="B36" s="23">
        <v>2</v>
      </c>
      <c r="C36" s="24">
        <v>0.33</v>
      </c>
      <c r="D36" s="3">
        <f t="shared" ref="D36:D42" si="36">B36*C36</f>
        <v>0.66</v>
      </c>
      <c r="E36" s="127">
        <v>190</v>
      </c>
      <c r="F36" s="48">
        <f t="shared" ref="F36" si="37">D36*E36</f>
        <v>125.4</v>
      </c>
      <c r="G36" s="48">
        <f t="shared" ref="G36" si="38">0.05*F36</f>
        <v>6.2700000000000005</v>
      </c>
      <c r="H36" s="48">
        <f t="shared" ref="H36" si="39">0.1*F36</f>
        <v>12.540000000000001</v>
      </c>
      <c r="I36" s="5">
        <f t="shared" ref="I36" si="40">F36*F$2+G36*G$2+H36*H$2</f>
        <v>13997.273400000002</v>
      </c>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row>
    <row r="37" spans="1:41" ht="15.75" customHeight="1" thickBot="1" x14ac:dyDescent="0.35">
      <c r="A37" s="41" t="s">
        <v>64</v>
      </c>
      <c r="B37" s="23">
        <v>1</v>
      </c>
      <c r="C37" s="24">
        <v>0.33</v>
      </c>
      <c r="D37" s="3">
        <f t="shared" si="36"/>
        <v>0.33</v>
      </c>
      <c r="E37" s="127">
        <v>190</v>
      </c>
      <c r="F37" s="48">
        <f t="shared" ref="F37:F42" si="41">D37*E37</f>
        <v>62.7</v>
      </c>
      <c r="G37" s="48">
        <f t="shared" ref="G37:G42" si="42">0.05*F37</f>
        <v>3.1350000000000002</v>
      </c>
      <c r="H37" s="48">
        <f t="shared" ref="H37:H42" si="43">0.1*F37</f>
        <v>6.2700000000000005</v>
      </c>
      <c r="I37" s="5">
        <f t="shared" si="35"/>
        <v>6998.6367000000009</v>
      </c>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row>
    <row r="38" spans="1:41" ht="15" thickBot="1" x14ac:dyDescent="0.35">
      <c r="A38" s="41" t="s">
        <v>124</v>
      </c>
      <c r="B38" s="23">
        <v>1</v>
      </c>
      <c r="C38" s="24">
        <v>0.33</v>
      </c>
      <c r="D38" s="3">
        <f t="shared" si="36"/>
        <v>0.33</v>
      </c>
      <c r="E38" s="127">
        <v>190</v>
      </c>
      <c r="F38" s="48">
        <f t="shared" si="41"/>
        <v>62.7</v>
      </c>
      <c r="G38" s="48">
        <f t="shared" si="42"/>
        <v>3.1350000000000002</v>
      </c>
      <c r="H38" s="48">
        <f t="shared" si="43"/>
        <v>6.2700000000000005</v>
      </c>
      <c r="I38" s="5">
        <f t="shared" si="35"/>
        <v>6998.6367000000009</v>
      </c>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row>
    <row r="39" spans="1:41" ht="16.2" thickBot="1" x14ac:dyDescent="0.35">
      <c r="A39" s="41" t="s">
        <v>129</v>
      </c>
      <c r="B39" s="23">
        <v>0.4</v>
      </c>
      <c r="C39" s="24">
        <v>52</v>
      </c>
      <c r="D39" s="3">
        <f t="shared" si="36"/>
        <v>20.8</v>
      </c>
      <c r="E39" s="127">
        <v>50</v>
      </c>
      <c r="F39" s="48">
        <f t="shared" si="41"/>
        <v>1040</v>
      </c>
      <c r="G39" s="48">
        <f t="shared" si="42"/>
        <v>52</v>
      </c>
      <c r="H39" s="48">
        <f t="shared" si="43"/>
        <v>104</v>
      </c>
      <c r="I39" s="5">
        <f t="shared" si="35"/>
        <v>116085.84</v>
      </c>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row>
    <row r="40" spans="1:41" ht="15" thickBot="1" x14ac:dyDescent="0.35">
      <c r="A40" s="41" t="s">
        <v>65</v>
      </c>
      <c r="B40" s="23">
        <v>3</v>
      </c>
      <c r="C40" s="24">
        <v>0.33</v>
      </c>
      <c r="D40" s="3">
        <f t="shared" si="36"/>
        <v>0.99</v>
      </c>
      <c r="E40" s="127">
        <v>190</v>
      </c>
      <c r="F40" s="49">
        <f t="shared" si="41"/>
        <v>188.1</v>
      </c>
      <c r="G40" s="48">
        <f t="shared" si="42"/>
        <v>9.4049999999999994</v>
      </c>
      <c r="H40" s="48">
        <f t="shared" si="43"/>
        <v>18.809999999999999</v>
      </c>
      <c r="I40" s="5">
        <f t="shared" si="35"/>
        <v>20995.910099999997</v>
      </c>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row>
    <row r="41" spans="1:41" ht="27" thickBot="1" x14ac:dyDescent="0.35">
      <c r="A41" s="41" t="s">
        <v>66</v>
      </c>
      <c r="B41" s="23">
        <v>1</v>
      </c>
      <c r="C41" s="123">
        <v>0.33</v>
      </c>
      <c r="D41" s="3">
        <f t="shared" si="36"/>
        <v>0.33</v>
      </c>
      <c r="E41" s="127">
        <v>190</v>
      </c>
      <c r="F41" s="49">
        <f t="shared" si="41"/>
        <v>62.7</v>
      </c>
      <c r="G41" s="48">
        <f t="shared" si="42"/>
        <v>3.1350000000000002</v>
      </c>
      <c r="H41" s="48">
        <f t="shared" si="43"/>
        <v>6.2700000000000005</v>
      </c>
      <c r="I41" s="5">
        <f t="shared" si="35"/>
        <v>6998.6367000000009</v>
      </c>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row>
    <row r="42" spans="1:41" ht="16.2" thickBot="1" x14ac:dyDescent="0.35">
      <c r="A42" s="41" t="s">
        <v>137</v>
      </c>
      <c r="B42" s="47">
        <v>-0.2</v>
      </c>
      <c r="C42" s="24">
        <v>2</v>
      </c>
      <c r="D42" s="3">
        <f t="shared" si="36"/>
        <v>-0.4</v>
      </c>
      <c r="E42" s="127">
        <v>190</v>
      </c>
      <c r="F42" s="48">
        <f t="shared" si="41"/>
        <v>-76</v>
      </c>
      <c r="G42" s="48">
        <f t="shared" si="42"/>
        <v>-3.8000000000000003</v>
      </c>
      <c r="H42" s="48">
        <f t="shared" si="43"/>
        <v>-7.6000000000000005</v>
      </c>
      <c r="I42" s="5">
        <f t="shared" si="35"/>
        <v>-8483.1959999999999</v>
      </c>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row>
    <row r="43" spans="1:41" ht="15" thickBot="1" x14ac:dyDescent="0.35">
      <c r="A43" s="46"/>
      <c r="B43" s="23"/>
      <c r="C43" s="24"/>
      <c r="D43" s="3"/>
      <c r="E43" s="57"/>
      <c r="F43" s="3"/>
      <c r="G43" s="3"/>
      <c r="H43" s="3"/>
      <c r="I43" s="5"/>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row>
    <row r="44" spans="1:41" ht="15" thickBot="1" x14ac:dyDescent="0.35">
      <c r="A44" s="29" t="s">
        <v>43</v>
      </c>
      <c r="B44" s="30"/>
      <c r="C44" s="31"/>
      <c r="D44" s="31"/>
      <c r="E44" s="31"/>
      <c r="F44" s="39">
        <f>SUM(F$35:F$43)</f>
        <v>1465.6</v>
      </c>
      <c r="G44" s="39">
        <f>SUM(G$35:G$43)</f>
        <v>73.280000000000015</v>
      </c>
      <c r="H44" s="39">
        <f>SUM(H$35:H$43)</f>
        <v>146.56000000000003</v>
      </c>
      <c r="I44" s="32">
        <f>SUM(I$35:I$43)</f>
        <v>163591.73760000002</v>
      </c>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row>
    <row r="45" spans="1:41" ht="15" thickBot="1" x14ac:dyDescent="0.35">
      <c r="A45" s="33" t="s">
        <v>44</v>
      </c>
      <c r="B45" s="35"/>
      <c r="C45" s="3"/>
      <c r="D45" s="3"/>
      <c r="E45" s="35"/>
      <c r="F45" s="133">
        <f>SUM(F33:H33)+SUM(F44:H44)</f>
        <v>1950.1699999999998</v>
      </c>
      <c r="G45" s="134"/>
      <c r="H45" s="135"/>
      <c r="I45" s="25">
        <f>I33+I44</f>
        <v>189286.89180000001</v>
      </c>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row>
    <row r="46" spans="1:41" ht="15" thickBot="1" x14ac:dyDescent="0.35">
      <c r="A46" s="33"/>
      <c r="B46" s="75"/>
      <c r="C46" s="3"/>
      <c r="D46" s="76"/>
      <c r="E46" s="35"/>
      <c r="F46" s="78"/>
      <c r="G46" s="81"/>
      <c r="H46" s="78"/>
      <c r="I46" s="25"/>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row>
    <row r="47" spans="1:41" ht="15" thickBot="1" x14ac:dyDescent="0.35">
      <c r="A47" s="82" t="s">
        <v>155</v>
      </c>
      <c r="B47" s="77"/>
      <c r="C47" s="78"/>
      <c r="D47" s="79"/>
      <c r="E47" s="80"/>
      <c r="F47" s="78"/>
      <c r="G47" s="81"/>
      <c r="H47" s="78"/>
      <c r="I47" s="83">
        <f>6119.55*130+18569.25*10</f>
        <v>981234</v>
      </c>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row>
    <row r="48" spans="1:41" ht="15" thickBot="1" x14ac:dyDescent="0.35">
      <c r="A48" s="82" t="s">
        <v>154</v>
      </c>
      <c r="B48" s="77"/>
      <c r="C48" s="78"/>
      <c r="D48" s="79"/>
      <c r="E48" s="80"/>
      <c r="F48" s="78"/>
      <c r="G48" s="81"/>
      <c r="H48" s="78"/>
      <c r="I48" s="83">
        <f>1125.2*40</f>
        <v>45008</v>
      </c>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row>
    <row r="49" spans="1:41" ht="15" thickBot="1" x14ac:dyDescent="0.35">
      <c r="A49" s="82" t="s">
        <v>68</v>
      </c>
      <c r="B49" s="77"/>
      <c r="C49" s="78"/>
      <c r="D49" s="79"/>
      <c r="E49" s="80"/>
      <c r="F49" s="78"/>
      <c r="G49" s="81"/>
      <c r="H49" s="78"/>
      <c r="I49" s="83">
        <f>3066342*0.1098</f>
        <v>336684.35159999999</v>
      </c>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row>
    <row r="50" spans="1:41" ht="15" thickBot="1" x14ac:dyDescent="0.35">
      <c r="A50" s="82" t="s">
        <v>69</v>
      </c>
      <c r="B50" s="77"/>
      <c r="C50" s="78"/>
      <c r="D50" s="79"/>
      <c r="E50" s="80"/>
      <c r="F50" s="78"/>
      <c r="G50" s="81"/>
      <c r="H50" s="78"/>
      <c r="I50" s="83">
        <f>418620+100*1642.95</f>
        <v>582915</v>
      </c>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row>
    <row r="51" spans="1:41" ht="15" thickBot="1" x14ac:dyDescent="0.35">
      <c r="A51" s="29" t="s">
        <v>70</v>
      </c>
      <c r="B51" s="84"/>
      <c r="C51" s="85"/>
      <c r="D51" s="86"/>
      <c r="E51" s="85"/>
      <c r="F51" s="85"/>
      <c r="G51" s="86"/>
      <c r="H51" s="85"/>
      <c r="I51" s="87">
        <f>SUM(I47:I50)</f>
        <v>1945841.3515999999</v>
      </c>
      <c r="J51" s="9"/>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row>
    <row r="52" spans="1:41" ht="15" thickBot="1" x14ac:dyDescent="0.35">
      <c r="A52" s="34" t="s">
        <v>45</v>
      </c>
      <c r="B52" s="22"/>
      <c r="C52" s="22"/>
      <c r="D52" s="22"/>
      <c r="E52" s="22"/>
      <c r="F52" s="133">
        <f>F45</f>
        <v>1950.1699999999998</v>
      </c>
      <c r="G52" s="134"/>
      <c r="H52" s="135"/>
      <c r="I52" s="36">
        <f>I45+I51</f>
        <v>2135128.2434</v>
      </c>
      <c r="J52" s="9"/>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row>
    <row r="53" spans="1:41" x14ac:dyDescent="0.3">
      <c r="A53" s="6" t="s">
        <v>46</v>
      </c>
      <c r="B53" s="6"/>
      <c r="J53" s="9"/>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row>
    <row r="54" spans="1:41" ht="17.399999999999999" customHeight="1" x14ac:dyDescent="0.3">
      <c r="A54" s="7" t="s">
        <v>47</v>
      </c>
      <c r="B54" s="7"/>
      <c r="J54" s="9"/>
      <c r="K54" s="73"/>
      <c r="L54" s="71"/>
      <c r="M54" s="71"/>
      <c r="N54" s="71"/>
      <c r="O54" s="72"/>
      <c r="P54" s="72"/>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row>
    <row r="55" spans="1:41" ht="43.5" customHeight="1" x14ac:dyDescent="0.3">
      <c r="A55" s="132" t="s">
        <v>149</v>
      </c>
      <c r="B55" s="132"/>
      <c r="C55" s="132"/>
      <c r="D55" s="132"/>
      <c r="E55" s="132"/>
      <c r="F55" s="132"/>
      <c r="G55" s="132"/>
      <c r="H55" s="132"/>
      <c r="I55" s="132"/>
      <c r="K55" s="73"/>
      <c r="L55" s="72"/>
      <c r="M55" s="72"/>
      <c r="N55" s="71"/>
      <c r="O55" s="71"/>
      <c r="P55" s="71"/>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row>
    <row r="56" spans="1:41" ht="15.6" x14ac:dyDescent="0.3">
      <c r="A56" s="7" t="s">
        <v>130</v>
      </c>
      <c r="B56" s="61"/>
      <c r="C56" s="27"/>
      <c r="D56" s="27"/>
      <c r="E56" s="27"/>
      <c r="F56" s="27"/>
      <c r="G56" s="27"/>
      <c r="H56" s="27"/>
      <c r="I56" s="27"/>
      <c r="J56" s="27"/>
      <c r="K56" s="73"/>
      <c r="L56" s="72"/>
      <c r="M56" s="72"/>
      <c r="N56" s="72"/>
      <c r="O56" s="72"/>
      <c r="P56" s="72"/>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row>
    <row r="57" spans="1:41" ht="15.6" x14ac:dyDescent="0.3">
      <c r="A57" s="7" t="s">
        <v>148</v>
      </c>
      <c r="B57" s="61"/>
      <c r="C57" s="27"/>
      <c r="D57" s="27"/>
      <c r="E57" s="27"/>
      <c r="F57" s="27"/>
      <c r="G57" s="27"/>
      <c r="H57" s="27"/>
      <c r="I57" s="27"/>
      <c r="J57" s="27"/>
      <c r="K57" s="74"/>
      <c r="L57" s="72"/>
      <c r="M57" s="72"/>
      <c r="N57" s="72"/>
      <c r="O57" s="72"/>
      <c r="P57" s="72"/>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row>
    <row r="58" spans="1:41" ht="15.6" x14ac:dyDescent="0.3">
      <c r="A58" s="7" t="s">
        <v>132</v>
      </c>
      <c r="B58" s="62"/>
      <c r="C58" s="62"/>
      <c r="D58" s="62"/>
      <c r="E58" s="62"/>
      <c r="F58" s="62"/>
      <c r="G58" s="62"/>
      <c r="H58" s="27"/>
      <c r="I58" s="27"/>
      <c r="J58" s="27"/>
      <c r="K58" s="37"/>
      <c r="L58" s="72"/>
      <c r="M58" s="72"/>
      <c r="N58" s="72"/>
      <c r="O58" s="72"/>
      <c r="P58" s="72"/>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row>
    <row r="59" spans="1:41" ht="29.1" customHeight="1" x14ac:dyDescent="0.3">
      <c r="A59" s="136" t="s">
        <v>133</v>
      </c>
      <c r="B59" s="136"/>
      <c r="C59" s="136"/>
      <c r="D59" s="136"/>
      <c r="E59" s="136"/>
      <c r="F59" s="136"/>
      <c r="G59" s="136"/>
      <c r="H59" s="136"/>
      <c r="I59" s="136"/>
      <c r="J59" s="27"/>
      <c r="K59" s="37"/>
      <c r="L59" s="37"/>
      <c r="M59" s="37"/>
      <c r="N59" s="72"/>
      <c r="O59" s="72"/>
      <c r="P59" s="72"/>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row>
    <row r="60" spans="1:41" ht="15.6" x14ac:dyDescent="0.3">
      <c r="A60" s="7" t="s">
        <v>138</v>
      </c>
      <c r="B60" s="64"/>
      <c r="C60" s="65"/>
      <c r="D60" s="64"/>
      <c r="E60" s="66"/>
      <c r="F60" s="67"/>
      <c r="G60" s="64"/>
      <c r="H60" s="27"/>
      <c r="I60" s="27"/>
      <c r="J60" s="2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row>
    <row r="61" spans="1:41" ht="15.6" x14ac:dyDescent="0.3">
      <c r="A61" s="124" t="s">
        <v>136</v>
      </c>
      <c r="B61" s="64"/>
      <c r="C61" s="65"/>
      <c r="D61" s="64"/>
      <c r="E61" s="66"/>
      <c r="F61" s="67"/>
      <c r="G61" s="64"/>
      <c r="H61" s="27"/>
      <c r="I61" s="27"/>
      <c r="J61" s="68"/>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row>
    <row r="62" spans="1:41" ht="15.6" x14ac:dyDescent="0.3">
      <c r="A62" s="124" t="s">
        <v>139</v>
      </c>
      <c r="B62" s="66"/>
      <c r="C62" s="65"/>
      <c r="D62" s="64"/>
      <c r="E62" s="66"/>
      <c r="F62" s="67"/>
      <c r="G62" s="64"/>
      <c r="H62" s="27"/>
      <c r="I62" s="27"/>
      <c r="J62" s="68"/>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row>
    <row r="63" spans="1:41" x14ac:dyDescent="0.3">
      <c r="A63" s="63"/>
      <c r="B63" s="66"/>
      <c r="C63" s="65"/>
      <c r="D63" s="64"/>
      <c r="E63" s="66"/>
      <c r="F63" s="67"/>
      <c r="G63" s="64"/>
      <c r="H63" s="27"/>
      <c r="I63" s="27"/>
      <c r="J63" s="68"/>
    </row>
    <row r="64" spans="1:41" x14ac:dyDescent="0.3">
      <c r="A64" s="63"/>
      <c r="B64" s="65"/>
      <c r="C64" s="65"/>
      <c r="D64" s="64"/>
      <c r="E64" s="64"/>
      <c r="F64" s="64"/>
      <c r="G64" s="64"/>
      <c r="H64" s="27"/>
      <c r="I64" s="27"/>
      <c r="J64" s="68"/>
    </row>
    <row r="65" spans="1:10" ht="15.6" x14ac:dyDescent="0.3">
      <c r="A65" s="69"/>
      <c r="B65" s="27"/>
      <c r="C65" s="27"/>
      <c r="D65" s="27"/>
      <c r="E65" s="27"/>
      <c r="F65" s="27"/>
      <c r="G65" s="27"/>
      <c r="H65" s="27"/>
      <c r="I65" s="27"/>
      <c r="J65" s="68"/>
    </row>
    <row r="66" spans="1:10" ht="15.6" x14ac:dyDescent="0.3">
      <c r="A66" s="70"/>
      <c r="B66" s="61"/>
      <c r="C66" s="27"/>
      <c r="D66" s="27"/>
      <c r="E66" s="27"/>
      <c r="F66" s="27"/>
      <c r="G66" s="27"/>
      <c r="H66" s="27"/>
      <c r="I66" s="27"/>
      <c r="J66" s="68"/>
    </row>
    <row r="67" spans="1:10" x14ac:dyDescent="0.3">
      <c r="A67" s="27"/>
      <c r="B67" s="27"/>
      <c r="C67" s="27"/>
      <c r="D67" s="27"/>
      <c r="E67" s="27"/>
      <c r="F67" s="27"/>
      <c r="G67" s="27"/>
      <c r="H67" s="27"/>
      <c r="I67" s="27"/>
      <c r="J67" s="27"/>
    </row>
    <row r="68" spans="1:10" x14ac:dyDescent="0.3">
      <c r="A68" s="27"/>
      <c r="B68" s="27"/>
      <c r="C68" s="27"/>
      <c r="D68" s="27"/>
      <c r="E68" s="27"/>
      <c r="F68" s="27"/>
      <c r="G68" s="27"/>
      <c r="H68" s="27"/>
      <c r="I68" s="27"/>
      <c r="J68" s="27"/>
    </row>
    <row r="69" spans="1:10" x14ac:dyDescent="0.3">
      <c r="A69" s="27"/>
      <c r="B69" s="27"/>
      <c r="C69" s="27"/>
      <c r="D69" s="27"/>
      <c r="E69" s="27"/>
      <c r="F69" s="27"/>
      <c r="G69" s="27"/>
      <c r="H69" s="27"/>
      <c r="I69" s="27"/>
      <c r="J69" s="27"/>
    </row>
  </sheetData>
  <mergeCells count="5">
    <mergeCell ref="A3:A5"/>
    <mergeCell ref="A55:I55"/>
    <mergeCell ref="F45:H45"/>
    <mergeCell ref="F52:H52"/>
    <mergeCell ref="A59:I59"/>
  </mergeCells>
  <phoneticPr fontId="14" type="noConversion"/>
  <hyperlinks>
    <hyperlink ref="K11" r:id="rId1" xr:uid="{F9CBA15A-B82C-4D0C-BBEC-0C380132C919}"/>
    <hyperlink ref="K3" r:id="rId2" xr:uid="{54581B80-76F9-4D63-8C60-914D7480445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37FE5-DC27-4DA1-B8A2-3EADF950A7DE}">
  <dimension ref="A1:Q24"/>
  <sheetViews>
    <sheetView topLeftCell="A8" workbookViewId="0">
      <selection activeCell="A19" sqref="A19:L19"/>
    </sheetView>
  </sheetViews>
  <sheetFormatPr defaultRowHeight="14.4" x14ac:dyDescent="0.3"/>
  <cols>
    <col min="1" max="1" width="35.44140625" customWidth="1"/>
    <col min="13" max="13" width="3.109375" customWidth="1"/>
    <col min="14" max="14" width="28" customWidth="1"/>
    <col min="15" max="15" width="11.109375" customWidth="1"/>
    <col min="16" max="16" width="10.33203125" customWidth="1"/>
    <col min="17" max="17" width="11.109375" customWidth="1"/>
  </cols>
  <sheetData>
    <row r="1" spans="1:17" ht="15.6" x14ac:dyDescent="0.3">
      <c r="A1" s="88" t="s">
        <v>71</v>
      </c>
      <c r="B1" s="9"/>
      <c r="C1" s="9"/>
      <c r="D1" s="9"/>
      <c r="E1" s="9"/>
      <c r="F1" s="9"/>
    </row>
    <row r="2" spans="1:17" ht="12.6" customHeight="1" thickBot="1" x14ac:dyDescent="0.35">
      <c r="A2" s="9"/>
      <c r="B2" s="9"/>
      <c r="C2" s="9"/>
      <c r="D2" s="9"/>
      <c r="E2" s="89" t="s">
        <v>72</v>
      </c>
      <c r="F2" s="90">
        <f>Q5</f>
        <v>54.512</v>
      </c>
      <c r="G2" s="90">
        <f>Q4</f>
        <v>73.455999999999989</v>
      </c>
      <c r="H2" s="90">
        <f>Q6</f>
        <v>29.504000000000001</v>
      </c>
      <c r="I2" s="9"/>
    </row>
    <row r="3" spans="1:17" ht="69" thickBot="1" x14ac:dyDescent="0.35">
      <c r="A3" s="91" t="s">
        <v>73</v>
      </c>
      <c r="B3" s="91" t="s">
        <v>74</v>
      </c>
      <c r="C3" s="91" t="s">
        <v>75</v>
      </c>
      <c r="D3" s="91" t="s">
        <v>76</v>
      </c>
      <c r="E3" s="91" t="s">
        <v>77</v>
      </c>
      <c r="F3" s="91" t="s">
        <v>78</v>
      </c>
      <c r="G3" s="91" t="s">
        <v>79</v>
      </c>
      <c r="H3" s="91" t="s">
        <v>80</v>
      </c>
      <c r="I3" s="91" t="s">
        <v>81</v>
      </c>
      <c r="N3" s="105" t="s">
        <v>87</v>
      </c>
      <c r="O3" s="106" t="s">
        <v>93</v>
      </c>
      <c r="P3" s="106" t="s">
        <v>88</v>
      </c>
      <c r="Q3" s="106" t="s">
        <v>89</v>
      </c>
    </row>
    <row r="4" spans="1:17" ht="15" thickBot="1" x14ac:dyDescent="0.35">
      <c r="A4" s="92" t="s">
        <v>82</v>
      </c>
      <c r="B4" s="93"/>
      <c r="C4" s="93"/>
      <c r="D4" s="93"/>
      <c r="E4" s="93"/>
      <c r="F4" s="94"/>
      <c r="G4" s="94"/>
      <c r="H4" s="94"/>
      <c r="I4" s="95"/>
      <c r="N4" s="107" t="s">
        <v>90</v>
      </c>
      <c r="O4" s="108">
        <v>45.91</v>
      </c>
      <c r="P4" s="109">
        <f>0.6*O4</f>
        <v>27.545999999999996</v>
      </c>
      <c r="Q4" s="109">
        <f>O4+P4</f>
        <v>73.455999999999989</v>
      </c>
    </row>
    <row r="5" spans="1:17" ht="16.2" thickBot="1" x14ac:dyDescent="0.35">
      <c r="A5" s="96" t="s">
        <v>83</v>
      </c>
      <c r="B5" s="93">
        <v>0.5</v>
      </c>
      <c r="C5" s="93">
        <v>0.33</v>
      </c>
      <c r="D5" s="93">
        <f>B5*C5</f>
        <v>0.16500000000000001</v>
      </c>
      <c r="E5" s="93">
        <v>0</v>
      </c>
      <c r="F5" s="94">
        <f>D5*E5</f>
        <v>0</v>
      </c>
      <c r="G5" s="94">
        <f>F5*0.05</f>
        <v>0</v>
      </c>
      <c r="H5" s="94">
        <f>F5*0.1</f>
        <v>0</v>
      </c>
      <c r="I5" s="95">
        <f>F5*F$2+G5*G$2+H5*H$2</f>
        <v>0</v>
      </c>
      <c r="N5" s="107" t="s">
        <v>91</v>
      </c>
      <c r="O5" s="108">
        <v>34.07</v>
      </c>
      <c r="P5" s="109">
        <f>0.6*O5</f>
        <v>20.442</v>
      </c>
      <c r="Q5" s="109">
        <f>O5+P5</f>
        <v>54.512</v>
      </c>
    </row>
    <row r="6" spans="1:17" ht="29.4" thickBot="1" x14ac:dyDescent="0.35">
      <c r="A6" s="96" t="s">
        <v>118</v>
      </c>
      <c r="B6" s="97">
        <v>1</v>
      </c>
      <c r="C6" s="97">
        <v>0.2</v>
      </c>
      <c r="D6" s="93">
        <f t="shared" ref="D6:D14" si="0">B6*C6</f>
        <v>0.2</v>
      </c>
      <c r="E6" s="97">
        <v>130</v>
      </c>
      <c r="F6" s="94">
        <f t="shared" ref="F6:F14" si="1">D6*E6</f>
        <v>26</v>
      </c>
      <c r="G6" s="94">
        <f t="shared" ref="G6:G14" si="2">F6*0.05</f>
        <v>1.3</v>
      </c>
      <c r="H6" s="94">
        <f t="shared" ref="H6:H13" si="3">F6*0.1</f>
        <v>2.6</v>
      </c>
      <c r="I6" s="95">
        <f t="shared" ref="I6:I14" si="4">F6*F$2+G6*G$2+H6*H$2</f>
        <v>1589.5151999999998</v>
      </c>
      <c r="N6" s="107" t="s">
        <v>92</v>
      </c>
      <c r="O6" s="108">
        <v>18.440000000000001</v>
      </c>
      <c r="P6" s="109">
        <f>0.6*O6</f>
        <v>11.064</v>
      </c>
      <c r="Q6" s="109">
        <f>O6+P6</f>
        <v>29.504000000000001</v>
      </c>
    </row>
    <row r="7" spans="1:17" ht="16.2" x14ac:dyDescent="0.3">
      <c r="A7" s="96" t="s">
        <v>150</v>
      </c>
      <c r="B7" s="97">
        <v>1</v>
      </c>
      <c r="C7" s="97">
        <v>1</v>
      </c>
      <c r="D7" s="93">
        <f t="shared" si="0"/>
        <v>1</v>
      </c>
      <c r="E7" s="97">
        <v>0</v>
      </c>
      <c r="F7" s="94">
        <f>D7*E7</f>
        <v>0</v>
      </c>
      <c r="G7" s="94">
        <f t="shared" si="2"/>
        <v>0</v>
      </c>
      <c r="H7" s="94">
        <f t="shared" si="3"/>
        <v>0</v>
      </c>
      <c r="I7" s="95">
        <f t="shared" si="4"/>
        <v>0</v>
      </c>
      <c r="M7" s="112" t="s">
        <v>98</v>
      </c>
      <c r="N7" s="104" t="s">
        <v>94</v>
      </c>
      <c r="O7" s="110"/>
      <c r="P7" s="110"/>
      <c r="Q7" s="110"/>
    </row>
    <row r="8" spans="1:17" ht="16.2" x14ac:dyDescent="0.3">
      <c r="A8" s="96" t="s">
        <v>140</v>
      </c>
      <c r="B8" s="97">
        <v>1</v>
      </c>
      <c r="C8" s="97">
        <v>1</v>
      </c>
      <c r="D8" s="93">
        <f t="shared" ref="D8" si="5">B8*C8</f>
        <v>1</v>
      </c>
      <c r="E8" s="97">
        <v>10</v>
      </c>
      <c r="F8" s="94">
        <f>D8*E8</f>
        <v>10</v>
      </c>
      <c r="G8" s="94">
        <f t="shared" ref="G8" si="6">F8*0.05</f>
        <v>0.5</v>
      </c>
      <c r="H8" s="94">
        <f t="shared" ref="H8" si="7">F8*0.1</f>
        <v>1</v>
      </c>
      <c r="I8" s="95">
        <f t="shared" ref="I8" si="8">F8*F$2+G8*G$2+H8*H$2</f>
        <v>611.35199999999998</v>
      </c>
      <c r="M8" s="112"/>
      <c r="N8" s="104"/>
      <c r="O8" s="110"/>
      <c r="P8" s="110"/>
      <c r="Q8" s="110"/>
    </row>
    <row r="9" spans="1:17" ht="15.6" x14ac:dyDescent="0.3">
      <c r="A9" s="96" t="s">
        <v>84</v>
      </c>
      <c r="B9" s="93">
        <v>2</v>
      </c>
      <c r="C9" s="93">
        <v>0.2</v>
      </c>
      <c r="D9" s="93">
        <f t="shared" si="0"/>
        <v>0.4</v>
      </c>
      <c r="E9" s="98">
        <v>0</v>
      </c>
      <c r="F9" s="94">
        <f t="shared" si="1"/>
        <v>0</v>
      </c>
      <c r="G9" s="94">
        <f t="shared" si="2"/>
        <v>0</v>
      </c>
      <c r="H9" s="94">
        <f t="shared" si="3"/>
        <v>0</v>
      </c>
      <c r="I9" s="95">
        <f t="shared" si="4"/>
        <v>0</v>
      </c>
      <c r="N9" s="111" t="s">
        <v>97</v>
      </c>
      <c r="O9" s="110"/>
      <c r="P9" s="110"/>
      <c r="Q9" s="110"/>
    </row>
    <row r="10" spans="1:17" ht="15.6" x14ac:dyDescent="0.3">
      <c r="A10" s="96" t="s">
        <v>85</v>
      </c>
      <c r="B10" s="93">
        <v>2</v>
      </c>
      <c r="C10" s="93">
        <v>0.2</v>
      </c>
      <c r="D10" s="93">
        <f t="shared" si="0"/>
        <v>0.4</v>
      </c>
      <c r="E10" s="93">
        <v>0</v>
      </c>
      <c r="F10" s="94">
        <f t="shared" si="1"/>
        <v>0</v>
      </c>
      <c r="G10" s="94">
        <f t="shared" si="2"/>
        <v>0</v>
      </c>
      <c r="H10" s="94">
        <f t="shared" si="3"/>
        <v>0</v>
      </c>
      <c r="I10" s="95">
        <f t="shared" si="4"/>
        <v>0</v>
      </c>
      <c r="N10" s="110"/>
      <c r="O10" s="110"/>
      <c r="P10" s="110"/>
      <c r="Q10" s="110"/>
    </row>
    <row r="11" spans="1:17" ht="15.6" x14ac:dyDescent="0.3">
      <c r="A11" s="96" t="s">
        <v>119</v>
      </c>
      <c r="B11" s="97">
        <v>2</v>
      </c>
      <c r="C11" s="97">
        <v>0.2</v>
      </c>
      <c r="D11" s="93">
        <f t="shared" si="0"/>
        <v>0.4</v>
      </c>
      <c r="E11" s="97">
        <v>130</v>
      </c>
      <c r="F11" s="94">
        <f t="shared" si="1"/>
        <v>52</v>
      </c>
      <c r="G11" s="94">
        <f t="shared" si="2"/>
        <v>2.6</v>
      </c>
      <c r="H11" s="94">
        <f t="shared" si="3"/>
        <v>5.2</v>
      </c>
      <c r="I11" s="95">
        <f t="shared" si="4"/>
        <v>3179.0303999999996</v>
      </c>
    </row>
    <row r="12" spans="1:17" ht="15.6" x14ac:dyDescent="0.3">
      <c r="A12" s="96" t="s">
        <v>141</v>
      </c>
      <c r="B12" s="97">
        <v>2</v>
      </c>
      <c r="C12" s="97">
        <v>1</v>
      </c>
      <c r="D12" s="93">
        <f t="shared" ref="D12" si="9">B12*C12</f>
        <v>2</v>
      </c>
      <c r="E12" s="97">
        <v>0</v>
      </c>
      <c r="F12" s="94">
        <f t="shared" ref="F12" si="10">D12*E12</f>
        <v>0</v>
      </c>
      <c r="G12" s="94">
        <f t="shared" ref="G12" si="11">F12*0.05</f>
        <v>0</v>
      </c>
      <c r="H12" s="94">
        <f t="shared" ref="H12" si="12">F12*0.1</f>
        <v>0</v>
      </c>
      <c r="I12" s="95">
        <f t="shared" ref="I12" si="13">F12*F$2+G12*G$2+H12*H$2</f>
        <v>0</v>
      </c>
    </row>
    <row r="13" spans="1:17" ht="15.6" x14ac:dyDescent="0.3">
      <c r="A13" s="96" t="s">
        <v>142</v>
      </c>
      <c r="B13" s="97">
        <v>2</v>
      </c>
      <c r="C13" s="97">
        <v>1</v>
      </c>
      <c r="D13" s="93">
        <f t="shared" si="0"/>
        <v>2</v>
      </c>
      <c r="E13" s="97">
        <v>10</v>
      </c>
      <c r="F13" s="94">
        <f t="shared" si="1"/>
        <v>20</v>
      </c>
      <c r="G13" s="94">
        <f t="shared" si="2"/>
        <v>1</v>
      </c>
      <c r="H13" s="94">
        <f t="shared" si="3"/>
        <v>2</v>
      </c>
      <c r="I13" s="95">
        <f t="shared" si="4"/>
        <v>1222.704</v>
      </c>
    </row>
    <row r="14" spans="1:17" ht="15.6" x14ac:dyDescent="0.3">
      <c r="A14" s="96" t="s">
        <v>143</v>
      </c>
      <c r="B14" s="97">
        <v>1</v>
      </c>
      <c r="C14" s="97">
        <v>2</v>
      </c>
      <c r="D14" s="93">
        <f t="shared" si="0"/>
        <v>2</v>
      </c>
      <c r="E14" s="97">
        <v>190</v>
      </c>
      <c r="F14" s="94">
        <f t="shared" si="1"/>
        <v>380</v>
      </c>
      <c r="G14" s="94">
        <f t="shared" si="2"/>
        <v>19</v>
      </c>
      <c r="H14" s="94">
        <f>F14*0.1</f>
        <v>38</v>
      </c>
      <c r="I14" s="95">
        <f t="shared" si="4"/>
        <v>23231.376000000004</v>
      </c>
    </row>
    <row r="15" spans="1:17" x14ac:dyDescent="0.3">
      <c r="A15" s="99" t="s">
        <v>86</v>
      </c>
      <c r="B15" s="100"/>
      <c r="C15" s="100"/>
      <c r="D15" s="100"/>
      <c r="E15" s="100"/>
      <c r="F15" s="137">
        <f>SUM(F5:H14)</f>
        <v>561.20000000000005</v>
      </c>
      <c r="G15" s="138"/>
      <c r="H15" s="139"/>
      <c r="I15" s="101">
        <f>SUM(I5:I14)</f>
        <v>29833.977600000002</v>
      </c>
    </row>
    <row r="16" spans="1:17" x14ac:dyDescent="0.3">
      <c r="A16" s="9"/>
      <c r="B16" s="9"/>
      <c r="C16" s="9"/>
      <c r="D16" s="9"/>
      <c r="E16" s="9"/>
      <c r="F16" s="9"/>
    </row>
    <row r="17" spans="1:12" x14ac:dyDescent="0.3">
      <c r="A17" s="102" t="s">
        <v>46</v>
      </c>
      <c r="B17" s="9"/>
      <c r="C17" s="9"/>
      <c r="D17" s="9"/>
      <c r="E17" s="9"/>
      <c r="F17" s="9"/>
      <c r="G17" s="9"/>
      <c r="H17" s="9"/>
      <c r="I17" s="9"/>
    </row>
    <row r="18" spans="1:12" ht="15.6" x14ac:dyDescent="0.3">
      <c r="A18" s="103" t="s">
        <v>95</v>
      </c>
      <c r="B18" s="9"/>
      <c r="C18" s="9"/>
      <c r="D18" s="9"/>
      <c r="E18" s="9"/>
      <c r="F18" s="9"/>
      <c r="G18" s="9"/>
      <c r="H18" s="9"/>
      <c r="I18" s="9"/>
    </row>
    <row r="19" spans="1:12" ht="53.1" customHeight="1" x14ac:dyDescent="0.3">
      <c r="A19" s="132" t="s">
        <v>96</v>
      </c>
      <c r="B19" s="132"/>
      <c r="C19" s="132"/>
      <c r="D19" s="132"/>
      <c r="E19" s="132"/>
      <c r="F19" s="132"/>
      <c r="G19" s="132"/>
      <c r="H19" s="132"/>
      <c r="I19" s="132"/>
      <c r="J19" s="132"/>
      <c r="K19" s="132"/>
      <c r="L19" s="132"/>
    </row>
    <row r="20" spans="1:12" ht="17.100000000000001" customHeight="1" x14ac:dyDescent="0.3">
      <c r="A20" s="103" t="s">
        <v>126</v>
      </c>
      <c r="B20" s="9"/>
      <c r="C20" s="9"/>
      <c r="D20" s="9"/>
      <c r="E20" s="9"/>
      <c r="F20" s="9"/>
      <c r="G20" s="9"/>
      <c r="H20" s="9"/>
      <c r="I20" s="9"/>
    </row>
    <row r="21" spans="1:12" ht="15.6" x14ac:dyDescent="0.3">
      <c r="A21" s="7" t="s">
        <v>152</v>
      </c>
      <c r="B21" s="9"/>
      <c r="C21" s="9"/>
      <c r="D21" s="9"/>
      <c r="E21" s="9"/>
      <c r="F21" s="9"/>
      <c r="G21" s="9"/>
      <c r="H21" s="9"/>
      <c r="I21" s="9"/>
    </row>
    <row r="22" spans="1:12" ht="15.6" x14ac:dyDescent="0.3">
      <c r="A22" s="7" t="s">
        <v>145</v>
      </c>
      <c r="B22" s="9"/>
      <c r="C22" s="9"/>
      <c r="D22" s="9"/>
      <c r="E22" s="9"/>
      <c r="F22" s="9"/>
      <c r="G22" s="9"/>
      <c r="H22" s="9"/>
      <c r="I22" s="9"/>
    </row>
    <row r="23" spans="1:12" ht="15.6" x14ac:dyDescent="0.3">
      <c r="A23" s="7" t="s">
        <v>144</v>
      </c>
      <c r="B23" s="9"/>
      <c r="C23" s="9"/>
      <c r="D23" s="9"/>
      <c r="E23" s="9"/>
      <c r="F23" s="9"/>
      <c r="G23" s="9"/>
      <c r="H23" s="9"/>
      <c r="I23" s="9"/>
    </row>
    <row r="24" spans="1:12" ht="15.6" x14ac:dyDescent="0.3">
      <c r="A24" s="7" t="s">
        <v>151</v>
      </c>
      <c r="B24" s="9"/>
      <c r="C24" s="9"/>
      <c r="D24" s="9"/>
      <c r="E24" s="9"/>
      <c r="F24" s="9"/>
      <c r="G24" s="9"/>
      <c r="H24" s="9"/>
      <c r="I24" s="9"/>
    </row>
  </sheetData>
  <mergeCells count="2">
    <mergeCell ref="F15:H15"/>
    <mergeCell ref="A19:L19"/>
  </mergeCells>
  <hyperlinks>
    <hyperlink ref="N7" r:id="rId1" xr:uid="{C4CB0606-4A6C-400C-BF57-21B05446163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938C-A19A-47A3-9CD9-3D8B4B49D34A}">
  <dimension ref="B2:F15"/>
  <sheetViews>
    <sheetView topLeftCell="A4" workbookViewId="0">
      <selection activeCell="F15" sqref="F15"/>
    </sheetView>
  </sheetViews>
  <sheetFormatPr defaultRowHeight="14.4" x14ac:dyDescent="0.3"/>
  <cols>
    <col min="2" max="2" width="31.33203125" customWidth="1"/>
    <col min="3" max="3" width="16.109375" customWidth="1"/>
    <col min="4" max="4" width="14.6640625" customWidth="1"/>
    <col min="5" max="6" width="16.109375" customWidth="1"/>
  </cols>
  <sheetData>
    <row r="2" spans="2:6" ht="57" x14ac:dyDescent="0.3">
      <c r="B2" s="113" t="s">
        <v>99</v>
      </c>
      <c r="C2" s="113" t="s">
        <v>100</v>
      </c>
      <c r="D2" s="113" t="s">
        <v>113</v>
      </c>
      <c r="E2" s="113" t="s">
        <v>101</v>
      </c>
      <c r="F2" s="113" t="s">
        <v>102</v>
      </c>
    </row>
    <row r="3" spans="2:6" x14ac:dyDescent="0.3">
      <c r="B3" s="10"/>
      <c r="C3" s="10"/>
      <c r="D3" s="10"/>
      <c r="E3" s="114"/>
      <c r="F3" s="97" t="s">
        <v>103</v>
      </c>
    </row>
    <row r="4" spans="2:6" x14ac:dyDescent="0.3">
      <c r="B4" s="115" t="s">
        <v>104</v>
      </c>
      <c r="C4" s="116">
        <v>190</v>
      </c>
      <c r="D4" s="116">
        <v>1</v>
      </c>
      <c r="E4" s="117">
        <v>0</v>
      </c>
      <c r="F4" s="97">
        <f>C4*D4+E4</f>
        <v>190</v>
      </c>
    </row>
    <row r="5" spans="2:6" x14ac:dyDescent="0.3">
      <c r="B5" s="118" t="s">
        <v>105</v>
      </c>
      <c r="C5" s="97">
        <v>190</v>
      </c>
      <c r="D5" s="97">
        <v>2</v>
      </c>
      <c r="E5" s="97">
        <v>0</v>
      </c>
      <c r="F5" s="97">
        <f>C5*D5+E5</f>
        <v>380</v>
      </c>
    </row>
    <row r="6" spans="2:6" x14ac:dyDescent="0.3">
      <c r="B6" s="118" t="s">
        <v>110</v>
      </c>
      <c r="C6" s="97">
        <v>130</v>
      </c>
      <c r="D6" s="97">
        <v>0.2</v>
      </c>
      <c r="E6" s="97">
        <v>0</v>
      </c>
      <c r="F6" s="97">
        <f t="shared" ref="F6:F8" si="0">C6*D6+E6</f>
        <v>26</v>
      </c>
    </row>
    <row r="7" spans="2:6" x14ac:dyDescent="0.3">
      <c r="B7" s="118" t="s">
        <v>111</v>
      </c>
      <c r="C7" s="97">
        <v>0</v>
      </c>
      <c r="D7" s="97">
        <v>1</v>
      </c>
      <c r="E7" s="97">
        <v>0</v>
      </c>
      <c r="F7" s="97">
        <f t="shared" si="0"/>
        <v>0</v>
      </c>
    </row>
    <row r="8" spans="2:6" x14ac:dyDescent="0.3">
      <c r="B8" s="118" t="s">
        <v>106</v>
      </c>
      <c r="C8" s="97">
        <v>10</v>
      </c>
      <c r="D8" s="97">
        <v>1</v>
      </c>
      <c r="E8" s="97">
        <v>0</v>
      </c>
      <c r="F8" s="97">
        <f t="shared" si="0"/>
        <v>10</v>
      </c>
    </row>
    <row r="9" spans="2:6" x14ac:dyDescent="0.3">
      <c r="B9" s="118" t="s">
        <v>112</v>
      </c>
      <c r="C9" s="97">
        <v>130</v>
      </c>
      <c r="D9" s="97">
        <v>0.2</v>
      </c>
      <c r="E9" s="97">
        <v>0</v>
      </c>
      <c r="F9" s="97">
        <f t="shared" ref="F9" si="1">C9*D9+E9</f>
        <v>26</v>
      </c>
    </row>
    <row r="10" spans="2:6" x14ac:dyDescent="0.3">
      <c r="B10" s="118" t="s">
        <v>109</v>
      </c>
      <c r="C10" s="97">
        <v>0</v>
      </c>
      <c r="D10" s="97">
        <v>1</v>
      </c>
      <c r="E10" s="97">
        <v>0</v>
      </c>
      <c r="F10" s="97">
        <f t="shared" ref="F10" si="2">C10*D10+E10</f>
        <v>0</v>
      </c>
    </row>
    <row r="11" spans="2:6" x14ac:dyDescent="0.3">
      <c r="B11" s="118" t="s">
        <v>107</v>
      </c>
      <c r="C11" s="97">
        <f>10</f>
        <v>10</v>
      </c>
      <c r="D11" s="97">
        <v>1</v>
      </c>
      <c r="E11" s="97">
        <v>0</v>
      </c>
      <c r="F11" s="97">
        <f>C11*D11+E11</f>
        <v>10</v>
      </c>
    </row>
    <row r="12" spans="2:6" x14ac:dyDescent="0.3">
      <c r="B12" s="119"/>
      <c r="C12" s="119"/>
      <c r="D12" s="119"/>
      <c r="E12" s="113" t="s">
        <v>108</v>
      </c>
      <c r="F12" s="120">
        <f>SUM(F4:F11)</f>
        <v>642</v>
      </c>
    </row>
    <row r="15" spans="2:6" x14ac:dyDescent="0.3">
      <c r="E15" t="s">
        <v>147</v>
      </c>
      <c r="F15" s="11">
        <f>Burden_NESHAP_Y!F45/F12</f>
        <v>3.0376479750778813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846D7-4B80-4B13-88CF-D14040500491}">
  <dimension ref="F3:H29"/>
  <sheetViews>
    <sheetView topLeftCell="A14" workbookViewId="0">
      <selection activeCell="G33" sqref="G33"/>
    </sheetView>
  </sheetViews>
  <sheetFormatPr defaultRowHeight="14.4" x14ac:dyDescent="0.3"/>
  <cols>
    <col min="6" max="6" width="13.33203125" customWidth="1"/>
    <col min="7" max="7" width="23.109375" bestFit="1" customWidth="1"/>
  </cols>
  <sheetData>
    <row r="3" spans="6:8" x14ac:dyDescent="0.3">
      <c r="F3" t="s">
        <v>48</v>
      </c>
    </row>
    <row r="4" spans="6:8" x14ac:dyDescent="0.3">
      <c r="F4" t="s">
        <v>51</v>
      </c>
    </row>
    <row r="5" spans="6:8" ht="39.6" x14ac:dyDescent="0.3">
      <c r="F5" s="14" t="s">
        <v>17</v>
      </c>
      <c r="G5" s="14" t="s">
        <v>18</v>
      </c>
      <c r="H5" s="14" t="s">
        <v>19</v>
      </c>
    </row>
    <row r="6" spans="6:8" x14ac:dyDescent="0.3">
      <c r="F6" s="10" t="s">
        <v>26</v>
      </c>
      <c r="G6" s="10" t="s">
        <v>27</v>
      </c>
      <c r="H6" s="59">
        <v>81.239999999999995</v>
      </c>
    </row>
    <row r="7" spans="6:8" x14ac:dyDescent="0.3">
      <c r="F7" s="10" t="s">
        <v>30</v>
      </c>
      <c r="G7" s="10" t="s">
        <v>31</v>
      </c>
      <c r="H7" s="59">
        <v>66.28</v>
      </c>
    </row>
    <row r="8" spans="6:8" x14ac:dyDescent="0.3">
      <c r="F8" s="38" t="s">
        <v>36</v>
      </c>
      <c r="G8" s="10" t="s">
        <v>37</v>
      </c>
      <c r="H8" s="59">
        <v>26.97</v>
      </c>
    </row>
    <row r="9" spans="6:8" x14ac:dyDescent="0.3">
      <c r="F9" s="10" t="s">
        <v>33</v>
      </c>
      <c r="G9" s="38" t="s">
        <v>34</v>
      </c>
      <c r="H9" s="59">
        <v>35.75</v>
      </c>
    </row>
    <row r="10" spans="6:8" x14ac:dyDescent="0.3">
      <c r="F10" s="10" t="s">
        <v>50</v>
      </c>
      <c r="G10" s="10" t="s">
        <v>49</v>
      </c>
      <c r="H10" s="59">
        <v>37.450000000000003</v>
      </c>
    </row>
    <row r="11" spans="6:8" x14ac:dyDescent="0.3">
      <c r="F11" s="27"/>
      <c r="G11" s="27"/>
      <c r="H11" s="27"/>
    </row>
    <row r="12" spans="6:8" x14ac:dyDescent="0.3">
      <c r="F12" t="s">
        <v>48</v>
      </c>
    </row>
    <row r="13" spans="6:8" x14ac:dyDescent="0.3">
      <c r="F13" t="s">
        <v>52</v>
      </c>
    </row>
    <row r="14" spans="6:8" ht="39.6" x14ac:dyDescent="0.3">
      <c r="F14" s="14" t="s">
        <v>17</v>
      </c>
      <c r="G14" s="14" t="s">
        <v>18</v>
      </c>
      <c r="H14" s="14" t="s">
        <v>19</v>
      </c>
    </row>
    <row r="15" spans="6:8" x14ac:dyDescent="0.3">
      <c r="F15" s="10" t="s">
        <v>26</v>
      </c>
      <c r="G15" s="10" t="s">
        <v>27</v>
      </c>
      <c r="H15" s="59">
        <v>79.569999999999993</v>
      </c>
    </row>
    <row r="16" spans="6:8" x14ac:dyDescent="0.3">
      <c r="F16" s="10" t="s">
        <v>30</v>
      </c>
      <c r="G16" s="10" t="s">
        <v>31</v>
      </c>
      <c r="H16" s="59">
        <v>61.3</v>
      </c>
    </row>
    <row r="17" spans="6:8" x14ac:dyDescent="0.3">
      <c r="F17" s="10" t="s">
        <v>36</v>
      </c>
      <c r="G17" s="10" t="s">
        <v>37</v>
      </c>
      <c r="H17" s="59">
        <v>30.48</v>
      </c>
    </row>
    <row r="18" spans="6:8" x14ac:dyDescent="0.3">
      <c r="F18" s="10" t="s">
        <v>33</v>
      </c>
      <c r="G18" s="10" t="s">
        <v>34</v>
      </c>
      <c r="H18" s="59">
        <v>44.65</v>
      </c>
    </row>
    <row r="19" spans="6:8" x14ac:dyDescent="0.3">
      <c r="F19" s="10" t="s">
        <v>50</v>
      </c>
      <c r="G19" s="10" t="s">
        <v>49</v>
      </c>
      <c r="H19" s="59">
        <v>43.38</v>
      </c>
    </row>
    <row r="21" spans="6:8" x14ac:dyDescent="0.3">
      <c r="F21" t="s">
        <v>53</v>
      </c>
    </row>
    <row r="23" spans="6:8" ht="39.6" x14ac:dyDescent="0.3">
      <c r="F23" s="14" t="s">
        <v>17</v>
      </c>
      <c r="G23" s="14" t="s">
        <v>18</v>
      </c>
      <c r="H23" s="14" t="s">
        <v>19</v>
      </c>
    </row>
    <row r="24" spans="6:8" x14ac:dyDescent="0.3">
      <c r="F24" s="10" t="s">
        <v>26</v>
      </c>
      <c r="G24" s="10" t="s">
        <v>27</v>
      </c>
      <c r="H24" s="59">
        <f>ROUND(AVERAGE(H6,H15),2)</f>
        <v>80.41</v>
      </c>
    </row>
    <row r="25" spans="6:8" x14ac:dyDescent="0.3">
      <c r="F25" s="10" t="s">
        <v>30</v>
      </c>
      <c r="G25" s="10" t="s">
        <v>31</v>
      </c>
      <c r="H25" s="59">
        <f>ROUND(AVERAGE(H7,H16),2)</f>
        <v>63.79</v>
      </c>
    </row>
    <row r="26" spans="6:8" x14ac:dyDescent="0.3">
      <c r="F26" s="10" t="s">
        <v>36</v>
      </c>
      <c r="G26" s="10" t="s">
        <v>37</v>
      </c>
      <c r="H26" s="59">
        <f>ROUND(AVERAGE(H8,H17),2)</f>
        <v>28.73</v>
      </c>
    </row>
    <row r="27" spans="6:8" x14ac:dyDescent="0.3">
      <c r="F27" s="10" t="s">
        <v>33</v>
      </c>
      <c r="G27" s="10" t="s">
        <v>34</v>
      </c>
      <c r="H27" s="59">
        <f>ROUND(AVERAGE(H9,H18),2)</f>
        <v>40.200000000000003</v>
      </c>
    </row>
    <row r="28" spans="6:8" x14ac:dyDescent="0.3">
      <c r="F28" s="10" t="s">
        <v>50</v>
      </c>
      <c r="G28" s="10" t="s">
        <v>49</v>
      </c>
      <c r="H28" s="59">
        <f>ROUND(AVERAGE(H10,H19),2)</f>
        <v>40.42</v>
      </c>
    </row>
    <row r="29" spans="6:8" x14ac:dyDescent="0.3">
      <c r="G29" s="38" t="s">
        <v>58</v>
      </c>
      <c r="H29" s="59">
        <f>0.2*H25+0.8*H28</f>
        <v>45.094000000000008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ACEB5CD14E544C890619B1F504DD44" ma:contentTypeVersion="12" ma:contentTypeDescription="Create a new document." ma:contentTypeScope="" ma:versionID="7885eb2a9d71f4f3de64996143593645">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d6563f2-84fd-49bb-ba49-e16e67e66c70" xmlns:ns6="88ca8544-bb20-4614-9b73-bf8401c81147" targetNamespace="http://schemas.microsoft.com/office/2006/metadata/properties" ma:root="true" ma:fieldsID="ec2196ef3727cc2b6ab09906bcc1f931" ns1:_="" ns2:_="" ns3:_="" ns4:_="" ns5:_="" ns6:_="">
    <xsd:import namespace="http://schemas.microsoft.com/sharepoint/v3"/>
    <xsd:import namespace="4ffa91fb-a0ff-4ac5-b2db-65c790d184a4"/>
    <xsd:import namespace="http://schemas.microsoft.com/sharepoint.v3"/>
    <xsd:import namespace="http://schemas.microsoft.com/sharepoint/v3/fields"/>
    <xsd:import namespace="bd6563f2-84fd-49bb-ba49-e16e67e66c70"/>
    <xsd:import namespace="88ca8544-bb20-4614-9b73-bf8401c81147"/>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MediaServiceSearchProperties" minOccurs="0"/>
                <xsd:element ref="ns5:MediaServiceDateTaken" minOccurs="0"/>
                <xsd:element ref="ns5:MediaServiceGenerationTime" minOccurs="0"/>
                <xsd:element ref="ns5:MediaServiceEventHashCode"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2416a9ae-61a2-4525-842e-f75ab01c9399}" ma:internalName="TaxCatchAllLabel" ma:readOnly="true" ma:showField="CatchAllDataLabel" ma:web="88ca8544-bb20-4614-9b73-bf8401c81147">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2416a9ae-61a2-4525-842e-f75ab01c9399}" ma:internalName="TaxCatchAll" ma:showField="CatchAllData" ma:web="88ca8544-bb20-4614-9b73-bf8401c8114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6563f2-84fd-49bb-ba49-e16e67e66c7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DateTaken" ma:index="34" nillable="true" ma:displayName="MediaServiceDateTaken" ma:hidden="true" ma:indexed="true" ma:internalName="MediaServiceDateTake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ca8544-bb20-4614-9b73-bf8401c81147"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Document_x0020_Creation_x0020_Date xmlns="4ffa91fb-a0ff-4ac5-b2db-65c790d184a4">2025-10-20T18:51:58+00:00</Document_x0020_Creation_x0020_Date>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1E4A78E8-8DCF-45A5-AE02-83B52E3FCC0A}">
  <ds:schemaRefs>
    <ds:schemaRef ds:uri="http://schemas.microsoft.com/sharepoint/v3/contenttype/forms"/>
  </ds:schemaRefs>
</ds:datastoreItem>
</file>

<file path=customXml/itemProps2.xml><?xml version="1.0" encoding="utf-8"?>
<ds:datastoreItem xmlns:ds="http://schemas.openxmlformats.org/officeDocument/2006/customXml" ds:itemID="{17260016-FDAA-4735-952A-F3C04BD15F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bd6563f2-84fd-49bb-ba49-e16e67e66c70"/>
    <ds:schemaRef ds:uri="88ca8544-bb20-4614-9b73-bf8401c811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E700E5-66BE-4EE7-A466-25EB2BCA5DE7}">
  <ds:schemaRefs>
    <ds:schemaRef ds:uri="Microsoft.SharePoint.Taxonomy.ContentTypeSync"/>
  </ds:schemaRefs>
</ds:datastoreItem>
</file>

<file path=customXml/itemProps4.xml><?xml version="1.0" encoding="utf-8"?>
<ds:datastoreItem xmlns:ds="http://schemas.openxmlformats.org/officeDocument/2006/customXml" ds:itemID="{704C057B-030E-4C45-9233-4B805FA8A0D6}">
  <ds:schemaRefs>
    <ds:schemaRef ds:uri="http://schemas.microsoft.com/office/2006/metadata/properties"/>
    <ds:schemaRef ds:uri="http://schemas.microsoft.com/office/infopath/2007/PartnerControls"/>
    <ds:schemaRef ds:uri="4ffa91fb-a0ff-4ac5-b2db-65c790d184a4"/>
    <ds:schemaRef ds:uri="http://schemas.microsoft.com/sharepoint/v3/fields"/>
    <ds:schemaRef ds:uri="http://schemas.microsoft.com/sharepoint/v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Burden_NESHAP_Y</vt:lpstr>
      <vt:lpstr>EPA_Burden</vt:lpstr>
      <vt:lpstr>No_Respondents</vt:lpstr>
      <vt:lpstr>LaborRates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2025-10-20T20:11:58Z</dcterms:created>
  <dcterms:modified xsi:type="dcterms:W3CDTF">2026-01-12T18:52:50Z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Document_x0020_Type">
    <vt:lpwstr/>
  </property>
  <property fmtid="{D5CDD505-2E9C-101B-9397-08002B2CF9AE}" pid="4" name="MediaServiceImageTags">
    <vt:lpwstr/>
  </property>
  <property fmtid="{D5CDD505-2E9C-101B-9397-08002B2CF9AE}" pid="5" name="ContentTypeId">
    <vt:lpwstr>0x01010089ACEB5CD14E544C890619B1F504DD44</vt:lpwstr>
  </property>
  <property fmtid="{D5CDD505-2E9C-101B-9397-08002B2CF9AE}" pid="6" name="e3f09c3df709400db2417a7161762d62">
    <vt:lpwstr/>
  </property>
  <property fmtid="{D5CDD505-2E9C-101B-9397-08002B2CF9AE}" pid="7" name="EPA Subject">
    <vt:lpwstr/>
  </property>
  <property fmtid="{D5CDD505-2E9C-101B-9397-08002B2CF9AE}" pid="8" name="EPA_x0020_Subject">
    <vt:lpwstr/>
  </property>
  <property fmtid="{D5CDD505-2E9C-101B-9397-08002B2CF9AE}" pid="9" name="Document Type">
    <vt:lpwstr/>
  </property>
  <property fmtid="{D5CDD505-2E9C-101B-9397-08002B2CF9AE}" pid="10" name="_docset_NoMedatataSyncRequired">
    <vt:lpwstr>True</vt:lpwstr>
  </property>
</Properties>
</file>