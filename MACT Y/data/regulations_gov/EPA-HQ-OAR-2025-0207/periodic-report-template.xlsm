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defaultThemeVersion="166925"/>
  <mc:AlternateContent xmlns:mc="http://schemas.openxmlformats.org/markup-compatibility/2006">
    <mc:Choice Requires="x15">
      <x15ac:absPath xmlns:x15ac="http://schemas.microsoft.com/office/spreadsheetml/2010/11/ac" url="\\rtifile02\ehe\Projects\0217382-EPA_MME\0217382.050-Ref-Dist-Tanks\Technical_Record\MVL\Proposal Docket\"/>
    </mc:Choice>
  </mc:AlternateContent>
  <xr:revisionPtr revIDLastSave="0" documentId="8_{FF414C5D-6456-4BC3-A004-2FBE0974F940}" xr6:coauthVersionLast="47" xr6:coauthVersionMax="47" xr10:uidLastSave="{00000000-0000-0000-0000-000000000000}"/>
  <bookViews>
    <workbookView xWindow="-28920" yWindow="-120" windowWidth="29040" windowHeight="15720" xr2:uid="{04CED7B6-5B6B-4BFB-B811-1E1FA3F6AACA}"/>
  </bookViews>
  <sheets>
    <sheet name="Welcome" sheetId="32" r:id="rId1"/>
    <sheet name="Company_Information" sheetId="2" r:id="rId2"/>
    <sheet name="CMS_Identification" sheetId="3" r:id="rId3"/>
    <sheet name="CMS_Deviation" sheetId="42" r:id="rId4"/>
    <sheet name="CMS_Downtime" sheetId="4" r:id="rId5"/>
    <sheet name="Regulated Commodity Loading" sheetId="39" r:id="rId6"/>
    <sheet name="Leak Inspection" sheetId="33" r:id="rId7"/>
    <sheet name="Flares" sheetId="41" r:id="rId8"/>
    <sheet name="Bypass" sheetId="44" r:id="rId9"/>
    <sheet name="Revisions" sheetId="36" r:id="rId10"/>
    <sheet name="Worksheet Map" sheetId="37" r:id="rId11"/>
    <sheet name="Lists" sheetId="30" r:id="rId12"/>
  </sheets>
  <definedNames>
    <definedName name="CMS">OFFSET(Lists!$M$2,0,0,SUMPRODUCT(--(Lists!$M$2:$M$501&lt;&gt;"")),1)</definedName>
    <definedName name="HUUUnits" localSheetId="3">OFFSET(#REF!,0,0,SUMPRODUCT(--(#REF!&lt;&gt;"")),1)</definedName>
    <definedName name="HUUUnits" localSheetId="7">OFFSET(#REF!,0,0,SUMPRODUCT(--(#REF!&lt;&gt;"")),1)</definedName>
    <definedName name="HUUUnits">OFFSET(Lists!#REF!,0,0,SUMPRODUCT(--(Lists!#REF!&lt;&gt;"")),1)</definedName>
    <definedName name="_xlnm.Print_Titles" localSheetId="8">Bypass!$12:$12</definedName>
    <definedName name="_xlnm.Print_Titles" localSheetId="3">CMS_Deviation!$11:$12</definedName>
    <definedName name="_xlnm.Print_Titles" localSheetId="4">CMS_Downtime!$11:$12</definedName>
    <definedName name="_xlnm.Print_Titles" localSheetId="2">CMS_Identification!$12:$12</definedName>
    <definedName name="_xlnm.Print_Titles" localSheetId="1">Company_Information!$12:$12</definedName>
    <definedName name="_xlnm.Print_Titles" localSheetId="7">Flares!$11:$12</definedName>
    <definedName name="_xlnm.Print_Titles" localSheetId="6">'Leak Inspection'!$11:$12</definedName>
    <definedName name="_xlnm.Print_Titles" localSheetId="5">'Regulated Commodity Loading'!$12:$12</definedName>
    <definedName name="Sites" localSheetId="8">OFFSET(Lists!$C$2,0,0,SUMPRODUCT(--(Table13[CompanyList]&lt;&gt;"")),1)</definedName>
    <definedName name="Sites" localSheetId="3">OFFSET(#REF!,0,0,SUMPRODUCT(--(#REF!&lt;&gt;"")),1)</definedName>
    <definedName name="Sites" localSheetId="7">OFFSET(#REF!,0,0,SUMPRODUCT(--(#REF!&lt;&gt;"")),1)</definedName>
    <definedName name="Sites" localSheetId="5">OFFSET(Lists!$C$2,0,0,SUMPRODUCT(--(Table13[CompanyList]&lt;&gt;"")),1)</definedName>
    <definedName name="Sites">OFFSET(Lists!$C$2,0,0,SUMPRODUCT(--(Table13[CompanyList]&lt;&gt;"")),1)</definedName>
    <definedName name="TTUnits" localSheetId="3">OFFSET(#REF!,0,0,SUMPRODUCT(--(#REF!&lt;&gt;"")),1)</definedName>
    <definedName name="TTUnits" localSheetId="7">OFFSET(#REF!,0,0,SUMPRODUCT(--(#REF!&lt;&gt;"")),1)</definedName>
    <definedName name="TTUnits">OFFSET(Lists!#REF!,0,0,SUMPRODUCT(--(Lists!#REF!&lt;&gt;"")),1)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23" i="42" l="1"/>
  <c r="B1022" i="42"/>
  <c r="B1001" i="42"/>
  <c r="B1002" i="42"/>
  <c r="B1003" i="42"/>
  <c r="B1004" i="42"/>
  <c r="B1005" i="42"/>
  <c r="B1006" i="42"/>
  <c r="B1007" i="42"/>
  <c r="B1008" i="42"/>
  <c r="B1009" i="42"/>
  <c r="B1010" i="42"/>
  <c r="B1011" i="42"/>
  <c r="B1012" i="42"/>
  <c r="B1013" i="42"/>
  <c r="B1014" i="42"/>
  <c r="B1015" i="42"/>
  <c r="B1016" i="42"/>
  <c r="B1017" i="42"/>
  <c r="B1018" i="42"/>
  <c r="B1019" i="42"/>
  <c r="B1020" i="42"/>
  <c r="B1021" i="42"/>
  <c r="B985" i="42"/>
  <c r="B986" i="42"/>
  <c r="B987" i="42"/>
  <c r="B988" i="42"/>
  <c r="B989" i="42"/>
  <c r="B990" i="42"/>
  <c r="B991" i="42"/>
  <c r="B992" i="42"/>
  <c r="B993" i="42"/>
  <c r="B994" i="42"/>
  <c r="B995" i="42"/>
  <c r="B996" i="42"/>
  <c r="B997" i="42"/>
  <c r="B998" i="42"/>
  <c r="B999" i="42"/>
  <c r="B1000" i="42"/>
  <c r="B600" i="42"/>
  <c r="B601" i="42"/>
  <c r="B602" i="42"/>
  <c r="B603" i="42"/>
  <c r="B604" i="42"/>
  <c r="B605" i="42"/>
  <c r="B606" i="42"/>
  <c r="B607" i="42"/>
  <c r="B608" i="42"/>
  <c r="B609" i="42"/>
  <c r="B610" i="42"/>
  <c r="B611" i="42"/>
  <c r="B612" i="42"/>
  <c r="B613" i="42"/>
  <c r="B614" i="42"/>
  <c r="B615" i="42"/>
  <c r="B616" i="42"/>
  <c r="B617" i="42"/>
  <c r="B618" i="42"/>
  <c r="B619" i="42"/>
  <c r="B620" i="42"/>
  <c r="B621" i="42"/>
  <c r="B622" i="42"/>
  <c r="B623" i="42"/>
  <c r="B624" i="42"/>
  <c r="B625" i="42"/>
  <c r="B626" i="42"/>
  <c r="B627" i="42"/>
  <c r="B628" i="42"/>
  <c r="B629" i="42"/>
  <c r="B630" i="42"/>
  <c r="B631" i="42"/>
  <c r="B632" i="42"/>
  <c r="B633" i="42"/>
  <c r="B634" i="42"/>
  <c r="B635" i="42"/>
  <c r="B636" i="42"/>
  <c r="B637" i="42"/>
  <c r="B638" i="42"/>
  <c r="B639" i="42"/>
  <c r="B640" i="42"/>
  <c r="B641" i="42"/>
  <c r="B642" i="42"/>
  <c r="B643" i="42"/>
  <c r="B644" i="42"/>
  <c r="B645" i="42"/>
  <c r="B646" i="42"/>
  <c r="B647" i="42"/>
  <c r="B648" i="42"/>
  <c r="B649" i="42"/>
  <c r="B650" i="42"/>
  <c r="B651" i="42"/>
  <c r="B652" i="42"/>
  <c r="B653" i="42"/>
  <c r="B654" i="42"/>
  <c r="B655" i="42"/>
  <c r="B656" i="42"/>
  <c r="B657" i="42"/>
  <c r="B658" i="42"/>
  <c r="B659" i="42"/>
  <c r="B660" i="42"/>
  <c r="B661" i="42"/>
  <c r="B662" i="42"/>
  <c r="B663" i="42"/>
  <c r="B664" i="42"/>
  <c r="B665" i="42"/>
  <c r="B666" i="42"/>
  <c r="B667" i="42"/>
  <c r="B668" i="42"/>
  <c r="B669" i="42"/>
  <c r="B670" i="42"/>
  <c r="B671" i="42"/>
  <c r="B672" i="42"/>
  <c r="B673" i="42"/>
  <c r="B674" i="42"/>
  <c r="B675" i="42"/>
  <c r="B676" i="42"/>
  <c r="B677" i="42"/>
  <c r="B678" i="42"/>
  <c r="B679" i="42"/>
  <c r="B680" i="42"/>
  <c r="B681" i="42"/>
  <c r="B682" i="42"/>
  <c r="B683" i="42"/>
  <c r="B684" i="42"/>
  <c r="B685" i="42"/>
  <c r="B686" i="42"/>
  <c r="B687" i="42"/>
  <c r="B688" i="42"/>
  <c r="B689" i="42"/>
  <c r="B690" i="42"/>
  <c r="B691" i="42"/>
  <c r="B692" i="42"/>
  <c r="B693" i="42"/>
  <c r="B694" i="42"/>
  <c r="B695" i="42"/>
  <c r="B696" i="42"/>
  <c r="B697" i="42"/>
  <c r="B698" i="42"/>
  <c r="B699" i="42"/>
  <c r="B700" i="42"/>
  <c r="B701" i="42"/>
  <c r="B702" i="42"/>
  <c r="B703" i="42"/>
  <c r="B704" i="42"/>
  <c r="B705" i="42"/>
  <c r="B706" i="42"/>
  <c r="B707" i="42"/>
  <c r="B708" i="42"/>
  <c r="B709" i="42"/>
  <c r="B710" i="42"/>
  <c r="B711" i="42"/>
  <c r="B712" i="42"/>
  <c r="B713" i="42"/>
  <c r="B714" i="42"/>
  <c r="B715" i="42"/>
  <c r="B716" i="42"/>
  <c r="B717" i="42"/>
  <c r="B718" i="42"/>
  <c r="B719" i="42"/>
  <c r="B720" i="42"/>
  <c r="B721" i="42"/>
  <c r="B722" i="42"/>
  <c r="B723" i="42"/>
  <c r="B724" i="42"/>
  <c r="B725" i="42"/>
  <c r="B726" i="42"/>
  <c r="B727" i="42"/>
  <c r="B728" i="42"/>
  <c r="B729" i="42"/>
  <c r="B730" i="42"/>
  <c r="B731" i="42"/>
  <c r="B732" i="42"/>
  <c r="B733" i="42"/>
  <c r="B734" i="42"/>
  <c r="B735" i="42"/>
  <c r="B736" i="42"/>
  <c r="B737" i="42"/>
  <c r="B738" i="42"/>
  <c r="B739" i="42"/>
  <c r="B740" i="42"/>
  <c r="B741" i="42"/>
  <c r="B742" i="42"/>
  <c r="B743" i="42"/>
  <c r="B744" i="42"/>
  <c r="B745" i="42"/>
  <c r="B746" i="42"/>
  <c r="B747" i="42"/>
  <c r="B748" i="42"/>
  <c r="B749" i="42"/>
  <c r="B750" i="42"/>
  <c r="B751" i="42"/>
  <c r="B752" i="42"/>
  <c r="B753" i="42"/>
  <c r="B754" i="42"/>
  <c r="B755" i="42"/>
  <c r="B756" i="42"/>
  <c r="B757" i="42"/>
  <c r="B758" i="42"/>
  <c r="B759" i="42"/>
  <c r="B760" i="42"/>
  <c r="B761" i="42"/>
  <c r="B762" i="42"/>
  <c r="B763" i="42"/>
  <c r="B764" i="42"/>
  <c r="B765" i="42"/>
  <c r="B766" i="42"/>
  <c r="B767" i="42"/>
  <c r="B768" i="42"/>
  <c r="B769" i="42"/>
  <c r="B770" i="42"/>
  <c r="B771" i="42"/>
  <c r="B772" i="42"/>
  <c r="B773" i="42"/>
  <c r="B774" i="42"/>
  <c r="B775" i="42"/>
  <c r="B776" i="42"/>
  <c r="B777" i="42"/>
  <c r="B778" i="42"/>
  <c r="B779" i="42"/>
  <c r="B780" i="42"/>
  <c r="B781" i="42"/>
  <c r="B782" i="42"/>
  <c r="B783" i="42"/>
  <c r="B784" i="42"/>
  <c r="B785" i="42"/>
  <c r="B786" i="42"/>
  <c r="B787" i="42"/>
  <c r="B788" i="42"/>
  <c r="B789" i="42"/>
  <c r="B790" i="42"/>
  <c r="B791" i="42"/>
  <c r="B792" i="42"/>
  <c r="B793" i="42"/>
  <c r="B794" i="42"/>
  <c r="B795" i="42"/>
  <c r="B796" i="42"/>
  <c r="B797" i="42"/>
  <c r="B798" i="42"/>
  <c r="B799" i="42"/>
  <c r="B800" i="42"/>
  <c r="B801" i="42"/>
  <c r="B802" i="42"/>
  <c r="B803" i="42"/>
  <c r="B804" i="42"/>
  <c r="B805" i="42"/>
  <c r="B806" i="42"/>
  <c r="B807" i="42"/>
  <c r="B808" i="42"/>
  <c r="B809" i="42"/>
  <c r="B810" i="42"/>
  <c r="B811" i="42"/>
  <c r="B812" i="42"/>
  <c r="B813" i="42"/>
  <c r="B814" i="42"/>
  <c r="B815" i="42"/>
  <c r="B816" i="42"/>
  <c r="B817" i="42"/>
  <c r="B818" i="42"/>
  <c r="B819" i="42"/>
  <c r="B820" i="42"/>
  <c r="B821" i="42"/>
  <c r="B822" i="42"/>
  <c r="B823" i="42"/>
  <c r="B824" i="42"/>
  <c r="B825" i="42"/>
  <c r="B826" i="42"/>
  <c r="B827" i="42"/>
  <c r="B828" i="42"/>
  <c r="B829" i="42"/>
  <c r="B830" i="42"/>
  <c r="B831" i="42"/>
  <c r="B832" i="42"/>
  <c r="B833" i="42"/>
  <c r="B834" i="42"/>
  <c r="B835" i="42"/>
  <c r="B836" i="42"/>
  <c r="B837" i="42"/>
  <c r="B838" i="42"/>
  <c r="B839" i="42"/>
  <c r="B840" i="42"/>
  <c r="B841" i="42"/>
  <c r="B842" i="42"/>
  <c r="B843" i="42"/>
  <c r="B844" i="42"/>
  <c r="B845" i="42"/>
  <c r="B846" i="42"/>
  <c r="B847" i="42"/>
  <c r="B848" i="42"/>
  <c r="B849" i="42"/>
  <c r="B850" i="42"/>
  <c r="B851" i="42"/>
  <c r="B852" i="42"/>
  <c r="B853" i="42"/>
  <c r="B854" i="42"/>
  <c r="B855" i="42"/>
  <c r="B856" i="42"/>
  <c r="B857" i="42"/>
  <c r="B858" i="42"/>
  <c r="B859" i="42"/>
  <c r="B860" i="42"/>
  <c r="B861" i="42"/>
  <c r="B862" i="42"/>
  <c r="B863" i="42"/>
  <c r="B864" i="42"/>
  <c r="B865" i="42"/>
  <c r="B866" i="42"/>
  <c r="B867" i="42"/>
  <c r="B868" i="42"/>
  <c r="B869" i="42"/>
  <c r="B870" i="42"/>
  <c r="B871" i="42"/>
  <c r="B872" i="42"/>
  <c r="B873" i="42"/>
  <c r="B874" i="42"/>
  <c r="B875" i="42"/>
  <c r="B876" i="42"/>
  <c r="B877" i="42"/>
  <c r="B878" i="42"/>
  <c r="B879" i="42"/>
  <c r="B880" i="42"/>
  <c r="B881" i="42"/>
  <c r="B882" i="42"/>
  <c r="B883" i="42"/>
  <c r="B884" i="42"/>
  <c r="B885" i="42"/>
  <c r="B886" i="42"/>
  <c r="B887" i="42"/>
  <c r="B888" i="42"/>
  <c r="B889" i="42"/>
  <c r="B890" i="42"/>
  <c r="B891" i="42"/>
  <c r="B892" i="42"/>
  <c r="B893" i="42"/>
  <c r="B894" i="42"/>
  <c r="B895" i="42"/>
  <c r="B896" i="42"/>
  <c r="B897" i="42"/>
  <c r="B898" i="42"/>
  <c r="B899" i="42"/>
  <c r="B900" i="42"/>
  <c r="B901" i="42"/>
  <c r="B902" i="42"/>
  <c r="B903" i="42"/>
  <c r="B904" i="42"/>
  <c r="B905" i="42"/>
  <c r="B906" i="42"/>
  <c r="B907" i="42"/>
  <c r="B908" i="42"/>
  <c r="B909" i="42"/>
  <c r="B910" i="42"/>
  <c r="B911" i="42"/>
  <c r="B912" i="42"/>
  <c r="B913" i="42"/>
  <c r="B914" i="42"/>
  <c r="B915" i="42"/>
  <c r="B916" i="42"/>
  <c r="B917" i="42"/>
  <c r="B918" i="42"/>
  <c r="B919" i="42"/>
  <c r="B920" i="42"/>
  <c r="B921" i="42"/>
  <c r="B922" i="42"/>
  <c r="B923" i="42"/>
  <c r="B924" i="42"/>
  <c r="B925" i="42"/>
  <c r="B926" i="42"/>
  <c r="B927" i="42"/>
  <c r="B928" i="42"/>
  <c r="B929" i="42"/>
  <c r="B930" i="42"/>
  <c r="B931" i="42"/>
  <c r="B932" i="42"/>
  <c r="B933" i="42"/>
  <c r="B934" i="42"/>
  <c r="B935" i="42"/>
  <c r="B936" i="42"/>
  <c r="B937" i="42"/>
  <c r="B938" i="42"/>
  <c r="B939" i="42"/>
  <c r="B940" i="42"/>
  <c r="B941" i="42"/>
  <c r="B942" i="42"/>
  <c r="B943" i="42"/>
  <c r="B944" i="42"/>
  <c r="B945" i="42"/>
  <c r="B946" i="42"/>
  <c r="B947" i="42"/>
  <c r="B948" i="42"/>
  <c r="B949" i="42"/>
  <c r="B950" i="42"/>
  <c r="B951" i="42"/>
  <c r="B952" i="42"/>
  <c r="B953" i="42"/>
  <c r="B954" i="42"/>
  <c r="B955" i="42"/>
  <c r="B956" i="42"/>
  <c r="B957" i="42"/>
  <c r="B958" i="42"/>
  <c r="B959" i="42"/>
  <c r="B960" i="42"/>
  <c r="B961" i="42"/>
  <c r="B962" i="42"/>
  <c r="B963" i="42"/>
  <c r="B964" i="42"/>
  <c r="B965" i="42"/>
  <c r="B966" i="42"/>
  <c r="B967" i="42"/>
  <c r="B968" i="42"/>
  <c r="B969" i="42"/>
  <c r="B970" i="42"/>
  <c r="B971" i="42"/>
  <c r="B972" i="42"/>
  <c r="B973" i="42"/>
  <c r="B974" i="42"/>
  <c r="B975" i="42"/>
  <c r="B976" i="42"/>
  <c r="B977" i="42"/>
  <c r="B978" i="42"/>
  <c r="B979" i="42"/>
  <c r="B980" i="42"/>
  <c r="B981" i="42"/>
  <c r="B982" i="42"/>
  <c r="B983" i="42"/>
  <c r="B984" i="42"/>
  <c r="B400" i="42"/>
  <c r="B401" i="42"/>
  <c r="B402" i="42"/>
  <c r="B403" i="42"/>
  <c r="B404" i="42"/>
  <c r="B405" i="42"/>
  <c r="B406" i="42"/>
  <c r="B407" i="42"/>
  <c r="B408" i="42"/>
  <c r="B409" i="42"/>
  <c r="B410" i="42"/>
  <c r="B411" i="42"/>
  <c r="B412" i="42"/>
  <c r="B413" i="42"/>
  <c r="B414" i="42"/>
  <c r="B415" i="42"/>
  <c r="B416" i="42"/>
  <c r="B417" i="42"/>
  <c r="B418" i="42"/>
  <c r="B419" i="42"/>
  <c r="B420" i="42"/>
  <c r="B421" i="42"/>
  <c r="B422" i="42"/>
  <c r="B423" i="42"/>
  <c r="B424" i="42"/>
  <c r="B425" i="42"/>
  <c r="B426" i="42"/>
  <c r="B427" i="42"/>
  <c r="B428" i="42"/>
  <c r="B429" i="42"/>
  <c r="B430" i="42"/>
  <c r="B431" i="42"/>
  <c r="B432" i="42"/>
  <c r="B433" i="42"/>
  <c r="B434" i="42"/>
  <c r="B435" i="42"/>
  <c r="B436" i="42"/>
  <c r="B437" i="42"/>
  <c r="B438" i="42"/>
  <c r="B439" i="42"/>
  <c r="B440" i="42"/>
  <c r="B441" i="42"/>
  <c r="B442" i="42"/>
  <c r="B443" i="42"/>
  <c r="B444" i="42"/>
  <c r="B445" i="42"/>
  <c r="B446" i="42"/>
  <c r="B447" i="42"/>
  <c r="B448" i="42"/>
  <c r="B449" i="42"/>
  <c r="B450" i="42"/>
  <c r="B451" i="42"/>
  <c r="B452" i="42"/>
  <c r="B453" i="42"/>
  <c r="B454" i="42"/>
  <c r="B455" i="42"/>
  <c r="B456" i="42"/>
  <c r="B457" i="42"/>
  <c r="B458" i="42"/>
  <c r="B459" i="42"/>
  <c r="B460" i="42"/>
  <c r="B461" i="42"/>
  <c r="B462" i="42"/>
  <c r="B463" i="42"/>
  <c r="B464" i="42"/>
  <c r="B465" i="42"/>
  <c r="B466" i="42"/>
  <c r="B467" i="42"/>
  <c r="B468" i="42"/>
  <c r="B469" i="42"/>
  <c r="B470" i="42"/>
  <c r="B471" i="42"/>
  <c r="B472" i="42"/>
  <c r="B473" i="42"/>
  <c r="B474" i="42"/>
  <c r="B475" i="42"/>
  <c r="B476" i="42"/>
  <c r="B477" i="42"/>
  <c r="B478" i="42"/>
  <c r="B479" i="42"/>
  <c r="B480" i="42"/>
  <c r="B481" i="42"/>
  <c r="B482" i="42"/>
  <c r="B483" i="42"/>
  <c r="B484" i="42"/>
  <c r="B485" i="42"/>
  <c r="B486" i="42"/>
  <c r="B487" i="42"/>
  <c r="B488" i="42"/>
  <c r="B489" i="42"/>
  <c r="B490" i="42"/>
  <c r="B491" i="42"/>
  <c r="B492" i="42"/>
  <c r="B493" i="42"/>
  <c r="B494" i="42"/>
  <c r="B495" i="42"/>
  <c r="B496" i="42"/>
  <c r="B497" i="42"/>
  <c r="B498" i="42"/>
  <c r="B499" i="42"/>
  <c r="B500" i="42"/>
  <c r="B501" i="42"/>
  <c r="B502" i="42"/>
  <c r="B503" i="42"/>
  <c r="B504" i="42"/>
  <c r="B505" i="42"/>
  <c r="B506" i="42"/>
  <c r="B507" i="42"/>
  <c r="B508" i="42"/>
  <c r="B509" i="42"/>
  <c r="B510" i="42"/>
  <c r="B511" i="42"/>
  <c r="B512" i="42"/>
  <c r="B513" i="42"/>
  <c r="B514" i="42"/>
  <c r="B515" i="42"/>
  <c r="B516" i="42"/>
  <c r="B517" i="42"/>
  <c r="B518" i="42"/>
  <c r="B519" i="42"/>
  <c r="B520" i="42"/>
  <c r="B521" i="42"/>
  <c r="B522" i="42"/>
  <c r="B523" i="42"/>
  <c r="B524" i="42"/>
  <c r="B525" i="42"/>
  <c r="B526" i="42"/>
  <c r="B527" i="42"/>
  <c r="B528" i="42"/>
  <c r="B529" i="42"/>
  <c r="B530" i="42"/>
  <c r="B531" i="42"/>
  <c r="B532" i="42"/>
  <c r="B533" i="42"/>
  <c r="B534" i="42"/>
  <c r="B535" i="42"/>
  <c r="B536" i="42"/>
  <c r="B537" i="42"/>
  <c r="B538" i="42"/>
  <c r="B539" i="42"/>
  <c r="B540" i="42"/>
  <c r="B541" i="42"/>
  <c r="B542" i="42"/>
  <c r="B543" i="42"/>
  <c r="B544" i="42"/>
  <c r="B545" i="42"/>
  <c r="B546" i="42"/>
  <c r="B547" i="42"/>
  <c r="B548" i="42"/>
  <c r="B549" i="42"/>
  <c r="B550" i="42"/>
  <c r="B551" i="42"/>
  <c r="B552" i="42"/>
  <c r="B553" i="42"/>
  <c r="B554" i="42"/>
  <c r="B555" i="42"/>
  <c r="B556" i="42"/>
  <c r="B557" i="42"/>
  <c r="B558" i="42"/>
  <c r="B559" i="42"/>
  <c r="B560" i="42"/>
  <c r="B561" i="42"/>
  <c r="B562" i="42"/>
  <c r="B563" i="42"/>
  <c r="B564" i="42"/>
  <c r="B565" i="42"/>
  <c r="B566" i="42"/>
  <c r="B567" i="42"/>
  <c r="B568" i="42"/>
  <c r="B569" i="42"/>
  <c r="B570" i="42"/>
  <c r="B571" i="42"/>
  <c r="B572" i="42"/>
  <c r="B573" i="42"/>
  <c r="B574" i="42"/>
  <c r="B575" i="42"/>
  <c r="B576" i="42"/>
  <c r="B577" i="42"/>
  <c r="B578" i="42"/>
  <c r="B579" i="42"/>
  <c r="B580" i="42"/>
  <c r="B581" i="42"/>
  <c r="B582" i="42"/>
  <c r="B583" i="42"/>
  <c r="B584" i="42"/>
  <c r="B585" i="42"/>
  <c r="B586" i="42"/>
  <c r="B587" i="42"/>
  <c r="B588" i="42"/>
  <c r="B589" i="42"/>
  <c r="B590" i="42"/>
  <c r="B591" i="42"/>
  <c r="B592" i="42"/>
  <c r="B593" i="42"/>
  <c r="B594" i="42"/>
  <c r="B595" i="42"/>
  <c r="B596" i="42"/>
  <c r="B597" i="42"/>
  <c r="B598" i="42"/>
  <c r="B599" i="42"/>
  <c r="B321" i="42"/>
  <c r="B322" i="42"/>
  <c r="B323" i="42"/>
  <c r="B324" i="42"/>
  <c r="B325" i="42"/>
  <c r="B326" i="42"/>
  <c r="B327" i="42"/>
  <c r="B328" i="42"/>
  <c r="B329" i="42"/>
  <c r="B330" i="42"/>
  <c r="B331" i="42"/>
  <c r="B332" i="42"/>
  <c r="B333" i="42"/>
  <c r="B334" i="42"/>
  <c r="B335" i="42"/>
  <c r="B336" i="42"/>
  <c r="B337" i="42"/>
  <c r="B338" i="42"/>
  <c r="B339" i="42"/>
  <c r="B340" i="42"/>
  <c r="B341" i="42"/>
  <c r="B342" i="42"/>
  <c r="B343" i="42"/>
  <c r="B344" i="42"/>
  <c r="B345" i="42"/>
  <c r="B346" i="42"/>
  <c r="B347" i="42"/>
  <c r="B348" i="42"/>
  <c r="B349" i="42"/>
  <c r="B350" i="42"/>
  <c r="B351" i="42"/>
  <c r="B352" i="42"/>
  <c r="B353" i="42"/>
  <c r="B354" i="42"/>
  <c r="B355" i="42"/>
  <c r="B356" i="42"/>
  <c r="B357" i="42"/>
  <c r="B358" i="42"/>
  <c r="B359" i="42"/>
  <c r="B360" i="42"/>
  <c r="B361" i="42"/>
  <c r="B362" i="42"/>
  <c r="B363" i="42"/>
  <c r="B364" i="42"/>
  <c r="B365" i="42"/>
  <c r="B366" i="42"/>
  <c r="B367" i="42"/>
  <c r="B368" i="42"/>
  <c r="B369" i="42"/>
  <c r="B370" i="42"/>
  <c r="B371" i="42"/>
  <c r="B372" i="42"/>
  <c r="B373" i="42"/>
  <c r="B374" i="42"/>
  <c r="B375" i="42"/>
  <c r="B376" i="42"/>
  <c r="B377" i="42"/>
  <c r="B378" i="42"/>
  <c r="B379" i="42"/>
  <c r="B380" i="42"/>
  <c r="B381" i="42"/>
  <c r="B382" i="42"/>
  <c r="B383" i="42"/>
  <c r="B384" i="42"/>
  <c r="B385" i="42"/>
  <c r="B386" i="42"/>
  <c r="B387" i="42"/>
  <c r="B388" i="42"/>
  <c r="B389" i="42"/>
  <c r="B390" i="42"/>
  <c r="B391" i="42"/>
  <c r="B392" i="42"/>
  <c r="B393" i="42"/>
  <c r="B394" i="42"/>
  <c r="B395" i="42"/>
  <c r="B396" i="42"/>
  <c r="B397" i="42"/>
  <c r="B398" i="42"/>
  <c r="B399" i="42"/>
  <c r="B200" i="42"/>
  <c r="B201" i="42"/>
  <c r="B202" i="42"/>
  <c r="B203" i="42"/>
  <c r="B204" i="42"/>
  <c r="B205" i="42"/>
  <c r="B206" i="42"/>
  <c r="B207" i="42"/>
  <c r="B208" i="42"/>
  <c r="B209" i="42"/>
  <c r="B210" i="42"/>
  <c r="B211" i="42"/>
  <c r="B212" i="42"/>
  <c r="B213" i="42"/>
  <c r="B214" i="42"/>
  <c r="B215" i="42"/>
  <c r="B216" i="42"/>
  <c r="B217" i="42"/>
  <c r="B218" i="42"/>
  <c r="B219" i="42"/>
  <c r="B220" i="42"/>
  <c r="B221" i="42"/>
  <c r="B222" i="42"/>
  <c r="B223" i="42"/>
  <c r="B224" i="42"/>
  <c r="B225" i="42"/>
  <c r="B226" i="42"/>
  <c r="B227" i="42"/>
  <c r="B228" i="42"/>
  <c r="B229" i="42"/>
  <c r="B230" i="42"/>
  <c r="B231" i="42"/>
  <c r="B232" i="42"/>
  <c r="B233" i="42"/>
  <c r="B234" i="42"/>
  <c r="B235" i="42"/>
  <c r="B236" i="42"/>
  <c r="B237" i="42"/>
  <c r="B238" i="42"/>
  <c r="B239" i="42"/>
  <c r="B240" i="42"/>
  <c r="B241" i="42"/>
  <c r="B242" i="42"/>
  <c r="B243" i="42"/>
  <c r="B244" i="42"/>
  <c r="B245" i="42"/>
  <c r="B246" i="42"/>
  <c r="B247" i="42"/>
  <c r="B248" i="42"/>
  <c r="B249" i="42"/>
  <c r="B250" i="42"/>
  <c r="B251" i="42"/>
  <c r="B252" i="42"/>
  <c r="B253" i="42"/>
  <c r="B254" i="42"/>
  <c r="B255" i="42"/>
  <c r="B256" i="42"/>
  <c r="B257" i="42"/>
  <c r="B258" i="42"/>
  <c r="B259" i="42"/>
  <c r="B260" i="42"/>
  <c r="B261" i="42"/>
  <c r="B262" i="42"/>
  <c r="B263" i="42"/>
  <c r="B264" i="42"/>
  <c r="B265" i="42"/>
  <c r="B266" i="42"/>
  <c r="B267" i="42"/>
  <c r="B268" i="42"/>
  <c r="B269" i="42"/>
  <c r="B270" i="42"/>
  <c r="B271" i="42"/>
  <c r="B272" i="42"/>
  <c r="B273" i="42"/>
  <c r="B274" i="42"/>
  <c r="B275" i="42"/>
  <c r="B276" i="42"/>
  <c r="B277" i="42"/>
  <c r="B278" i="42"/>
  <c r="B279" i="42"/>
  <c r="B280" i="42"/>
  <c r="B281" i="42"/>
  <c r="B282" i="42"/>
  <c r="B283" i="42"/>
  <c r="B284" i="42"/>
  <c r="B285" i="42"/>
  <c r="B286" i="42"/>
  <c r="B287" i="42"/>
  <c r="B288" i="42"/>
  <c r="B289" i="42"/>
  <c r="B290" i="42"/>
  <c r="B291" i="42"/>
  <c r="B292" i="42"/>
  <c r="B293" i="42"/>
  <c r="B294" i="42"/>
  <c r="B295" i="42"/>
  <c r="B296" i="42"/>
  <c r="B297" i="42"/>
  <c r="B298" i="42"/>
  <c r="B299" i="42"/>
  <c r="B300" i="42"/>
  <c r="B301" i="42"/>
  <c r="B302" i="42"/>
  <c r="B303" i="42"/>
  <c r="B304" i="42"/>
  <c r="B305" i="42"/>
  <c r="B306" i="42"/>
  <c r="B307" i="42"/>
  <c r="B308" i="42"/>
  <c r="B309" i="42"/>
  <c r="B310" i="42"/>
  <c r="B311" i="42"/>
  <c r="B312" i="42"/>
  <c r="B313" i="42"/>
  <c r="B314" i="42"/>
  <c r="B315" i="42"/>
  <c r="B316" i="42"/>
  <c r="B317" i="42"/>
  <c r="B318" i="42"/>
  <c r="B319" i="42"/>
  <c r="B320" i="42"/>
  <c r="B100" i="42"/>
  <c r="B101" i="42"/>
  <c r="B102" i="42"/>
  <c r="B103" i="42"/>
  <c r="B104" i="42"/>
  <c r="B105" i="42"/>
  <c r="B106" i="42"/>
  <c r="B107" i="42"/>
  <c r="B108" i="42"/>
  <c r="B109" i="42"/>
  <c r="B110" i="42"/>
  <c r="B111" i="42"/>
  <c r="B112" i="42"/>
  <c r="B113" i="42"/>
  <c r="B114" i="42"/>
  <c r="B115" i="42"/>
  <c r="B116" i="42"/>
  <c r="B117" i="42"/>
  <c r="B118" i="42"/>
  <c r="B119" i="42"/>
  <c r="B120" i="42"/>
  <c r="B121" i="42"/>
  <c r="B122" i="42"/>
  <c r="B123" i="42"/>
  <c r="B124" i="42"/>
  <c r="B125" i="42"/>
  <c r="B126" i="42"/>
  <c r="B127" i="42"/>
  <c r="B128" i="42"/>
  <c r="B129" i="42"/>
  <c r="B130" i="42"/>
  <c r="B131" i="42"/>
  <c r="B132" i="42"/>
  <c r="B133" i="42"/>
  <c r="B134" i="42"/>
  <c r="B135" i="42"/>
  <c r="B136" i="42"/>
  <c r="B137" i="42"/>
  <c r="B138" i="42"/>
  <c r="B139" i="42"/>
  <c r="B140" i="42"/>
  <c r="B141" i="42"/>
  <c r="B142" i="42"/>
  <c r="B143" i="42"/>
  <c r="B144" i="42"/>
  <c r="B145" i="42"/>
  <c r="B146" i="42"/>
  <c r="B147" i="42"/>
  <c r="B148" i="42"/>
  <c r="B149" i="42"/>
  <c r="B150" i="42"/>
  <c r="B151" i="42"/>
  <c r="B152" i="42"/>
  <c r="B153" i="42"/>
  <c r="B154" i="42"/>
  <c r="B155" i="42"/>
  <c r="B156" i="42"/>
  <c r="B157" i="42"/>
  <c r="B158" i="42"/>
  <c r="B159" i="42"/>
  <c r="B160" i="42"/>
  <c r="B161" i="42"/>
  <c r="B162" i="42"/>
  <c r="B163" i="42"/>
  <c r="B164" i="42"/>
  <c r="B165" i="42"/>
  <c r="B166" i="42"/>
  <c r="B167" i="42"/>
  <c r="B168" i="42"/>
  <c r="B169" i="42"/>
  <c r="B170" i="42"/>
  <c r="B171" i="42"/>
  <c r="B172" i="42"/>
  <c r="B173" i="42"/>
  <c r="B174" i="42"/>
  <c r="B175" i="42"/>
  <c r="B176" i="42"/>
  <c r="B177" i="42"/>
  <c r="B178" i="42"/>
  <c r="B179" i="42"/>
  <c r="B180" i="42"/>
  <c r="B181" i="42"/>
  <c r="B182" i="42"/>
  <c r="B183" i="42"/>
  <c r="B184" i="42"/>
  <c r="B185" i="42"/>
  <c r="B186" i="42"/>
  <c r="B187" i="42"/>
  <c r="B188" i="42"/>
  <c r="B189" i="42"/>
  <c r="B190" i="42"/>
  <c r="B191" i="42"/>
  <c r="B192" i="42"/>
  <c r="B193" i="42"/>
  <c r="B194" i="42"/>
  <c r="B195" i="42"/>
  <c r="B196" i="42"/>
  <c r="B197" i="42"/>
  <c r="B198" i="42"/>
  <c r="B199" i="42"/>
  <c r="B99" i="42"/>
  <c r="B98" i="42"/>
  <c r="B97" i="42"/>
  <c r="B96" i="42"/>
  <c r="B95" i="42"/>
  <c r="B94" i="42"/>
  <c r="B93" i="42"/>
  <c r="B92" i="42"/>
  <c r="B91" i="42"/>
  <c r="B90" i="42"/>
  <c r="B89" i="42"/>
  <c r="B88" i="42"/>
  <c r="B87" i="42"/>
  <c r="B86" i="42"/>
  <c r="B85" i="42"/>
  <c r="B84" i="42"/>
  <c r="B83" i="42"/>
  <c r="B82" i="42"/>
  <c r="B81" i="42"/>
  <c r="B80" i="42"/>
  <c r="B79" i="42"/>
  <c r="B78" i="42"/>
  <c r="B77" i="42"/>
  <c r="B76" i="42"/>
  <c r="B75" i="42"/>
  <c r="B74" i="42"/>
  <c r="B73" i="42"/>
  <c r="B72" i="42"/>
  <c r="B71" i="42"/>
  <c r="B70" i="42"/>
  <c r="B69" i="42"/>
  <c r="B68" i="42"/>
  <c r="B67" i="42"/>
  <c r="B66" i="42"/>
  <c r="B65" i="42"/>
  <c r="B64" i="42"/>
  <c r="B63" i="42"/>
  <c r="B62" i="42"/>
  <c r="B61" i="42"/>
  <c r="B60" i="42"/>
  <c r="B59" i="42"/>
  <c r="B58" i="42"/>
  <c r="B57" i="42"/>
  <c r="B56" i="42"/>
  <c r="B55" i="42"/>
  <c r="B54" i="42"/>
  <c r="B53" i="42"/>
  <c r="B52" i="42"/>
  <c r="B51" i="42"/>
  <c r="B50" i="42"/>
  <c r="B49" i="42"/>
  <c r="B48" i="42"/>
  <c r="B47" i="42"/>
  <c r="B46" i="42"/>
  <c r="B45" i="42"/>
  <c r="B44" i="42"/>
  <c r="B43" i="42"/>
  <c r="B42" i="42"/>
  <c r="B41" i="42"/>
  <c r="B40" i="42"/>
  <c r="B39" i="42"/>
  <c r="B38" i="42"/>
  <c r="B37" i="42"/>
  <c r="B36" i="42"/>
  <c r="B35" i="42"/>
  <c r="B34" i="42"/>
  <c r="B33" i="42"/>
  <c r="B32" i="42"/>
  <c r="B31" i="42"/>
  <c r="B30" i="42"/>
  <c r="B29" i="42"/>
  <c r="B28" i="42"/>
  <c r="B27" i="42"/>
  <c r="B26" i="42"/>
  <c r="B25" i="42"/>
  <c r="B24" i="42"/>
  <c r="B8" i="42" l="1"/>
  <c r="B7" i="42"/>
  <c r="B8" i="44"/>
  <c r="B7" i="44"/>
  <c r="A3" i="30"/>
  <c r="C8" i="4"/>
  <c r="T2" i="30"/>
  <c r="T3" i="30"/>
  <c r="T4" i="30"/>
  <c r="T5" i="30"/>
  <c r="T6"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103" i="30"/>
  <c r="T104" i="30"/>
  <c r="T105" i="30"/>
  <c r="T106" i="30"/>
  <c r="T107" i="30"/>
  <c r="T108" i="30"/>
  <c r="T109" i="30"/>
  <c r="T110" i="30"/>
  <c r="T111" i="30"/>
  <c r="T112" i="30"/>
  <c r="T113" i="30"/>
  <c r="T114" i="30"/>
  <c r="T115" i="30"/>
  <c r="T116" i="30"/>
  <c r="T117" i="30"/>
  <c r="T118" i="30"/>
  <c r="T119" i="30"/>
  <c r="T120" i="30"/>
  <c r="T121" i="30"/>
  <c r="T122" i="30"/>
  <c r="T123" i="30"/>
  <c r="T124" i="30"/>
  <c r="T125" i="30"/>
  <c r="T126" i="30"/>
  <c r="T127" i="30"/>
  <c r="T128" i="30"/>
  <c r="T129" i="30"/>
  <c r="T130" i="30"/>
  <c r="T131" i="30"/>
  <c r="T132" i="30"/>
  <c r="T133" i="30"/>
  <c r="T134" i="30"/>
  <c r="T135" i="30"/>
  <c r="T136" i="30"/>
  <c r="T137" i="30"/>
  <c r="T138" i="30"/>
  <c r="T139" i="30"/>
  <c r="T140" i="30"/>
  <c r="T141" i="30"/>
  <c r="T142" i="30"/>
  <c r="T143" i="30"/>
  <c r="T144" i="30"/>
  <c r="T145" i="30"/>
  <c r="T146" i="30"/>
  <c r="T147" i="30"/>
  <c r="T148" i="30"/>
  <c r="T149" i="30"/>
  <c r="T150" i="30"/>
  <c r="T151" i="30"/>
  <c r="T152" i="30"/>
  <c r="T153" i="30"/>
  <c r="T154" i="30"/>
  <c r="T155" i="30"/>
  <c r="T156" i="30"/>
  <c r="T157" i="30"/>
  <c r="T158" i="30"/>
  <c r="T159" i="30"/>
  <c r="T160" i="30"/>
  <c r="T161" i="30"/>
  <c r="T162" i="30"/>
  <c r="T163" i="30"/>
  <c r="T164" i="30"/>
  <c r="T165" i="30"/>
  <c r="T166" i="30"/>
  <c r="T167" i="30"/>
  <c r="T168" i="30"/>
  <c r="T169" i="30"/>
  <c r="T170" i="30"/>
  <c r="T171" i="30"/>
  <c r="T172" i="30"/>
  <c r="T173" i="30"/>
  <c r="T174" i="30"/>
  <c r="T175" i="30"/>
  <c r="T176" i="30"/>
  <c r="T177" i="30"/>
  <c r="T178" i="30"/>
  <c r="T179" i="30"/>
  <c r="T180" i="30"/>
  <c r="T181" i="30"/>
  <c r="T182" i="30"/>
  <c r="T183" i="30"/>
  <c r="T184" i="30"/>
  <c r="T185" i="30"/>
  <c r="T186" i="30"/>
  <c r="T187" i="30"/>
  <c r="T188" i="30"/>
  <c r="T189" i="30"/>
  <c r="T190" i="30"/>
  <c r="T191" i="30"/>
  <c r="T192" i="30"/>
  <c r="T193" i="30"/>
  <c r="T194" i="30"/>
  <c r="T195" i="30"/>
  <c r="T196" i="30"/>
  <c r="T197" i="30"/>
  <c r="T198" i="30"/>
  <c r="T199" i="30"/>
  <c r="T200" i="30"/>
  <c r="T201" i="30"/>
  <c r="T202" i="30"/>
  <c r="T203" i="30"/>
  <c r="T204" i="30"/>
  <c r="T205" i="30"/>
  <c r="T206" i="30"/>
  <c r="T207" i="30"/>
  <c r="T208" i="30"/>
  <c r="T209" i="30"/>
  <c r="T210" i="30"/>
  <c r="T211" i="30"/>
  <c r="T212" i="30"/>
  <c r="T213" i="30"/>
  <c r="T214" i="30"/>
  <c r="T215" i="30"/>
  <c r="T216" i="30"/>
  <c r="T217" i="30"/>
  <c r="T218" i="30"/>
  <c r="T219" i="30"/>
  <c r="T220" i="30"/>
  <c r="T221" i="30"/>
  <c r="T222" i="30"/>
  <c r="T223" i="30"/>
  <c r="T224" i="30"/>
  <c r="T225" i="30"/>
  <c r="T226" i="30"/>
  <c r="T227" i="30"/>
  <c r="T228" i="30"/>
  <c r="T229" i="30"/>
  <c r="T230" i="30"/>
  <c r="T231" i="30"/>
  <c r="T232" i="30"/>
  <c r="T233" i="30"/>
  <c r="T234" i="30"/>
  <c r="T235" i="30"/>
  <c r="T236" i="30"/>
  <c r="T237" i="30"/>
  <c r="T238" i="30"/>
  <c r="T239" i="30"/>
  <c r="T240" i="30"/>
  <c r="T241" i="30"/>
  <c r="T242" i="30"/>
  <c r="T243" i="30"/>
  <c r="T244" i="30"/>
  <c r="T245" i="30"/>
  <c r="T246" i="30"/>
  <c r="T247" i="30"/>
  <c r="T248" i="30"/>
  <c r="T249" i="30"/>
  <c r="T250" i="30"/>
  <c r="T251" i="30"/>
  <c r="T252" i="30"/>
  <c r="T253" i="30"/>
  <c r="T254" i="30"/>
  <c r="T255" i="30"/>
  <c r="T256" i="30"/>
  <c r="T257" i="30"/>
  <c r="T258" i="30"/>
  <c r="T259" i="30"/>
  <c r="T260" i="30"/>
  <c r="T261" i="30"/>
  <c r="T262" i="30"/>
  <c r="T263" i="30"/>
  <c r="T264" i="30"/>
  <c r="T265" i="30"/>
  <c r="T266" i="30"/>
  <c r="T267" i="30"/>
  <c r="T268" i="30"/>
  <c r="T269" i="30"/>
  <c r="T270" i="30"/>
  <c r="T271" i="30"/>
  <c r="T272" i="30"/>
  <c r="T273" i="30"/>
  <c r="T274" i="30"/>
  <c r="T275" i="30"/>
  <c r="T276" i="30"/>
  <c r="T277" i="30"/>
  <c r="T278" i="30"/>
  <c r="T279" i="30"/>
  <c r="T280" i="30"/>
  <c r="T281" i="30"/>
  <c r="T282" i="30"/>
  <c r="T283" i="30"/>
  <c r="T284" i="30"/>
  <c r="T285" i="30"/>
  <c r="T286" i="30"/>
  <c r="T287" i="30"/>
  <c r="T288" i="30"/>
  <c r="T289" i="30"/>
  <c r="T290" i="30"/>
  <c r="T291" i="30"/>
  <c r="T292" i="30"/>
  <c r="T293" i="30"/>
  <c r="T294" i="30"/>
  <c r="T295" i="30"/>
  <c r="T296" i="30"/>
  <c r="T297" i="30"/>
  <c r="T298" i="30"/>
  <c r="T299" i="30"/>
  <c r="T300" i="30"/>
  <c r="T301" i="30"/>
  <c r="T302" i="30"/>
  <c r="T303" i="30"/>
  <c r="T304" i="30"/>
  <c r="T305" i="30"/>
  <c r="T306" i="30"/>
  <c r="T307" i="30"/>
  <c r="T308" i="30"/>
  <c r="T309" i="30"/>
  <c r="T310" i="30"/>
  <c r="T311" i="30"/>
  <c r="T312" i="30"/>
  <c r="T313" i="30"/>
  <c r="T314" i="30"/>
  <c r="T315" i="30"/>
  <c r="T316" i="30"/>
  <c r="T317" i="30"/>
  <c r="T318" i="30"/>
  <c r="T319" i="30"/>
  <c r="T320" i="30"/>
  <c r="T321" i="30"/>
  <c r="T322" i="30"/>
  <c r="T323" i="30"/>
  <c r="T324" i="30"/>
  <c r="T325" i="30"/>
  <c r="T326" i="30"/>
  <c r="T327" i="30"/>
  <c r="T328" i="30"/>
  <c r="T329" i="30"/>
  <c r="T330" i="30"/>
  <c r="T331" i="30"/>
  <c r="T332" i="30"/>
  <c r="T333" i="30"/>
  <c r="T334" i="30"/>
  <c r="T335" i="30"/>
  <c r="T336" i="30"/>
  <c r="T337" i="30"/>
  <c r="T338" i="30"/>
  <c r="T339" i="30"/>
  <c r="T340" i="30"/>
  <c r="T341" i="30"/>
  <c r="T342" i="30"/>
  <c r="T343" i="30"/>
  <c r="T344" i="30"/>
  <c r="T345" i="30"/>
  <c r="T346" i="30"/>
  <c r="T347" i="30"/>
  <c r="T348" i="30"/>
  <c r="T349" i="30"/>
  <c r="T350" i="30"/>
  <c r="T351" i="30"/>
  <c r="T352" i="30"/>
  <c r="T353" i="30"/>
  <c r="T354" i="30"/>
  <c r="T355" i="30"/>
  <c r="T356" i="30"/>
  <c r="T357" i="30"/>
  <c r="T358" i="30"/>
  <c r="T359" i="30"/>
  <c r="T360" i="30"/>
  <c r="T361" i="30"/>
  <c r="T362" i="30"/>
  <c r="T363" i="30"/>
  <c r="T364" i="30"/>
  <c r="T365" i="30"/>
  <c r="T366" i="30"/>
  <c r="T367" i="30"/>
  <c r="T368" i="30"/>
  <c r="T369" i="30"/>
  <c r="T370" i="30"/>
  <c r="T371" i="30"/>
  <c r="T372" i="30"/>
  <c r="T373" i="30"/>
  <c r="T374" i="30"/>
  <c r="T375" i="30"/>
  <c r="T376" i="30"/>
  <c r="T377" i="30"/>
  <c r="T378" i="30"/>
  <c r="T379" i="30"/>
  <c r="T380" i="30"/>
  <c r="T381" i="30"/>
  <c r="T382" i="30"/>
  <c r="T383" i="30"/>
  <c r="T384" i="30"/>
  <c r="T385" i="30"/>
  <c r="T386" i="30"/>
  <c r="T387" i="30"/>
  <c r="T388" i="30"/>
  <c r="T389" i="30"/>
  <c r="T390" i="30"/>
  <c r="T391" i="30"/>
  <c r="T392" i="30"/>
  <c r="T393" i="30"/>
  <c r="T394" i="30"/>
  <c r="T395" i="30"/>
  <c r="T396" i="30"/>
  <c r="T397" i="30"/>
  <c r="T398" i="30"/>
  <c r="T399" i="30"/>
  <c r="T400" i="30"/>
  <c r="T401" i="30"/>
  <c r="T402" i="30"/>
  <c r="T403" i="30"/>
  <c r="T404" i="30"/>
  <c r="T405" i="30"/>
  <c r="T406" i="30"/>
  <c r="T407" i="30"/>
  <c r="T408" i="30"/>
  <c r="T409" i="30"/>
  <c r="T410" i="30"/>
  <c r="T411" i="30"/>
  <c r="T412" i="30"/>
  <c r="T413" i="30"/>
  <c r="T414" i="30"/>
  <c r="T415" i="30"/>
  <c r="T416" i="30"/>
  <c r="T417" i="30"/>
  <c r="T418" i="30"/>
  <c r="T419" i="30"/>
  <c r="T420" i="30"/>
  <c r="T421" i="30"/>
  <c r="T422" i="30"/>
  <c r="T423" i="30"/>
  <c r="T424" i="30"/>
  <c r="T425" i="30"/>
  <c r="T426" i="30"/>
  <c r="T427" i="30"/>
  <c r="T428" i="30"/>
  <c r="T429" i="30"/>
  <c r="T430" i="30"/>
  <c r="T431" i="30"/>
  <c r="T432" i="30"/>
  <c r="T433" i="30"/>
  <c r="T434" i="30"/>
  <c r="T435" i="30"/>
  <c r="T436" i="30"/>
  <c r="T437" i="30"/>
  <c r="T438" i="30"/>
  <c r="T439" i="30"/>
  <c r="T440" i="30"/>
  <c r="T441" i="30"/>
  <c r="T442" i="30"/>
  <c r="T443" i="30"/>
  <c r="T444" i="30"/>
  <c r="T445" i="30"/>
  <c r="T446" i="30"/>
  <c r="T447" i="30"/>
  <c r="T448" i="30"/>
  <c r="T449" i="30"/>
  <c r="T450" i="30"/>
  <c r="T451" i="30"/>
  <c r="T452" i="30"/>
  <c r="T453" i="30"/>
  <c r="T454" i="30"/>
  <c r="T455" i="30"/>
  <c r="T456" i="30"/>
  <c r="T457" i="30"/>
  <c r="T458" i="30"/>
  <c r="T459" i="30"/>
  <c r="T460" i="30"/>
  <c r="T461" i="30"/>
  <c r="T462" i="30"/>
  <c r="T463" i="30"/>
  <c r="T464" i="30"/>
  <c r="T465" i="30"/>
  <c r="T466" i="30"/>
  <c r="T467" i="30"/>
  <c r="T468" i="30"/>
  <c r="T469" i="30"/>
  <c r="T470" i="30"/>
  <c r="T471" i="30"/>
  <c r="T472" i="30"/>
  <c r="T473" i="30"/>
  <c r="T474" i="30"/>
  <c r="T475" i="30"/>
  <c r="T476" i="30"/>
  <c r="T477" i="30"/>
  <c r="T478" i="30"/>
  <c r="T479" i="30"/>
  <c r="T480" i="30"/>
  <c r="T481" i="30"/>
  <c r="T482" i="30"/>
  <c r="T483" i="30"/>
  <c r="T484" i="30"/>
  <c r="T485" i="30"/>
  <c r="T486" i="30"/>
  <c r="T487" i="30"/>
  <c r="T488" i="30"/>
  <c r="T489" i="30"/>
  <c r="T490" i="30"/>
  <c r="T491" i="30"/>
  <c r="T492" i="30"/>
  <c r="T493" i="30"/>
  <c r="T494" i="30"/>
  <c r="T495" i="30"/>
  <c r="T496" i="30"/>
  <c r="T497" i="30"/>
  <c r="T498" i="30"/>
  <c r="T499" i="30"/>
  <c r="T500" i="30"/>
  <c r="T501" i="30"/>
  <c r="J25" i="30" l="1"/>
  <c r="K24" i="41" l="1"/>
  <c r="B8" i="41" l="1"/>
  <c r="B7" i="41"/>
  <c r="B7" i="33"/>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K108" i="41"/>
  <c r="K109" i="41"/>
  <c r="K110" i="41"/>
  <c r="K111" i="41"/>
  <c r="K112" i="41"/>
  <c r="K113" i="41"/>
  <c r="K114" i="41"/>
  <c r="K115" i="41"/>
  <c r="K116" i="41"/>
  <c r="K117" i="41"/>
  <c r="K118" i="41"/>
  <c r="K119" i="41"/>
  <c r="K120" i="41"/>
  <c r="K121" i="41"/>
  <c r="K122" i="41"/>
  <c r="K123" i="41"/>
  <c r="K124" i="41"/>
  <c r="K125" i="41"/>
  <c r="K126" i="41"/>
  <c r="K127" i="41"/>
  <c r="K128" i="41"/>
  <c r="K129" i="41"/>
  <c r="K130" i="41"/>
  <c r="K131" i="41"/>
  <c r="K132" i="41"/>
  <c r="K133" i="41"/>
  <c r="K134" i="41"/>
  <c r="K135" i="41"/>
  <c r="K136" i="41"/>
  <c r="K137" i="41"/>
  <c r="K138" i="41"/>
  <c r="K139" i="41"/>
  <c r="K140" i="41"/>
  <c r="K141" i="41"/>
  <c r="K142" i="41"/>
  <c r="K143" i="41"/>
  <c r="K144" i="41"/>
  <c r="K145" i="41"/>
  <c r="K146" i="41"/>
  <c r="K147" i="41"/>
  <c r="K148" i="41"/>
  <c r="K149" i="41"/>
  <c r="K150" i="41"/>
  <c r="K151" i="41"/>
  <c r="K152" i="41"/>
  <c r="K153" i="41"/>
  <c r="K154" i="41"/>
  <c r="K155" i="41"/>
  <c r="K156" i="41"/>
  <c r="K157" i="41"/>
  <c r="K158" i="41"/>
  <c r="K159" i="41"/>
  <c r="K160" i="41"/>
  <c r="K161" i="41"/>
  <c r="K162" i="41"/>
  <c r="K163" i="41"/>
  <c r="K164" i="41"/>
  <c r="K165" i="41"/>
  <c r="K166" i="41"/>
  <c r="K167" i="41"/>
  <c r="K168" i="41"/>
  <c r="K169" i="41"/>
  <c r="K170" i="41"/>
  <c r="K171" i="41"/>
  <c r="K172" i="41"/>
  <c r="K173" i="41"/>
  <c r="K174" i="41"/>
  <c r="K175" i="41"/>
  <c r="K176" i="41"/>
  <c r="K177" i="41"/>
  <c r="K178" i="41"/>
  <c r="K179" i="41"/>
  <c r="K180" i="41"/>
  <c r="K181" i="41"/>
  <c r="K182" i="41"/>
  <c r="K183" i="41"/>
  <c r="K184" i="41"/>
  <c r="K185" i="41"/>
  <c r="K186" i="41"/>
  <c r="K187" i="41"/>
  <c r="K188" i="41"/>
  <c r="K189" i="41"/>
  <c r="K190" i="41"/>
  <c r="K191" i="41"/>
  <c r="K192" i="41"/>
  <c r="K193" i="41"/>
  <c r="K194" i="41"/>
  <c r="K195" i="41"/>
  <c r="K196" i="41"/>
  <c r="K197" i="41"/>
  <c r="K198" i="41"/>
  <c r="K199" i="41"/>
  <c r="K200" i="41"/>
  <c r="K201" i="41"/>
  <c r="K202" i="41"/>
  <c r="K203" i="41"/>
  <c r="K204" i="41"/>
  <c r="K205" i="41"/>
  <c r="K206" i="41"/>
  <c r="K207" i="41"/>
  <c r="K208" i="41"/>
  <c r="K209" i="41"/>
  <c r="K210" i="41"/>
  <c r="K211" i="41"/>
  <c r="K212" i="41"/>
  <c r="K213" i="41"/>
  <c r="K214" i="41"/>
  <c r="K215" i="41"/>
  <c r="K216" i="41"/>
  <c r="K217" i="41"/>
  <c r="K218" i="41"/>
  <c r="K219" i="41"/>
  <c r="K220" i="41"/>
  <c r="K221" i="41"/>
  <c r="K222" i="41"/>
  <c r="K223" i="41"/>
  <c r="K224" i="41"/>
  <c r="K225" i="41"/>
  <c r="K226" i="41"/>
  <c r="K227" i="41"/>
  <c r="K228" i="41"/>
  <c r="K229" i="41"/>
  <c r="K230" i="41"/>
  <c r="K231" i="41"/>
  <c r="K232" i="41"/>
  <c r="K233" i="41"/>
  <c r="K234" i="41"/>
  <c r="K235" i="41"/>
  <c r="K236" i="41"/>
  <c r="K237" i="41"/>
  <c r="K238" i="41"/>
  <c r="K239" i="41"/>
  <c r="K240" i="41"/>
  <c r="K241" i="41"/>
  <c r="K242" i="41"/>
  <c r="K243" i="41"/>
  <c r="K244" i="41"/>
  <c r="K245" i="41"/>
  <c r="K246" i="41"/>
  <c r="K247" i="41"/>
  <c r="K248" i="41"/>
  <c r="K249" i="41"/>
  <c r="K250" i="41"/>
  <c r="K251" i="41"/>
  <c r="K252" i="41"/>
  <c r="K253" i="41"/>
  <c r="K254" i="41"/>
  <c r="K255" i="41"/>
  <c r="K256" i="41"/>
  <c r="K257" i="41"/>
  <c r="K258" i="41"/>
  <c r="K259" i="41"/>
  <c r="K260" i="41"/>
  <c r="K261" i="41"/>
  <c r="K262" i="41"/>
  <c r="K263" i="41"/>
  <c r="K264" i="41"/>
  <c r="K265" i="41"/>
  <c r="K266" i="41"/>
  <c r="K267" i="41"/>
  <c r="K268" i="41"/>
  <c r="K269" i="41"/>
  <c r="K270" i="41"/>
  <c r="K271" i="41"/>
  <c r="K272" i="41"/>
  <c r="K273" i="41"/>
  <c r="K274" i="41"/>
  <c r="K275" i="41"/>
  <c r="K276" i="41"/>
  <c r="K277" i="41"/>
  <c r="K278" i="41"/>
  <c r="K279" i="41"/>
  <c r="K280" i="41"/>
  <c r="K281" i="41"/>
  <c r="K282" i="41"/>
  <c r="K283" i="41"/>
  <c r="K284" i="41"/>
  <c r="K285" i="41"/>
  <c r="K286" i="41"/>
  <c r="K287" i="41"/>
  <c r="K288" i="41"/>
  <c r="K289" i="41"/>
  <c r="K290" i="41"/>
  <c r="K291" i="41"/>
  <c r="K292" i="41"/>
  <c r="K293" i="41"/>
  <c r="K294" i="41"/>
  <c r="K295" i="41"/>
  <c r="K296" i="41"/>
  <c r="K297" i="41"/>
  <c r="K298" i="41"/>
  <c r="K299" i="41"/>
  <c r="K300" i="41"/>
  <c r="K301" i="41"/>
  <c r="K302" i="41"/>
  <c r="K303" i="41"/>
  <c r="K304" i="41"/>
  <c r="K305" i="41"/>
  <c r="K306" i="41"/>
  <c r="K307" i="41"/>
  <c r="K308" i="41"/>
  <c r="K309" i="41"/>
  <c r="K310" i="41"/>
  <c r="K311" i="41"/>
  <c r="K312" i="41"/>
  <c r="K313" i="41"/>
  <c r="K314" i="41"/>
  <c r="K315" i="41"/>
  <c r="K316" i="41"/>
  <c r="K317" i="41"/>
  <c r="K318" i="41"/>
  <c r="K319" i="41"/>
  <c r="K320" i="41"/>
  <c r="K321" i="41"/>
  <c r="K322" i="41"/>
  <c r="K323" i="41"/>
  <c r="K324" i="41"/>
  <c r="K325" i="41"/>
  <c r="K326" i="41"/>
  <c r="K327" i="41"/>
  <c r="K328" i="41"/>
  <c r="K329" i="41"/>
  <c r="K330" i="41"/>
  <c r="K331" i="41"/>
  <c r="K332" i="41"/>
  <c r="K333" i="41"/>
  <c r="K334" i="41"/>
  <c r="K335" i="41"/>
  <c r="K336" i="41"/>
  <c r="K337" i="41"/>
  <c r="K338" i="41"/>
  <c r="K339" i="41"/>
  <c r="K340" i="41"/>
  <c r="K341" i="41"/>
  <c r="K342" i="41"/>
  <c r="K343" i="41"/>
  <c r="K344" i="41"/>
  <c r="K345" i="41"/>
  <c r="K346" i="41"/>
  <c r="K347" i="41"/>
  <c r="K348" i="41"/>
  <c r="K349" i="41"/>
  <c r="K350" i="41"/>
  <c r="K351" i="41"/>
  <c r="K352" i="41"/>
  <c r="K353" i="41"/>
  <c r="K354" i="41"/>
  <c r="K355" i="41"/>
  <c r="K356" i="41"/>
  <c r="K357" i="41"/>
  <c r="K358" i="41"/>
  <c r="K359" i="41"/>
  <c r="K360" i="41"/>
  <c r="K361" i="41"/>
  <c r="K362" i="41"/>
  <c r="K363" i="41"/>
  <c r="K364" i="41"/>
  <c r="K365" i="41"/>
  <c r="K366" i="41"/>
  <c r="K367" i="41"/>
  <c r="K368" i="41"/>
  <c r="K369" i="41"/>
  <c r="K370" i="41"/>
  <c r="K371" i="41"/>
  <c r="K372" i="41"/>
  <c r="K373" i="41"/>
  <c r="K374" i="41"/>
  <c r="K375" i="41"/>
  <c r="K376" i="41"/>
  <c r="K377" i="41"/>
  <c r="K378" i="41"/>
  <c r="K379" i="41"/>
  <c r="K380" i="41"/>
  <c r="K381" i="41"/>
  <c r="K382" i="41"/>
  <c r="K383" i="41"/>
  <c r="K384" i="41"/>
  <c r="K385" i="41"/>
  <c r="K386" i="41"/>
  <c r="K387" i="41"/>
  <c r="K388" i="41"/>
  <c r="K389" i="41"/>
  <c r="K390" i="41"/>
  <c r="K391" i="41"/>
  <c r="K392" i="41"/>
  <c r="K393" i="41"/>
  <c r="K394" i="41"/>
  <c r="K395" i="41"/>
  <c r="K396" i="41"/>
  <c r="K397" i="41"/>
  <c r="K398" i="41"/>
  <c r="K399" i="41"/>
  <c r="K400" i="41"/>
  <c r="K401" i="41"/>
  <c r="K402" i="41"/>
  <c r="K403" i="41"/>
  <c r="K404" i="41"/>
  <c r="K405" i="41"/>
  <c r="K406" i="41"/>
  <c r="K407" i="41"/>
  <c r="K408" i="41"/>
  <c r="K409" i="41"/>
  <c r="K410" i="41"/>
  <c r="K411" i="41"/>
  <c r="K412" i="41"/>
  <c r="K413" i="41"/>
  <c r="K414" i="41"/>
  <c r="K415" i="41"/>
  <c r="K416" i="41"/>
  <c r="K417" i="41"/>
  <c r="K418" i="41"/>
  <c r="K419" i="41"/>
  <c r="K420" i="41"/>
  <c r="K421" i="41"/>
  <c r="K422" i="41"/>
  <c r="K423" i="41"/>
  <c r="K424" i="41"/>
  <c r="K425" i="41"/>
  <c r="K426" i="41"/>
  <c r="K427" i="41"/>
  <c r="K428" i="41"/>
  <c r="K429" i="41"/>
  <c r="K430" i="41"/>
  <c r="K431" i="41"/>
  <c r="K432" i="41"/>
  <c r="K433" i="41"/>
  <c r="K434" i="41"/>
  <c r="K435" i="41"/>
  <c r="K436" i="41"/>
  <c r="K437" i="41"/>
  <c r="K438" i="41"/>
  <c r="K439" i="41"/>
  <c r="K440" i="41"/>
  <c r="K441" i="41"/>
  <c r="K442" i="41"/>
  <c r="K443" i="41"/>
  <c r="K444" i="41"/>
  <c r="K445" i="41"/>
  <c r="K446" i="41"/>
  <c r="K447" i="41"/>
  <c r="K448" i="41"/>
  <c r="K449" i="41"/>
  <c r="K450" i="41"/>
  <c r="K451" i="41"/>
  <c r="K452" i="41"/>
  <c r="K453" i="41"/>
  <c r="K454" i="41"/>
  <c r="K455" i="41"/>
  <c r="K456" i="41"/>
  <c r="K457" i="41"/>
  <c r="K458" i="41"/>
  <c r="K459" i="41"/>
  <c r="K460" i="41"/>
  <c r="K461" i="41"/>
  <c r="K462" i="41"/>
  <c r="K463" i="41"/>
  <c r="K464" i="41"/>
  <c r="K465" i="41"/>
  <c r="K466" i="41"/>
  <c r="K467" i="41"/>
  <c r="K468" i="41"/>
  <c r="K469" i="41"/>
  <c r="K470" i="41"/>
  <c r="K471" i="41"/>
  <c r="K472" i="41"/>
  <c r="K473" i="41"/>
  <c r="K474" i="41"/>
  <c r="K475" i="41"/>
  <c r="K476" i="41"/>
  <c r="K477" i="41"/>
  <c r="K478" i="41"/>
  <c r="K479" i="41"/>
  <c r="K480" i="41"/>
  <c r="K481" i="41"/>
  <c r="K482" i="41"/>
  <c r="K483" i="41"/>
  <c r="K484" i="41"/>
  <c r="K485" i="41"/>
  <c r="K486" i="41"/>
  <c r="K487" i="41"/>
  <c r="K488" i="41"/>
  <c r="K489" i="41"/>
  <c r="K490" i="41"/>
  <c r="K491" i="41"/>
  <c r="K492" i="41"/>
  <c r="K493" i="41"/>
  <c r="K494" i="41"/>
  <c r="K495" i="41"/>
  <c r="K496" i="41"/>
  <c r="K497" i="41"/>
  <c r="K498" i="41"/>
  <c r="K499" i="41"/>
  <c r="K500" i="41"/>
  <c r="K501" i="41"/>
  <c r="K502" i="41"/>
  <c r="K503" i="41"/>
  <c r="K504" i="41"/>
  <c r="K505" i="41"/>
  <c r="K506" i="41"/>
  <c r="K507" i="41"/>
  <c r="K508" i="41"/>
  <c r="K509" i="41"/>
  <c r="K510" i="41"/>
  <c r="K511" i="41"/>
  <c r="K512" i="41"/>
  <c r="K513" i="41"/>
  <c r="K514" i="41"/>
  <c r="K515" i="41"/>
  <c r="K516" i="41"/>
  <c r="K517" i="41"/>
  <c r="K518" i="41"/>
  <c r="K519" i="41"/>
  <c r="K520" i="41"/>
  <c r="K521" i="41"/>
  <c r="K522" i="41"/>
  <c r="K523" i="41"/>
  <c r="B8" i="39"/>
  <c r="B7" i="39"/>
  <c r="A2" i="36" l="1"/>
  <c r="A1" i="36"/>
  <c r="B24" i="4"/>
  <c r="B25" i="4"/>
  <c r="B26" i="4"/>
  <c r="B27" i="4"/>
  <c r="B28" i="4"/>
  <c r="B29" i="4"/>
  <c r="B30" i="4"/>
  <c r="B31" i="4"/>
  <c r="B32" i="4"/>
  <c r="F26" i="3"/>
  <c r="F25" i="3"/>
  <c r="F24" i="3"/>
  <c r="S2" i="30" l="1"/>
  <c r="S3" i="30"/>
  <c r="S4" i="30"/>
  <c r="R2" i="30"/>
  <c r="R3" i="30"/>
  <c r="R4" i="30"/>
  <c r="R5" i="30"/>
  <c r="R6" i="30"/>
  <c r="R7" i="30"/>
  <c r="R8" i="30"/>
  <c r="R9" i="30"/>
  <c r="R10" i="30"/>
  <c r="R11" i="30"/>
  <c r="R12" i="30"/>
  <c r="R13" i="30"/>
  <c r="R14" i="30"/>
  <c r="R15" i="30"/>
  <c r="R16" i="30"/>
  <c r="R17" i="30"/>
  <c r="R18" i="30"/>
  <c r="R19" i="30"/>
  <c r="R20" i="30"/>
  <c r="R21" i="30"/>
  <c r="R22" i="30"/>
  <c r="R23" i="30"/>
  <c r="R24" i="30"/>
  <c r="R25" i="30"/>
  <c r="R26" i="30"/>
  <c r="R27" i="30"/>
  <c r="R28" i="30"/>
  <c r="R29" i="30"/>
  <c r="R30" i="30"/>
  <c r="R31" i="30"/>
  <c r="R32" i="30"/>
  <c r="R33" i="30"/>
  <c r="R34" i="30"/>
  <c r="R35" i="30"/>
  <c r="R36" i="30"/>
  <c r="R37" i="30"/>
  <c r="R38" i="30"/>
  <c r="R39" i="30"/>
  <c r="R40" i="30"/>
  <c r="R41" i="30"/>
  <c r="R42" i="30"/>
  <c r="R43" i="30"/>
  <c r="R44" i="30"/>
  <c r="R45" i="30"/>
  <c r="R46" i="30"/>
  <c r="R47" i="30"/>
  <c r="R48" i="30"/>
  <c r="R49" i="30"/>
  <c r="R50" i="30"/>
  <c r="R51" i="30"/>
  <c r="R52" i="30"/>
  <c r="R53" i="30"/>
  <c r="R54" i="30"/>
  <c r="R55" i="30"/>
  <c r="R56" i="30"/>
  <c r="R57" i="30"/>
  <c r="R58" i="30"/>
  <c r="R59" i="30"/>
  <c r="R60" i="30"/>
  <c r="R61" i="30"/>
  <c r="R62" i="30"/>
  <c r="R63" i="30"/>
  <c r="R64" i="30"/>
  <c r="R65" i="30"/>
  <c r="R66" i="30"/>
  <c r="R67" i="30"/>
  <c r="R68" i="30"/>
  <c r="R69" i="30"/>
  <c r="R70" i="30"/>
  <c r="R71" i="30"/>
  <c r="R72" i="30"/>
  <c r="R73" i="30"/>
  <c r="R74" i="30"/>
  <c r="R75" i="30"/>
  <c r="R76" i="30"/>
  <c r="R77" i="30"/>
  <c r="R78" i="30"/>
  <c r="R79" i="30"/>
  <c r="R80" i="30"/>
  <c r="R81" i="30"/>
  <c r="R82" i="30"/>
  <c r="R83" i="30"/>
  <c r="R84" i="30"/>
  <c r="R85" i="30"/>
  <c r="R86" i="30"/>
  <c r="R87" i="30"/>
  <c r="R88" i="30"/>
  <c r="R89" i="30"/>
  <c r="R90" i="30"/>
  <c r="R91" i="30"/>
  <c r="R92" i="30"/>
  <c r="R93" i="30"/>
  <c r="R94" i="30"/>
  <c r="R95" i="30"/>
  <c r="R96" i="30"/>
  <c r="R97" i="30"/>
  <c r="R98" i="30"/>
  <c r="R99" i="30"/>
  <c r="R100" i="30"/>
  <c r="R101" i="30"/>
  <c r="R102" i="30"/>
  <c r="R103" i="30"/>
  <c r="R104" i="30"/>
  <c r="R105" i="30"/>
  <c r="R106" i="30"/>
  <c r="R107" i="30"/>
  <c r="R108" i="30"/>
  <c r="R109" i="30"/>
  <c r="R110" i="30"/>
  <c r="R111" i="30"/>
  <c r="R112" i="30"/>
  <c r="R113" i="30"/>
  <c r="R114" i="30"/>
  <c r="R115" i="30"/>
  <c r="R116" i="30"/>
  <c r="R117" i="30"/>
  <c r="R118" i="30"/>
  <c r="R119" i="30"/>
  <c r="R120" i="30"/>
  <c r="R121" i="30"/>
  <c r="R122" i="30"/>
  <c r="R123" i="30"/>
  <c r="R124" i="30"/>
  <c r="R125" i="30"/>
  <c r="R126" i="30"/>
  <c r="R127" i="30"/>
  <c r="R128" i="30"/>
  <c r="R129" i="30"/>
  <c r="R130" i="30"/>
  <c r="R131" i="30"/>
  <c r="R132" i="30"/>
  <c r="R133" i="30"/>
  <c r="R134" i="30"/>
  <c r="R135" i="30"/>
  <c r="R136" i="30"/>
  <c r="R137" i="30"/>
  <c r="R138" i="30"/>
  <c r="R139" i="30"/>
  <c r="R140" i="30"/>
  <c r="R141" i="30"/>
  <c r="R142" i="30"/>
  <c r="R143" i="30"/>
  <c r="R144" i="30"/>
  <c r="R145" i="30"/>
  <c r="R146" i="30"/>
  <c r="R147" i="30"/>
  <c r="R148" i="30"/>
  <c r="R149" i="30"/>
  <c r="R150" i="30"/>
  <c r="R151" i="30"/>
  <c r="R152" i="30"/>
  <c r="R153" i="30"/>
  <c r="R154" i="30"/>
  <c r="R155" i="30"/>
  <c r="R156" i="30"/>
  <c r="R157" i="30"/>
  <c r="R158" i="30"/>
  <c r="R159" i="30"/>
  <c r="R160" i="30"/>
  <c r="R161" i="30"/>
  <c r="R162" i="30"/>
  <c r="R163" i="30"/>
  <c r="R164" i="30"/>
  <c r="R165" i="30"/>
  <c r="R166" i="30"/>
  <c r="R167" i="30"/>
  <c r="R168" i="30"/>
  <c r="R169" i="30"/>
  <c r="R170" i="30"/>
  <c r="R171" i="30"/>
  <c r="R172" i="30"/>
  <c r="R173" i="30"/>
  <c r="R174" i="30"/>
  <c r="R175" i="30"/>
  <c r="R176" i="30"/>
  <c r="R177" i="30"/>
  <c r="R178" i="30"/>
  <c r="R179" i="30"/>
  <c r="R180" i="30"/>
  <c r="R181" i="30"/>
  <c r="R182" i="30"/>
  <c r="R183" i="30"/>
  <c r="R184" i="30"/>
  <c r="R185" i="30"/>
  <c r="R186" i="30"/>
  <c r="R187" i="30"/>
  <c r="R188" i="30"/>
  <c r="R189" i="30"/>
  <c r="R190" i="30"/>
  <c r="R191" i="30"/>
  <c r="R192" i="30"/>
  <c r="R193" i="30"/>
  <c r="R194" i="30"/>
  <c r="R195" i="30"/>
  <c r="R196" i="30"/>
  <c r="R197" i="30"/>
  <c r="R198" i="30"/>
  <c r="R199" i="30"/>
  <c r="R200" i="30"/>
  <c r="R201" i="30"/>
  <c r="R202" i="30"/>
  <c r="R203" i="30"/>
  <c r="R204" i="30"/>
  <c r="R205" i="30"/>
  <c r="R206" i="30"/>
  <c r="R207" i="30"/>
  <c r="R208" i="30"/>
  <c r="R209" i="30"/>
  <c r="R210" i="30"/>
  <c r="R211" i="30"/>
  <c r="R212" i="30"/>
  <c r="R213" i="30"/>
  <c r="R214" i="30"/>
  <c r="R215" i="30"/>
  <c r="R216" i="30"/>
  <c r="R217" i="30"/>
  <c r="R218" i="30"/>
  <c r="R219" i="30"/>
  <c r="R220" i="30"/>
  <c r="R221" i="30"/>
  <c r="R222" i="30"/>
  <c r="R223" i="30"/>
  <c r="R224" i="30"/>
  <c r="R225" i="30"/>
  <c r="R226" i="30"/>
  <c r="R227" i="30"/>
  <c r="R228" i="30"/>
  <c r="R229" i="30"/>
  <c r="R230" i="30"/>
  <c r="R231" i="30"/>
  <c r="R232" i="30"/>
  <c r="R233" i="30"/>
  <c r="R234" i="30"/>
  <c r="R235" i="30"/>
  <c r="R236" i="30"/>
  <c r="R237" i="30"/>
  <c r="R238" i="30"/>
  <c r="R239" i="30"/>
  <c r="R240" i="30"/>
  <c r="R241" i="30"/>
  <c r="R242" i="30"/>
  <c r="R243" i="30"/>
  <c r="R244" i="30"/>
  <c r="R245" i="30"/>
  <c r="R246" i="30"/>
  <c r="R247" i="30"/>
  <c r="R248" i="30"/>
  <c r="R249" i="30"/>
  <c r="R250" i="30"/>
  <c r="R251" i="30"/>
  <c r="R252" i="30"/>
  <c r="R253" i="30"/>
  <c r="R254" i="30"/>
  <c r="R255" i="30"/>
  <c r="R256" i="30"/>
  <c r="R257" i="30"/>
  <c r="R258" i="30"/>
  <c r="R259" i="30"/>
  <c r="R260" i="30"/>
  <c r="R261" i="30"/>
  <c r="R262" i="30"/>
  <c r="R263" i="30"/>
  <c r="R264" i="30"/>
  <c r="R265" i="30"/>
  <c r="R266" i="30"/>
  <c r="R267" i="30"/>
  <c r="R268" i="30"/>
  <c r="R269" i="30"/>
  <c r="R270" i="30"/>
  <c r="R271" i="30"/>
  <c r="R272" i="30"/>
  <c r="R273" i="30"/>
  <c r="R274" i="30"/>
  <c r="R275" i="30"/>
  <c r="R276" i="30"/>
  <c r="R277" i="30"/>
  <c r="R278" i="30"/>
  <c r="R279" i="30"/>
  <c r="R280" i="30"/>
  <c r="R281" i="30"/>
  <c r="R282" i="30"/>
  <c r="R283" i="30"/>
  <c r="R284" i="30"/>
  <c r="R285" i="30"/>
  <c r="R286" i="30"/>
  <c r="R287" i="30"/>
  <c r="R288" i="30"/>
  <c r="R289" i="30"/>
  <c r="R290" i="30"/>
  <c r="R291" i="30"/>
  <c r="R292" i="30"/>
  <c r="R293" i="30"/>
  <c r="R294" i="30"/>
  <c r="R295" i="30"/>
  <c r="R296" i="30"/>
  <c r="R297" i="30"/>
  <c r="R298" i="30"/>
  <c r="R299" i="30"/>
  <c r="R300" i="30"/>
  <c r="R301" i="30"/>
  <c r="R302" i="30"/>
  <c r="R303" i="30"/>
  <c r="R304" i="30"/>
  <c r="R305" i="30"/>
  <c r="R306" i="30"/>
  <c r="R307" i="30"/>
  <c r="R308" i="30"/>
  <c r="R309" i="30"/>
  <c r="R310" i="30"/>
  <c r="R311" i="30"/>
  <c r="R312" i="30"/>
  <c r="R313" i="30"/>
  <c r="R314" i="30"/>
  <c r="R315" i="30"/>
  <c r="R316" i="30"/>
  <c r="R317" i="30"/>
  <c r="R318" i="30"/>
  <c r="R319" i="30"/>
  <c r="R320" i="30"/>
  <c r="R321" i="30"/>
  <c r="R322" i="30"/>
  <c r="R323" i="30"/>
  <c r="R324" i="30"/>
  <c r="R325" i="30"/>
  <c r="R326" i="30"/>
  <c r="R327" i="30"/>
  <c r="R328" i="30"/>
  <c r="R329" i="30"/>
  <c r="R330" i="30"/>
  <c r="R331" i="30"/>
  <c r="R332" i="30"/>
  <c r="R333" i="30"/>
  <c r="R334" i="30"/>
  <c r="R335" i="30"/>
  <c r="R336" i="30"/>
  <c r="R337" i="30"/>
  <c r="R338" i="30"/>
  <c r="R339" i="30"/>
  <c r="R340" i="30"/>
  <c r="R341" i="30"/>
  <c r="R342" i="30"/>
  <c r="R343" i="30"/>
  <c r="R344" i="30"/>
  <c r="R345" i="30"/>
  <c r="R346" i="30"/>
  <c r="R347" i="30"/>
  <c r="R348" i="30"/>
  <c r="R349" i="30"/>
  <c r="R350" i="30"/>
  <c r="R351" i="30"/>
  <c r="R352" i="30"/>
  <c r="R353" i="30"/>
  <c r="R354" i="30"/>
  <c r="R355" i="30"/>
  <c r="R356" i="30"/>
  <c r="R357" i="30"/>
  <c r="R358" i="30"/>
  <c r="R359" i="30"/>
  <c r="R360" i="30"/>
  <c r="R361" i="30"/>
  <c r="R362" i="30"/>
  <c r="R363" i="30"/>
  <c r="R364" i="30"/>
  <c r="R365" i="30"/>
  <c r="R366" i="30"/>
  <c r="R367" i="30"/>
  <c r="R368" i="30"/>
  <c r="R369" i="30"/>
  <c r="R370" i="30"/>
  <c r="R371" i="30"/>
  <c r="R372" i="30"/>
  <c r="R373" i="30"/>
  <c r="R374" i="30"/>
  <c r="R375" i="30"/>
  <c r="R376" i="30"/>
  <c r="R377" i="30"/>
  <c r="R378" i="30"/>
  <c r="R379" i="30"/>
  <c r="R380" i="30"/>
  <c r="R381" i="30"/>
  <c r="R382" i="30"/>
  <c r="R383" i="30"/>
  <c r="R384" i="30"/>
  <c r="R385" i="30"/>
  <c r="R386" i="30"/>
  <c r="R387" i="30"/>
  <c r="R388" i="30"/>
  <c r="R389" i="30"/>
  <c r="R390" i="30"/>
  <c r="R391" i="30"/>
  <c r="R392" i="30"/>
  <c r="R393" i="30"/>
  <c r="R394" i="30"/>
  <c r="R395" i="30"/>
  <c r="R396" i="30"/>
  <c r="R397" i="30"/>
  <c r="R398" i="30"/>
  <c r="R399" i="30"/>
  <c r="R400" i="30"/>
  <c r="R401" i="30"/>
  <c r="R402" i="30"/>
  <c r="R403" i="30"/>
  <c r="R404" i="30"/>
  <c r="R405" i="30"/>
  <c r="R406" i="30"/>
  <c r="R407" i="30"/>
  <c r="R408" i="30"/>
  <c r="R409" i="30"/>
  <c r="R410" i="30"/>
  <c r="R411" i="30"/>
  <c r="R412" i="30"/>
  <c r="R413" i="30"/>
  <c r="R414" i="30"/>
  <c r="R415" i="30"/>
  <c r="R416" i="30"/>
  <c r="R417" i="30"/>
  <c r="R418" i="30"/>
  <c r="R419" i="30"/>
  <c r="R420" i="30"/>
  <c r="R421" i="30"/>
  <c r="R422" i="30"/>
  <c r="R423" i="30"/>
  <c r="R424" i="30"/>
  <c r="R425" i="30"/>
  <c r="R426" i="30"/>
  <c r="R427" i="30"/>
  <c r="R428" i="30"/>
  <c r="R429" i="30"/>
  <c r="R430" i="30"/>
  <c r="R431" i="30"/>
  <c r="R432" i="30"/>
  <c r="R433" i="30"/>
  <c r="R434" i="30"/>
  <c r="R435" i="30"/>
  <c r="R436" i="30"/>
  <c r="R437" i="30"/>
  <c r="R438" i="30"/>
  <c r="R439" i="30"/>
  <c r="R440" i="30"/>
  <c r="R441" i="30"/>
  <c r="R442" i="30"/>
  <c r="R443" i="30"/>
  <c r="R444" i="30"/>
  <c r="R445" i="30"/>
  <c r="R446" i="30"/>
  <c r="R447" i="30"/>
  <c r="R448" i="30"/>
  <c r="R449" i="30"/>
  <c r="R450" i="30"/>
  <c r="R451" i="30"/>
  <c r="R452" i="30"/>
  <c r="R453" i="30"/>
  <c r="R454" i="30"/>
  <c r="R455" i="30"/>
  <c r="R456" i="30"/>
  <c r="R457" i="30"/>
  <c r="R458" i="30"/>
  <c r="R459" i="30"/>
  <c r="R460" i="30"/>
  <c r="R461" i="30"/>
  <c r="R462" i="30"/>
  <c r="R463" i="30"/>
  <c r="R464" i="30"/>
  <c r="R465" i="30"/>
  <c r="R466" i="30"/>
  <c r="R467" i="30"/>
  <c r="R468" i="30"/>
  <c r="R469" i="30"/>
  <c r="R470" i="30"/>
  <c r="R471" i="30"/>
  <c r="R472" i="30"/>
  <c r="R473" i="30"/>
  <c r="R474" i="30"/>
  <c r="R475" i="30"/>
  <c r="R476" i="30"/>
  <c r="R477" i="30"/>
  <c r="R478" i="30"/>
  <c r="R479" i="30"/>
  <c r="R480" i="30"/>
  <c r="R481" i="30"/>
  <c r="R482" i="30"/>
  <c r="R483" i="30"/>
  <c r="R484" i="30"/>
  <c r="R485" i="30"/>
  <c r="R486" i="30"/>
  <c r="R487" i="30"/>
  <c r="R488" i="30"/>
  <c r="R489" i="30"/>
  <c r="R490" i="30"/>
  <c r="R491" i="30"/>
  <c r="R492" i="30"/>
  <c r="R493" i="30"/>
  <c r="R494" i="30"/>
  <c r="R495" i="30"/>
  <c r="R496" i="30"/>
  <c r="R497" i="30"/>
  <c r="R498" i="30"/>
  <c r="R499" i="30"/>
  <c r="R500" i="30"/>
  <c r="R501" i="30"/>
  <c r="B1023" i="33"/>
  <c r="B1022" i="33"/>
  <c r="B1021" i="33"/>
  <c r="B1020" i="33"/>
  <c r="B1019" i="33"/>
  <c r="B1018" i="33"/>
  <c r="B1017" i="33"/>
  <c r="B1016" i="33"/>
  <c r="B1015" i="33"/>
  <c r="B1014" i="33"/>
  <c r="B1013" i="33"/>
  <c r="B1012" i="33"/>
  <c r="B1011" i="33"/>
  <c r="B1010" i="33"/>
  <c r="B1009" i="33"/>
  <c r="B1008" i="33"/>
  <c r="B1007" i="33"/>
  <c r="B1006" i="33"/>
  <c r="B1005" i="33"/>
  <c r="B1004" i="33"/>
  <c r="B1003" i="33"/>
  <c r="B1002" i="33"/>
  <c r="B1001" i="33"/>
  <c r="B1000" i="33"/>
  <c r="B999" i="33"/>
  <c r="B998" i="33"/>
  <c r="B997" i="33"/>
  <c r="B996" i="33"/>
  <c r="B995" i="33"/>
  <c r="B994" i="33"/>
  <c r="B993" i="33"/>
  <c r="B992" i="33"/>
  <c r="B991" i="33"/>
  <c r="B990" i="33"/>
  <c r="B989" i="33"/>
  <c r="B988" i="33"/>
  <c r="B987" i="33"/>
  <c r="B986" i="33"/>
  <c r="B985" i="33"/>
  <c r="B984" i="33"/>
  <c r="B983" i="33"/>
  <c r="B982" i="33"/>
  <c r="B981" i="33"/>
  <c r="B980" i="33"/>
  <c r="B979" i="33"/>
  <c r="B978" i="33"/>
  <c r="B977" i="33"/>
  <c r="B976" i="33"/>
  <c r="B975" i="33"/>
  <c r="B974" i="33"/>
  <c r="B973" i="33"/>
  <c r="B972" i="33"/>
  <c r="B971" i="33"/>
  <c r="B970" i="33"/>
  <c r="B969" i="33"/>
  <c r="B968" i="33"/>
  <c r="B967" i="33"/>
  <c r="B966" i="33"/>
  <c r="B965" i="33"/>
  <c r="B964" i="33"/>
  <c r="B963" i="33"/>
  <c r="B962" i="33"/>
  <c r="B961" i="33"/>
  <c r="B960" i="33"/>
  <c r="B959" i="33"/>
  <c r="B958" i="33"/>
  <c r="B957" i="33"/>
  <c r="B956" i="33"/>
  <c r="B955" i="33"/>
  <c r="B954" i="33"/>
  <c r="B953" i="33"/>
  <c r="B952" i="33"/>
  <c r="B951" i="33"/>
  <c r="B950" i="33"/>
  <c r="B949" i="33"/>
  <c r="B948" i="33"/>
  <c r="B947" i="33"/>
  <c r="B946" i="33"/>
  <c r="B945" i="33"/>
  <c r="B944" i="33"/>
  <c r="B943" i="33"/>
  <c r="B942" i="33"/>
  <c r="B941" i="33"/>
  <c r="B940" i="33"/>
  <c r="B939" i="33"/>
  <c r="B938" i="33"/>
  <c r="B937" i="33"/>
  <c r="B936" i="33"/>
  <c r="B935" i="33"/>
  <c r="B934" i="33"/>
  <c r="B933" i="33"/>
  <c r="B932" i="33"/>
  <c r="B931" i="33"/>
  <c r="B930" i="33"/>
  <c r="B929" i="33"/>
  <c r="B928" i="33"/>
  <c r="B927" i="33"/>
  <c r="B926" i="33"/>
  <c r="B925" i="33"/>
  <c r="B924" i="33"/>
  <c r="B923" i="33"/>
  <c r="B922" i="33"/>
  <c r="B921" i="33"/>
  <c r="B920" i="33"/>
  <c r="B919" i="33"/>
  <c r="B918" i="33"/>
  <c r="B917" i="33"/>
  <c r="B916" i="33"/>
  <c r="B915" i="33"/>
  <c r="B914" i="33"/>
  <c r="B913" i="33"/>
  <c r="B912" i="33"/>
  <c r="B911" i="33"/>
  <c r="B910" i="33"/>
  <c r="B909" i="33"/>
  <c r="B908" i="33"/>
  <c r="B907" i="33"/>
  <c r="B906" i="33"/>
  <c r="B905" i="33"/>
  <c r="B904" i="33"/>
  <c r="B903" i="33"/>
  <c r="B902" i="33"/>
  <c r="B901" i="33"/>
  <c r="B900" i="33"/>
  <c r="B899" i="33"/>
  <c r="B898" i="33"/>
  <c r="B897" i="33"/>
  <c r="B896" i="33"/>
  <c r="B895" i="33"/>
  <c r="B894" i="33"/>
  <c r="B893" i="33"/>
  <c r="B892" i="33"/>
  <c r="B891" i="33"/>
  <c r="B890" i="33"/>
  <c r="B889" i="33"/>
  <c r="B888" i="33"/>
  <c r="B887" i="33"/>
  <c r="B886" i="33"/>
  <c r="B885" i="33"/>
  <c r="B884" i="33"/>
  <c r="B883" i="33"/>
  <c r="B882" i="33"/>
  <c r="B881" i="33"/>
  <c r="B880" i="33"/>
  <c r="B879" i="33"/>
  <c r="B878" i="33"/>
  <c r="B877" i="33"/>
  <c r="B876" i="33"/>
  <c r="B875" i="33"/>
  <c r="B874" i="33"/>
  <c r="B873" i="33"/>
  <c r="B872" i="33"/>
  <c r="B871" i="33"/>
  <c r="B870" i="33"/>
  <c r="B869" i="33"/>
  <c r="B868" i="33"/>
  <c r="B867" i="33"/>
  <c r="B866" i="33"/>
  <c r="B865" i="33"/>
  <c r="B864" i="33"/>
  <c r="B863" i="33"/>
  <c r="B862" i="33"/>
  <c r="B861" i="33"/>
  <c r="B860" i="33"/>
  <c r="B859" i="33"/>
  <c r="B858" i="33"/>
  <c r="B857" i="33"/>
  <c r="B856" i="33"/>
  <c r="B855" i="33"/>
  <c r="B854" i="33"/>
  <c r="B853" i="33"/>
  <c r="B852" i="33"/>
  <c r="B851" i="33"/>
  <c r="B850" i="33"/>
  <c r="B849" i="33"/>
  <c r="B848" i="33"/>
  <c r="B847" i="33"/>
  <c r="B846" i="33"/>
  <c r="B845" i="33"/>
  <c r="B844" i="33"/>
  <c r="B843" i="33"/>
  <c r="B842" i="33"/>
  <c r="B841" i="33"/>
  <c r="B840" i="33"/>
  <c r="B839" i="33"/>
  <c r="B838" i="33"/>
  <c r="B837" i="33"/>
  <c r="B836" i="33"/>
  <c r="B835" i="33"/>
  <c r="B834" i="33"/>
  <c r="B833" i="33"/>
  <c r="B832" i="33"/>
  <c r="B831" i="33"/>
  <c r="B830" i="33"/>
  <c r="B829" i="33"/>
  <c r="B828" i="33"/>
  <c r="B827" i="33"/>
  <c r="B826" i="33"/>
  <c r="B825" i="33"/>
  <c r="B824" i="33"/>
  <c r="B823" i="33"/>
  <c r="B822" i="33"/>
  <c r="B821" i="33"/>
  <c r="B820" i="33"/>
  <c r="B819" i="33"/>
  <c r="B818" i="33"/>
  <c r="B817" i="33"/>
  <c r="B816" i="33"/>
  <c r="B815" i="33"/>
  <c r="B814" i="33"/>
  <c r="B813" i="33"/>
  <c r="B812" i="33"/>
  <c r="B811" i="33"/>
  <c r="B810" i="33"/>
  <c r="B809" i="33"/>
  <c r="B808" i="33"/>
  <c r="B807" i="33"/>
  <c r="B806" i="33"/>
  <c r="B805" i="33"/>
  <c r="B804" i="33"/>
  <c r="B803" i="33"/>
  <c r="B802" i="33"/>
  <c r="B801" i="33"/>
  <c r="B800" i="33"/>
  <c r="B799" i="33"/>
  <c r="B798" i="33"/>
  <c r="B797" i="33"/>
  <c r="B796" i="33"/>
  <c r="B795" i="33"/>
  <c r="B794" i="33"/>
  <c r="B793" i="33"/>
  <c r="B792" i="33"/>
  <c r="B791" i="33"/>
  <c r="B790" i="33"/>
  <c r="B789" i="33"/>
  <c r="B788" i="33"/>
  <c r="B787" i="33"/>
  <c r="B786" i="33"/>
  <c r="B785" i="33"/>
  <c r="B784" i="33"/>
  <c r="B783" i="33"/>
  <c r="B782" i="33"/>
  <c r="B781" i="33"/>
  <c r="B780" i="33"/>
  <c r="B779" i="33"/>
  <c r="B778" i="33"/>
  <c r="B777" i="33"/>
  <c r="B776" i="33"/>
  <c r="B775" i="33"/>
  <c r="B774" i="33"/>
  <c r="B773" i="33"/>
  <c r="B772" i="33"/>
  <c r="B771" i="33"/>
  <c r="B770" i="33"/>
  <c r="B769" i="33"/>
  <c r="B768" i="33"/>
  <c r="B767" i="33"/>
  <c r="B766" i="33"/>
  <c r="B765" i="33"/>
  <c r="B764" i="33"/>
  <c r="B763" i="33"/>
  <c r="B762" i="33"/>
  <c r="B761" i="33"/>
  <c r="B760" i="33"/>
  <c r="B759" i="33"/>
  <c r="B758" i="33"/>
  <c r="B757" i="33"/>
  <c r="B756" i="33"/>
  <c r="B755" i="33"/>
  <c r="B754" i="33"/>
  <c r="B753" i="33"/>
  <c r="B752" i="33"/>
  <c r="B751" i="33"/>
  <c r="B750" i="33"/>
  <c r="B749" i="33"/>
  <c r="B748" i="33"/>
  <c r="B747" i="33"/>
  <c r="B746" i="33"/>
  <c r="B745" i="33"/>
  <c r="B744" i="33"/>
  <c r="B743" i="33"/>
  <c r="B742" i="33"/>
  <c r="B741" i="33"/>
  <c r="B740" i="33"/>
  <c r="B739" i="33"/>
  <c r="B738" i="33"/>
  <c r="B737" i="33"/>
  <c r="B736" i="33"/>
  <c r="B735" i="33"/>
  <c r="B734" i="33"/>
  <c r="B733" i="33"/>
  <c r="B732" i="33"/>
  <c r="B731" i="33"/>
  <c r="B730" i="33"/>
  <c r="B729" i="33"/>
  <c r="B728" i="33"/>
  <c r="B727" i="33"/>
  <c r="B726" i="33"/>
  <c r="B725" i="33"/>
  <c r="B724" i="33"/>
  <c r="B723" i="33"/>
  <c r="B722" i="33"/>
  <c r="B721" i="33"/>
  <c r="B720" i="33"/>
  <c r="B719" i="33"/>
  <c r="B718" i="33"/>
  <c r="B717" i="33"/>
  <c r="B716" i="33"/>
  <c r="B715" i="33"/>
  <c r="B714" i="33"/>
  <c r="B713" i="33"/>
  <c r="B712" i="33"/>
  <c r="B711" i="33"/>
  <c r="B710" i="33"/>
  <c r="B709" i="33"/>
  <c r="B708" i="33"/>
  <c r="B707" i="33"/>
  <c r="B706" i="33"/>
  <c r="B705" i="33"/>
  <c r="B704" i="33"/>
  <c r="B703" i="33"/>
  <c r="B702" i="33"/>
  <c r="B701" i="33"/>
  <c r="B700" i="33"/>
  <c r="B699" i="33"/>
  <c r="B698" i="33"/>
  <c r="B697" i="33"/>
  <c r="B696" i="33"/>
  <c r="B695" i="33"/>
  <c r="B694" i="33"/>
  <c r="B693" i="33"/>
  <c r="B692" i="33"/>
  <c r="B691" i="33"/>
  <c r="B690" i="33"/>
  <c r="B689" i="33"/>
  <c r="B688" i="33"/>
  <c r="B687" i="33"/>
  <c r="B686" i="33"/>
  <c r="B685" i="33"/>
  <c r="B684" i="33"/>
  <c r="B683" i="33"/>
  <c r="B682" i="33"/>
  <c r="B681" i="33"/>
  <c r="B680" i="33"/>
  <c r="B679" i="33"/>
  <c r="B678" i="33"/>
  <c r="B677" i="33"/>
  <c r="B676" i="33"/>
  <c r="B675" i="33"/>
  <c r="B674" i="33"/>
  <c r="B673" i="33"/>
  <c r="B672" i="33"/>
  <c r="B671" i="33"/>
  <c r="B670" i="33"/>
  <c r="B669" i="33"/>
  <c r="B668" i="33"/>
  <c r="B667" i="33"/>
  <c r="B666" i="33"/>
  <c r="B665" i="33"/>
  <c r="B664" i="33"/>
  <c r="B663" i="33"/>
  <c r="B662" i="33"/>
  <c r="B661" i="33"/>
  <c r="B660" i="33"/>
  <c r="B659" i="33"/>
  <c r="B658" i="33"/>
  <c r="B657" i="33"/>
  <c r="B656" i="33"/>
  <c r="B655" i="33"/>
  <c r="B654" i="33"/>
  <c r="B653" i="33"/>
  <c r="B652" i="33"/>
  <c r="B651" i="33"/>
  <c r="B650" i="33"/>
  <c r="B649" i="33"/>
  <c r="B648" i="33"/>
  <c r="B647" i="33"/>
  <c r="B646" i="33"/>
  <c r="B645" i="33"/>
  <c r="B644" i="33"/>
  <c r="B643" i="33"/>
  <c r="B642" i="33"/>
  <c r="B641" i="33"/>
  <c r="B640" i="33"/>
  <c r="B639" i="33"/>
  <c r="B638" i="33"/>
  <c r="B637" i="33"/>
  <c r="B636" i="33"/>
  <c r="B635" i="33"/>
  <c r="B634" i="33"/>
  <c r="B633" i="33"/>
  <c r="B632" i="33"/>
  <c r="B631" i="33"/>
  <c r="B630" i="33"/>
  <c r="B629" i="33"/>
  <c r="B628" i="33"/>
  <c r="B627" i="33"/>
  <c r="B626" i="33"/>
  <c r="B625" i="33"/>
  <c r="B624" i="33"/>
  <c r="B623" i="33"/>
  <c r="B622" i="33"/>
  <c r="B621" i="33"/>
  <c r="B620" i="33"/>
  <c r="B619" i="33"/>
  <c r="B618" i="33"/>
  <c r="B617" i="33"/>
  <c r="B616" i="33"/>
  <c r="B615" i="33"/>
  <c r="B614" i="33"/>
  <c r="B613" i="33"/>
  <c r="B612" i="33"/>
  <c r="B611" i="33"/>
  <c r="B610" i="33"/>
  <c r="B609" i="33"/>
  <c r="B608" i="33"/>
  <c r="B607" i="33"/>
  <c r="B606" i="33"/>
  <c r="B605" i="33"/>
  <c r="B604" i="33"/>
  <c r="B603" i="33"/>
  <c r="B602" i="33"/>
  <c r="B601" i="33"/>
  <c r="B600" i="33"/>
  <c r="B599" i="33"/>
  <c r="B598" i="33"/>
  <c r="B597" i="33"/>
  <c r="B596" i="33"/>
  <c r="B595" i="33"/>
  <c r="B594" i="33"/>
  <c r="B593" i="33"/>
  <c r="B592" i="33"/>
  <c r="B591" i="33"/>
  <c r="B590" i="33"/>
  <c r="B589" i="33"/>
  <c r="B588" i="33"/>
  <c r="B587" i="33"/>
  <c r="B586" i="33"/>
  <c r="B585" i="33"/>
  <c r="B584" i="33"/>
  <c r="B583" i="33"/>
  <c r="B582" i="33"/>
  <c r="B581" i="33"/>
  <c r="B580" i="33"/>
  <c r="B579" i="33"/>
  <c r="B578" i="33"/>
  <c r="B577" i="33"/>
  <c r="B576" i="33"/>
  <c r="B575" i="33"/>
  <c r="B574" i="33"/>
  <c r="B573" i="33"/>
  <c r="B572" i="33"/>
  <c r="B571" i="33"/>
  <c r="B570" i="33"/>
  <c r="B569" i="33"/>
  <c r="B568" i="33"/>
  <c r="B567" i="33"/>
  <c r="B566" i="33"/>
  <c r="B565" i="33"/>
  <c r="B564" i="33"/>
  <c r="B563" i="33"/>
  <c r="B562" i="33"/>
  <c r="B561" i="33"/>
  <c r="B560" i="33"/>
  <c r="B559" i="33"/>
  <c r="B558" i="33"/>
  <c r="B557" i="33"/>
  <c r="B556" i="33"/>
  <c r="B555" i="33"/>
  <c r="B554" i="33"/>
  <c r="B553" i="33"/>
  <c r="B552" i="33"/>
  <c r="B551" i="33"/>
  <c r="B550" i="33"/>
  <c r="B549" i="33"/>
  <c r="B548" i="33"/>
  <c r="B547" i="33"/>
  <c r="B546" i="33"/>
  <c r="B545" i="33"/>
  <c r="B544" i="33"/>
  <c r="B543" i="33"/>
  <c r="B542" i="33"/>
  <c r="B541" i="33"/>
  <c r="B540" i="33"/>
  <c r="B539" i="33"/>
  <c r="B538" i="33"/>
  <c r="B537" i="33"/>
  <c r="B536" i="33"/>
  <c r="B535" i="33"/>
  <c r="B534" i="33"/>
  <c r="B533" i="33"/>
  <c r="B532" i="33"/>
  <c r="B531" i="33"/>
  <c r="B530" i="33"/>
  <c r="B529" i="33"/>
  <c r="B528" i="33"/>
  <c r="B527" i="33"/>
  <c r="B526" i="33"/>
  <c r="B525" i="33"/>
  <c r="B524" i="33"/>
  <c r="B1023" i="4" l="1"/>
  <c r="B1022" i="4"/>
  <c r="B1021" i="4"/>
  <c r="B1020" i="4"/>
  <c r="B1019" i="4"/>
  <c r="B1018" i="4"/>
  <c r="B1017" i="4"/>
  <c r="B1016" i="4"/>
  <c r="B1015" i="4"/>
  <c r="B1014" i="4"/>
  <c r="B1013" i="4"/>
  <c r="B1012" i="4"/>
  <c r="B1011" i="4"/>
  <c r="B1010" i="4"/>
  <c r="B1009" i="4"/>
  <c r="B1008" i="4"/>
  <c r="B1007" i="4"/>
  <c r="B1006" i="4"/>
  <c r="B1005" i="4"/>
  <c r="B1004" i="4"/>
  <c r="B1003" i="4"/>
  <c r="B1002" i="4"/>
  <c r="B1001" i="4"/>
  <c r="B1000" i="4"/>
  <c r="B999" i="4"/>
  <c r="B998" i="4"/>
  <c r="B997" i="4"/>
  <c r="B996" i="4"/>
  <c r="B995" i="4"/>
  <c r="B994" i="4"/>
  <c r="B993" i="4"/>
  <c r="B992" i="4"/>
  <c r="B991" i="4"/>
  <c r="B990" i="4"/>
  <c r="B989" i="4"/>
  <c r="B988" i="4"/>
  <c r="B987" i="4"/>
  <c r="B986" i="4"/>
  <c r="B985" i="4"/>
  <c r="B984" i="4"/>
  <c r="B983" i="4"/>
  <c r="B982" i="4"/>
  <c r="B981" i="4"/>
  <c r="B980" i="4"/>
  <c r="B979" i="4"/>
  <c r="B978" i="4"/>
  <c r="B977" i="4"/>
  <c r="B976" i="4"/>
  <c r="B975" i="4"/>
  <c r="B974" i="4"/>
  <c r="B973" i="4"/>
  <c r="B972" i="4"/>
  <c r="B971" i="4"/>
  <c r="B970" i="4"/>
  <c r="B969" i="4"/>
  <c r="B968" i="4"/>
  <c r="B967" i="4"/>
  <c r="B966" i="4"/>
  <c r="B965" i="4"/>
  <c r="B964" i="4"/>
  <c r="B963" i="4"/>
  <c r="B962" i="4"/>
  <c r="B961" i="4"/>
  <c r="B960" i="4"/>
  <c r="B959" i="4"/>
  <c r="B958" i="4"/>
  <c r="B957" i="4"/>
  <c r="B956" i="4"/>
  <c r="B955" i="4"/>
  <c r="B954" i="4"/>
  <c r="B953" i="4"/>
  <c r="B952" i="4"/>
  <c r="B951" i="4"/>
  <c r="B950" i="4"/>
  <c r="B949" i="4"/>
  <c r="B948" i="4"/>
  <c r="B947" i="4"/>
  <c r="B946" i="4"/>
  <c r="B945" i="4"/>
  <c r="B944" i="4"/>
  <c r="B943" i="4"/>
  <c r="B942" i="4"/>
  <c r="B941" i="4"/>
  <c r="B940" i="4"/>
  <c r="B939" i="4"/>
  <c r="B938" i="4"/>
  <c r="B937" i="4"/>
  <c r="B936" i="4"/>
  <c r="B935" i="4"/>
  <c r="B934" i="4"/>
  <c r="B933" i="4"/>
  <c r="B932" i="4"/>
  <c r="B931" i="4"/>
  <c r="B930" i="4"/>
  <c r="B929" i="4"/>
  <c r="B928" i="4"/>
  <c r="B927" i="4"/>
  <c r="B926" i="4"/>
  <c r="B925" i="4"/>
  <c r="B924" i="4"/>
  <c r="B923" i="4"/>
  <c r="B922" i="4"/>
  <c r="B921" i="4"/>
  <c r="B920" i="4"/>
  <c r="B919" i="4"/>
  <c r="B918" i="4"/>
  <c r="B917" i="4"/>
  <c r="B916" i="4"/>
  <c r="B915" i="4"/>
  <c r="B914" i="4"/>
  <c r="B913" i="4"/>
  <c r="B912" i="4"/>
  <c r="B911" i="4"/>
  <c r="B910" i="4"/>
  <c r="B909" i="4"/>
  <c r="B908" i="4"/>
  <c r="B907" i="4"/>
  <c r="B906" i="4"/>
  <c r="B905" i="4"/>
  <c r="B904" i="4"/>
  <c r="B903" i="4"/>
  <c r="B902" i="4"/>
  <c r="B901" i="4"/>
  <c r="B900" i="4"/>
  <c r="B899" i="4"/>
  <c r="B898" i="4"/>
  <c r="B897" i="4"/>
  <c r="B896" i="4"/>
  <c r="B895" i="4"/>
  <c r="B894" i="4"/>
  <c r="B893" i="4"/>
  <c r="B892" i="4"/>
  <c r="B891" i="4"/>
  <c r="B890" i="4"/>
  <c r="B889" i="4"/>
  <c r="B888" i="4"/>
  <c r="B887" i="4"/>
  <c r="B886" i="4"/>
  <c r="B885" i="4"/>
  <c r="B884" i="4"/>
  <c r="B883" i="4"/>
  <c r="B882" i="4"/>
  <c r="B881" i="4"/>
  <c r="B880" i="4"/>
  <c r="B879" i="4"/>
  <c r="B878" i="4"/>
  <c r="B877" i="4"/>
  <c r="B876" i="4"/>
  <c r="B875" i="4"/>
  <c r="B874" i="4"/>
  <c r="B873" i="4"/>
  <c r="B872" i="4"/>
  <c r="B871" i="4"/>
  <c r="B870" i="4"/>
  <c r="B869" i="4"/>
  <c r="B868" i="4"/>
  <c r="B867" i="4"/>
  <c r="B866" i="4"/>
  <c r="B865" i="4"/>
  <c r="B864" i="4"/>
  <c r="B863" i="4"/>
  <c r="B862" i="4"/>
  <c r="B861" i="4"/>
  <c r="B860" i="4"/>
  <c r="B859" i="4"/>
  <c r="B858" i="4"/>
  <c r="B857" i="4"/>
  <c r="B856" i="4"/>
  <c r="B855" i="4"/>
  <c r="B854" i="4"/>
  <c r="B853" i="4"/>
  <c r="B852" i="4"/>
  <c r="B851" i="4"/>
  <c r="B850" i="4"/>
  <c r="B849" i="4"/>
  <c r="B848" i="4"/>
  <c r="B847" i="4"/>
  <c r="B846" i="4"/>
  <c r="B845" i="4"/>
  <c r="B844" i="4"/>
  <c r="B843" i="4"/>
  <c r="B842" i="4"/>
  <c r="B841" i="4"/>
  <c r="B840" i="4"/>
  <c r="B839" i="4"/>
  <c r="B838" i="4"/>
  <c r="B837" i="4"/>
  <c r="B836" i="4"/>
  <c r="B835" i="4"/>
  <c r="B834" i="4"/>
  <c r="B833" i="4"/>
  <c r="B832" i="4"/>
  <c r="B831" i="4"/>
  <c r="B830" i="4"/>
  <c r="B829" i="4"/>
  <c r="B828" i="4"/>
  <c r="B827" i="4"/>
  <c r="B826" i="4"/>
  <c r="B825" i="4"/>
  <c r="B824" i="4"/>
  <c r="B823" i="4"/>
  <c r="B822" i="4"/>
  <c r="B821" i="4"/>
  <c r="B820" i="4"/>
  <c r="B819" i="4"/>
  <c r="B818" i="4"/>
  <c r="B817" i="4"/>
  <c r="B816" i="4"/>
  <c r="B815" i="4"/>
  <c r="B814" i="4"/>
  <c r="B813" i="4"/>
  <c r="B812" i="4"/>
  <c r="B811" i="4"/>
  <c r="B810" i="4"/>
  <c r="B809" i="4"/>
  <c r="B808" i="4"/>
  <c r="B807" i="4"/>
  <c r="B806" i="4"/>
  <c r="B805" i="4"/>
  <c r="B804" i="4"/>
  <c r="B803" i="4"/>
  <c r="B802" i="4"/>
  <c r="B801" i="4"/>
  <c r="B800" i="4"/>
  <c r="B799" i="4"/>
  <c r="B798" i="4"/>
  <c r="B797" i="4"/>
  <c r="B796" i="4"/>
  <c r="B795" i="4"/>
  <c r="B794" i="4"/>
  <c r="B793" i="4"/>
  <c r="B792" i="4"/>
  <c r="B791" i="4"/>
  <c r="B790" i="4"/>
  <c r="B789" i="4"/>
  <c r="B788" i="4"/>
  <c r="B787" i="4"/>
  <c r="B786" i="4"/>
  <c r="B785" i="4"/>
  <c r="B784" i="4"/>
  <c r="B783" i="4"/>
  <c r="B782" i="4"/>
  <c r="B781" i="4"/>
  <c r="B780" i="4"/>
  <c r="B779" i="4"/>
  <c r="B778" i="4"/>
  <c r="B777" i="4"/>
  <c r="B776" i="4"/>
  <c r="B775" i="4"/>
  <c r="B774" i="4"/>
  <c r="B773" i="4"/>
  <c r="B772" i="4"/>
  <c r="B771" i="4"/>
  <c r="B770" i="4"/>
  <c r="B769" i="4"/>
  <c r="B768" i="4"/>
  <c r="B767" i="4"/>
  <c r="B766" i="4"/>
  <c r="B765" i="4"/>
  <c r="B764" i="4"/>
  <c r="B763" i="4"/>
  <c r="B762" i="4"/>
  <c r="B761" i="4"/>
  <c r="B760" i="4"/>
  <c r="B759" i="4"/>
  <c r="B758" i="4"/>
  <c r="B757" i="4"/>
  <c r="B756" i="4"/>
  <c r="B755" i="4"/>
  <c r="B754" i="4"/>
  <c r="B753" i="4"/>
  <c r="B752" i="4"/>
  <c r="B751" i="4"/>
  <c r="B750" i="4"/>
  <c r="B749" i="4"/>
  <c r="B748" i="4"/>
  <c r="B747" i="4"/>
  <c r="B746" i="4"/>
  <c r="B745" i="4"/>
  <c r="B744" i="4"/>
  <c r="B743" i="4"/>
  <c r="B742" i="4"/>
  <c r="B741" i="4"/>
  <c r="B740" i="4"/>
  <c r="B739" i="4"/>
  <c r="B738" i="4"/>
  <c r="B737" i="4"/>
  <c r="B736" i="4"/>
  <c r="B735" i="4"/>
  <c r="B734" i="4"/>
  <c r="B733" i="4"/>
  <c r="B732" i="4"/>
  <c r="B731" i="4"/>
  <c r="B730" i="4"/>
  <c r="B729" i="4"/>
  <c r="B728" i="4"/>
  <c r="B727" i="4"/>
  <c r="B726" i="4"/>
  <c r="B725" i="4"/>
  <c r="B724" i="4"/>
  <c r="B723" i="4"/>
  <c r="B722" i="4"/>
  <c r="B721" i="4"/>
  <c r="B720" i="4"/>
  <c r="B719" i="4"/>
  <c r="B718" i="4"/>
  <c r="B717" i="4"/>
  <c r="B716" i="4"/>
  <c r="B715" i="4"/>
  <c r="B714" i="4"/>
  <c r="B713" i="4"/>
  <c r="B712" i="4"/>
  <c r="B711" i="4"/>
  <c r="B710" i="4"/>
  <c r="B709" i="4"/>
  <c r="B708" i="4"/>
  <c r="B707" i="4"/>
  <c r="B706" i="4"/>
  <c r="B705" i="4"/>
  <c r="B704" i="4"/>
  <c r="B703" i="4"/>
  <c r="B702" i="4"/>
  <c r="B701" i="4"/>
  <c r="B700" i="4"/>
  <c r="B699" i="4"/>
  <c r="B698" i="4"/>
  <c r="B697" i="4"/>
  <c r="B696" i="4"/>
  <c r="B695" i="4"/>
  <c r="B694" i="4"/>
  <c r="B693" i="4"/>
  <c r="B692" i="4"/>
  <c r="B691" i="4"/>
  <c r="B690" i="4"/>
  <c r="B689" i="4"/>
  <c r="B688" i="4"/>
  <c r="B687" i="4"/>
  <c r="B686" i="4"/>
  <c r="B685" i="4"/>
  <c r="B684" i="4"/>
  <c r="B683" i="4"/>
  <c r="B682" i="4"/>
  <c r="B681" i="4"/>
  <c r="B680" i="4"/>
  <c r="B679" i="4"/>
  <c r="B678" i="4"/>
  <c r="B677" i="4"/>
  <c r="B676" i="4"/>
  <c r="B675" i="4"/>
  <c r="B674" i="4"/>
  <c r="B673" i="4"/>
  <c r="B672" i="4"/>
  <c r="B671" i="4"/>
  <c r="B670" i="4"/>
  <c r="B669" i="4"/>
  <c r="B668" i="4"/>
  <c r="B667" i="4"/>
  <c r="B666" i="4"/>
  <c r="B665" i="4"/>
  <c r="B664" i="4"/>
  <c r="B663" i="4"/>
  <c r="B662" i="4"/>
  <c r="B661" i="4"/>
  <c r="B660" i="4"/>
  <c r="B659" i="4"/>
  <c r="B658" i="4"/>
  <c r="B657" i="4"/>
  <c r="B656" i="4"/>
  <c r="B655" i="4"/>
  <c r="B654" i="4"/>
  <c r="B653" i="4"/>
  <c r="B652" i="4"/>
  <c r="B651" i="4"/>
  <c r="B650" i="4"/>
  <c r="B649" i="4"/>
  <c r="B648" i="4"/>
  <c r="B647" i="4"/>
  <c r="B646" i="4"/>
  <c r="B645" i="4"/>
  <c r="B644" i="4"/>
  <c r="B643" i="4"/>
  <c r="B642" i="4"/>
  <c r="B641" i="4"/>
  <c r="B640" i="4"/>
  <c r="B639" i="4"/>
  <c r="B638" i="4"/>
  <c r="B637" i="4"/>
  <c r="B636" i="4"/>
  <c r="B635" i="4"/>
  <c r="B634" i="4"/>
  <c r="B633" i="4"/>
  <c r="B632" i="4"/>
  <c r="B631" i="4"/>
  <c r="B630" i="4"/>
  <c r="B629" i="4"/>
  <c r="B628" i="4"/>
  <c r="B627" i="4"/>
  <c r="B626" i="4"/>
  <c r="B625" i="4"/>
  <c r="B624" i="4"/>
  <c r="B623" i="4"/>
  <c r="B622" i="4"/>
  <c r="B621" i="4"/>
  <c r="B620" i="4"/>
  <c r="B619" i="4"/>
  <c r="B618" i="4"/>
  <c r="B617" i="4"/>
  <c r="B616" i="4"/>
  <c r="B615" i="4"/>
  <c r="B614" i="4"/>
  <c r="B613" i="4"/>
  <c r="B612" i="4"/>
  <c r="B611" i="4"/>
  <c r="B610" i="4"/>
  <c r="B609" i="4"/>
  <c r="B608" i="4"/>
  <c r="B607" i="4"/>
  <c r="B606" i="4"/>
  <c r="B605" i="4"/>
  <c r="B604" i="4"/>
  <c r="B603" i="4"/>
  <c r="B602" i="4"/>
  <c r="B601" i="4"/>
  <c r="B600" i="4"/>
  <c r="B599" i="4"/>
  <c r="B598" i="4"/>
  <c r="B597" i="4"/>
  <c r="B596" i="4"/>
  <c r="B595" i="4"/>
  <c r="B594" i="4"/>
  <c r="B593" i="4"/>
  <c r="B592" i="4"/>
  <c r="B591" i="4"/>
  <c r="B590" i="4"/>
  <c r="B589" i="4"/>
  <c r="B588" i="4"/>
  <c r="B587" i="4"/>
  <c r="B586" i="4"/>
  <c r="B585" i="4"/>
  <c r="B584" i="4"/>
  <c r="B583" i="4"/>
  <c r="B582" i="4"/>
  <c r="B581" i="4"/>
  <c r="B580" i="4"/>
  <c r="B579" i="4"/>
  <c r="B578" i="4"/>
  <c r="B577" i="4"/>
  <c r="B576" i="4"/>
  <c r="B575" i="4"/>
  <c r="B574" i="4"/>
  <c r="B573" i="4"/>
  <c r="B572" i="4"/>
  <c r="B571" i="4"/>
  <c r="B570" i="4"/>
  <c r="B569" i="4"/>
  <c r="B568" i="4"/>
  <c r="B567" i="4"/>
  <c r="B566" i="4"/>
  <c r="B565" i="4"/>
  <c r="B564" i="4"/>
  <c r="B563" i="4"/>
  <c r="B562" i="4"/>
  <c r="B561" i="4"/>
  <c r="B560" i="4"/>
  <c r="B559" i="4"/>
  <c r="B558" i="4"/>
  <c r="B557" i="4"/>
  <c r="B556" i="4"/>
  <c r="B555" i="4"/>
  <c r="B554" i="4"/>
  <c r="B553" i="4"/>
  <c r="B552" i="4"/>
  <c r="B551" i="4"/>
  <c r="B550" i="4"/>
  <c r="B549" i="4"/>
  <c r="B548" i="4"/>
  <c r="B547" i="4"/>
  <c r="B546" i="4"/>
  <c r="B545" i="4"/>
  <c r="B544" i="4"/>
  <c r="B543" i="4"/>
  <c r="B542" i="4"/>
  <c r="B541" i="4"/>
  <c r="B540" i="4"/>
  <c r="B539" i="4"/>
  <c r="B538" i="4"/>
  <c r="B537" i="4"/>
  <c r="B536" i="4"/>
  <c r="B535" i="4"/>
  <c r="B534" i="4"/>
  <c r="B533" i="4"/>
  <c r="B532" i="4"/>
  <c r="B531" i="4"/>
  <c r="B530" i="4"/>
  <c r="B529" i="4"/>
  <c r="B528" i="4"/>
  <c r="B527" i="4"/>
  <c r="B526" i="4"/>
  <c r="B525" i="4"/>
  <c r="B524" i="4"/>
  <c r="B523" i="4"/>
  <c r="B522" i="4"/>
  <c r="B521" i="4"/>
  <c r="B520" i="4"/>
  <c r="B519" i="4"/>
  <c r="B518" i="4"/>
  <c r="B517" i="4"/>
  <c r="B516" i="4"/>
  <c r="B515" i="4"/>
  <c r="B514" i="4"/>
  <c r="B513" i="4"/>
  <c r="B512" i="4"/>
  <c r="B511" i="4"/>
  <c r="B510" i="4"/>
  <c r="B509" i="4"/>
  <c r="B508" i="4"/>
  <c r="B507" i="4"/>
  <c r="B506" i="4"/>
  <c r="B505" i="4"/>
  <c r="B504" i="4"/>
  <c r="B503" i="4"/>
  <c r="B502" i="4"/>
  <c r="B501" i="4"/>
  <c r="B500" i="4"/>
  <c r="B499" i="4"/>
  <c r="B498" i="4"/>
  <c r="B497" i="4"/>
  <c r="B496" i="4"/>
  <c r="B495" i="4"/>
  <c r="B494" i="4"/>
  <c r="B493" i="4"/>
  <c r="B492" i="4"/>
  <c r="B491" i="4"/>
  <c r="B490" i="4"/>
  <c r="B489" i="4"/>
  <c r="B488" i="4"/>
  <c r="B487" i="4"/>
  <c r="B486" i="4"/>
  <c r="B485" i="4"/>
  <c r="B484" i="4"/>
  <c r="B483" i="4"/>
  <c r="B482" i="4"/>
  <c r="B481" i="4"/>
  <c r="B480" i="4"/>
  <c r="B479" i="4"/>
  <c r="B478" i="4"/>
  <c r="B477" i="4"/>
  <c r="B476" i="4"/>
  <c r="B475" i="4"/>
  <c r="B474" i="4"/>
  <c r="B473" i="4"/>
  <c r="B472" i="4"/>
  <c r="B471" i="4"/>
  <c r="B470" i="4"/>
  <c r="B469" i="4"/>
  <c r="B468" i="4"/>
  <c r="B467" i="4"/>
  <c r="B466" i="4"/>
  <c r="B465" i="4"/>
  <c r="B464" i="4"/>
  <c r="B463" i="4"/>
  <c r="B462" i="4"/>
  <c r="B461" i="4"/>
  <c r="B460" i="4"/>
  <c r="B459" i="4"/>
  <c r="B458" i="4"/>
  <c r="B457" i="4"/>
  <c r="B456" i="4"/>
  <c r="B455" i="4"/>
  <c r="B454" i="4"/>
  <c r="B453" i="4"/>
  <c r="B452" i="4"/>
  <c r="B451" i="4"/>
  <c r="B450" i="4"/>
  <c r="B449" i="4"/>
  <c r="B448" i="4"/>
  <c r="B447" i="4"/>
  <c r="B446" i="4"/>
  <c r="B445" i="4"/>
  <c r="B444" i="4"/>
  <c r="B443" i="4"/>
  <c r="B442" i="4"/>
  <c r="B441" i="4"/>
  <c r="B440" i="4"/>
  <c r="B439" i="4"/>
  <c r="B438" i="4"/>
  <c r="B437" i="4"/>
  <c r="B436" i="4"/>
  <c r="B435" i="4"/>
  <c r="B434" i="4"/>
  <c r="B433" i="4"/>
  <c r="B432" i="4"/>
  <c r="B431" i="4"/>
  <c r="B430" i="4"/>
  <c r="B429" i="4"/>
  <c r="B428" i="4"/>
  <c r="B427" i="4"/>
  <c r="B426" i="4"/>
  <c r="B425" i="4"/>
  <c r="B424" i="4"/>
  <c r="B423" i="4"/>
  <c r="B422" i="4"/>
  <c r="B421" i="4"/>
  <c r="B420" i="4"/>
  <c r="B419" i="4"/>
  <c r="B418" i="4"/>
  <c r="B417" i="4"/>
  <c r="B416" i="4"/>
  <c r="B415" i="4"/>
  <c r="B414" i="4"/>
  <c r="B413" i="4"/>
  <c r="B412" i="4"/>
  <c r="B411" i="4"/>
  <c r="B410" i="4"/>
  <c r="B409" i="4"/>
  <c r="B408" i="4"/>
  <c r="B407" i="4"/>
  <c r="B406" i="4"/>
  <c r="B405" i="4"/>
  <c r="B404" i="4"/>
  <c r="B403" i="4"/>
  <c r="B402" i="4"/>
  <c r="B401" i="4"/>
  <c r="B400" i="4"/>
  <c r="B399" i="4"/>
  <c r="B398" i="4"/>
  <c r="B397" i="4"/>
  <c r="B396" i="4"/>
  <c r="B395" i="4"/>
  <c r="B394" i="4"/>
  <c r="B393" i="4"/>
  <c r="B392" i="4"/>
  <c r="B391" i="4"/>
  <c r="B390" i="4"/>
  <c r="B389" i="4"/>
  <c r="B388" i="4"/>
  <c r="B387" i="4"/>
  <c r="B386" i="4"/>
  <c r="B385" i="4"/>
  <c r="B384" i="4"/>
  <c r="B383" i="4"/>
  <c r="B382" i="4"/>
  <c r="B381" i="4"/>
  <c r="B380" i="4"/>
  <c r="B379" i="4"/>
  <c r="B378" i="4"/>
  <c r="B377" i="4"/>
  <c r="B376" i="4"/>
  <c r="B375" i="4"/>
  <c r="B374" i="4"/>
  <c r="B373" i="4"/>
  <c r="B372" i="4"/>
  <c r="B371" i="4"/>
  <c r="B370" i="4"/>
  <c r="B369" i="4"/>
  <c r="B368" i="4"/>
  <c r="B367" i="4"/>
  <c r="B366" i="4"/>
  <c r="B365" i="4"/>
  <c r="B364" i="4"/>
  <c r="B363" i="4"/>
  <c r="B362" i="4"/>
  <c r="B361" i="4"/>
  <c r="B360" i="4"/>
  <c r="B359" i="4"/>
  <c r="B358" i="4"/>
  <c r="B357" i="4"/>
  <c r="B356" i="4"/>
  <c r="B355" i="4"/>
  <c r="B354" i="4"/>
  <c r="B353" i="4"/>
  <c r="B352" i="4"/>
  <c r="B351" i="4"/>
  <c r="B350" i="4"/>
  <c r="B349" i="4"/>
  <c r="B348" i="4"/>
  <c r="B347" i="4"/>
  <c r="B346" i="4"/>
  <c r="B345" i="4"/>
  <c r="B344" i="4"/>
  <c r="B343" i="4"/>
  <c r="B342" i="4"/>
  <c r="B341" i="4"/>
  <c r="B340" i="4"/>
  <c r="B339" i="4"/>
  <c r="B338" i="4"/>
  <c r="B337" i="4"/>
  <c r="B336" i="4"/>
  <c r="B335" i="4"/>
  <c r="B334" i="4"/>
  <c r="B333" i="4"/>
  <c r="B332" i="4"/>
  <c r="B331" i="4"/>
  <c r="B330" i="4"/>
  <c r="B329" i="4"/>
  <c r="B328" i="4"/>
  <c r="B327" i="4"/>
  <c r="B326" i="4"/>
  <c r="B325" i="4"/>
  <c r="B324" i="4"/>
  <c r="B323" i="4"/>
  <c r="B322" i="4"/>
  <c r="B321" i="4"/>
  <c r="B320" i="4"/>
  <c r="B319" i="4"/>
  <c r="B318" i="4"/>
  <c r="B317" i="4"/>
  <c r="B316" i="4"/>
  <c r="B315" i="4"/>
  <c r="B314" i="4"/>
  <c r="B313" i="4"/>
  <c r="B312" i="4"/>
  <c r="B311" i="4"/>
  <c r="B310" i="4"/>
  <c r="B309" i="4"/>
  <c r="B308" i="4"/>
  <c r="B307" i="4"/>
  <c r="B306" i="4"/>
  <c r="B305" i="4"/>
  <c r="B304" i="4"/>
  <c r="B303" i="4"/>
  <c r="B302" i="4"/>
  <c r="B301" i="4"/>
  <c r="B300" i="4"/>
  <c r="B299" i="4"/>
  <c r="B298" i="4"/>
  <c r="B297" i="4"/>
  <c r="B296" i="4"/>
  <c r="B295" i="4"/>
  <c r="B294" i="4"/>
  <c r="B293" i="4"/>
  <c r="B292" i="4"/>
  <c r="B291" i="4"/>
  <c r="B290" i="4"/>
  <c r="B289" i="4"/>
  <c r="B288" i="4"/>
  <c r="B287" i="4"/>
  <c r="B286" i="4"/>
  <c r="B285" i="4"/>
  <c r="B284" i="4"/>
  <c r="B283" i="4"/>
  <c r="B282" i="4"/>
  <c r="B281" i="4"/>
  <c r="B280" i="4"/>
  <c r="B279" i="4"/>
  <c r="B278" i="4"/>
  <c r="B277" i="4"/>
  <c r="B276" i="4"/>
  <c r="B275" i="4"/>
  <c r="B274" i="4"/>
  <c r="B273" i="4"/>
  <c r="B272" i="4"/>
  <c r="B271" i="4"/>
  <c r="B270" i="4"/>
  <c r="B269" i="4"/>
  <c r="B268" i="4"/>
  <c r="B267" i="4"/>
  <c r="B266" i="4"/>
  <c r="B265" i="4"/>
  <c r="B264" i="4"/>
  <c r="B263" i="4"/>
  <c r="B262" i="4"/>
  <c r="B261" i="4"/>
  <c r="B260" i="4"/>
  <c r="B259" i="4"/>
  <c r="B258" i="4"/>
  <c r="B257" i="4"/>
  <c r="B256" i="4"/>
  <c r="B255" i="4"/>
  <c r="B254" i="4"/>
  <c r="B253" i="4"/>
  <c r="B252" i="4"/>
  <c r="B251" i="4"/>
  <c r="B250" i="4"/>
  <c r="B249" i="4"/>
  <c r="B248" i="4"/>
  <c r="B247" i="4"/>
  <c r="B246" i="4"/>
  <c r="B245" i="4"/>
  <c r="B244" i="4"/>
  <c r="B243" i="4"/>
  <c r="B242" i="4"/>
  <c r="B241" i="4"/>
  <c r="B240" i="4"/>
  <c r="B239" i="4"/>
  <c r="B238" i="4"/>
  <c r="B237" i="4"/>
  <c r="B236" i="4"/>
  <c r="B235" i="4"/>
  <c r="B234" i="4"/>
  <c r="B233" i="4"/>
  <c r="B232" i="4"/>
  <c r="B231" i="4"/>
  <c r="B230" i="4"/>
  <c r="B229" i="4"/>
  <c r="B228" i="4"/>
  <c r="B227" i="4"/>
  <c r="B226" i="4"/>
  <c r="B225" i="4"/>
  <c r="B224" i="4"/>
  <c r="B223" i="4"/>
  <c r="B222" i="4"/>
  <c r="B221" i="4"/>
  <c r="B220" i="4"/>
  <c r="B219" i="4"/>
  <c r="B218" i="4"/>
  <c r="B217" i="4"/>
  <c r="B216" i="4"/>
  <c r="B215" i="4"/>
  <c r="B214" i="4"/>
  <c r="B213" i="4"/>
  <c r="B212" i="4"/>
  <c r="B211" i="4"/>
  <c r="B210" i="4"/>
  <c r="B209" i="4"/>
  <c r="B208" i="4"/>
  <c r="B207" i="4"/>
  <c r="B206" i="4"/>
  <c r="B205" i="4"/>
  <c r="B204" i="4"/>
  <c r="B203" i="4"/>
  <c r="B202" i="4"/>
  <c r="B201" i="4"/>
  <c r="B200" i="4"/>
  <c r="B199" i="4"/>
  <c r="B198" i="4"/>
  <c r="B197" i="4"/>
  <c r="B196" i="4"/>
  <c r="B195" i="4"/>
  <c r="B194" i="4"/>
  <c r="B193" i="4"/>
  <c r="B192" i="4"/>
  <c r="B191" i="4"/>
  <c r="B190" i="4"/>
  <c r="B189" i="4"/>
  <c r="B188" i="4"/>
  <c r="B187" i="4"/>
  <c r="B186" i="4"/>
  <c r="B185" i="4"/>
  <c r="B184" i="4"/>
  <c r="B183" i="4"/>
  <c r="B182" i="4"/>
  <c r="B181" i="4"/>
  <c r="B180" i="4"/>
  <c r="B179" i="4"/>
  <c r="B178" i="4"/>
  <c r="B177" i="4"/>
  <c r="B176" i="4"/>
  <c r="B175" i="4"/>
  <c r="B174" i="4"/>
  <c r="B173" i="4"/>
  <c r="B172" i="4"/>
  <c r="B171" i="4"/>
  <c r="B170" i="4"/>
  <c r="B169" i="4"/>
  <c r="B168" i="4"/>
  <c r="B167" i="4"/>
  <c r="B166" i="4"/>
  <c r="B165" i="4"/>
  <c r="B164" i="4"/>
  <c r="B163" i="4"/>
  <c r="B162" i="4"/>
  <c r="B161" i="4"/>
  <c r="B160" i="4"/>
  <c r="B159" i="4"/>
  <c r="B158" i="4"/>
  <c r="B157" i="4"/>
  <c r="B156" i="4"/>
  <c r="B155" i="4"/>
  <c r="B154" i="4"/>
  <c r="B153" i="4"/>
  <c r="B152" i="4"/>
  <c r="B151" i="4"/>
  <c r="B150" i="4"/>
  <c r="B149" i="4"/>
  <c r="B148" i="4"/>
  <c r="B147" i="4"/>
  <c r="B146" i="4"/>
  <c r="B145" i="4"/>
  <c r="B144" i="4"/>
  <c r="B143" i="4"/>
  <c r="B142" i="4"/>
  <c r="B141" i="4"/>
  <c r="B140" i="4"/>
  <c r="B139" i="4"/>
  <c r="B138" i="4"/>
  <c r="B137" i="4"/>
  <c r="B136" i="4"/>
  <c r="B135" i="4"/>
  <c r="B134" i="4"/>
  <c r="B133" i="4"/>
  <c r="B132" i="4"/>
  <c r="B131" i="4"/>
  <c r="B130" i="4"/>
  <c r="B129" i="4"/>
  <c r="B128" i="4"/>
  <c r="B127" i="4"/>
  <c r="B126" i="4"/>
  <c r="B125" i="4"/>
  <c r="B124" i="4"/>
  <c r="B123" i="4"/>
  <c r="B122" i="4"/>
  <c r="B121" i="4"/>
  <c r="B120" i="4"/>
  <c r="B119" i="4"/>
  <c r="B118" i="4"/>
  <c r="B117" i="4"/>
  <c r="B116" i="4"/>
  <c r="B115" i="4"/>
  <c r="B114" i="4"/>
  <c r="B113" i="4"/>
  <c r="B112" i="4"/>
  <c r="B111" i="4"/>
  <c r="B110" i="4"/>
  <c r="B109" i="4"/>
  <c r="B108" i="4"/>
  <c r="B107" i="4"/>
  <c r="B106" i="4"/>
  <c r="B105" i="4"/>
  <c r="B104" i="4"/>
  <c r="B103" i="4"/>
  <c r="B102" i="4"/>
  <c r="B101" i="4"/>
  <c r="B100" i="4"/>
  <c r="B99" i="4"/>
  <c r="B98" i="4"/>
  <c r="B97" i="4"/>
  <c r="B96" i="4"/>
  <c r="B95" i="4"/>
  <c r="B94" i="4"/>
  <c r="B93" i="4"/>
  <c r="B92" i="4"/>
  <c r="B91" i="4"/>
  <c r="B90" i="4"/>
  <c r="B89" i="4"/>
  <c r="B88" i="4"/>
  <c r="B87" i="4"/>
  <c r="B86" i="4"/>
  <c r="B85" i="4"/>
  <c r="B84" i="4"/>
  <c r="B83" i="4"/>
  <c r="B82" i="4"/>
  <c r="B81" i="4"/>
  <c r="B80" i="4"/>
  <c r="B79" i="4"/>
  <c r="B78" i="4"/>
  <c r="B77" i="4"/>
  <c r="B76" i="4"/>
  <c r="B75" i="4"/>
  <c r="B74" i="4"/>
  <c r="B73" i="4"/>
  <c r="B72" i="4"/>
  <c r="B71" i="4"/>
  <c r="B70" i="4"/>
  <c r="B69" i="4"/>
  <c r="B68" i="4"/>
  <c r="B67" i="4"/>
  <c r="B66" i="4"/>
  <c r="B65" i="4"/>
  <c r="B64" i="4"/>
  <c r="B63" i="4"/>
  <c r="B62" i="4"/>
  <c r="B61" i="4"/>
  <c r="B60" i="4"/>
  <c r="B59" i="4"/>
  <c r="B58" i="4"/>
  <c r="B57" i="4"/>
  <c r="B56" i="4"/>
  <c r="B55" i="4"/>
  <c r="B54" i="4"/>
  <c r="B53" i="4"/>
  <c r="B52" i="4"/>
  <c r="B51" i="4"/>
  <c r="B50" i="4"/>
  <c r="B49" i="4"/>
  <c r="B48" i="4"/>
  <c r="B47" i="4"/>
  <c r="B46" i="4"/>
  <c r="B45" i="4"/>
  <c r="B44" i="4"/>
  <c r="B43" i="4"/>
  <c r="B42" i="4"/>
  <c r="B41" i="4"/>
  <c r="B40" i="4"/>
  <c r="B39" i="4"/>
  <c r="B38" i="4"/>
  <c r="B37" i="4"/>
  <c r="B36" i="4"/>
  <c r="B35" i="4"/>
  <c r="B34" i="4"/>
  <c r="B33" i="4"/>
  <c r="J2" i="30" l="1"/>
  <c r="J3" i="30"/>
  <c r="J4" i="30"/>
  <c r="J5" i="30"/>
  <c r="J6" i="30"/>
  <c r="J7" i="30"/>
  <c r="J8" i="30"/>
  <c r="J9" i="30"/>
  <c r="J10" i="30"/>
  <c r="J11" i="30"/>
  <c r="J12" i="30"/>
  <c r="J13" i="30"/>
  <c r="J14" i="30"/>
  <c r="J15" i="30"/>
  <c r="J16" i="30"/>
  <c r="J17" i="30"/>
  <c r="J18" i="30"/>
  <c r="J19" i="30"/>
  <c r="J20" i="30"/>
  <c r="J21" i="30"/>
  <c r="J22" i="30"/>
  <c r="J23" i="30"/>
  <c r="J24" i="30"/>
  <c r="J26" i="30"/>
  <c r="J27" i="30"/>
  <c r="J28" i="30"/>
  <c r="J29" i="30"/>
  <c r="J30" i="30"/>
  <c r="J31" i="30"/>
  <c r="J32" i="30"/>
  <c r="J33" i="30"/>
  <c r="J34" i="30"/>
  <c r="J35" i="30"/>
  <c r="J36" i="30"/>
  <c r="J37" i="30"/>
  <c r="J38" i="30"/>
  <c r="J39" i="30"/>
  <c r="J40" i="30"/>
  <c r="J41" i="30"/>
  <c r="J42" i="30"/>
  <c r="J43" i="30"/>
  <c r="J44" i="30"/>
  <c r="J45" i="30"/>
  <c r="J46" i="30"/>
  <c r="J47" i="30"/>
  <c r="J48" i="30"/>
  <c r="J49" i="30"/>
  <c r="J50" i="30"/>
  <c r="J51" i="30"/>
  <c r="J52" i="30"/>
  <c r="J53" i="30"/>
  <c r="J54" i="30"/>
  <c r="J55" i="30"/>
  <c r="J56" i="30"/>
  <c r="J57" i="30"/>
  <c r="J58" i="30"/>
  <c r="J59" i="30"/>
  <c r="J60" i="30"/>
  <c r="J61" i="30"/>
  <c r="J62" i="30"/>
  <c r="J63" i="30"/>
  <c r="J64" i="30"/>
  <c r="J65" i="30"/>
  <c r="J66" i="30"/>
  <c r="J67" i="30"/>
  <c r="J68" i="30"/>
  <c r="J69" i="30"/>
  <c r="J70" i="30"/>
  <c r="J71" i="30"/>
  <c r="J72" i="30"/>
  <c r="J73" i="30"/>
  <c r="J74" i="30"/>
  <c r="J75" i="30"/>
  <c r="J76" i="30"/>
  <c r="J77" i="30"/>
  <c r="J78" i="30"/>
  <c r="J79" i="30"/>
  <c r="J80" i="30"/>
  <c r="J81" i="30"/>
  <c r="J82" i="30"/>
  <c r="J83" i="30"/>
  <c r="J84" i="30"/>
  <c r="J85" i="30"/>
  <c r="J86" i="30"/>
  <c r="J87" i="30"/>
  <c r="J88" i="30"/>
  <c r="J89" i="30"/>
  <c r="J90" i="30"/>
  <c r="J91" i="30"/>
  <c r="J92" i="30"/>
  <c r="J93" i="30"/>
  <c r="J94" i="30"/>
  <c r="J95" i="30"/>
  <c r="J96" i="30"/>
  <c r="J97" i="30"/>
  <c r="J98" i="30"/>
  <c r="J99" i="30"/>
  <c r="J100" i="30"/>
  <c r="J101" i="30"/>
  <c r="J102" i="30"/>
  <c r="J103" i="30"/>
  <c r="J104" i="30"/>
  <c r="J105" i="30"/>
  <c r="J106" i="30"/>
  <c r="J107" i="30"/>
  <c r="J108" i="30"/>
  <c r="J109" i="30"/>
  <c r="J110" i="30"/>
  <c r="J111" i="30"/>
  <c r="J112" i="30"/>
  <c r="J113" i="30"/>
  <c r="J114" i="30"/>
  <c r="J115" i="30"/>
  <c r="J116" i="30"/>
  <c r="J117" i="30"/>
  <c r="J118" i="30"/>
  <c r="J119" i="30"/>
  <c r="J120" i="30"/>
  <c r="J121" i="30"/>
  <c r="J122" i="30"/>
  <c r="J123" i="30"/>
  <c r="J124" i="30"/>
  <c r="J125" i="30"/>
  <c r="J126" i="30"/>
  <c r="J127" i="30"/>
  <c r="J128" i="30"/>
  <c r="J129" i="30"/>
  <c r="J130" i="30"/>
  <c r="J131" i="30"/>
  <c r="J132" i="30"/>
  <c r="J133" i="30"/>
  <c r="J134" i="30"/>
  <c r="J135" i="30"/>
  <c r="J136" i="30"/>
  <c r="J137" i="30"/>
  <c r="J138" i="30"/>
  <c r="J139" i="30"/>
  <c r="J140" i="30"/>
  <c r="J141" i="30"/>
  <c r="J142" i="30"/>
  <c r="J143" i="30"/>
  <c r="J144" i="30"/>
  <c r="J145" i="30"/>
  <c r="J146" i="30"/>
  <c r="J147" i="30"/>
  <c r="J148" i="30"/>
  <c r="J149" i="30"/>
  <c r="J150" i="30"/>
  <c r="J151" i="30"/>
  <c r="J152" i="30"/>
  <c r="J153" i="30"/>
  <c r="J154" i="30"/>
  <c r="J155" i="30"/>
  <c r="J156" i="30"/>
  <c r="J157" i="30"/>
  <c r="J158" i="30"/>
  <c r="J159" i="30"/>
  <c r="J160" i="30"/>
  <c r="J161" i="30"/>
  <c r="J162" i="30"/>
  <c r="J163" i="30"/>
  <c r="J164" i="30"/>
  <c r="J165" i="30"/>
  <c r="J166" i="30"/>
  <c r="J167" i="30"/>
  <c r="J168" i="30"/>
  <c r="J169" i="30"/>
  <c r="J170" i="30"/>
  <c r="J171" i="30"/>
  <c r="J172" i="30"/>
  <c r="J173" i="30"/>
  <c r="J174" i="30"/>
  <c r="J175" i="30"/>
  <c r="J176" i="30"/>
  <c r="J177" i="30"/>
  <c r="J178" i="30"/>
  <c r="J179" i="30"/>
  <c r="J180" i="30"/>
  <c r="J181" i="30"/>
  <c r="J182" i="30"/>
  <c r="J183" i="30"/>
  <c r="J184" i="30"/>
  <c r="J185" i="30"/>
  <c r="J186" i="30"/>
  <c r="J187" i="30"/>
  <c r="J188" i="30"/>
  <c r="J189" i="30"/>
  <c r="J190" i="30"/>
  <c r="J191" i="30"/>
  <c r="J192" i="30"/>
  <c r="J193" i="30"/>
  <c r="J194" i="30"/>
  <c r="J195" i="30"/>
  <c r="J196" i="30"/>
  <c r="J197" i="30"/>
  <c r="J198" i="30"/>
  <c r="J199" i="30"/>
  <c r="J200" i="30"/>
  <c r="J201" i="30"/>
  <c r="J202" i="30"/>
  <c r="J203" i="30"/>
  <c r="J204" i="30"/>
  <c r="J205" i="30"/>
  <c r="J206" i="30"/>
  <c r="J207" i="30"/>
  <c r="J208" i="30"/>
  <c r="J209" i="30"/>
  <c r="J210" i="30"/>
  <c r="J211" i="30"/>
  <c r="J212" i="30"/>
  <c r="J213" i="30"/>
  <c r="J214" i="30"/>
  <c r="J215" i="30"/>
  <c r="J216" i="30"/>
  <c r="J217" i="30"/>
  <c r="J218" i="30"/>
  <c r="J219" i="30"/>
  <c r="J220" i="30"/>
  <c r="J221" i="30"/>
  <c r="J222" i="30"/>
  <c r="J223" i="30"/>
  <c r="J224" i="30"/>
  <c r="J225" i="30"/>
  <c r="J226" i="30"/>
  <c r="J227" i="30"/>
  <c r="J228" i="30"/>
  <c r="J229" i="30"/>
  <c r="J230" i="30"/>
  <c r="J231" i="30"/>
  <c r="J232" i="30"/>
  <c r="J233" i="30"/>
  <c r="J234" i="30"/>
  <c r="J235" i="30"/>
  <c r="J236" i="30"/>
  <c r="J237" i="30"/>
  <c r="J238" i="30"/>
  <c r="J239" i="30"/>
  <c r="J240" i="30"/>
  <c r="J241" i="30"/>
  <c r="J242" i="30"/>
  <c r="J243" i="30"/>
  <c r="J244" i="30"/>
  <c r="J245" i="30"/>
  <c r="J246" i="30"/>
  <c r="J247" i="30"/>
  <c r="J248" i="30"/>
  <c r="J249" i="30"/>
  <c r="J250" i="30"/>
  <c r="J251" i="30"/>
  <c r="J252" i="30"/>
  <c r="J253" i="30"/>
  <c r="J254" i="30"/>
  <c r="J255" i="30"/>
  <c r="J256" i="30"/>
  <c r="J257" i="30"/>
  <c r="J258" i="30"/>
  <c r="J259" i="30"/>
  <c r="J260" i="30"/>
  <c r="J261" i="30"/>
  <c r="J262" i="30"/>
  <c r="J263" i="30"/>
  <c r="J264" i="30"/>
  <c r="J265" i="30"/>
  <c r="J266" i="30"/>
  <c r="J267" i="30"/>
  <c r="J268" i="30"/>
  <c r="J269" i="30"/>
  <c r="J270" i="30"/>
  <c r="J271" i="30"/>
  <c r="J272" i="30"/>
  <c r="J273" i="30"/>
  <c r="J274" i="30"/>
  <c r="J275" i="30"/>
  <c r="J276" i="30"/>
  <c r="J277" i="30"/>
  <c r="J278" i="30"/>
  <c r="J279" i="30"/>
  <c r="J280" i="30"/>
  <c r="J281" i="30"/>
  <c r="J282" i="30"/>
  <c r="J283" i="30"/>
  <c r="J284" i="30"/>
  <c r="J285" i="30"/>
  <c r="J286" i="30"/>
  <c r="J287" i="30"/>
  <c r="J288" i="30"/>
  <c r="J289" i="30"/>
  <c r="J290" i="30"/>
  <c r="J291" i="30"/>
  <c r="J292" i="30"/>
  <c r="J293" i="30"/>
  <c r="J294" i="30"/>
  <c r="J295" i="30"/>
  <c r="J296" i="30"/>
  <c r="J297" i="30"/>
  <c r="J298" i="30"/>
  <c r="J299" i="30"/>
  <c r="J300" i="30"/>
  <c r="J301" i="30"/>
  <c r="J302" i="30"/>
  <c r="J303" i="30"/>
  <c r="J304" i="30"/>
  <c r="J305" i="30"/>
  <c r="J306" i="30"/>
  <c r="J307" i="30"/>
  <c r="J308" i="30"/>
  <c r="J309" i="30"/>
  <c r="J310" i="30"/>
  <c r="J311" i="30"/>
  <c r="J312" i="30"/>
  <c r="J313" i="30"/>
  <c r="J314" i="30"/>
  <c r="J315" i="30"/>
  <c r="J316" i="30"/>
  <c r="J317" i="30"/>
  <c r="J318" i="30"/>
  <c r="J319" i="30"/>
  <c r="J320" i="30"/>
  <c r="J321" i="30"/>
  <c r="J322" i="30"/>
  <c r="J323" i="30"/>
  <c r="J324" i="30"/>
  <c r="J325" i="30"/>
  <c r="J326" i="30"/>
  <c r="J327" i="30"/>
  <c r="J328" i="30"/>
  <c r="J329" i="30"/>
  <c r="J330" i="30"/>
  <c r="J331" i="30"/>
  <c r="J332" i="30"/>
  <c r="J333" i="30"/>
  <c r="J334" i="30"/>
  <c r="J335" i="30"/>
  <c r="J336" i="30"/>
  <c r="J337" i="30"/>
  <c r="J338" i="30"/>
  <c r="J339" i="30"/>
  <c r="J340" i="30"/>
  <c r="J341" i="30"/>
  <c r="J342" i="30"/>
  <c r="J343" i="30"/>
  <c r="J344" i="30"/>
  <c r="J345" i="30"/>
  <c r="J346" i="30"/>
  <c r="J347" i="30"/>
  <c r="J348" i="30"/>
  <c r="J349" i="30"/>
  <c r="J350" i="30"/>
  <c r="J351" i="30"/>
  <c r="J352" i="30"/>
  <c r="J353" i="30"/>
  <c r="J354" i="30"/>
  <c r="J355" i="30"/>
  <c r="J356" i="30"/>
  <c r="J357" i="30"/>
  <c r="J358" i="30"/>
  <c r="J359" i="30"/>
  <c r="J360" i="30"/>
  <c r="J361" i="30"/>
  <c r="J362" i="30"/>
  <c r="J363" i="30"/>
  <c r="J364" i="30"/>
  <c r="J365" i="30"/>
  <c r="J366" i="30"/>
  <c r="J367" i="30"/>
  <c r="J368" i="30"/>
  <c r="J369" i="30"/>
  <c r="J370" i="30"/>
  <c r="J371" i="30"/>
  <c r="J372" i="30"/>
  <c r="J373" i="30"/>
  <c r="J374" i="30"/>
  <c r="J375" i="30"/>
  <c r="J376" i="30"/>
  <c r="J377" i="30"/>
  <c r="J378" i="30"/>
  <c r="J379" i="30"/>
  <c r="J380" i="30"/>
  <c r="J381" i="30"/>
  <c r="J382" i="30"/>
  <c r="J383" i="30"/>
  <c r="J384" i="30"/>
  <c r="J385" i="30"/>
  <c r="J386" i="30"/>
  <c r="J387" i="30"/>
  <c r="J388" i="30"/>
  <c r="J389" i="30"/>
  <c r="J390" i="30"/>
  <c r="J391" i="30"/>
  <c r="J392" i="30"/>
  <c r="J393" i="30"/>
  <c r="J394" i="30"/>
  <c r="J395" i="30"/>
  <c r="J396" i="30"/>
  <c r="J397" i="30"/>
  <c r="J398" i="30"/>
  <c r="J399" i="30"/>
  <c r="J400" i="30"/>
  <c r="J401" i="30"/>
  <c r="J402" i="30"/>
  <c r="J403" i="30"/>
  <c r="J404" i="30"/>
  <c r="J405" i="30"/>
  <c r="J406" i="30"/>
  <c r="J407" i="30"/>
  <c r="J408" i="30"/>
  <c r="J409" i="30"/>
  <c r="J410" i="30"/>
  <c r="J411" i="30"/>
  <c r="J412" i="30"/>
  <c r="J413" i="30"/>
  <c r="J414" i="30"/>
  <c r="J415" i="30"/>
  <c r="J416" i="30"/>
  <c r="J417" i="30"/>
  <c r="J418" i="30"/>
  <c r="J419" i="30"/>
  <c r="J420" i="30"/>
  <c r="J421" i="30"/>
  <c r="J422" i="30"/>
  <c r="J423" i="30"/>
  <c r="J424" i="30"/>
  <c r="J425" i="30"/>
  <c r="J426" i="30"/>
  <c r="J427" i="30"/>
  <c r="J428" i="30"/>
  <c r="J429" i="30"/>
  <c r="J430" i="30"/>
  <c r="J431" i="30"/>
  <c r="J432" i="30"/>
  <c r="J433" i="30"/>
  <c r="J434" i="30"/>
  <c r="J435" i="30"/>
  <c r="J436" i="30"/>
  <c r="J437" i="30"/>
  <c r="J438" i="30"/>
  <c r="J439" i="30"/>
  <c r="J440" i="30"/>
  <c r="J441" i="30"/>
  <c r="J442" i="30"/>
  <c r="J443" i="30"/>
  <c r="J444" i="30"/>
  <c r="J445" i="30"/>
  <c r="J446" i="30"/>
  <c r="J447" i="30"/>
  <c r="J448" i="30"/>
  <c r="J449" i="30"/>
  <c r="J450" i="30"/>
  <c r="J451" i="30"/>
  <c r="J452" i="30"/>
  <c r="J453" i="30"/>
  <c r="J454" i="30"/>
  <c r="J455" i="30"/>
  <c r="J456" i="30"/>
  <c r="J457" i="30"/>
  <c r="J458" i="30"/>
  <c r="J459" i="30"/>
  <c r="J460" i="30"/>
  <c r="J461" i="30"/>
  <c r="J462" i="30"/>
  <c r="J463" i="30"/>
  <c r="J464" i="30"/>
  <c r="J465" i="30"/>
  <c r="J466" i="30"/>
  <c r="J467" i="30"/>
  <c r="J468" i="30"/>
  <c r="J469" i="30"/>
  <c r="J470" i="30"/>
  <c r="J471" i="30"/>
  <c r="J472" i="30"/>
  <c r="J473" i="30"/>
  <c r="J474" i="30"/>
  <c r="J475" i="30"/>
  <c r="J476" i="30"/>
  <c r="J477" i="30"/>
  <c r="J478" i="30"/>
  <c r="J479" i="30"/>
  <c r="J480" i="30"/>
  <c r="J481" i="30"/>
  <c r="J482" i="30"/>
  <c r="J483" i="30"/>
  <c r="J484" i="30"/>
  <c r="J485" i="30"/>
  <c r="J486" i="30"/>
  <c r="J487" i="30"/>
  <c r="J488" i="30"/>
  <c r="J489" i="30"/>
  <c r="J490" i="30"/>
  <c r="J491" i="30"/>
  <c r="J492" i="30"/>
  <c r="J493" i="30"/>
  <c r="J494" i="30"/>
  <c r="J495" i="30"/>
  <c r="J496" i="30"/>
  <c r="J497" i="30"/>
  <c r="J498" i="30"/>
  <c r="J499" i="30"/>
  <c r="J500" i="30"/>
  <c r="J501" i="30"/>
  <c r="C5" i="33" l="1"/>
  <c r="C4" i="33"/>
  <c r="C3" i="33"/>
  <c r="C2" i="33"/>
  <c r="B8" i="33"/>
  <c r="C5" i="4"/>
  <c r="C4" i="4"/>
  <c r="C3" i="4"/>
  <c r="C2" i="4"/>
  <c r="C5" i="3"/>
  <c r="C4" i="3"/>
  <c r="C3" i="3"/>
  <c r="C2" i="3"/>
  <c r="C3" i="2"/>
  <c r="C4" i="2"/>
  <c r="C5" i="2"/>
  <c r="C2" i="2"/>
  <c r="F27" i="3" l="1"/>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103" i="3"/>
  <c r="F104" i="3"/>
  <c r="F105" i="3"/>
  <c r="F106" i="3"/>
  <c r="F107" i="3"/>
  <c r="F108" i="3"/>
  <c r="F109" i="3"/>
  <c r="F110" i="3"/>
  <c r="F111" i="3"/>
  <c r="F112" i="3"/>
  <c r="F113" i="3"/>
  <c r="F114" i="3"/>
  <c r="F115" i="3"/>
  <c r="F116" i="3"/>
  <c r="F117" i="3"/>
  <c r="F118" i="3"/>
  <c r="F119" i="3"/>
  <c r="F120" i="3"/>
  <c r="F121" i="3"/>
  <c r="F122" i="3"/>
  <c r="F123" i="3"/>
  <c r="F124" i="3"/>
  <c r="F125" i="3"/>
  <c r="F126" i="3"/>
  <c r="F127" i="3"/>
  <c r="F128" i="3"/>
  <c r="F129" i="3"/>
  <c r="F130" i="3"/>
  <c r="F131" i="3"/>
  <c r="F132" i="3"/>
  <c r="F133" i="3"/>
  <c r="F134" i="3"/>
  <c r="F135" i="3"/>
  <c r="F136" i="3"/>
  <c r="F137" i="3"/>
  <c r="F138" i="3"/>
  <c r="F139" i="3"/>
  <c r="F140" i="3"/>
  <c r="F141" i="3"/>
  <c r="F142" i="3"/>
  <c r="F143" i="3"/>
  <c r="F144" i="3"/>
  <c r="F145" i="3"/>
  <c r="F146" i="3"/>
  <c r="F147" i="3"/>
  <c r="F148" i="3"/>
  <c r="F149" i="3"/>
  <c r="F150" i="3"/>
  <c r="F151" i="3"/>
  <c r="F152" i="3"/>
  <c r="F153" i="3"/>
  <c r="F154" i="3"/>
  <c r="F155" i="3"/>
  <c r="F156" i="3"/>
  <c r="F157" i="3"/>
  <c r="F158" i="3"/>
  <c r="F159" i="3"/>
  <c r="F160" i="3"/>
  <c r="F161" i="3"/>
  <c r="F162" i="3"/>
  <c r="F163" i="3"/>
  <c r="F164" i="3"/>
  <c r="F165" i="3"/>
  <c r="F166" i="3"/>
  <c r="F167" i="3"/>
  <c r="F168" i="3"/>
  <c r="F169" i="3"/>
  <c r="F170" i="3"/>
  <c r="F171" i="3"/>
  <c r="F172" i="3"/>
  <c r="F173" i="3"/>
  <c r="F174" i="3"/>
  <c r="F175" i="3"/>
  <c r="F176" i="3"/>
  <c r="F177" i="3"/>
  <c r="F178" i="3"/>
  <c r="F179" i="3"/>
  <c r="F180" i="3"/>
  <c r="F181" i="3"/>
  <c r="F182" i="3"/>
  <c r="F183" i="3"/>
  <c r="F184" i="3"/>
  <c r="F185" i="3"/>
  <c r="F186" i="3"/>
  <c r="F187" i="3"/>
  <c r="F188" i="3"/>
  <c r="F189" i="3"/>
  <c r="F190" i="3"/>
  <c r="F191" i="3"/>
  <c r="F192" i="3"/>
  <c r="F193" i="3"/>
  <c r="F194" i="3"/>
  <c r="F195" i="3"/>
  <c r="F196" i="3"/>
  <c r="F197" i="3"/>
  <c r="F198" i="3"/>
  <c r="F199" i="3"/>
  <c r="F200" i="3"/>
  <c r="F201" i="3"/>
  <c r="F202" i="3"/>
  <c r="F203" i="3"/>
  <c r="F204" i="3"/>
  <c r="F205" i="3"/>
  <c r="F206" i="3"/>
  <c r="F207" i="3"/>
  <c r="F208" i="3"/>
  <c r="F209" i="3"/>
  <c r="F210" i="3"/>
  <c r="F211"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F237" i="3"/>
  <c r="F238" i="3"/>
  <c r="F239" i="3"/>
  <c r="F240" i="3"/>
  <c r="F241" i="3"/>
  <c r="F242" i="3"/>
  <c r="F243" i="3"/>
  <c r="F244" i="3"/>
  <c r="F245" i="3"/>
  <c r="F246" i="3"/>
  <c r="F247" i="3"/>
  <c r="F248" i="3"/>
  <c r="F249" i="3"/>
  <c r="F250" i="3"/>
  <c r="F251" i="3"/>
  <c r="F252" i="3"/>
  <c r="F253" i="3"/>
  <c r="F254" i="3"/>
  <c r="F255" i="3"/>
  <c r="F256" i="3"/>
  <c r="F257" i="3"/>
  <c r="F258" i="3"/>
  <c r="F259" i="3"/>
  <c r="F260" i="3"/>
  <c r="F261" i="3"/>
  <c r="F262" i="3"/>
  <c r="F263" i="3"/>
  <c r="F264" i="3"/>
  <c r="F265" i="3"/>
  <c r="F266" i="3"/>
  <c r="F267" i="3"/>
  <c r="F268" i="3"/>
  <c r="F269" i="3"/>
  <c r="F270" i="3"/>
  <c r="F271" i="3"/>
  <c r="F272" i="3"/>
  <c r="F273" i="3"/>
  <c r="F274" i="3"/>
  <c r="F275" i="3"/>
  <c r="F276" i="3"/>
  <c r="F277" i="3"/>
  <c r="F278" i="3"/>
  <c r="F279" i="3"/>
  <c r="F280" i="3"/>
  <c r="F281" i="3"/>
  <c r="F282" i="3"/>
  <c r="F283" i="3"/>
  <c r="F284" i="3"/>
  <c r="F285" i="3"/>
  <c r="F286" i="3"/>
  <c r="F287" i="3"/>
  <c r="F288" i="3"/>
  <c r="F289" i="3"/>
  <c r="F290" i="3"/>
  <c r="F291" i="3"/>
  <c r="F292" i="3"/>
  <c r="F293" i="3"/>
  <c r="F294" i="3"/>
  <c r="F295" i="3"/>
  <c r="F296" i="3"/>
  <c r="F297" i="3"/>
  <c r="F298" i="3"/>
  <c r="F299" i="3"/>
  <c r="F300" i="3"/>
  <c r="F301" i="3"/>
  <c r="F302" i="3"/>
  <c r="F303" i="3"/>
  <c r="F304" i="3"/>
  <c r="F305" i="3"/>
  <c r="F306" i="3"/>
  <c r="F307" i="3"/>
  <c r="F308" i="3"/>
  <c r="F309" i="3"/>
  <c r="F310" i="3"/>
  <c r="F311" i="3"/>
  <c r="F312" i="3"/>
  <c r="F313" i="3"/>
  <c r="F314" i="3"/>
  <c r="F315" i="3"/>
  <c r="F316" i="3"/>
  <c r="F317" i="3"/>
  <c r="F318" i="3"/>
  <c r="F319" i="3"/>
  <c r="F320" i="3"/>
  <c r="F321" i="3"/>
  <c r="F322" i="3"/>
  <c r="F323" i="3"/>
  <c r="F324" i="3"/>
  <c r="F325" i="3"/>
  <c r="F326" i="3"/>
  <c r="F327" i="3"/>
  <c r="F328" i="3"/>
  <c r="F329" i="3"/>
  <c r="F330" i="3"/>
  <c r="F331" i="3"/>
  <c r="F332" i="3"/>
  <c r="F333" i="3"/>
  <c r="F334" i="3"/>
  <c r="F335" i="3"/>
  <c r="F336" i="3"/>
  <c r="F337" i="3"/>
  <c r="F338" i="3"/>
  <c r="F339" i="3"/>
  <c r="F340" i="3"/>
  <c r="F341" i="3"/>
  <c r="F342" i="3"/>
  <c r="F343" i="3"/>
  <c r="F344" i="3"/>
  <c r="F345" i="3"/>
  <c r="F346" i="3"/>
  <c r="F347" i="3"/>
  <c r="F348" i="3"/>
  <c r="F349" i="3"/>
  <c r="F350" i="3"/>
  <c r="F351" i="3"/>
  <c r="F352" i="3"/>
  <c r="F353" i="3"/>
  <c r="F354" i="3"/>
  <c r="F355" i="3"/>
  <c r="F356" i="3"/>
  <c r="F357" i="3"/>
  <c r="F358" i="3"/>
  <c r="F359" i="3"/>
  <c r="F360" i="3"/>
  <c r="F361" i="3"/>
  <c r="F362" i="3"/>
  <c r="F363" i="3"/>
  <c r="F364" i="3"/>
  <c r="F365" i="3"/>
  <c r="F366" i="3"/>
  <c r="F367" i="3"/>
  <c r="F368" i="3"/>
  <c r="F369" i="3"/>
  <c r="F370" i="3"/>
  <c r="F371" i="3"/>
  <c r="F372" i="3"/>
  <c r="F373" i="3"/>
  <c r="F374" i="3"/>
  <c r="F375" i="3"/>
  <c r="F376" i="3"/>
  <c r="F377" i="3"/>
  <c r="F378" i="3"/>
  <c r="F379" i="3"/>
  <c r="F380" i="3"/>
  <c r="F381" i="3"/>
  <c r="F382" i="3"/>
  <c r="F383" i="3"/>
  <c r="F384" i="3"/>
  <c r="F385" i="3"/>
  <c r="F386" i="3"/>
  <c r="F387" i="3"/>
  <c r="F388" i="3"/>
  <c r="F389" i="3"/>
  <c r="F390" i="3"/>
  <c r="F391" i="3"/>
  <c r="F392" i="3"/>
  <c r="F393" i="3"/>
  <c r="F394" i="3"/>
  <c r="F395" i="3"/>
  <c r="F396" i="3"/>
  <c r="F397" i="3"/>
  <c r="F398" i="3"/>
  <c r="F399" i="3"/>
  <c r="F400" i="3"/>
  <c r="F401" i="3"/>
  <c r="F402" i="3"/>
  <c r="F403" i="3"/>
  <c r="F404" i="3"/>
  <c r="F405" i="3"/>
  <c r="F406" i="3"/>
  <c r="F407" i="3"/>
  <c r="F408" i="3"/>
  <c r="F409" i="3"/>
  <c r="F410" i="3"/>
  <c r="F411" i="3"/>
  <c r="F412" i="3"/>
  <c r="F413" i="3"/>
  <c r="F414" i="3"/>
  <c r="F415" i="3"/>
  <c r="F416" i="3"/>
  <c r="F417" i="3"/>
  <c r="F418" i="3"/>
  <c r="F419" i="3"/>
  <c r="F420" i="3"/>
  <c r="F421" i="3"/>
  <c r="F422" i="3"/>
  <c r="F423" i="3"/>
  <c r="F424" i="3"/>
  <c r="F425" i="3"/>
  <c r="F426" i="3"/>
  <c r="F427" i="3"/>
  <c r="F428" i="3"/>
  <c r="F429" i="3"/>
  <c r="F430" i="3"/>
  <c r="F431" i="3"/>
  <c r="F432" i="3"/>
  <c r="F433" i="3"/>
  <c r="F434" i="3"/>
  <c r="F435" i="3"/>
  <c r="F436" i="3"/>
  <c r="F437" i="3"/>
  <c r="F438" i="3"/>
  <c r="F439" i="3"/>
  <c r="F440" i="3"/>
  <c r="F441" i="3"/>
  <c r="F442" i="3"/>
  <c r="F443" i="3"/>
  <c r="F444" i="3"/>
  <c r="F445" i="3"/>
  <c r="F446" i="3"/>
  <c r="F447" i="3"/>
  <c r="F448" i="3"/>
  <c r="F449" i="3"/>
  <c r="F450" i="3"/>
  <c r="F451" i="3"/>
  <c r="I429" i="30" s="1" a="1"/>
  <c r="I429" i="30" s="1"/>
  <c r="F452" i="3"/>
  <c r="F453" i="3"/>
  <c r="F454" i="3"/>
  <c r="F455" i="3"/>
  <c r="F456" i="3"/>
  <c r="F457" i="3"/>
  <c r="F458" i="3"/>
  <c r="F459" i="3"/>
  <c r="F460" i="3"/>
  <c r="F461" i="3"/>
  <c r="F462" i="3"/>
  <c r="F463" i="3"/>
  <c r="F464" i="3"/>
  <c r="F465" i="3"/>
  <c r="F466" i="3"/>
  <c r="F467" i="3"/>
  <c r="F468" i="3"/>
  <c r="F469" i="3"/>
  <c r="F470" i="3"/>
  <c r="F471" i="3"/>
  <c r="F472" i="3"/>
  <c r="F473" i="3"/>
  <c r="F474" i="3"/>
  <c r="F475" i="3"/>
  <c r="F476" i="3"/>
  <c r="F477" i="3"/>
  <c r="F478" i="3"/>
  <c r="F479" i="3"/>
  <c r="F480" i="3"/>
  <c r="F481" i="3"/>
  <c r="F482" i="3"/>
  <c r="F483" i="3"/>
  <c r="F484" i="3"/>
  <c r="F485" i="3"/>
  <c r="F486" i="3"/>
  <c r="F487" i="3"/>
  <c r="F488" i="3"/>
  <c r="F489" i="3"/>
  <c r="F490" i="3"/>
  <c r="F491" i="3"/>
  <c r="F492" i="3"/>
  <c r="F493" i="3"/>
  <c r="F494" i="3"/>
  <c r="F495" i="3"/>
  <c r="F496" i="3"/>
  <c r="F497" i="3"/>
  <c r="F498" i="3"/>
  <c r="F499" i="3"/>
  <c r="F500" i="3"/>
  <c r="F501" i="3"/>
  <c r="F502" i="3"/>
  <c r="F503" i="3"/>
  <c r="F504" i="3"/>
  <c r="F505" i="3"/>
  <c r="F506" i="3"/>
  <c r="F507" i="3"/>
  <c r="F508" i="3"/>
  <c r="F509" i="3"/>
  <c r="F510" i="3"/>
  <c r="F511" i="3"/>
  <c r="F512" i="3"/>
  <c r="F513" i="3"/>
  <c r="F514" i="3"/>
  <c r="F515" i="3"/>
  <c r="F516" i="3"/>
  <c r="I494" i="30" s="1" a="1"/>
  <c r="I494" i="30" s="1"/>
  <c r="F517" i="3"/>
  <c r="F518" i="3"/>
  <c r="F519" i="3"/>
  <c r="F520" i="3"/>
  <c r="F521" i="3"/>
  <c r="F522" i="3"/>
  <c r="F523" i="3"/>
  <c r="I501" i="30" s="1" a="1"/>
  <c r="I501" i="30" s="1"/>
  <c r="I350" i="30" l="1" a="1"/>
  <c r="I350" i="30" s="1"/>
  <c r="I314" i="30" a="1"/>
  <c r="I314" i="30" s="1"/>
  <c r="I302" i="30" a="1"/>
  <c r="I302" i="30" s="1"/>
  <c r="I290" i="30" a="1"/>
  <c r="I290" i="30" s="1"/>
  <c r="I278" i="30" a="1"/>
  <c r="I278" i="30" s="1"/>
  <c r="I266" i="30" a="1"/>
  <c r="I266" i="30" s="1"/>
  <c r="I254" i="30" a="1"/>
  <c r="I254" i="30" s="1"/>
  <c r="I242" i="30" a="1"/>
  <c r="I242" i="30" s="1"/>
  <c r="I230" i="30" a="1"/>
  <c r="I230" i="30" s="1"/>
  <c r="I218" i="30" a="1"/>
  <c r="I218" i="30" s="1"/>
  <c r="I206" i="30" a="1"/>
  <c r="I206" i="30" s="1"/>
  <c r="I194" i="30" a="1"/>
  <c r="I194" i="30" s="1"/>
  <c r="I182" i="30" a="1"/>
  <c r="I182" i="30" s="1"/>
  <c r="I170" i="30" a="1"/>
  <c r="I170" i="30" s="1"/>
  <c r="I158" i="30" a="1"/>
  <c r="I158" i="30" s="1"/>
  <c r="I146" i="30" a="1"/>
  <c r="I146" i="30" s="1"/>
  <c r="I422" i="30" a="1"/>
  <c r="I422" i="30" s="1"/>
  <c r="I481" i="30" a="1"/>
  <c r="I481" i="30" s="1"/>
  <c r="I373" i="30" a="1"/>
  <c r="I373" i="30" s="1"/>
  <c r="I265" i="30" a="1"/>
  <c r="I265" i="30" s="1"/>
  <c r="I145" i="30" a="1"/>
  <c r="I145" i="30" s="1"/>
  <c r="I49" i="30" a="1"/>
  <c r="I49" i="30" s="1"/>
  <c r="I396" i="30" a="1"/>
  <c r="I396" i="30" s="1"/>
  <c r="I288" i="30" a="1"/>
  <c r="I288" i="30" s="1"/>
  <c r="I180" i="30" a="1"/>
  <c r="I180" i="30" s="1"/>
  <c r="I156" i="30" a="1"/>
  <c r="I156" i="30" s="1"/>
  <c r="I144" i="30" a="1"/>
  <c r="I144" i="30" s="1"/>
  <c r="I132" i="30" a="1"/>
  <c r="I132" i="30" s="1"/>
  <c r="I120" i="30" a="1"/>
  <c r="I120" i="30" s="1"/>
  <c r="I108" i="30" a="1"/>
  <c r="I108" i="30" s="1"/>
  <c r="I96" i="30" a="1"/>
  <c r="I96" i="30" s="1"/>
  <c r="I84" i="30" a="1"/>
  <c r="I84" i="30" s="1"/>
  <c r="I72" i="30" a="1"/>
  <c r="I72" i="30" s="1"/>
  <c r="I60" i="30" a="1"/>
  <c r="I60" i="30" s="1"/>
  <c r="I48" i="30" a="1"/>
  <c r="I48" i="30" s="1"/>
  <c r="I36" i="30" a="1"/>
  <c r="I36" i="30" s="1"/>
  <c r="I24" i="30" a="1"/>
  <c r="I24" i="30" s="1"/>
  <c r="I12" i="30" a="1"/>
  <c r="I12" i="30" s="1"/>
  <c r="I398" i="30" a="1"/>
  <c r="I398" i="30" s="1"/>
  <c r="I457" i="30" a="1"/>
  <c r="I457" i="30" s="1"/>
  <c r="I361" i="30" a="1"/>
  <c r="I361" i="30" s="1"/>
  <c r="I253" i="30" a="1"/>
  <c r="I253" i="30" s="1"/>
  <c r="I133" i="30" a="1"/>
  <c r="I133" i="30" s="1"/>
  <c r="I25" i="30" a="1"/>
  <c r="I25" i="30" s="1"/>
  <c r="I420" i="30" a="1"/>
  <c r="I420" i="30" s="1"/>
  <c r="I312" i="30" a="1"/>
  <c r="I312" i="30" s="1"/>
  <c r="I192" i="30" a="1"/>
  <c r="I192" i="30" s="1"/>
  <c r="I419" i="30" a="1"/>
  <c r="I419" i="30" s="1"/>
  <c r="I347" i="30" a="1"/>
  <c r="I347" i="30" s="1"/>
  <c r="I275" i="30" a="1"/>
  <c r="I275" i="30" s="1"/>
  <c r="I203" i="30" a="1"/>
  <c r="I203" i="30" s="1"/>
  <c r="I131" i="30" a="1"/>
  <c r="I131" i="30" s="1"/>
  <c r="I107" i="30" a="1"/>
  <c r="I107" i="30" s="1"/>
  <c r="I95" i="30" a="1"/>
  <c r="I95" i="30" s="1"/>
  <c r="I83" i="30" a="1"/>
  <c r="I83" i="30" s="1"/>
  <c r="I71" i="30" a="1"/>
  <c r="I71" i="30" s="1"/>
  <c r="I59" i="30" a="1"/>
  <c r="I59" i="30" s="1"/>
  <c r="I47" i="30" a="1"/>
  <c r="I47" i="30" s="1"/>
  <c r="I35" i="30" a="1"/>
  <c r="I35" i="30" s="1"/>
  <c r="I23" i="30" a="1"/>
  <c r="I23" i="30" s="1"/>
  <c r="I11" i="30" a="1"/>
  <c r="I11" i="30" s="1"/>
  <c r="I470" i="30" a="1"/>
  <c r="I470" i="30" s="1"/>
  <c r="I458" i="30" a="1"/>
  <c r="I458" i="30" s="1"/>
  <c r="I338" i="30" a="1"/>
  <c r="I338" i="30" s="1"/>
  <c r="I409" i="30" a="1"/>
  <c r="I409" i="30" s="1"/>
  <c r="I301" i="30" a="1"/>
  <c r="I301" i="30" s="1"/>
  <c r="I181" i="30" a="1"/>
  <c r="I181" i="30" s="1"/>
  <c r="I61" i="30" a="1"/>
  <c r="I61" i="30" s="1"/>
  <c r="I456" i="30" a="1"/>
  <c r="I456" i="30" s="1"/>
  <c r="I336" i="30" a="1"/>
  <c r="I336" i="30" s="1"/>
  <c r="I228" i="30" a="1"/>
  <c r="I228" i="30" s="1"/>
  <c r="I467" i="30" a="1"/>
  <c r="I467" i="30" s="1"/>
  <c r="I395" i="30" a="1"/>
  <c r="I395" i="30" s="1"/>
  <c r="I299" i="30" a="1"/>
  <c r="I299" i="30" s="1"/>
  <c r="I239" i="30" a="1"/>
  <c r="I239" i="30" s="1"/>
  <c r="I167" i="30" a="1"/>
  <c r="I167" i="30" s="1"/>
  <c r="I478" i="30" a="1"/>
  <c r="I478" i="30" s="1"/>
  <c r="I418" i="30" a="1"/>
  <c r="I418" i="30" s="1"/>
  <c r="I346" i="30" a="1"/>
  <c r="I346" i="30" s="1"/>
  <c r="I274" i="30" a="1"/>
  <c r="I274" i="30" s="1"/>
  <c r="I190" i="30" a="1"/>
  <c r="I190" i="30" s="1"/>
  <c r="I130" i="30" a="1"/>
  <c r="I130" i="30" s="1"/>
  <c r="I70" i="30" a="1"/>
  <c r="I70" i="30" s="1"/>
  <c r="I417" i="30" a="1"/>
  <c r="I417" i="30" s="1"/>
  <c r="I482" i="30" a="1"/>
  <c r="I482" i="30" s="1"/>
  <c r="I410" i="30" a="1"/>
  <c r="I410" i="30" s="1"/>
  <c r="I362" i="30" a="1"/>
  <c r="I362" i="30" s="1"/>
  <c r="I493" i="30" a="1"/>
  <c r="I493" i="30" s="1"/>
  <c r="I433" i="30" a="1"/>
  <c r="I433" i="30" s="1"/>
  <c r="I385" i="30" a="1"/>
  <c r="I385" i="30" s="1"/>
  <c r="I325" i="30" a="1"/>
  <c r="I325" i="30" s="1"/>
  <c r="I289" i="30" a="1"/>
  <c r="I289" i="30" s="1"/>
  <c r="I229" i="30" a="1"/>
  <c r="I229" i="30" s="1"/>
  <c r="I193" i="30" a="1"/>
  <c r="I193" i="30" s="1"/>
  <c r="I121" i="30" a="1"/>
  <c r="I121" i="30" s="1"/>
  <c r="I85" i="30" a="1"/>
  <c r="I85" i="30" s="1"/>
  <c r="I13" i="30" a="1"/>
  <c r="I13" i="30" s="1"/>
  <c r="I444" i="30" a="1"/>
  <c r="I444" i="30" s="1"/>
  <c r="I408" i="30" a="1"/>
  <c r="I408" i="30" s="1"/>
  <c r="I348" i="30" a="1"/>
  <c r="I348" i="30" s="1"/>
  <c r="I300" i="30" a="1"/>
  <c r="I300" i="30" s="1"/>
  <c r="I264" i="30" a="1"/>
  <c r="I264" i="30" s="1"/>
  <c r="I204" i="30" a="1"/>
  <c r="I204" i="30" s="1"/>
  <c r="I168" i="30" a="1"/>
  <c r="I168" i="30" s="1"/>
  <c r="I381" i="30" a="1"/>
  <c r="I381" i="30" s="1"/>
  <c r="I374" i="30" a="1"/>
  <c r="I374" i="30" s="1"/>
  <c r="I421" i="30" a="1"/>
  <c r="I421" i="30" s="1"/>
  <c r="I313" i="30" a="1"/>
  <c r="I313" i="30" s="1"/>
  <c r="I205" i="30" a="1"/>
  <c r="I205" i="30" s="1"/>
  <c r="I97" i="30" a="1"/>
  <c r="I97" i="30" s="1"/>
  <c r="I480" i="30" a="1"/>
  <c r="I480" i="30" s="1"/>
  <c r="I384" i="30" a="1"/>
  <c r="I384" i="30" s="1"/>
  <c r="I276" i="30" a="1"/>
  <c r="I276" i="30" s="1"/>
  <c r="I479" i="30" a="1"/>
  <c r="I479" i="30" s="1"/>
  <c r="I407" i="30" a="1"/>
  <c r="I407" i="30" s="1"/>
  <c r="I335" i="30" a="1"/>
  <c r="I335" i="30" s="1"/>
  <c r="I263" i="30" a="1"/>
  <c r="I263" i="30" s="1"/>
  <c r="I179" i="30" a="1"/>
  <c r="I179" i="30" s="1"/>
  <c r="I119" i="30" a="1"/>
  <c r="I119" i="30" s="1"/>
  <c r="I430" i="30" a="1"/>
  <c r="I430" i="30" s="1"/>
  <c r="I358" i="30" a="1"/>
  <c r="I358" i="30" s="1"/>
  <c r="I286" i="30" a="1"/>
  <c r="I286" i="30" s="1"/>
  <c r="I214" i="30" a="1"/>
  <c r="I214" i="30" s="1"/>
  <c r="I154" i="30" a="1"/>
  <c r="I154" i="30" s="1"/>
  <c r="I142" i="30" a="1"/>
  <c r="I142" i="30" s="1"/>
  <c r="I94" i="30" a="1"/>
  <c r="I94" i="30" s="1"/>
  <c r="I22" i="30" a="1"/>
  <c r="I22" i="30" s="1"/>
  <c r="I441" i="30" a="1"/>
  <c r="I441" i="30" s="1"/>
  <c r="I386" i="30" a="1"/>
  <c r="I386" i="30" s="1"/>
  <c r="I445" i="30" a="1"/>
  <c r="I445" i="30" s="1"/>
  <c r="I337" i="30" a="1"/>
  <c r="I337" i="30" s="1"/>
  <c r="I241" i="30" a="1"/>
  <c r="I241" i="30" s="1"/>
  <c r="I157" i="30" a="1"/>
  <c r="I157" i="30" s="1"/>
  <c r="I73" i="30" a="1"/>
  <c r="I73" i="30" s="1"/>
  <c r="I468" i="30" a="1"/>
  <c r="I468" i="30" s="1"/>
  <c r="I360" i="30" a="1"/>
  <c r="I360" i="30" s="1"/>
  <c r="I252" i="30" a="1"/>
  <c r="I252" i="30" s="1"/>
  <c r="I491" i="30" a="1"/>
  <c r="I491" i="30" s="1"/>
  <c r="I431" i="30" a="1"/>
  <c r="I431" i="30" s="1"/>
  <c r="I359" i="30" a="1"/>
  <c r="I359" i="30" s="1"/>
  <c r="I323" i="30" a="1"/>
  <c r="I323" i="30" s="1"/>
  <c r="I251" i="30" a="1"/>
  <c r="I251" i="30" s="1"/>
  <c r="I191" i="30" a="1"/>
  <c r="I191" i="30" s="1"/>
  <c r="I490" i="30" a="1"/>
  <c r="I490" i="30" s="1"/>
  <c r="I442" i="30" a="1"/>
  <c r="I442" i="30" s="1"/>
  <c r="I394" i="30" a="1"/>
  <c r="I394" i="30" s="1"/>
  <c r="I370" i="30" a="1"/>
  <c r="I370" i="30" s="1"/>
  <c r="I322" i="30" a="1"/>
  <c r="I322" i="30" s="1"/>
  <c r="I298" i="30" a="1"/>
  <c r="I298" i="30" s="1"/>
  <c r="I262" i="30" a="1"/>
  <c r="I262" i="30" s="1"/>
  <c r="I226" i="30" a="1"/>
  <c r="I226" i="30" s="1"/>
  <c r="I202" i="30" a="1"/>
  <c r="I202" i="30" s="1"/>
  <c r="I166" i="30" a="1"/>
  <c r="I166" i="30" s="1"/>
  <c r="I82" i="30" a="1"/>
  <c r="I82" i="30" s="1"/>
  <c r="I46" i="30" a="1"/>
  <c r="I46" i="30" s="1"/>
  <c r="I10" i="30" a="1"/>
  <c r="I10" i="30" s="1"/>
  <c r="I465" i="30" a="1"/>
  <c r="I465" i="30" s="1"/>
  <c r="I453" i="30" a="1"/>
  <c r="I453" i="30" s="1"/>
  <c r="I369" i="30" a="1"/>
  <c r="I369" i="30" s="1"/>
  <c r="I434" i="30" a="1"/>
  <c r="I434" i="30" s="1"/>
  <c r="I469" i="30" a="1"/>
  <c r="I469" i="30" s="1"/>
  <c r="I349" i="30" a="1"/>
  <c r="I349" i="30" s="1"/>
  <c r="I217" i="30" a="1"/>
  <c r="I217" i="30" s="1"/>
  <c r="I109" i="30" a="1"/>
  <c r="I109" i="30" s="1"/>
  <c r="I492" i="30" a="1"/>
  <c r="I492" i="30" s="1"/>
  <c r="I372" i="30" a="1"/>
  <c r="I372" i="30" s="1"/>
  <c r="I240" i="30" a="1"/>
  <c r="I240" i="30" s="1"/>
  <c r="I455" i="30" a="1"/>
  <c r="I455" i="30" s="1"/>
  <c r="I383" i="30" a="1"/>
  <c r="I383" i="30" s="1"/>
  <c r="I287" i="30" a="1"/>
  <c r="I287" i="30" s="1"/>
  <c r="I215" i="30" a="1"/>
  <c r="I215" i="30" s="1"/>
  <c r="I143" i="30" a="1"/>
  <c r="I143" i="30" s="1"/>
  <c r="I454" i="30" a="1"/>
  <c r="I454" i="30" s="1"/>
  <c r="I382" i="30" a="1"/>
  <c r="I382" i="30" s="1"/>
  <c r="I310" i="30" a="1"/>
  <c r="I310" i="30" s="1"/>
  <c r="I238" i="30" a="1"/>
  <c r="I238" i="30" s="1"/>
  <c r="I178" i="30" a="1"/>
  <c r="I178" i="30" s="1"/>
  <c r="I106" i="30" a="1"/>
  <c r="I106" i="30" s="1"/>
  <c r="I34" i="30" a="1"/>
  <c r="I34" i="30" s="1"/>
  <c r="I477" i="30" a="1"/>
  <c r="I477" i="30" s="1"/>
  <c r="I405" i="30" a="1"/>
  <c r="I405" i="30" s="1"/>
  <c r="I446" i="30" a="1"/>
  <c r="I446" i="30" s="1"/>
  <c r="I326" i="30" a="1"/>
  <c r="I326" i="30" s="1"/>
  <c r="I397" i="30" a="1"/>
  <c r="I397" i="30" s="1"/>
  <c r="I277" i="30" a="1"/>
  <c r="I277" i="30" s="1"/>
  <c r="I169" i="30" a="1"/>
  <c r="I169" i="30" s="1"/>
  <c r="I37" i="30" a="1"/>
  <c r="I37" i="30" s="1"/>
  <c r="I432" i="30" a="1"/>
  <c r="I432" i="30" s="1"/>
  <c r="I324" i="30" a="1"/>
  <c r="I324" i="30" s="1"/>
  <c r="I216" i="30" a="1"/>
  <c r="I216" i="30" s="1"/>
  <c r="I443" i="30" a="1"/>
  <c r="I443" i="30" s="1"/>
  <c r="I371" i="30" a="1"/>
  <c r="I371" i="30" s="1"/>
  <c r="I311" i="30" a="1"/>
  <c r="I311" i="30" s="1"/>
  <c r="I227" i="30" a="1"/>
  <c r="I227" i="30" s="1"/>
  <c r="I155" i="30" a="1"/>
  <c r="I155" i="30" s="1"/>
  <c r="I466" i="30" a="1"/>
  <c r="I466" i="30" s="1"/>
  <c r="I406" i="30" a="1"/>
  <c r="I406" i="30" s="1"/>
  <c r="I334" i="30" a="1"/>
  <c r="I334" i="30" s="1"/>
  <c r="I250" i="30" a="1"/>
  <c r="I250" i="30" s="1"/>
  <c r="I118" i="30" a="1"/>
  <c r="I118" i="30" s="1"/>
  <c r="I58" i="30" a="1"/>
  <c r="I58" i="30" s="1"/>
  <c r="I489" i="30" a="1"/>
  <c r="I489" i="30" s="1"/>
  <c r="I393" i="30" a="1"/>
  <c r="I393" i="30" s="1"/>
  <c r="I134" i="30" a="1"/>
  <c r="I134" i="30" s="1"/>
  <c r="I122" i="30" a="1"/>
  <c r="I122" i="30" s="1"/>
  <c r="I110" i="30" a="1"/>
  <c r="I110" i="30" s="1"/>
  <c r="I98" i="30" a="1"/>
  <c r="I98" i="30" s="1"/>
  <c r="I86" i="30" a="1"/>
  <c r="I86" i="30" s="1"/>
  <c r="I74" i="30" a="1"/>
  <c r="I74" i="30" s="1"/>
  <c r="I62" i="30" a="1"/>
  <c r="I62" i="30" s="1"/>
  <c r="I50" i="30" a="1"/>
  <c r="I50" i="30" s="1"/>
  <c r="I38" i="30" a="1"/>
  <c r="I38" i="30" s="1"/>
  <c r="I26" i="30" a="1"/>
  <c r="I26" i="30" s="1"/>
  <c r="I14" i="30" a="1"/>
  <c r="I14" i="30" s="1"/>
  <c r="I333" i="30" a="1"/>
  <c r="I333" i="30" s="1"/>
  <c r="I297" i="30" a="1"/>
  <c r="I297" i="30" s="1"/>
  <c r="I249" i="30" a="1"/>
  <c r="I249" i="30" s="1"/>
  <c r="I213" i="30" a="1"/>
  <c r="I213" i="30" s="1"/>
  <c r="I165" i="30" a="1"/>
  <c r="I165" i="30" s="1"/>
  <c r="I129" i="30" a="1"/>
  <c r="I129" i="30" s="1"/>
  <c r="I81" i="30" a="1"/>
  <c r="I81" i="30" s="1"/>
  <c r="I45" i="30" a="1"/>
  <c r="I45" i="30" s="1"/>
  <c r="I9" i="30" a="1"/>
  <c r="I9" i="30" s="1"/>
  <c r="I464" i="30" a="1"/>
  <c r="I464" i="30" s="1"/>
  <c r="I428" i="30" a="1"/>
  <c r="I428" i="30" s="1"/>
  <c r="I392" i="30" a="1"/>
  <c r="I392" i="30" s="1"/>
  <c r="I368" i="30" a="1"/>
  <c r="I368" i="30" s="1"/>
  <c r="I356" i="30" a="1"/>
  <c r="I356" i="30" s="1"/>
  <c r="I344" i="30" a="1"/>
  <c r="I344" i="30" s="1"/>
  <c r="I332" i="30" a="1"/>
  <c r="I332" i="30" s="1"/>
  <c r="I320" i="30" a="1"/>
  <c r="I320" i="30" s="1"/>
  <c r="I308" i="30" a="1"/>
  <c r="I308" i="30" s="1"/>
  <c r="I296" i="30" a="1"/>
  <c r="I296" i="30" s="1"/>
  <c r="I284" i="30" a="1"/>
  <c r="I284" i="30" s="1"/>
  <c r="I272" i="30" a="1"/>
  <c r="I272" i="30" s="1"/>
  <c r="I260" i="30" a="1"/>
  <c r="I260" i="30" s="1"/>
  <c r="I248" i="30" a="1"/>
  <c r="I248" i="30" s="1"/>
  <c r="I236" i="30" a="1"/>
  <c r="I236" i="30" s="1"/>
  <c r="I224" i="30" a="1"/>
  <c r="I224" i="30" s="1"/>
  <c r="I212" i="30" a="1"/>
  <c r="I212" i="30" s="1"/>
  <c r="I200" i="30" a="1"/>
  <c r="I200" i="30" s="1"/>
  <c r="I188" i="30" a="1"/>
  <c r="I188" i="30" s="1"/>
  <c r="I176" i="30" a="1"/>
  <c r="I176" i="30" s="1"/>
  <c r="I164" i="30" a="1"/>
  <c r="I164" i="30" s="1"/>
  <c r="I152" i="30" a="1"/>
  <c r="I152" i="30" s="1"/>
  <c r="I140" i="30" a="1"/>
  <c r="I140" i="30" s="1"/>
  <c r="I128" i="30" a="1"/>
  <c r="I128" i="30" s="1"/>
  <c r="I116" i="30" a="1"/>
  <c r="I116" i="30" s="1"/>
  <c r="I104" i="30" a="1"/>
  <c r="I104" i="30" s="1"/>
  <c r="I92" i="30" a="1"/>
  <c r="I92" i="30" s="1"/>
  <c r="I80" i="30" a="1"/>
  <c r="I80" i="30" s="1"/>
  <c r="I68" i="30" a="1"/>
  <c r="I68" i="30" s="1"/>
  <c r="I56" i="30" a="1"/>
  <c r="I56" i="30" s="1"/>
  <c r="I44" i="30" a="1"/>
  <c r="I44" i="30" s="1"/>
  <c r="I32" i="30" a="1"/>
  <c r="I32" i="30" s="1"/>
  <c r="I20" i="30" a="1"/>
  <c r="I20" i="30" s="1"/>
  <c r="I8" i="30" a="1"/>
  <c r="I8" i="30" s="1"/>
  <c r="I499" i="30" a="1"/>
  <c r="I499" i="30" s="1"/>
  <c r="I487" i="30" a="1"/>
  <c r="I487" i="30" s="1"/>
  <c r="I475" i="30" a="1"/>
  <c r="I475" i="30" s="1"/>
  <c r="I463" i="30" a="1"/>
  <c r="I463" i="30" s="1"/>
  <c r="I451" i="30" a="1"/>
  <c r="I451" i="30" s="1"/>
  <c r="I439" i="30" a="1"/>
  <c r="I439" i="30" s="1"/>
  <c r="I427" i="30" a="1"/>
  <c r="I427" i="30" s="1"/>
  <c r="I415" i="30" a="1"/>
  <c r="I415" i="30" s="1"/>
  <c r="I403" i="30" a="1"/>
  <c r="I403" i="30" s="1"/>
  <c r="I391" i="30" a="1"/>
  <c r="I391" i="30" s="1"/>
  <c r="I379" i="30" a="1"/>
  <c r="I379" i="30" s="1"/>
  <c r="I367" i="30" a="1"/>
  <c r="I367" i="30" s="1"/>
  <c r="I355" i="30" a="1"/>
  <c r="I355" i="30" s="1"/>
  <c r="I343" i="30" a="1"/>
  <c r="I343" i="30" s="1"/>
  <c r="I331" i="30" a="1"/>
  <c r="I331" i="30" s="1"/>
  <c r="I319" i="30" a="1"/>
  <c r="I319" i="30" s="1"/>
  <c r="I307" i="30" a="1"/>
  <c r="I307" i="30" s="1"/>
  <c r="I295" i="30" a="1"/>
  <c r="I295" i="30" s="1"/>
  <c r="I283" i="30" a="1"/>
  <c r="I283" i="30" s="1"/>
  <c r="I271" i="30" a="1"/>
  <c r="I271" i="30" s="1"/>
  <c r="I259" i="30" a="1"/>
  <c r="I259" i="30" s="1"/>
  <c r="I247" i="30" a="1"/>
  <c r="I247" i="30" s="1"/>
  <c r="I235" i="30" a="1"/>
  <c r="I235" i="30" s="1"/>
  <c r="I223" i="30" a="1"/>
  <c r="I223" i="30" s="1"/>
  <c r="I211" i="30" a="1"/>
  <c r="I211" i="30" s="1"/>
  <c r="I199" i="30" a="1"/>
  <c r="I199" i="30" s="1"/>
  <c r="I187" i="30" a="1"/>
  <c r="I187" i="30" s="1"/>
  <c r="I175" i="30" a="1"/>
  <c r="I175" i="30" s="1"/>
  <c r="I163" i="30" a="1"/>
  <c r="I163" i="30" s="1"/>
  <c r="I151" i="30" a="1"/>
  <c r="I151" i="30" s="1"/>
  <c r="I139" i="30" a="1"/>
  <c r="I139" i="30" s="1"/>
  <c r="I127" i="30" a="1"/>
  <c r="I127" i="30" s="1"/>
  <c r="I115" i="30" a="1"/>
  <c r="I115" i="30" s="1"/>
  <c r="I103" i="30" a="1"/>
  <c r="I103" i="30" s="1"/>
  <c r="I91" i="30" a="1"/>
  <c r="I91" i="30" s="1"/>
  <c r="I79" i="30" a="1"/>
  <c r="I79" i="30" s="1"/>
  <c r="I67" i="30" a="1"/>
  <c r="I67" i="30" s="1"/>
  <c r="I55" i="30" a="1"/>
  <c r="I55" i="30" s="1"/>
  <c r="I43" i="30" a="1"/>
  <c r="I43" i="30" s="1"/>
  <c r="I31" i="30" a="1"/>
  <c r="I31" i="30" s="1"/>
  <c r="I19" i="30" a="1"/>
  <c r="I19" i="30" s="1"/>
  <c r="I7" i="30" a="1"/>
  <c r="I7" i="30" s="1"/>
  <c r="I345" i="30" a="1"/>
  <c r="I345" i="30" s="1"/>
  <c r="I261" i="30" a="1"/>
  <c r="I261" i="30" s="1"/>
  <c r="I177" i="30" a="1"/>
  <c r="I177" i="30" s="1"/>
  <c r="I93" i="30" a="1"/>
  <c r="I93" i="30" s="1"/>
  <c r="I33" i="30" a="1"/>
  <c r="I33" i="30" s="1"/>
  <c r="I440" i="30" a="1"/>
  <c r="I440" i="30" s="1"/>
  <c r="I486" i="30" a="1"/>
  <c r="I486" i="30" s="1"/>
  <c r="I426" i="30" a="1"/>
  <c r="I426" i="30" s="1"/>
  <c r="I390" i="30" a="1"/>
  <c r="I390" i="30" s="1"/>
  <c r="I378" i="30" a="1"/>
  <c r="I378" i="30" s="1"/>
  <c r="I366" i="30" a="1"/>
  <c r="I366" i="30" s="1"/>
  <c r="I354" i="30" a="1"/>
  <c r="I354" i="30" s="1"/>
  <c r="I342" i="30" a="1"/>
  <c r="I342" i="30" s="1"/>
  <c r="I330" i="30" a="1"/>
  <c r="I330" i="30" s="1"/>
  <c r="I318" i="30" a="1"/>
  <c r="I318" i="30" s="1"/>
  <c r="I306" i="30" a="1"/>
  <c r="I306" i="30" s="1"/>
  <c r="I294" i="30" a="1"/>
  <c r="I294" i="30" s="1"/>
  <c r="I282" i="30" a="1"/>
  <c r="I282" i="30" s="1"/>
  <c r="I270" i="30" a="1"/>
  <c r="I270" i="30" s="1"/>
  <c r="I258" i="30" a="1"/>
  <c r="I258" i="30" s="1"/>
  <c r="I246" i="30" a="1"/>
  <c r="I246" i="30" s="1"/>
  <c r="I234" i="30" a="1"/>
  <c r="I234" i="30" s="1"/>
  <c r="I222" i="30" a="1"/>
  <c r="I222" i="30" s="1"/>
  <c r="I210" i="30" a="1"/>
  <c r="I210" i="30" s="1"/>
  <c r="I198" i="30" a="1"/>
  <c r="I198" i="30" s="1"/>
  <c r="I186" i="30" a="1"/>
  <c r="I186" i="30" s="1"/>
  <c r="I174" i="30" a="1"/>
  <c r="I174" i="30" s="1"/>
  <c r="I162" i="30" a="1"/>
  <c r="I162" i="30" s="1"/>
  <c r="I150" i="30" a="1"/>
  <c r="I150" i="30" s="1"/>
  <c r="I138" i="30" a="1"/>
  <c r="I138" i="30" s="1"/>
  <c r="I126" i="30" a="1"/>
  <c r="I126" i="30" s="1"/>
  <c r="I114" i="30" a="1"/>
  <c r="I114" i="30" s="1"/>
  <c r="I102" i="30" a="1"/>
  <c r="I102" i="30" s="1"/>
  <c r="I90" i="30" a="1"/>
  <c r="I90" i="30" s="1"/>
  <c r="I78" i="30" a="1"/>
  <c r="I78" i="30" s="1"/>
  <c r="I66" i="30" a="1"/>
  <c r="I66" i="30" s="1"/>
  <c r="I54" i="30" a="1"/>
  <c r="I54" i="30" s="1"/>
  <c r="I42" i="30" a="1"/>
  <c r="I42" i="30" s="1"/>
  <c r="I30" i="30" a="1"/>
  <c r="I30" i="30" s="1"/>
  <c r="I18" i="30" a="1"/>
  <c r="I18" i="30" s="1"/>
  <c r="I6" i="30" a="1"/>
  <c r="I6" i="30" s="1"/>
  <c r="I285" i="30" a="1"/>
  <c r="I285" i="30" s="1"/>
  <c r="I201" i="30" a="1"/>
  <c r="I201" i="30" s="1"/>
  <c r="I105" i="30" a="1"/>
  <c r="I105" i="30" s="1"/>
  <c r="I500" i="30" a="1"/>
  <c r="I500" i="30" s="1"/>
  <c r="I380" i="30" a="1"/>
  <c r="I380" i="30" s="1"/>
  <c r="I365" i="30" a="1"/>
  <c r="I365" i="30" s="1"/>
  <c r="I353" i="30" a="1"/>
  <c r="I353" i="30" s="1"/>
  <c r="I341" i="30" a="1"/>
  <c r="I341" i="30" s="1"/>
  <c r="I329" i="30" a="1"/>
  <c r="I329" i="30" s="1"/>
  <c r="I317" i="30" a="1"/>
  <c r="I317" i="30" s="1"/>
  <c r="I305" i="30" a="1"/>
  <c r="I305" i="30" s="1"/>
  <c r="I293" i="30" a="1"/>
  <c r="I293" i="30" s="1"/>
  <c r="I281" i="30" a="1"/>
  <c r="I281" i="30" s="1"/>
  <c r="I269" i="30" a="1"/>
  <c r="I269" i="30" s="1"/>
  <c r="I257" i="30" a="1"/>
  <c r="I257" i="30" s="1"/>
  <c r="I245" i="30" a="1"/>
  <c r="I245" i="30" s="1"/>
  <c r="I233" i="30" a="1"/>
  <c r="I233" i="30" s="1"/>
  <c r="I221" i="30" a="1"/>
  <c r="I221" i="30" s="1"/>
  <c r="I209" i="30" a="1"/>
  <c r="I209" i="30" s="1"/>
  <c r="I197" i="30" a="1"/>
  <c r="I197" i="30" s="1"/>
  <c r="I185" i="30" a="1"/>
  <c r="I185" i="30" s="1"/>
  <c r="I173" i="30" a="1"/>
  <c r="I173" i="30" s="1"/>
  <c r="I161" i="30" a="1"/>
  <c r="I161" i="30" s="1"/>
  <c r="I149" i="30" a="1"/>
  <c r="I149" i="30" s="1"/>
  <c r="I137" i="30" a="1"/>
  <c r="I137" i="30" s="1"/>
  <c r="I125" i="30" a="1"/>
  <c r="I125" i="30" s="1"/>
  <c r="I113" i="30" a="1"/>
  <c r="I113" i="30" s="1"/>
  <c r="I101" i="30" a="1"/>
  <c r="I101" i="30" s="1"/>
  <c r="I89" i="30" a="1"/>
  <c r="I89" i="30" s="1"/>
  <c r="I77" i="30" a="1"/>
  <c r="I77" i="30" s="1"/>
  <c r="I65" i="30" a="1"/>
  <c r="I65" i="30" s="1"/>
  <c r="I53" i="30" a="1"/>
  <c r="I53" i="30" s="1"/>
  <c r="I41" i="30" a="1"/>
  <c r="I41" i="30" s="1"/>
  <c r="I29" i="30" a="1"/>
  <c r="I29" i="30" s="1"/>
  <c r="I17" i="30" a="1"/>
  <c r="I17" i="30" s="1"/>
  <c r="I5" i="30" a="1"/>
  <c r="I5" i="30" s="1"/>
  <c r="I4" i="30" a="1"/>
  <c r="I4" i="30" s="1"/>
  <c r="I3" i="30" a="1"/>
  <c r="I3" i="30" s="1"/>
  <c r="I321" i="30" a="1"/>
  <c r="I321" i="30" s="1"/>
  <c r="I237" i="30" a="1"/>
  <c r="I237" i="30" s="1"/>
  <c r="I153" i="30" a="1"/>
  <c r="I153" i="30" s="1"/>
  <c r="I69" i="30" a="1"/>
  <c r="I69" i="30" s="1"/>
  <c r="I488" i="30" a="1"/>
  <c r="I488" i="30" s="1"/>
  <c r="I404" i="30" a="1"/>
  <c r="I404" i="30" s="1"/>
  <c r="I462" i="30" a="1"/>
  <c r="I462" i="30" s="1"/>
  <c r="I414" i="30" a="1"/>
  <c r="I414" i="30" s="1"/>
  <c r="I485" i="30" a="1"/>
  <c r="I485" i="30" s="1"/>
  <c r="I449" i="30" a="1"/>
  <c r="I449" i="30" s="1"/>
  <c r="I413" i="30" a="1"/>
  <c r="I413" i="30" s="1"/>
  <c r="I389" i="30" a="1"/>
  <c r="I389" i="30" s="1"/>
  <c r="I484" i="30" a="1"/>
  <c r="I484" i="30" s="1"/>
  <c r="I448" i="30" a="1"/>
  <c r="I448" i="30" s="1"/>
  <c r="I412" i="30" a="1"/>
  <c r="I412" i="30" s="1"/>
  <c r="I376" i="30" a="1"/>
  <c r="I376" i="30" s="1"/>
  <c r="I340" i="30" a="1"/>
  <c r="I340" i="30" s="1"/>
  <c r="I316" i="30" a="1"/>
  <c r="I316" i="30" s="1"/>
  <c r="I304" i="30" a="1"/>
  <c r="I304" i="30" s="1"/>
  <c r="I292" i="30" a="1"/>
  <c r="I292" i="30" s="1"/>
  <c r="I280" i="30" a="1"/>
  <c r="I280" i="30" s="1"/>
  <c r="I268" i="30" a="1"/>
  <c r="I268" i="30" s="1"/>
  <c r="I256" i="30" a="1"/>
  <c r="I256" i="30" s="1"/>
  <c r="I244" i="30" a="1"/>
  <c r="I244" i="30" s="1"/>
  <c r="I232" i="30" a="1"/>
  <c r="I232" i="30" s="1"/>
  <c r="I220" i="30" a="1"/>
  <c r="I220" i="30" s="1"/>
  <c r="I208" i="30" a="1"/>
  <c r="I208" i="30" s="1"/>
  <c r="I196" i="30" a="1"/>
  <c r="I196" i="30" s="1"/>
  <c r="I184" i="30" a="1"/>
  <c r="I184" i="30" s="1"/>
  <c r="I172" i="30" a="1"/>
  <c r="I172" i="30" s="1"/>
  <c r="I160" i="30" a="1"/>
  <c r="I160" i="30" s="1"/>
  <c r="I148" i="30" a="1"/>
  <c r="I148" i="30" s="1"/>
  <c r="I136" i="30" a="1"/>
  <c r="I136" i="30" s="1"/>
  <c r="I124" i="30" a="1"/>
  <c r="I124" i="30" s="1"/>
  <c r="I112" i="30" a="1"/>
  <c r="I112" i="30" s="1"/>
  <c r="I100" i="30" a="1"/>
  <c r="I100" i="30" s="1"/>
  <c r="I88" i="30" a="1"/>
  <c r="I88" i="30" s="1"/>
  <c r="I76" i="30" a="1"/>
  <c r="I76" i="30" s="1"/>
  <c r="I64" i="30" a="1"/>
  <c r="I64" i="30" s="1"/>
  <c r="I52" i="30" a="1"/>
  <c r="I52" i="30" s="1"/>
  <c r="I40" i="30" a="1"/>
  <c r="I40" i="30" s="1"/>
  <c r="I28" i="30" a="1"/>
  <c r="I28" i="30" s="1"/>
  <c r="I16" i="30" a="1"/>
  <c r="I16" i="30" s="1"/>
  <c r="I357" i="30" a="1"/>
  <c r="I357" i="30" s="1"/>
  <c r="I309" i="30" a="1"/>
  <c r="I309" i="30" s="1"/>
  <c r="I273" i="30" a="1"/>
  <c r="I273" i="30" s="1"/>
  <c r="I225" i="30" a="1"/>
  <c r="I225" i="30" s="1"/>
  <c r="I189" i="30" a="1"/>
  <c r="I189" i="30" s="1"/>
  <c r="I141" i="30" a="1"/>
  <c r="I141" i="30" s="1"/>
  <c r="I117" i="30" a="1"/>
  <c r="I117" i="30" s="1"/>
  <c r="I57" i="30" a="1"/>
  <c r="I57" i="30" s="1"/>
  <c r="I21" i="30" a="1"/>
  <c r="I21" i="30" s="1"/>
  <c r="I476" i="30" a="1"/>
  <c r="I476" i="30" s="1"/>
  <c r="I452" i="30" a="1"/>
  <c r="I452" i="30" s="1"/>
  <c r="I416" i="30" a="1"/>
  <c r="I416" i="30" s="1"/>
  <c r="I498" i="30" a="1"/>
  <c r="I498" i="30" s="1"/>
  <c r="I474" i="30" a="1"/>
  <c r="I474" i="30" s="1"/>
  <c r="I450" i="30" a="1"/>
  <c r="I450" i="30" s="1"/>
  <c r="I438" i="30" a="1"/>
  <c r="I438" i="30" s="1"/>
  <c r="I402" i="30" a="1"/>
  <c r="I402" i="30" s="1"/>
  <c r="I497" i="30" a="1"/>
  <c r="I497" i="30" s="1"/>
  <c r="I473" i="30" a="1"/>
  <c r="I473" i="30" s="1"/>
  <c r="I461" i="30" a="1"/>
  <c r="I461" i="30" s="1"/>
  <c r="I437" i="30" a="1"/>
  <c r="I437" i="30" s="1"/>
  <c r="I425" i="30" a="1"/>
  <c r="I425" i="30" s="1"/>
  <c r="I401" i="30" a="1"/>
  <c r="I401" i="30" s="1"/>
  <c r="I377" i="30" a="1"/>
  <c r="I377" i="30" s="1"/>
  <c r="I496" i="30" a="1"/>
  <c r="I496" i="30" s="1"/>
  <c r="I472" i="30" a="1"/>
  <c r="I472" i="30" s="1"/>
  <c r="I460" i="30" a="1"/>
  <c r="I460" i="30" s="1"/>
  <c r="I436" i="30" a="1"/>
  <c r="I436" i="30" s="1"/>
  <c r="I424" i="30" a="1"/>
  <c r="I424" i="30" s="1"/>
  <c r="I400" i="30" a="1"/>
  <c r="I400" i="30" s="1"/>
  <c r="I388" i="30" a="1"/>
  <c r="I388" i="30" s="1"/>
  <c r="I364" i="30" a="1"/>
  <c r="I364" i="30" s="1"/>
  <c r="I352" i="30" a="1"/>
  <c r="I352" i="30" s="1"/>
  <c r="I328" i="30" a="1"/>
  <c r="I328" i="30" s="1"/>
  <c r="I495" i="30" a="1"/>
  <c r="I495" i="30" s="1"/>
  <c r="I483" i="30" a="1"/>
  <c r="I483" i="30" s="1"/>
  <c r="I471" i="30" a="1"/>
  <c r="I471" i="30" s="1"/>
  <c r="I459" i="30" a="1"/>
  <c r="I459" i="30" s="1"/>
  <c r="I447" i="30" a="1"/>
  <c r="I447" i="30" s="1"/>
  <c r="I435" i="30" a="1"/>
  <c r="I435" i="30" s="1"/>
  <c r="I423" i="30" a="1"/>
  <c r="I423" i="30" s="1"/>
  <c r="I411" i="30" a="1"/>
  <c r="I411" i="30" s="1"/>
  <c r="I399" i="30" a="1"/>
  <c r="I399" i="30" s="1"/>
  <c r="I387" i="30" a="1"/>
  <c r="I387" i="30" s="1"/>
  <c r="I375" i="30" a="1"/>
  <c r="I375" i="30" s="1"/>
  <c r="I363" i="30" a="1"/>
  <c r="I363" i="30" s="1"/>
  <c r="I351" i="30" a="1"/>
  <c r="I351" i="30" s="1"/>
  <c r="I339" i="30" a="1"/>
  <c r="I339" i="30" s="1"/>
  <c r="I327" i="30" a="1"/>
  <c r="I327" i="30" s="1"/>
  <c r="I315" i="30" a="1"/>
  <c r="I315" i="30" s="1"/>
  <c r="I303" i="30" a="1"/>
  <c r="I303" i="30" s="1"/>
  <c r="I291" i="30" a="1"/>
  <c r="I291" i="30" s="1"/>
  <c r="I279" i="30" a="1"/>
  <c r="I279" i="30" s="1"/>
  <c r="I267" i="30" a="1"/>
  <c r="I267" i="30" s="1"/>
  <c r="I255" i="30" a="1"/>
  <c r="I255" i="30" s="1"/>
  <c r="I243" i="30" a="1"/>
  <c r="I243" i="30" s="1"/>
  <c r="I231" i="30" a="1"/>
  <c r="I231" i="30" s="1"/>
  <c r="I219" i="30" a="1"/>
  <c r="I219" i="30" s="1"/>
  <c r="I207" i="30" a="1"/>
  <c r="I207" i="30" s="1"/>
  <c r="I195" i="30" a="1"/>
  <c r="I195" i="30" s="1"/>
  <c r="I183" i="30" a="1"/>
  <c r="I183" i="30" s="1"/>
  <c r="I171" i="30" a="1"/>
  <c r="I171" i="30" s="1"/>
  <c r="I159" i="30" a="1"/>
  <c r="I159" i="30" s="1"/>
  <c r="I147" i="30" a="1"/>
  <c r="I147" i="30" s="1"/>
  <c r="I135" i="30" a="1"/>
  <c r="I135" i="30" s="1"/>
  <c r="I123" i="30" a="1"/>
  <c r="I123" i="30" s="1"/>
  <c r="I111" i="30" a="1"/>
  <c r="I111" i="30" s="1"/>
  <c r="I99" i="30" a="1"/>
  <c r="I99" i="30" s="1"/>
  <c r="I87" i="30" a="1"/>
  <c r="I87" i="30" s="1"/>
  <c r="I75" i="30" a="1"/>
  <c r="I75" i="30" s="1"/>
  <c r="I63" i="30" a="1"/>
  <c r="I63" i="30" s="1"/>
  <c r="I51" i="30" a="1"/>
  <c r="I51" i="30" s="1"/>
  <c r="I39" i="30" a="1"/>
  <c r="I39" i="30" s="1"/>
  <c r="I27" i="30" a="1"/>
  <c r="I27" i="30" s="1"/>
  <c r="I15" i="30" a="1"/>
  <c r="I15" i="30" s="1"/>
  <c r="S393" i="30"/>
  <c r="S81" i="30"/>
  <c r="S428" i="30"/>
  <c r="S356" i="30"/>
  <c r="S260" i="30"/>
  <c r="S56" i="30"/>
  <c r="S463" i="30"/>
  <c r="S427" i="30"/>
  <c r="S391" i="30"/>
  <c r="S331" i="30"/>
  <c r="S211" i="30"/>
  <c r="S501" i="30"/>
  <c r="S489" i="30"/>
  <c r="S477" i="30"/>
  <c r="S465" i="30"/>
  <c r="S453" i="30"/>
  <c r="S417" i="30"/>
  <c r="S381" i="30"/>
  <c r="S357" i="30"/>
  <c r="S345" i="30"/>
  <c r="S333" i="30"/>
  <c r="S309" i="30"/>
  <c r="S297" i="30"/>
  <c r="S285" i="30"/>
  <c r="S273" i="30"/>
  <c r="S249" i="30"/>
  <c r="S237" i="30"/>
  <c r="S225" i="30"/>
  <c r="S213" i="30"/>
  <c r="S201" i="30"/>
  <c r="S189" i="30"/>
  <c r="S177" i="30"/>
  <c r="S165" i="30"/>
  <c r="S153" i="30"/>
  <c r="S141" i="30"/>
  <c r="S129" i="30"/>
  <c r="S105" i="30"/>
  <c r="S93" i="30"/>
  <c r="S69" i="30"/>
  <c r="S33" i="30"/>
  <c r="S9" i="30"/>
  <c r="S500" i="30"/>
  <c r="S440" i="30"/>
  <c r="S416" i="30"/>
  <c r="S404" i="30"/>
  <c r="S380" i="30"/>
  <c r="S344" i="30"/>
  <c r="S320" i="30"/>
  <c r="S308" i="30"/>
  <c r="S296" i="30"/>
  <c r="S272" i="30"/>
  <c r="S248" i="30"/>
  <c r="S236" i="30"/>
  <c r="S212" i="30"/>
  <c r="S200" i="30"/>
  <c r="S188" i="30"/>
  <c r="S164" i="30"/>
  <c r="S140" i="30"/>
  <c r="S116" i="30"/>
  <c r="S92" i="30"/>
  <c r="S80" i="30"/>
  <c r="S68" i="30"/>
  <c r="S32" i="30"/>
  <c r="S8" i="30"/>
  <c r="S499" i="30"/>
  <c r="S487" i="30"/>
  <c r="S475" i="30"/>
  <c r="S451" i="30"/>
  <c r="S439" i="30"/>
  <c r="S415" i="30"/>
  <c r="S403" i="30"/>
  <c r="S379" i="30"/>
  <c r="S367" i="30"/>
  <c r="S355" i="30"/>
  <c r="S343" i="30"/>
  <c r="S319" i="30"/>
  <c r="S307" i="30"/>
  <c r="S295" i="30"/>
  <c r="S283" i="30"/>
  <c r="S271" i="30"/>
  <c r="S259" i="30"/>
  <c r="S247" i="30"/>
  <c r="S235" i="30"/>
  <c r="S223" i="30"/>
  <c r="S494" i="30"/>
  <c r="S482" i="30"/>
  <c r="S470" i="30"/>
  <c r="S458" i="30"/>
  <c r="S446" i="30"/>
  <c r="S434" i="30"/>
  <c r="S422" i="30"/>
  <c r="S410" i="30"/>
  <c r="S398" i="30"/>
  <c r="S386" i="30"/>
  <c r="S374" i="30"/>
  <c r="S362" i="30"/>
  <c r="S350" i="30"/>
  <c r="S338" i="30"/>
  <c r="S326" i="30"/>
  <c r="S314" i="30"/>
  <c r="S302" i="30"/>
  <c r="S290" i="30"/>
  <c r="S278" i="30"/>
  <c r="S266" i="30"/>
  <c r="S254" i="30"/>
  <c r="S242" i="30"/>
  <c r="S230" i="30"/>
  <c r="S218" i="30"/>
  <c r="S206" i="30"/>
  <c r="S194" i="30"/>
  <c r="S182" i="30"/>
  <c r="S170" i="30"/>
  <c r="S158" i="30"/>
  <c r="S146" i="30"/>
  <c r="S134" i="30"/>
  <c r="S122" i="30"/>
  <c r="S110" i="30"/>
  <c r="S98" i="30"/>
  <c r="S86" i="30"/>
  <c r="S74" i="30"/>
  <c r="S62" i="30"/>
  <c r="S50" i="30"/>
  <c r="S38" i="30"/>
  <c r="S26" i="30"/>
  <c r="S14" i="30"/>
  <c r="S369" i="30"/>
  <c r="S45" i="30"/>
  <c r="S464" i="30"/>
  <c r="S20" i="30"/>
  <c r="S405" i="30"/>
  <c r="S21" i="30"/>
  <c r="S476" i="30"/>
  <c r="S152" i="30"/>
  <c r="S480" i="30"/>
  <c r="S456" i="30"/>
  <c r="S432" i="30"/>
  <c r="S408" i="30"/>
  <c r="S384" i="30"/>
  <c r="S360" i="30"/>
  <c r="S336" i="30"/>
  <c r="S312" i="30"/>
  <c r="S288" i="30"/>
  <c r="S264" i="30"/>
  <c r="S240" i="30"/>
  <c r="S216" i="30"/>
  <c r="S192" i="30"/>
  <c r="S168" i="30"/>
  <c r="S144" i="30"/>
  <c r="S120" i="30"/>
  <c r="S108" i="30"/>
  <c r="S96" i="30"/>
  <c r="S84" i="30"/>
  <c r="S60" i="30"/>
  <c r="S48" i="30"/>
  <c r="S36" i="30"/>
  <c r="S24" i="30"/>
  <c r="S12" i="30"/>
  <c r="S429" i="30"/>
  <c r="S261" i="30"/>
  <c r="S57" i="30"/>
  <c r="S488" i="30"/>
  <c r="S368" i="30"/>
  <c r="S104" i="30"/>
  <c r="S492" i="30"/>
  <c r="S468" i="30"/>
  <c r="S444" i="30"/>
  <c r="S420" i="30"/>
  <c r="S396" i="30"/>
  <c r="S372" i="30"/>
  <c r="S348" i="30"/>
  <c r="S324" i="30"/>
  <c r="S300" i="30"/>
  <c r="S276" i="30"/>
  <c r="S252" i="30"/>
  <c r="S228" i="30"/>
  <c r="S204" i="30"/>
  <c r="S180" i="30"/>
  <c r="S156" i="30"/>
  <c r="S132" i="30"/>
  <c r="S72" i="30"/>
  <c r="S491" i="30"/>
  <c r="S479" i="30"/>
  <c r="S467" i="30"/>
  <c r="S455" i="30"/>
  <c r="S443" i="30"/>
  <c r="S431" i="30"/>
  <c r="S419" i="30"/>
  <c r="S407" i="30"/>
  <c r="S395" i="30"/>
  <c r="S383" i="30"/>
  <c r="S371" i="30"/>
  <c r="S359" i="30"/>
  <c r="S347" i="30"/>
  <c r="S335" i="30"/>
  <c r="S323" i="30"/>
  <c r="S311" i="30"/>
  <c r="S299" i="30"/>
  <c r="S287" i="30"/>
  <c r="S275" i="30"/>
  <c r="S263" i="30"/>
  <c r="S251" i="30"/>
  <c r="S239" i="30"/>
  <c r="S227" i="30"/>
  <c r="S215" i="30"/>
  <c r="S203" i="30"/>
  <c r="S191" i="30"/>
  <c r="S179" i="30"/>
  <c r="S167" i="30"/>
  <c r="S155" i="30"/>
  <c r="S143" i="30"/>
  <c r="S131" i="30"/>
  <c r="S119" i="30"/>
  <c r="S107" i="30"/>
  <c r="S95" i="30"/>
  <c r="S83" i="30"/>
  <c r="S71" i="30"/>
  <c r="S59" i="30"/>
  <c r="S47" i="30"/>
  <c r="S35" i="30"/>
  <c r="S23" i="30"/>
  <c r="S11" i="30"/>
  <c r="S441" i="30"/>
  <c r="S321" i="30"/>
  <c r="S117" i="30"/>
  <c r="S452" i="30"/>
  <c r="S392" i="30"/>
  <c r="S332" i="30"/>
  <c r="S284" i="30"/>
  <c r="S224" i="30"/>
  <c r="S176" i="30"/>
  <c r="S128" i="30"/>
  <c r="S44" i="30"/>
  <c r="S490" i="30"/>
  <c r="S478" i="30"/>
  <c r="S466" i="30"/>
  <c r="S454" i="30"/>
  <c r="S442" i="30"/>
  <c r="S430" i="30"/>
  <c r="S418" i="30"/>
  <c r="S406" i="30"/>
  <c r="S394" i="30"/>
  <c r="S382" i="30"/>
  <c r="S370" i="30"/>
  <c r="S358" i="30"/>
  <c r="S346" i="30"/>
  <c r="S334" i="30"/>
  <c r="S322" i="30"/>
  <c r="S310" i="30"/>
  <c r="S298" i="30"/>
  <c r="S286" i="30"/>
  <c r="S274" i="30"/>
  <c r="S262" i="30"/>
  <c r="S250" i="30"/>
  <c r="S238" i="30"/>
  <c r="S226" i="30"/>
  <c r="S214" i="30"/>
  <c r="S202" i="30"/>
  <c r="S190" i="30"/>
  <c r="S178" i="30"/>
  <c r="S166" i="30"/>
  <c r="S154" i="30"/>
  <c r="S142" i="30"/>
  <c r="S130" i="30"/>
  <c r="S118" i="30"/>
  <c r="S106" i="30"/>
  <c r="S94" i="30"/>
  <c r="S82" i="30"/>
  <c r="S70" i="30"/>
  <c r="S58" i="30"/>
  <c r="S46" i="30"/>
  <c r="S34" i="30"/>
  <c r="S22" i="30"/>
  <c r="S10" i="30"/>
  <c r="S498" i="30"/>
  <c r="S486" i="30"/>
  <c r="S474" i="30"/>
  <c r="S462" i="30"/>
  <c r="S496" i="30"/>
  <c r="S484" i="30"/>
  <c r="S472" i="30"/>
  <c r="S460" i="30"/>
  <c r="S448" i="30"/>
  <c r="S436" i="30"/>
  <c r="S424" i="30"/>
  <c r="S412" i="30"/>
  <c r="S400" i="30"/>
  <c r="S388" i="30"/>
  <c r="S376" i="30"/>
  <c r="S364" i="30"/>
  <c r="S352" i="30"/>
  <c r="S340" i="30"/>
  <c r="S328" i="30"/>
  <c r="S316" i="30"/>
  <c r="S304" i="30"/>
  <c r="S292" i="30"/>
  <c r="S280" i="30"/>
  <c r="S268" i="30"/>
  <c r="S256" i="30"/>
  <c r="S244" i="30"/>
  <c r="S232" i="30"/>
  <c r="S220" i="30"/>
  <c r="S208" i="30"/>
  <c r="S493" i="30"/>
  <c r="S481" i="30"/>
  <c r="S469" i="30"/>
  <c r="S457" i="30"/>
  <c r="S445" i="30"/>
  <c r="S433" i="30"/>
  <c r="S421" i="30"/>
  <c r="S409" i="30"/>
  <c r="S397" i="30"/>
  <c r="S385" i="30"/>
  <c r="S373" i="30"/>
  <c r="S361" i="30"/>
  <c r="S349" i="30"/>
  <c r="S337" i="30"/>
  <c r="S325" i="30"/>
  <c r="S313" i="30"/>
  <c r="S301" i="30"/>
  <c r="S289" i="30"/>
  <c r="S277" i="30"/>
  <c r="S450" i="30"/>
  <c r="S414" i="30"/>
  <c r="S378" i="30"/>
  <c r="S354" i="30"/>
  <c r="S330" i="30"/>
  <c r="S306" i="30"/>
  <c r="S270" i="30"/>
  <c r="S246" i="30"/>
  <c r="S222" i="30"/>
  <c r="S198" i="30"/>
  <c r="S186" i="30"/>
  <c r="S174" i="30"/>
  <c r="S162" i="30"/>
  <c r="S150" i="30"/>
  <c r="S138" i="30"/>
  <c r="S126" i="30"/>
  <c r="S114" i="30"/>
  <c r="S102" i="30"/>
  <c r="S90" i="30"/>
  <c r="S78" i="30"/>
  <c r="S66" i="30"/>
  <c r="S54" i="30"/>
  <c r="S42" i="30"/>
  <c r="S30" i="30"/>
  <c r="S18" i="30"/>
  <c r="S438" i="30"/>
  <c r="S426" i="30"/>
  <c r="S402" i="30"/>
  <c r="S390" i="30"/>
  <c r="S366" i="30"/>
  <c r="S342" i="30"/>
  <c r="S318" i="30"/>
  <c r="S294" i="30"/>
  <c r="S282" i="30"/>
  <c r="S258" i="30"/>
  <c r="S234" i="30"/>
  <c r="S210" i="30"/>
  <c r="S497" i="30"/>
  <c r="S485" i="30"/>
  <c r="S473" i="30"/>
  <c r="S461" i="30"/>
  <c r="S449" i="30"/>
  <c r="S437" i="30"/>
  <c r="S425" i="30"/>
  <c r="S413" i="30"/>
  <c r="S401" i="30"/>
  <c r="S389" i="30"/>
  <c r="S377" i="30"/>
  <c r="S365" i="30"/>
  <c r="S353" i="30"/>
  <c r="S341" i="30"/>
  <c r="S329" i="30"/>
  <c r="S317" i="30"/>
  <c r="S305" i="30"/>
  <c r="S293" i="30"/>
  <c r="S281" i="30"/>
  <c r="S269" i="30"/>
  <c r="S257" i="30"/>
  <c r="S245" i="30"/>
  <c r="S233" i="30"/>
  <c r="S221" i="30"/>
  <c r="S495" i="30"/>
  <c r="S483" i="30"/>
  <c r="S471" i="30"/>
  <c r="S459" i="30"/>
  <c r="S447" i="30"/>
  <c r="S435" i="30"/>
  <c r="S423" i="30"/>
  <c r="S411" i="30"/>
  <c r="S399" i="30"/>
  <c r="S387" i="30"/>
  <c r="S375" i="30"/>
  <c r="S363" i="30"/>
  <c r="S351" i="30"/>
  <c r="S339" i="30"/>
  <c r="S327" i="30"/>
  <c r="S315" i="30"/>
  <c r="S303" i="30"/>
  <c r="S291" i="30"/>
  <c r="S279" i="30"/>
  <c r="S267" i="30"/>
  <c r="S255" i="30"/>
  <c r="S243" i="30"/>
  <c r="S231" i="30"/>
  <c r="S219" i="30"/>
  <c r="S207" i="30"/>
  <c r="S195" i="30"/>
  <c r="S183" i="30"/>
  <c r="S171" i="30"/>
  <c r="S159" i="30"/>
  <c r="S147" i="30"/>
  <c r="S135" i="30"/>
  <c r="S123" i="30"/>
  <c r="S111" i="30"/>
  <c r="S99" i="30"/>
  <c r="S87" i="30"/>
  <c r="S75" i="30"/>
  <c r="S63" i="30"/>
  <c r="S51" i="30"/>
  <c r="S39" i="30"/>
  <c r="S27" i="30"/>
  <c r="S15" i="30"/>
  <c r="S265" i="30"/>
  <c r="S253" i="30"/>
  <c r="S241" i="30"/>
  <c r="S229" i="30"/>
  <c r="S217" i="30"/>
  <c r="S205" i="30"/>
  <c r="S193" i="30"/>
  <c r="S181" i="30"/>
  <c r="S169" i="30"/>
  <c r="S157" i="30"/>
  <c r="S145" i="30"/>
  <c r="S133" i="30"/>
  <c r="S121" i="30"/>
  <c r="S109" i="30"/>
  <c r="S97" i="30"/>
  <c r="S85" i="30"/>
  <c r="S73" i="30"/>
  <c r="S61" i="30"/>
  <c r="S49" i="30"/>
  <c r="S37" i="30"/>
  <c r="S25" i="30"/>
  <c r="S13" i="30"/>
  <c r="S199" i="30"/>
  <c r="S187" i="30"/>
  <c r="S175" i="30"/>
  <c r="S163" i="30"/>
  <c r="S151" i="30"/>
  <c r="S139" i="30"/>
  <c r="S127" i="30"/>
  <c r="S115" i="30"/>
  <c r="S103" i="30"/>
  <c r="S91" i="30"/>
  <c r="S79" i="30"/>
  <c r="S67" i="30"/>
  <c r="S55" i="30"/>
  <c r="S43" i="30"/>
  <c r="S31" i="30"/>
  <c r="S19" i="30"/>
  <c r="S209" i="30"/>
  <c r="S197" i="30"/>
  <c r="S185" i="30"/>
  <c r="S173" i="30"/>
  <c r="S161" i="30"/>
  <c r="S149" i="30"/>
  <c r="S137" i="30"/>
  <c r="S125" i="30"/>
  <c r="S113" i="30"/>
  <c r="S101" i="30"/>
  <c r="S89" i="30"/>
  <c r="S77" i="30"/>
  <c r="S65" i="30"/>
  <c r="S53" i="30"/>
  <c r="S41" i="30"/>
  <c r="S29" i="30"/>
  <c r="S17" i="30"/>
  <c r="I2" i="30" a="1"/>
  <c r="I2" i="30" s="1"/>
  <c r="K2" i="30" s="1"/>
  <c r="S196" i="30"/>
  <c r="S184" i="30"/>
  <c r="S172" i="30"/>
  <c r="S160" i="30"/>
  <c r="S148" i="30"/>
  <c r="S136" i="30"/>
  <c r="S124" i="30"/>
  <c r="S112" i="30"/>
  <c r="S100" i="30"/>
  <c r="S88" i="30"/>
  <c r="S76" i="30"/>
  <c r="S64" i="30"/>
  <c r="S52" i="30"/>
  <c r="S40" i="30"/>
  <c r="S28" i="30"/>
  <c r="S16" i="30"/>
  <c r="S7" i="30"/>
  <c r="S6" i="30"/>
  <c r="S5" i="30"/>
  <c r="K25" i="30" l="1"/>
  <c r="L25" i="30" s="1"/>
  <c r="K5" i="30"/>
  <c r="K9" i="30"/>
  <c r="L9" i="30" s="1"/>
  <c r="K13" i="30"/>
  <c r="L13" i="30" s="1"/>
  <c r="K17" i="30"/>
  <c r="L17" i="30" s="1"/>
  <c r="K21" i="30"/>
  <c r="L21" i="30" s="1"/>
  <c r="K29" i="30"/>
  <c r="L29" i="30" s="1"/>
  <c r="K33" i="30"/>
  <c r="L33" i="30" s="1"/>
  <c r="K37" i="30"/>
  <c r="L37" i="30" s="1"/>
  <c r="K41" i="30"/>
  <c r="L41" i="30" s="1"/>
  <c r="K45" i="30"/>
  <c r="L45" i="30" s="1"/>
  <c r="K49" i="30"/>
  <c r="L49" i="30" s="1"/>
  <c r="K53" i="30"/>
  <c r="L53" i="30" s="1"/>
  <c r="K57" i="30"/>
  <c r="L57" i="30" s="1"/>
  <c r="K61" i="30"/>
  <c r="L61" i="30" s="1"/>
  <c r="K65" i="30"/>
  <c r="L65" i="30" s="1"/>
  <c r="K69" i="30"/>
  <c r="L69" i="30" s="1"/>
  <c r="K73" i="30"/>
  <c r="L73" i="30" s="1"/>
  <c r="K77" i="30"/>
  <c r="L77" i="30" s="1"/>
  <c r="K81" i="30"/>
  <c r="L81" i="30" s="1"/>
  <c r="K85" i="30"/>
  <c r="L85" i="30" s="1"/>
  <c r="K89" i="30"/>
  <c r="L89" i="30" s="1"/>
  <c r="K93" i="30"/>
  <c r="L93" i="30" s="1"/>
  <c r="K97" i="30"/>
  <c r="L97" i="30" s="1"/>
  <c r="K101" i="30"/>
  <c r="L101" i="30" s="1"/>
  <c r="K105" i="30"/>
  <c r="L105" i="30" s="1"/>
  <c r="K109" i="30"/>
  <c r="L109" i="30" s="1"/>
  <c r="K113" i="30"/>
  <c r="L113" i="30" s="1"/>
  <c r="K117" i="30"/>
  <c r="L117" i="30" s="1"/>
  <c r="K121" i="30"/>
  <c r="L121" i="30" s="1"/>
  <c r="K125" i="30"/>
  <c r="L125" i="30" s="1"/>
  <c r="K129" i="30"/>
  <c r="L129" i="30" s="1"/>
  <c r="K133" i="30"/>
  <c r="L133" i="30" s="1"/>
  <c r="K137" i="30"/>
  <c r="L137" i="30" s="1"/>
  <c r="K141" i="30"/>
  <c r="L141" i="30" s="1"/>
  <c r="K145" i="30"/>
  <c r="L145" i="30" s="1"/>
  <c r="K149" i="30"/>
  <c r="L149" i="30" s="1"/>
  <c r="K153" i="30"/>
  <c r="L153" i="30" s="1"/>
  <c r="K157" i="30"/>
  <c r="L157" i="30" s="1"/>
  <c r="K161" i="30"/>
  <c r="L161" i="30" s="1"/>
  <c r="K165" i="30"/>
  <c r="L165" i="30" s="1"/>
  <c r="K169" i="30"/>
  <c r="L169" i="30" s="1"/>
  <c r="K173" i="30"/>
  <c r="L173" i="30" s="1"/>
  <c r="K177" i="30"/>
  <c r="L177" i="30" s="1"/>
  <c r="K181" i="30"/>
  <c r="L181" i="30" s="1"/>
  <c r="K185" i="30"/>
  <c r="L185" i="30" s="1"/>
  <c r="K189" i="30"/>
  <c r="L189" i="30" s="1"/>
  <c r="K193" i="30"/>
  <c r="L193" i="30" s="1"/>
  <c r="K197" i="30"/>
  <c r="L197" i="30" s="1"/>
  <c r="K201" i="30"/>
  <c r="L201" i="30" s="1"/>
  <c r="K205" i="30"/>
  <c r="L205" i="30" s="1"/>
  <c r="K209" i="30"/>
  <c r="L209" i="30" s="1"/>
  <c r="K213" i="30"/>
  <c r="L213" i="30" s="1"/>
  <c r="K217" i="30"/>
  <c r="L217" i="30" s="1"/>
  <c r="K221" i="30"/>
  <c r="L221" i="30" s="1"/>
  <c r="K225" i="30"/>
  <c r="L225" i="30" s="1"/>
  <c r="K229" i="30"/>
  <c r="L229" i="30" s="1"/>
  <c r="K233" i="30"/>
  <c r="L233" i="30" s="1"/>
  <c r="K237" i="30"/>
  <c r="L237" i="30" s="1"/>
  <c r="K241" i="30"/>
  <c r="L241" i="30" s="1"/>
  <c r="K245" i="30"/>
  <c r="L245" i="30" s="1"/>
  <c r="K249" i="30"/>
  <c r="L249" i="30" s="1"/>
  <c r="K253" i="30"/>
  <c r="L253" i="30" s="1"/>
  <c r="K257" i="30"/>
  <c r="L257" i="30" s="1"/>
  <c r="K261" i="30"/>
  <c r="L261" i="30" s="1"/>
  <c r="K265" i="30"/>
  <c r="L265" i="30" s="1"/>
  <c r="K269" i="30"/>
  <c r="L269" i="30" s="1"/>
  <c r="K273" i="30"/>
  <c r="L273" i="30" s="1"/>
  <c r="K277" i="30"/>
  <c r="L277" i="30" s="1"/>
  <c r="K281" i="30"/>
  <c r="L281" i="30" s="1"/>
  <c r="K285" i="30"/>
  <c r="L285" i="30" s="1"/>
  <c r="K289" i="30"/>
  <c r="L289" i="30" s="1"/>
  <c r="K293" i="30"/>
  <c r="L293" i="30" s="1"/>
  <c r="K297" i="30"/>
  <c r="L297" i="30" s="1"/>
  <c r="K301" i="30"/>
  <c r="L301" i="30" s="1"/>
  <c r="K305" i="30"/>
  <c r="L305" i="30" s="1"/>
  <c r="K309" i="30"/>
  <c r="L309" i="30" s="1"/>
  <c r="K313" i="30"/>
  <c r="L313" i="30" s="1"/>
  <c r="K317" i="30"/>
  <c r="L317" i="30" s="1"/>
  <c r="K321" i="30"/>
  <c r="L321" i="30" s="1"/>
  <c r="K325" i="30"/>
  <c r="L325" i="30" s="1"/>
  <c r="K329" i="30"/>
  <c r="L329" i="30" s="1"/>
  <c r="K333" i="30"/>
  <c r="L333" i="30" s="1"/>
  <c r="K337" i="30"/>
  <c r="L337" i="30" s="1"/>
  <c r="K341" i="30"/>
  <c r="L341" i="30" s="1"/>
  <c r="L2" i="30"/>
  <c r="K6" i="30"/>
  <c r="K10" i="30"/>
  <c r="L10" i="30" s="1"/>
  <c r="K14" i="30"/>
  <c r="L14" i="30" s="1"/>
  <c r="K18" i="30"/>
  <c r="L18" i="30" s="1"/>
  <c r="K22" i="30"/>
  <c r="L22" i="30" s="1"/>
  <c r="K26" i="30"/>
  <c r="L26" i="30" s="1"/>
  <c r="K30" i="30"/>
  <c r="L30" i="30" s="1"/>
  <c r="K34" i="30"/>
  <c r="L34" i="30" s="1"/>
  <c r="K38" i="30"/>
  <c r="L38" i="30" s="1"/>
  <c r="K42" i="30"/>
  <c r="L42" i="30" s="1"/>
  <c r="K46" i="30"/>
  <c r="L46" i="30" s="1"/>
  <c r="K50" i="30"/>
  <c r="L50" i="30" s="1"/>
  <c r="K54" i="30"/>
  <c r="L54" i="30" s="1"/>
  <c r="K58" i="30"/>
  <c r="L58" i="30" s="1"/>
  <c r="K62" i="30"/>
  <c r="L62" i="30" s="1"/>
  <c r="K66" i="30"/>
  <c r="L66" i="30" s="1"/>
  <c r="K70" i="30"/>
  <c r="L70" i="30" s="1"/>
  <c r="K74" i="30"/>
  <c r="L74" i="30" s="1"/>
  <c r="K78" i="30"/>
  <c r="L78" i="30" s="1"/>
  <c r="K82" i="30"/>
  <c r="L82" i="30" s="1"/>
  <c r="K86" i="30"/>
  <c r="L86" i="30" s="1"/>
  <c r="K90" i="30"/>
  <c r="L90" i="30" s="1"/>
  <c r="K94" i="30"/>
  <c r="L94" i="30" s="1"/>
  <c r="K98" i="30"/>
  <c r="L98" i="30" s="1"/>
  <c r="K102" i="30"/>
  <c r="L102" i="30" s="1"/>
  <c r="K106" i="30"/>
  <c r="L106" i="30" s="1"/>
  <c r="K110" i="30"/>
  <c r="L110" i="30" s="1"/>
  <c r="K114" i="30"/>
  <c r="L114" i="30" s="1"/>
  <c r="K118" i="30"/>
  <c r="L118" i="30" s="1"/>
  <c r="K122" i="30"/>
  <c r="L122" i="30" s="1"/>
  <c r="K126" i="30"/>
  <c r="L126" i="30" s="1"/>
  <c r="K130" i="30"/>
  <c r="L130" i="30" s="1"/>
  <c r="K134" i="30"/>
  <c r="L134" i="30" s="1"/>
  <c r="K138" i="30"/>
  <c r="L138" i="30" s="1"/>
  <c r="K142" i="30"/>
  <c r="L142" i="30" s="1"/>
  <c r="K146" i="30"/>
  <c r="L146" i="30" s="1"/>
  <c r="K150" i="30"/>
  <c r="L150" i="30" s="1"/>
  <c r="K154" i="30"/>
  <c r="L154" i="30" s="1"/>
  <c r="K158" i="30"/>
  <c r="L158" i="30" s="1"/>
  <c r="K162" i="30"/>
  <c r="L162" i="30" s="1"/>
  <c r="K166" i="30"/>
  <c r="L166" i="30" s="1"/>
  <c r="K170" i="30"/>
  <c r="L170" i="30" s="1"/>
  <c r="K174" i="30"/>
  <c r="L174" i="30" s="1"/>
  <c r="K178" i="30"/>
  <c r="L178" i="30" s="1"/>
  <c r="K182" i="30"/>
  <c r="L182" i="30" s="1"/>
  <c r="K186" i="30"/>
  <c r="L186" i="30" s="1"/>
  <c r="K190" i="30"/>
  <c r="L190" i="30" s="1"/>
  <c r="K194" i="30"/>
  <c r="L194" i="30" s="1"/>
  <c r="K198" i="30"/>
  <c r="L198" i="30" s="1"/>
  <c r="K202" i="30"/>
  <c r="L202" i="30" s="1"/>
  <c r="K206" i="30"/>
  <c r="L206" i="30" s="1"/>
  <c r="K210" i="30"/>
  <c r="L210" i="30" s="1"/>
  <c r="K214" i="30"/>
  <c r="L214" i="30" s="1"/>
  <c r="K218" i="30"/>
  <c r="L218" i="30" s="1"/>
  <c r="K222" i="30"/>
  <c r="L222" i="30" s="1"/>
  <c r="K226" i="30"/>
  <c r="L226" i="30" s="1"/>
  <c r="K230" i="30"/>
  <c r="L230" i="30" s="1"/>
  <c r="K234" i="30"/>
  <c r="L234" i="30" s="1"/>
  <c r="K238" i="30"/>
  <c r="L238" i="30" s="1"/>
  <c r="K242" i="30"/>
  <c r="L242" i="30" s="1"/>
  <c r="K246" i="30"/>
  <c r="L246" i="30" s="1"/>
  <c r="K250" i="30"/>
  <c r="L250" i="30" s="1"/>
  <c r="K254" i="30"/>
  <c r="L254" i="30" s="1"/>
  <c r="K258" i="30"/>
  <c r="L258" i="30" s="1"/>
  <c r="K262" i="30"/>
  <c r="L262" i="30" s="1"/>
  <c r="K266" i="30"/>
  <c r="L266" i="30" s="1"/>
  <c r="K270" i="30"/>
  <c r="L270" i="30" s="1"/>
  <c r="K274" i="30"/>
  <c r="L274" i="30" s="1"/>
  <c r="K278" i="30"/>
  <c r="L278" i="30" s="1"/>
  <c r="K282" i="30"/>
  <c r="L282" i="30" s="1"/>
  <c r="K286" i="30"/>
  <c r="L286" i="30" s="1"/>
  <c r="K290" i="30"/>
  <c r="L290" i="30" s="1"/>
  <c r="K294" i="30"/>
  <c r="L294" i="30" s="1"/>
  <c r="K298" i="30"/>
  <c r="L298" i="30" s="1"/>
  <c r="K302" i="30"/>
  <c r="L302" i="30" s="1"/>
  <c r="K306" i="30"/>
  <c r="L306" i="30" s="1"/>
  <c r="K310" i="30"/>
  <c r="L310" i="30" s="1"/>
  <c r="K314" i="30"/>
  <c r="L314" i="30" s="1"/>
  <c r="K318" i="30"/>
  <c r="L318" i="30" s="1"/>
  <c r="K322" i="30"/>
  <c r="L322" i="30" s="1"/>
  <c r="K326" i="30"/>
  <c r="L326" i="30" s="1"/>
  <c r="K330" i="30"/>
  <c r="L330" i="30" s="1"/>
  <c r="K3" i="30"/>
  <c r="K7" i="30"/>
  <c r="K11" i="30"/>
  <c r="L11" i="30" s="1"/>
  <c r="K15" i="30"/>
  <c r="L15" i="30" s="1"/>
  <c r="K19" i="30"/>
  <c r="L19" i="30" s="1"/>
  <c r="K23" i="30"/>
  <c r="L23" i="30" s="1"/>
  <c r="K27" i="30"/>
  <c r="L27" i="30" s="1"/>
  <c r="K31" i="30"/>
  <c r="L31" i="30" s="1"/>
  <c r="K35" i="30"/>
  <c r="L35" i="30" s="1"/>
  <c r="K39" i="30"/>
  <c r="L39" i="30" s="1"/>
  <c r="K43" i="30"/>
  <c r="L43" i="30" s="1"/>
  <c r="K47" i="30"/>
  <c r="L47" i="30" s="1"/>
  <c r="K51" i="30"/>
  <c r="L51" i="30" s="1"/>
  <c r="K55" i="30"/>
  <c r="L55" i="30" s="1"/>
  <c r="K59" i="30"/>
  <c r="L59" i="30" s="1"/>
  <c r="K63" i="30"/>
  <c r="L63" i="30" s="1"/>
  <c r="K67" i="30"/>
  <c r="L67" i="30" s="1"/>
  <c r="K71" i="30"/>
  <c r="L71" i="30" s="1"/>
  <c r="K75" i="30"/>
  <c r="L75" i="30" s="1"/>
  <c r="K79" i="30"/>
  <c r="L79" i="30" s="1"/>
  <c r="K83" i="30"/>
  <c r="L83" i="30" s="1"/>
  <c r="K87" i="30"/>
  <c r="L87" i="30" s="1"/>
  <c r="K91" i="30"/>
  <c r="L91" i="30" s="1"/>
  <c r="K95" i="30"/>
  <c r="L95" i="30" s="1"/>
  <c r="K99" i="30"/>
  <c r="L99" i="30" s="1"/>
  <c r="K103" i="30"/>
  <c r="L103" i="30" s="1"/>
  <c r="K107" i="30"/>
  <c r="L107" i="30" s="1"/>
  <c r="K111" i="30"/>
  <c r="L111" i="30" s="1"/>
  <c r="K115" i="30"/>
  <c r="L115" i="30" s="1"/>
  <c r="K119" i="30"/>
  <c r="L119" i="30" s="1"/>
  <c r="K123" i="30"/>
  <c r="L123" i="30" s="1"/>
  <c r="K127" i="30"/>
  <c r="L127" i="30" s="1"/>
  <c r="K131" i="30"/>
  <c r="L131" i="30" s="1"/>
  <c r="K135" i="30"/>
  <c r="L135" i="30" s="1"/>
  <c r="K139" i="30"/>
  <c r="L139" i="30" s="1"/>
  <c r="K143" i="30"/>
  <c r="L143" i="30" s="1"/>
  <c r="K147" i="30"/>
  <c r="L147" i="30" s="1"/>
  <c r="K151" i="30"/>
  <c r="L151" i="30" s="1"/>
  <c r="K155" i="30"/>
  <c r="L155" i="30" s="1"/>
  <c r="K159" i="30"/>
  <c r="L159" i="30" s="1"/>
  <c r="K163" i="30"/>
  <c r="L163" i="30" s="1"/>
  <c r="K167" i="30"/>
  <c r="L167" i="30" s="1"/>
  <c r="K171" i="30"/>
  <c r="L171" i="30" s="1"/>
  <c r="K175" i="30"/>
  <c r="L175" i="30" s="1"/>
  <c r="K179" i="30"/>
  <c r="L179" i="30" s="1"/>
  <c r="K183" i="30"/>
  <c r="L183" i="30" s="1"/>
  <c r="K187" i="30"/>
  <c r="L187" i="30" s="1"/>
  <c r="K191" i="30"/>
  <c r="L191" i="30" s="1"/>
  <c r="K195" i="30"/>
  <c r="L195" i="30" s="1"/>
  <c r="K199" i="30"/>
  <c r="L199" i="30" s="1"/>
  <c r="K203" i="30"/>
  <c r="L203" i="30" s="1"/>
  <c r="K207" i="30"/>
  <c r="L207" i="30" s="1"/>
  <c r="K211" i="30"/>
  <c r="L211" i="30" s="1"/>
  <c r="K215" i="30"/>
  <c r="L215" i="30" s="1"/>
  <c r="K219" i="30"/>
  <c r="L219" i="30" s="1"/>
  <c r="K223" i="30"/>
  <c r="L223" i="30" s="1"/>
  <c r="K227" i="30"/>
  <c r="L227" i="30" s="1"/>
  <c r="K231" i="30"/>
  <c r="L231" i="30" s="1"/>
  <c r="K235" i="30"/>
  <c r="L235" i="30" s="1"/>
  <c r="K239" i="30"/>
  <c r="L239" i="30" s="1"/>
  <c r="K243" i="30"/>
  <c r="L243" i="30" s="1"/>
  <c r="K247" i="30"/>
  <c r="L247" i="30" s="1"/>
  <c r="K251" i="30"/>
  <c r="L251" i="30" s="1"/>
  <c r="K255" i="30"/>
  <c r="L255" i="30" s="1"/>
  <c r="K259" i="30"/>
  <c r="L259" i="30" s="1"/>
  <c r="K263" i="30"/>
  <c r="L263" i="30" s="1"/>
  <c r="K267" i="30"/>
  <c r="L267" i="30" s="1"/>
  <c r="K271" i="30"/>
  <c r="L271" i="30" s="1"/>
  <c r="K275" i="30"/>
  <c r="L275" i="30" s="1"/>
  <c r="K279" i="30"/>
  <c r="L279" i="30" s="1"/>
  <c r="K283" i="30"/>
  <c r="L283" i="30" s="1"/>
  <c r="K287" i="30"/>
  <c r="L287" i="30" s="1"/>
  <c r="K291" i="30"/>
  <c r="L291" i="30" s="1"/>
  <c r="K295" i="30"/>
  <c r="L295" i="30" s="1"/>
  <c r="K299" i="30"/>
  <c r="L299" i="30" s="1"/>
  <c r="K303" i="30"/>
  <c r="L303" i="30" s="1"/>
  <c r="K307" i="30"/>
  <c r="L307" i="30" s="1"/>
  <c r="K311" i="30"/>
  <c r="L311" i="30" s="1"/>
  <c r="K315" i="30"/>
  <c r="L315" i="30" s="1"/>
  <c r="K319" i="30"/>
  <c r="L319" i="30" s="1"/>
  <c r="K8" i="30"/>
  <c r="L8" i="30" s="1"/>
  <c r="K24" i="30"/>
  <c r="L24" i="30" s="1"/>
  <c r="K40" i="30"/>
  <c r="L40" i="30" s="1"/>
  <c r="K56" i="30"/>
  <c r="L56" i="30" s="1"/>
  <c r="K72" i="30"/>
  <c r="L72" i="30" s="1"/>
  <c r="K88" i="30"/>
  <c r="L88" i="30" s="1"/>
  <c r="K104" i="30"/>
  <c r="L104" i="30" s="1"/>
  <c r="K120" i="30"/>
  <c r="L120" i="30" s="1"/>
  <c r="K136" i="30"/>
  <c r="L136" i="30" s="1"/>
  <c r="K152" i="30"/>
  <c r="L152" i="30" s="1"/>
  <c r="K168" i="30"/>
  <c r="L168" i="30" s="1"/>
  <c r="K184" i="30"/>
  <c r="L184" i="30" s="1"/>
  <c r="K200" i="30"/>
  <c r="L200" i="30" s="1"/>
  <c r="K216" i="30"/>
  <c r="L216" i="30" s="1"/>
  <c r="K232" i="30"/>
  <c r="L232" i="30" s="1"/>
  <c r="K248" i="30"/>
  <c r="L248" i="30" s="1"/>
  <c r="K264" i="30"/>
  <c r="L264" i="30" s="1"/>
  <c r="K280" i="30"/>
  <c r="L280" i="30" s="1"/>
  <c r="K296" i="30"/>
  <c r="L296" i="30" s="1"/>
  <c r="K312" i="30"/>
  <c r="L312" i="30" s="1"/>
  <c r="K324" i="30"/>
  <c r="L324" i="30" s="1"/>
  <c r="K332" i="30"/>
  <c r="L332" i="30" s="1"/>
  <c r="K338" i="30"/>
  <c r="L338" i="30" s="1"/>
  <c r="K343" i="30"/>
  <c r="L343" i="30" s="1"/>
  <c r="K347" i="30"/>
  <c r="L347" i="30" s="1"/>
  <c r="K351" i="30"/>
  <c r="L351" i="30" s="1"/>
  <c r="K355" i="30"/>
  <c r="L355" i="30" s="1"/>
  <c r="K359" i="30"/>
  <c r="L359" i="30" s="1"/>
  <c r="K363" i="30"/>
  <c r="L363" i="30" s="1"/>
  <c r="K367" i="30"/>
  <c r="L367" i="30" s="1"/>
  <c r="K371" i="30"/>
  <c r="L371" i="30" s="1"/>
  <c r="K375" i="30"/>
  <c r="L375" i="30" s="1"/>
  <c r="K379" i="30"/>
  <c r="L379" i="30" s="1"/>
  <c r="K383" i="30"/>
  <c r="L383" i="30" s="1"/>
  <c r="K387" i="30"/>
  <c r="L387" i="30" s="1"/>
  <c r="K391" i="30"/>
  <c r="L391" i="30" s="1"/>
  <c r="K395" i="30"/>
  <c r="L395" i="30" s="1"/>
  <c r="K399" i="30"/>
  <c r="L399" i="30" s="1"/>
  <c r="K403" i="30"/>
  <c r="L403" i="30" s="1"/>
  <c r="K407" i="30"/>
  <c r="L407" i="30" s="1"/>
  <c r="K411" i="30"/>
  <c r="L411" i="30" s="1"/>
  <c r="K415" i="30"/>
  <c r="L415" i="30" s="1"/>
  <c r="K419" i="30"/>
  <c r="L419" i="30" s="1"/>
  <c r="K423" i="30"/>
  <c r="L423" i="30" s="1"/>
  <c r="K427" i="30"/>
  <c r="L427" i="30" s="1"/>
  <c r="K431" i="30"/>
  <c r="L431" i="30" s="1"/>
  <c r="K435" i="30"/>
  <c r="L435" i="30" s="1"/>
  <c r="K439" i="30"/>
  <c r="L439" i="30" s="1"/>
  <c r="K443" i="30"/>
  <c r="L443" i="30" s="1"/>
  <c r="K447" i="30"/>
  <c r="L447" i="30" s="1"/>
  <c r="K451" i="30"/>
  <c r="L451" i="30" s="1"/>
  <c r="K455" i="30"/>
  <c r="L455" i="30" s="1"/>
  <c r="K459" i="30"/>
  <c r="L459" i="30" s="1"/>
  <c r="K463" i="30"/>
  <c r="L463" i="30" s="1"/>
  <c r="K467" i="30"/>
  <c r="L467" i="30" s="1"/>
  <c r="K471" i="30"/>
  <c r="L471" i="30" s="1"/>
  <c r="K475" i="30"/>
  <c r="L475" i="30" s="1"/>
  <c r="K479" i="30"/>
  <c r="L479" i="30" s="1"/>
  <c r="K483" i="30"/>
  <c r="L483" i="30" s="1"/>
  <c r="K487" i="30"/>
  <c r="L487" i="30" s="1"/>
  <c r="K491" i="30"/>
  <c r="L491" i="30" s="1"/>
  <c r="K495" i="30"/>
  <c r="L495" i="30" s="1"/>
  <c r="K499" i="30"/>
  <c r="L499" i="30" s="1"/>
  <c r="K4" i="30"/>
  <c r="K52" i="30"/>
  <c r="L52" i="30" s="1"/>
  <c r="K116" i="30"/>
  <c r="L116" i="30" s="1"/>
  <c r="K164" i="30"/>
  <c r="L164" i="30" s="1"/>
  <c r="K196" i="30"/>
  <c r="L196" i="30" s="1"/>
  <c r="K244" i="30"/>
  <c r="L244" i="30" s="1"/>
  <c r="K292" i="30"/>
  <c r="L292" i="30" s="1"/>
  <c r="K331" i="30"/>
  <c r="L331" i="30" s="1"/>
  <c r="K350" i="30"/>
  <c r="L350" i="30" s="1"/>
  <c r="K358" i="30"/>
  <c r="L358" i="30" s="1"/>
  <c r="K370" i="30"/>
  <c r="L370" i="30" s="1"/>
  <c r="K382" i="30"/>
  <c r="L382" i="30" s="1"/>
  <c r="K394" i="30"/>
  <c r="L394" i="30" s="1"/>
  <c r="K402" i="30"/>
  <c r="L402" i="30" s="1"/>
  <c r="K414" i="30"/>
  <c r="L414" i="30" s="1"/>
  <c r="K426" i="30"/>
  <c r="L426" i="30" s="1"/>
  <c r="K438" i="30"/>
  <c r="L438" i="30" s="1"/>
  <c r="K450" i="30"/>
  <c r="L450" i="30" s="1"/>
  <c r="K462" i="30"/>
  <c r="L462" i="30" s="1"/>
  <c r="K474" i="30"/>
  <c r="L474" i="30" s="1"/>
  <c r="K482" i="30"/>
  <c r="L482" i="30" s="1"/>
  <c r="K494" i="30"/>
  <c r="L494" i="30" s="1"/>
  <c r="K12" i="30"/>
  <c r="L12" i="30" s="1"/>
  <c r="K28" i="30"/>
  <c r="L28" i="30" s="1"/>
  <c r="K44" i="30"/>
  <c r="L44" i="30" s="1"/>
  <c r="K60" i="30"/>
  <c r="L60" i="30" s="1"/>
  <c r="K76" i="30"/>
  <c r="L76" i="30" s="1"/>
  <c r="K92" i="30"/>
  <c r="L92" i="30" s="1"/>
  <c r="K108" i="30"/>
  <c r="L108" i="30" s="1"/>
  <c r="K124" i="30"/>
  <c r="L124" i="30" s="1"/>
  <c r="K140" i="30"/>
  <c r="L140" i="30" s="1"/>
  <c r="K156" i="30"/>
  <c r="L156" i="30" s="1"/>
  <c r="K172" i="30"/>
  <c r="L172" i="30" s="1"/>
  <c r="K188" i="30"/>
  <c r="L188" i="30" s="1"/>
  <c r="K204" i="30"/>
  <c r="L204" i="30" s="1"/>
  <c r="K220" i="30"/>
  <c r="L220" i="30" s="1"/>
  <c r="K236" i="30"/>
  <c r="L236" i="30" s="1"/>
  <c r="K252" i="30"/>
  <c r="L252" i="30" s="1"/>
  <c r="K268" i="30"/>
  <c r="L268" i="30" s="1"/>
  <c r="K284" i="30"/>
  <c r="L284" i="30" s="1"/>
  <c r="K300" i="30"/>
  <c r="L300" i="30" s="1"/>
  <c r="K316" i="30"/>
  <c r="L316" i="30" s="1"/>
  <c r="K327" i="30"/>
  <c r="L327" i="30" s="1"/>
  <c r="K334" i="30"/>
  <c r="L334" i="30" s="1"/>
  <c r="K339" i="30"/>
  <c r="L339" i="30" s="1"/>
  <c r="K344" i="30"/>
  <c r="L344" i="30" s="1"/>
  <c r="K348" i="30"/>
  <c r="L348" i="30" s="1"/>
  <c r="K352" i="30"/>
  <c r="L352" i="30" s="1"/>
  <c r="K356" i="30"/>
  <c r="L356" i="30" s="1"/>
  <c r="K360" i="30"/>
  <c r="L360" i="30" s="1"/>
  <c r="K364" i="30"/>
  <c r="L364" i="30" s="1"/>
  <c r="K368" i="30"/>
  <c r="L368" i="30" s="1"/>
  <c r="K372" i="30"/>
  <c r="L372" i="30" s="1"/>
  <c r="K376" i="30"/>
  <c r="L376" i="30" s="1"/>
  <c r="K380" i="30"/>
  <c r="L380" i="30" s="1"/>
  <c r="K384" i="30"/>
  <c r="L384" i="30" s="1"/>
  <c r="K388" i="30"/>
  <c r="L388" i="30" s="1"/>
  <c r="K392" i="30"/>
  <c r="L392" i="30" s="1"/>
  <c r="K396" i="30"/>
  <c r="L396" i="30" s="1"/>
  <c r="K400" i="30"/>
  <c r="L400" i="30" s="1"/>
  <c r="K404" i="30"/>
  <c r="L404" i="30" s="1"/>
  <c r="K408" i="30"/>
  <c r="L408" i="30" s="1"/>
  <c r="K412" i="30"/>
  <c r="L412" i="30" s="1"/>
  <c r="K416" i="30"/>
  <c r="L416" i="30" s="1"/>
  <c r="K420" i="30"/>
  <c r="L420" i="30" s="1"/>
  <c r="K424" i="30"/>
  <c r="L424" i="30" s="1"/>
  <c r="K428" i="30"/>
  <c r="L428" i="30" s="1"/>
  <c r="K432" i="30"/>
  <c r="L432" i="30" s="1"/>
  <c r="K436" i="30"/>
  <c r="L436" i="30" s="1"/>
  <c r="K440" i="30"/>
  <c r="L440" i="30" s="1"/>
  <c r="K444" i="30"/>
  <c r="L444" i="30" s="1"/>
  <c r="K448" i="30"/>
  <c r="L448" i="30" s="1"/>
  <c r="K452" i="30"/>
  <c r="L452" i="30" s="1"/>
  <c r="K456" i="30"/>
  <c r="L456" i="30" s="1"/>
  <c r="K460" i="30"/>
  <c r="L460" i="30" s="1"/>
  <c r="K464" i="30"/>
  <c r="L464" i="30" s="1"/>
  <c r="K468" i="30"/>
  <c r="L468" i="30" s="1"/>
  <c r="K472" i="30"/>
  <c r="L472" i="30" s="1"/>
  <c r="K476" i="30"/>
  <c r="L476" i="30" s="1"/>
  <c r="K480" i="30"/>
  <c r="L480" i="30" s="1"/>
  <c r="K484" i="30"/>
  <c r="L484" i="30" s="1"/>
  <c r="K488" i="30"/>
  <c r="L488" i="30" s="1"/>
  <c r="K492" i="30"/>
  <c r="L492" i="30" s="1"/>
  <c r="K496" i="30"/>
  <c r="L496" i="30" s="1"/>
  <c r="K500" i="30"/>
  <c r="L500" i="30" s="1"/>
  <c r="K20" i="30"/>
  <c r="L20" i="30" s="1"/>
  <c r="K68" i="30"/>
  <c r="L68" i="30" s="1"/>
  <c r="K100" i="30"/>
  <c r="L100" i="30" s="1"/>
  <c r="K148" i="30"/>
  <c r="L148" i="30" s="1"/>
  <c r="K212" i="30"/>
  <c r="L212" i="30" s="1"/>
  <c r="K260" i="30"/>
  <c r="L260" i="30" s="1"/>
  <c r="K308" i="30"/>
  <c r="L308" i="30" s="1"/>
  <c r="K336" i="30"/>
  <c r="L336" i="30" s="1"/>
  <c r="K346" i="30"/>
  <c r="L346" i="30" s="1"/>
  <c r="K362" i="30"/>
  <c r="L362" i="30" s="1"/>
  <c r="K374" i="30"/>
  <c r="L374" i="30" s="1"/>
  <c r="K386" i="30"/>
  <c r="L386" i="30" s="1"/>
  <c r="K390" i="30"/>
  <c r="L390" i="30" s="1"/>
  <c r="K406" i="30"/>
  <c r="L406" i="30" s="1"/>
  <c r="K418" i="30"/>
  <c r="L418" i="30" s="1"/>
  <c r="K430" i="30"/>
  <c r="L430" i="30" s="1"/>
  <c r="K442" i="30"/>
  <c r="L442" i="30" s="1"/>
  <c r="K454" i="30"/>
  <c r="L454" i="30" s="1"/>
  <c r="K466" i="30"/>
  <c r="L466" i="30" s="1"/>
  <c r="K478" i="30"/>
  <c r="L478" i="30" s="1"/>
  <c r="K490" i="30"/>
  <c r="L490" i="30" s="1"/>
  <c r="K498" i="30"/>
  <c r="L498" i="30" s="1"/>
  <c r="K16" i="30"/>
  <c r="L16" i="30" s="1"/>
  <c r="K32" i="30"/>
  <c r="L32" i="30" s="1"/>
  <c r="K48" i="30"/>
  <c r="L48" i="30" s="1"/>
  <c r="K64" i="30"/>
  <c r="L64" i="30" s="1"/>
  <c r="K80" i="30"/>
  <c r="L80" i="30" s="1"/>
  <c r="K96" i="30"/>
  <c r="L96" i="30" s="1"/>
  <c r="K112" i="30"/>
  <c r="L112" i="30" s="1"/>
  <c r="K128" i="30"/>
  <c r="L128" i="30" s="1"/>
  <c r="K144" i="30"/>
  <c r="L144" i="30" s="1"/>
  <c r="K160" i="30"/>
  <c r="L160" i="30" s="1"/>
  <c r="K176" i="30"/>
  <c r="L176" i="30" s="1"/>
  <c r="K192" i="30"/>
  <c r="L192" i="30" s="1"/>
  <c r="K208" i="30"/>
  <c r="L208" i="30" s="1"/>
  <c r="K224" i="30"/>
  <c r="L224" i="30" s="1"/>
  <c r="K240" i="30"/>
  <c r="L240" i="30" s="1"/>
  <c r="K256" i="30"/>
  <c r="L256" i="30" s="1"/>
  <c r="K272" i="30"/>
  <c r="L272" i="30" s="1"/>
  <c r="K288" i="30"/>
  <c r="L288" i="30" s="1"/>
  <c r="K304" i="30"/>
  <c r="L304" i="30" s="1"/>
  <c r="K320" i="30"/>
  <c r="L320" i="30" s="1"/>
  <c r="K328" i="30"/>
  <c r="L328" i="30" s="1"/>
  <c r="K335" i="30"/>
  <c r="L335" i="30" s="1"/>
  <c r="K340" i="30"/>
  <c r="L340" i="30" s="1"/>
  <c r="K345" i="30"/>
  <c r="L345" i="30" s="1"/>
  <c r="K349" i="30"/>
  <c r="L349" i="30" s="1"/>
  <c r="K353" i="30"/>
  <c r="L353" i="30" s="1"/>
  <c r="K357" i="30"/>
  <c r="L357" i="30" s="1"/>
  <c r="K361" i="30"/>
  <c r="L361" i="30" s="1"/>
  <c r="K365" i="30"/>
  <c r="L365" i="30" s="1"/>
  <c r="K369" i="30"/>
  <c r="L369" i="30" s="1"/>
  <c r="K373" i="30"/>
  <c r="L373" i="30" s="1"/>
  <c r="K377" i="30"/>
  <c r="L377" i="30" s="1"/>
  <c r="K381" i="30"/>
  <c r="L381" i="30" s="1"/>
  <c r="K385" i="30"/>
  <c r="L385" i="30" s="1"/>
  <c r="K389" i="30"/>
  <c r="L389" i="30" s="1"/>
  <c r="K393" i="30"/>
  <c r="L393" i="30" s="1"/>
  <c r="K397" i="30"/>
  <c r="L397" i="30" s="1"/>
  <c r="K401" i="30"/>
  <c r="L401" i="30" s="1"/>
  <c r="K405" i="30"/>
  <c r="L405" i="30" s="1"/>
  <c r="K409" i="30"/>
  <c r="L409" i="30" s="1"/>
  <c r="K413" i="30"/>
  <c r="L413" i="30" s="1"/>
  <c r="K417" i="30"/>
  <c r="L417" i="30" s="1"/>
  <c r="K421" i="30"/>
  <c r="L421" i="30" s="1"/>
  <c r="K425" i="30"/>
  <c r="L425" i="30" s="1"/>
  <c r="K429" i="30"/>
  <c r="L429" i="30" s="1"/>
  <c r="K433" i="30"/>
  <c r="L433" i="30" s="1"/>
  <c r="K437" i="30"/>
  <c r="L437" i="30" s="1"/>
  <c r="K441" i="30"/>
  <c r="L441" i="30" s="1"/>
  <c r="K445" i="30"/>
  <c r="L445" i="30" s="1"/>
  <c r="K449" i="30"/>
  <c r="L449" i="30" s="1"/>
  <c r="K453" i="30"/>
  <c r="L453" i="30" s="1"/>
  <c r="K457" i="30"/>
  <c r="L457" i="30" s="1"/>
  <c r="K461" i="30"/>
  <c r="L461" i="30" s="1"/>
  <c r="K465" i="30"/>
  <c r="L465" i="30" s="1"/>
  <c r="K469" i="30"/>
  <c r="L469" i="30" s="1"/>
  <c r="K473" i="30"/>
  <c r="L473" i="30" s="1"/>
  <c r="K477" i="30"/>
  <c r="L477" i="30" s="1"/>
  <c r="K481" i="30"/>
  <c r="L481" i="30" s="1"/>
  <c r="K485" i="30"/>
  <c r="L485" i="30" s="1"/>
  <c r="K489" i="30"/>
  <c r="L489" i="30" s="1"/>
  <c r="K493" i="30"/>
  <c r="L493" i="30" s="1"/>
  <c r="K497" i="30"/>
  <c r="L497" i="30" s="1"/>
  <c r="K501" i="30"/>
  <c r="L501" i="30" s="1"/>
  <c r="K36" i="30"/>
  <c r="L36" i="30" s="1"/>
  <c r="K84" i="30"/>
  <c r="L84" i="30" s="1"/>
  <c r="K132" i="30"/>
  <c r="L132" i="30" s="1"/>
  <c r="K180" i="30"/>
  <c r="L180" i="30" s="1"/>
  <c r="K228" i="30"/>
  <c r="L228" i="30" s="1"/>
  <c r="K276" i="30"/>
  <c r="L276" i="30" s="1"/>
  <c r="K323" i="30"/>
  <c r="L323" i="30" s="1"/>
  <c r="K342" i="30"/>
  <c r="L342" i="30" s="1"/>
  <c r="K354" i="30"/>
  <c r="L354" i="30" s="1"/>
  <c r="K366" i="30"/>
  <c r="L366" i="30" s="1"/>
  <c r="K378" i="30"/>
  <c r="L378" i="30" s="1"/>
  <c r="K398" i="30"/>
  <c r="L398" i="30" s="1"/>
  <c r="K410" i="30"/>
  <c r="L410" i="30" s="1"/>
  <c r="K422" i="30"/>
  <c r="L422" i="30" s="1"/>
  <c r="K434" i="30"/>
  <c r="L434" i="30" s="1"/>
  <c r="K446" i="30"/>
  <c r="L446" i="30" s="1"/>
  <c r="K458" i="30"/>
  <c r="L458" i="30" s="1"/>
  <c r="K470" i="30"/>
  <c r="L470" i="30" s="1"/>
  <c r="K486" i="30"/>
  <c r="L486" i="30" s="1"/>
  <c r="L3" i="30" l="1"/>
  <c r="L4" i="30" s="1"/>
  <c r="L5" i="30" l="1"/>
  <c r="L6" i="30" s="1"/>
  <c r="L7" i="30" l="1"/>
  <c r="M25" i="30" s="1"/>
  <c r="M75" i="30" l="1"/>
  <c r="M3" i="30"/>
  <c r="M2" i="30"/>
  <c r="M4" i="30"/>
  <c r="M398" i="30"/>
  <c r="M156" i="30"/>
  <c r="M421" i="30"/>
  <c r="M274" i="30"/>
  <c r="M366" i="30"/>
  <c r="M492" i="30"/>
  <c r="M443" i="30"/>
  <c r="M482" i="30"/>
  <c r="M178" i="30"/>
  <c r="M15" i="30"/>
  <c r="M440" i="30"/>
  <c r="M379" i="30"/>
  <c r="M225" i="30"/>
  <c r="M276" i="30"/>
  <c r="M116" i="30"/>
  <c r="M120" i="30"/>
  <c r="M184" i="30"/>
  <c r="M271" i="30"/>
  <c r="M6" i="30"/>
  <c r="M400" i="30"/>
  <c r="M375" i="30"/>
  <c r="M337" i="30"/>
  <c r="M328" i="30"/>
  <c r="M425" i="30"/>
  <c r="M47" i="30"/>
  <c r="M390" i="30"/>
  <c r="M297" i="30"/>
  <c r="M209" i="30"/>
  <c r="M306" i="30"/>
  <c r="M485" i="30"/>
  <c r="M348" i="30"/>
  <c r="M280" i="30"/>
  <c r="M177" i="30"/>
  <c r="M161" i="30"/>
  <c r="M399" i="30"/>
  <c r="M326" i="30"/>
  <c r="M467" i="30"/>
  <c r="M445" i="30"/>
  <c r="M49" i="30"/>
  <c r="M109" i="30"/>
  <c r="M446" i="30"/>
  <c r="M407" i="30"/>
  <c r="M433" i="30"/>
  <c r="M166" i="30"/>
  <c r="M148" i="30"/>
  <c r="M345" i="30"/>
  <c r="M233" i="30"/>
  <c r="M392" i="30"/>
  <c r="M431" i="30"/>
  <c r="M486" i="30"/>
  <c r="M501" i="30"/>
  <c r="M18" i="30"/>
  <c r="M434" i="30"/>
  <c r="M451" i="30"/>
  <c r="M110" i="30"/>
  <c r="M252" i="30"/>
  <c r="M267" i="30"/>
  <c r="M344" i="30"/>
  <c r="M387" i="30"/>
  <c r="M373" i="30"/>
  <c r="M268" i="30"/>
  <c r="M13" i="30"/>
  <c r="M336" i="30"/>
  <c r="M383" i="30"/>
  <c r="M31" i="30"/>
  <c r="M414" i="30"/>
  <c r="M352" i="30"/>
  <c r="M361" i="30"/>
  <c r="M24" i="30"/>
  <c r="M201" i="30"/>
  <c r="M277" i="30"/>
  <c r="M403" i="30"/>
  <c r="M460" i="30"/>
  <c r="M316" i="30"/>
  <c r="M491" i="30"/>
  <c r="M124" i="30"/>
  <c r="M420" i="30"/>
  <c r="M205" i="30"/>
  <c r="M114" i="30"/>
  <c r="M263" i="30"/>
  <c r="M355" i="30"/>
  <c r="M444" i="30"/>
  <c r="M289" i="30"/>
  <c r="M475" i="30"/>
  <c r="M60" i="30"/>
  <c r="M388" i="30"/>
  <c r="M173" i="30"/>
  <c r="M82" i="30"/>
  <c r="M199" i="30"/>
  <c r="M64" i="30"/>
  <c r="M259" i="30"/>
  <c r="M197" i="30"/>
  <c r="M30" i="30"/>
  <c r="M247" i="30"/>
  <c r="M121" i="30"/>
  <c r="M98" i="30"/>
  <c r="M315" i="30"/>
  <c r="M189" i="30"/>
  <c r="M193" i="30"/>
  <c r="M404" i="30"/>
  <c r="M250" i="30"/>
  <c r="M74" i="30"/>
  <c r="M291" i="30"/>
  <c r="M165" i="30"/>
  <c r="M470" i="30"/>
  <c r="M215" i="30"/>
  <c r="M153" i="30"/>
  <c r="M194" i="30"/>
  <c r="M72" i="30"/>
  <c r="M285" i="30"/>
  <c r="M473" i="30"/>
  <c r="M500" i="30"/>
  <c r="M115" i="30"/>
  <c r="M288" i="30"/>
  <c r="M477" i="30"/>
  <c r="M320" i="30"/>
  <c r="M450" i="30"/>
  <c r="M332" i="30"/>
  <c r="M350" i="30"/>
  <c r="M412" i="30"/>
  <c r="M56" i="30"/>
  <c r="M472" i="30"/>
  <c r="M139" i="30"/>
  <c r="M437" i="30"/>
  <c r="M498" i="30"/>
  <c r="M70" i="30"/>
  <c r="M318" i="30"/>
  <c r="M304" i="30"/>
  <c r="M172" i="30"/>
  <c r="M235" i="30"/>
  <c r="M73" i="30"/>
  <c r="M5" i="30"/>
  <c r="M362" i="30"/>
  <c r="M380" i="30"/>
  <c r="M97" i="30"/>
  <c r="M427" i="30"/>
  <c r="M207" i="30"/>
  <c r="M471" i="30"/>
  <c r="M77" i="30"/>
  <c r="M7" i="30"/>
  <c r="M469" i="30"/>
  <c r="M364" i="30"/>
  <c r="M33" i="30"/>
  <c r="M411" i="30"/>
  <c r="M143" i="30"/>
  <c r="M439" i="30"/>
  <c r="M45" i="30"/>
  <c r="M497" i="30"/>
  <c r="M238" i="30"/>
  <c r="M42" i="30"/>
  <c r="M323" i="30"/>
  <c r="M261" i="30"/>
  <c r="M94" i="30"/>
  <c r="M311" i="30"/>
  <c r="M185" i="30"/>
  <c r="M162" i="30"/>
  <c r="M40" i="30"/>
  <c r="M253" i="30"/>
  <c r="M409" i="30"/>
  <c r="M468" i="30"/>
  <c r="M19" i="30"/>
  <c r="M138" i="30"/>
  <c r="M16" i="30"/>
  <c r="M229" i="30"/>
  <c r="M62" i="30"/>
  <c r="M279" i="30"/>
  <c r="M217" i="30"/>
  <c r="M258" i="30"/>
  <c r="M136" i="30"/>
  <c r="M308" i="30"/>
  <c r="M386" i="30"/>
  <c r="M111" i="30"/>
  <c r="M179" i="30"/>
  <c r="M53" i="30"/>
  <c r="M358" i="30"/>
  <c r="M141" i="30"/>
  <c r="M11" i="30"/>
  <c r="M118" i="30"/>
  <c r="M354" i="30"/>
  <c r="M50" i="30"/>
  <c r="M395" i="30"/>
  <c r="M465" i="30"/>
  <c r="M220" i="30"/>
  <c r="M418" i="30"/>
  <c r="M456" i="30"/>
  <c r="M377" i="30"/>
  <c r="M405" i="30"/>
  <c r="M294" i="30"/>
  <c r="M107" i="30"/>
  <c r="M244" i="30"/>
  <c r="M135" i="30"/>
  <c r="M496" i="30"/>
  <c r="M495" i="30"/>
  <c r="M140" i="30"/>
  <c r="M363" i="30"/>
  <c r="M246" i="30"/>
  <c r="M343" i="30"/>
  <c r="M248" i="30"/>
  <c r="M401" i="30"/>
  <c r="M46" i="30"/>
  <c r="M432" i="30"/>
  <c r="M479" i="30"/>
  <c r="M76" i="30"/>
  <c r="M347" i="30"/>
  <c r="M182" i="30"/>
  <c r="M490" i="30"/>
  <c r="M216" i="30"/>
  <c r="M369" i="30"/>
  <c r="M454" i="30"/>
  <c r="M106" i="30"/>
  <c r="M48" i="30"/>
  <c r="M325" i="30"/>
  <c r="M158" i="30"/>
  <c r="M36" i="30"/>
  <c r="M249" i="30"/>
  <c r="M226" i="30"/>
  <c r="M104" i="30"/>
  <c r="M317" i="30"/>
  <c r="M346" i="30"/>
  <c r="M150" i="30"/>
  <c r="M83" i="30"/>
  <c r="M202" i="30"/>
  <c r="M80" i="30"/>
  <c r="M293" i="30"/>
  <c r="M126" i="30"/>
  <c r="M68" i="30"/>
  <c r="M281" i="30"/>
  <c r="M27" i="30"/>
  <c r="M200" i="30"/>
  <c r="M389" i="30"/>
  <c r="M474" i="30"/>
  <c r="M26" i="30"/>
  <c r="M243" i="30"/>
  <c r="M117" i="30"/>
  <c r="M422" i="30"/>
  <c r="M167" i="30"/>
  <c r="M419" i="30"/>
  <c r="M415" i="30"/>
  <c r="M159" i="30"/>
  <c r="M458" i="30"/>
  <c r="M448" i="30"/>
  <c r="M302" i="30"/>
  <c r="M88" i="30"/>
  <c r="M265" i="30"/>
  <c r="M381" i="30"/>
  <c r="M170" i="30"/>
  <c r="M112" i="30"/>
  <c r="M365" i="30"/>
  <c r="M222" i="30"/>
  <c r="M100" i="30"/>
  <c r="M313" i="30"/>
  <c r="M290" i="30"/>
  <c r="M168" i="30"/>
  <c r="M357" i="30"/>
  <c r="M430" i="30"/>
  <c r="M28" i="30"/>
  <c r="M147" i="30"/>
  <c r="M266" i="30"/>
  <c r="M144" i="30"/>
  <c r="M324" i="30"/>
  <c r="M190" i="30"/>
  <c r="M132" i="30"/>
  <c r="M298" i="30"/>
  <c r="M91" i="30"/>
  <c r="M264" i="30"/>
  <c r="M230" i="30"/>
  <c r="M359" i="30"/>
  <c r="M90" i="30"/>
  <c r="M307" i="30"/>
  <c r="M181" i="30"/>
  <c r="M14" i="30"/>
  <c r="M231" i="30"/>
  <c r="M137" i="30"/>
  <c r="M176" i="30"/>
  <c r="M164" i="30"/>
  <c r="M59" i="30"/>
  <c r="M232" i="30"/>
  <c r="M312" i="30"/>
  <c r="M211" i="30"/>
  <c r="M208" i="30"/>
  <c r="M254" i="30"/>
  <c r="M196" i="30"/>
  <c r="M155" i="30"/>
  <c r="M191" i="30"/>
  <c r="M154" i="30"/>
  <c r="M245" i="30"/>
  <c r="M295" i="30"/>
  <c r="M416" i="30"/>
  <c r="M84" i="30"/>
  <c r="M360" i="30"/>
  <c r="M301" i="30"/>
  <c r="M195" i="30"/>
  <c r="M57" i="30"/>
  <c r="M236" i="30"/>
  <c r="M256" i="30"/>
  <c r="M408" i="30"/>
  <c r="M384" i="30"/>
  <c r="M300" i="30"/>
  <c r="M459" i="30"/>
  <c r="M113" i="30"/>
  <c r="M79" i="30"/>
  <c r="M174" i="30"/>
  <c r="M476" i="30"/>
  <c r="M393" i="30"/>
  <c r="M314" i="30"/>
  <c r="M188" i="30"/>
  <c r="M452" i="30"/>
  <c r="M237" i="30"/>
  <c r="M146" i="30"/>
  <c r="M327" i="30"/>
  <c r="M341" i="30"/>
  <c r="M466" i="30"/>
  <c r="M367" i="30"/>
  <c r="M262" i="30"/>
  <c r="M394" i="30"/>
  <c r="M483" i="30"/>
  <c r="M257" i="30"/>
  <c r="M331" i="30"/>
  <c r="M169" i="30"/>
  <c r="M213" i="30"/>
  <c r="M402" i="30"/>
  <c r="M351" i="30"/>
  <c r="M198" i="30"/>
  <c r="M370" i="30"/>
  <c r="M435" i="30"/>
  <c r="M129" i="30"/>
  <c r="M299" i="30"/>
  <c r="M149" i="30"/>
  <c r="M234" i="30"/>
  <c r="M429" i="30"/>
  <c r="M286" i="30"/>
  <c r="M353" i="30"/>
  <c r="M102" i="30"/>
  <c r="M305" i="30"/>
  <c r="M35" i="30"/>
  <c r="M397" i="30"/>
  <c r="M385" i="30"/>
  <c r="M29" i="30"/>
  <c r="M423" i="30"/>
  <c r="M32" i="30"/>
  <c r="M78" i="30"/>
  <c r="M329" i="30"/>
  <c r="M242" i="30"/>
  <c r="M457" i="30"/>
  <c r="M210" i="30"/>
  <c r="M133" i="30"/>
  <c r="M34" i="30"/>
  <c r="M186" i="30"/>
  <c r="M44" i="30"/>
  <c r="M203" i="30"/>
  <c r="M41" i="30"/>
  <c r="M192" i="30"/>
  <c r="M241" i="30"/>
  <c r="M462" i="30"/>
  <c r="M488" i="30"/>
  <c r="M453" i="30"/>
  <c r="M382" i="30"/>
  <c r="M255" i="30"/>
  <c r="M171" i="30"/>
  <c r="M9" i="30"/>
  <c r="M67" i="30"/>
  <c r="M240" i="30"/>
  <c r="M493" i="30"/>
  <c r="M55" i="30"/>
  <c r="M228" i="30"/>
  <c r="M417" i="30"/>
  <c r="M123" i="30"/>
  <c r="M296" i="30"/>
  <c r="M63" i="30"/>
  <c r="M391" i="30"/>
  <c r="M58" i="30"/>
  <c r="M275" i="30"/>
  <c r="M99" i="30"/>
  <c r="M272" i="30"/>
  <c r="M461" i="30"/>
  <c r="M23" i="30"/>
  <c r="M260" i="30"/>
  <c r="M449" i="30"/>
  <c r="M219" i="30"/>
  <c r="M93" i="30"/>
  <c r="M108" i="30"/>
  <c r="M487" i="30"/>
  <c r="M218" i="30"/>
  <c r="M96" i="30"/>
  <c r="M309" i="30"/>
  <c r="M142" i="30"/>
  <c r="M20" i="30"/>
  <c r="M442" i="30"/>
  <c r="M152" i="30"/>
  <c r="M214" i="30"/>
  <c r="M376" i="30"/>
  <c r="M278" i="30"/>
  <c r="M368" i="30"/>
  <c r="M17" i="30"/>
  <c r="M52" i="30"/>
  <c r="M183" i="30"/>
  <c r="M125" i="30"/>
  <c r="M10" i="30"/>
  <c r="M426" i="30"/>
  <c r="M303" i="30"/>
  <c r="M378" i="30"/>
  <c r="M424" i="30"/>
  <c r="M273" i="30"/>
  <c r="M284" i="30"/>
  <c r="M38" i="30"/>
  <c r="M43" i="30"/>
  <c r="M180" i="30"/>
  <c r="M128" i="30"/>
  <c r="M131" i="30"/>
  <c r="M69" i="30"/>
  <c r="M374" i="30"/>
  <c r="M119" i="30"/>
  <c r="M292" i="30"/>
  <c r="M481" i="30"/>
  <c r="M187" i="30"/>
  <c r="M61" i="30"/>
  <c r="M319" i="30"/>
  <c r="M455" i="30"/>
  <c r="M122" i="30"/>
  <c r="M339" i="30"/>
  <c r="M163" i="30"/>
  <c r="M37" i="30"/>
  <c r="M342" i="30"/>
  <c r="M87" i="30"/>
  <c r="M66" i="30"/>
  <c r="M283" i="30"/>
  <c r="M157" i="30"/>
  <c r="M65" i="30"/>
  <c r="M372" i="30"/>
  <c r="M282" i="30"/>
  <c r="M160" i="30"/>
  <c r="M349" i="30"/>
  <c r="M206" i="30"/>
  <c r="M175" i="30"/>
  <c r="M134" i="30"/>
  <c r="M269" i="30"/>
  <c r="M12" i="30"/>
  <c r="M105" i="30"/>
  <c r="M356" i="30"/>
  <c r="M127" i="30"/>
  <c r="M330" i="30"/>
  <c r="M447" i="30"/>
  <c r="M287" i="30"/>
  <c r="M494" i="30"/>
  <c r="M54" i="30"/>
  <c r="M410" i="30"/>
  <c r="M310" i="30"/>
  <c r="M489" i="30"/>
  <c r="M81" i="30"/>
  <c r="M333" i="30"/>
  <c r="M22" i="30"/>
  <c r="M86" i="30"/>
  <c r="M21" i="30"/>
  <c r="M438" i="30"/>
  <c r="M251" i="30"/>
  <c r="M338" i="30"/>
  <c r="M227" i="30"/>
  <c r="M321" i="30"/>
  <c r="M101" i="30"/>
  <c r="M224" i="30"/>
  <c r="M89" i="30"/>
  <c r="M130" i="30"/>
  <c r="M8" i="30"/>
  <c r="M103" i="30"/>
  <c r="M436" i="30"/>
  <c r="M39" i="30"/>
  <c r="M406" i="30"/>
  <c r="M51" i="30"/>
  <c r="M151" i="30"/>
  <c r="M413" i="30"/>
  <c r="M270" i="30"/>
  <c r="M221" i="30"/>
  <c r="M480" i="30"/>
  <c r="M484" i="30"/>
  <c r="M145" i="30"/>
  <c r="M223" i="30"/>
  <c r="M371" i="30"/>
  <c r="M85" i="30"/>
  <c r="M71" i="30"/>
  <c r="M463" i="30"/>
  <c r="M322" i="30"/>
  <c r="M428" i="30"/>
  <c r="M212" i="30"/>
  <c r="M340" i="30"/>
  <c r="M335" i="30"/>
  <c r="M95" i="30"/>
  <c r="M239" i="30"/>
  <c r="M478" i="30"/>
  <c r="M499" i="30"/>
  <c r="M396" i="30"/>
  <c r="M464" i="30"/>
  <c r="M441" i="30"/>
  <c r="M204" i="30"/>
  <c r="M92" i="30"/>
  <c r="M334" i="30"/>
  <c r="B26" i="2" l="1"/>
  <c r="B4" i="30" s="1"/>
  <c r="C7" i="4" l="1"/>
  <c r="B8" i="3"/>
  <c r="B7" i="3"/>
  <c r="B24" i="2"/>
  <c r="B33" i="2" l="1"/>
  <c r="B11" i="30" s="1"/>
  <c r="B32" i="2"/>
  <c r="B10" i="30" s="1"/>
  <c r="B31" i="2"/>
  <c r="B9" i="30" s="1"/>
  <c r="B30" i="2"/>
  <c r="B8" i="30" s="1"/>
  <c r="B29" i="2"/>
  <c r="B7" i="30" s="1"/>
  <c r="B28" i="2"/>
  <c r="B6" i="30" s="1"/>
  <c r="B27" i="2"/>
  <c r="B5" i="30" s="1"/>
  <c r="B25" i="2"/>
  <c r="B3" i="30" s="1"/>
  <c r="B2" i="30" l="1" a="1"/>
  <c r="B2" i="30" s="1"/>
  <c r="A2" i="30" s="1"/>
  <c r="A5" i="30"/>
  <c r="A6" i="30" s="1"/>
  <c r="A4" i="30" l="1"/>
  <c r="A7" i="30"/>
  <c r="A8" i="30" l="1"/>
  <c r="A9" i="30" s="1"/>
  <c r="C2" i="30"/>
  <c r="A10" i="30" l="1"/>
  <c r="A11" i="30" l="1"/>
  <c r="C11" i="30" s="1"/>
  <c r="C3" i="30" l="1"/>
  <c r="C6" i="30"/>
  <c r="C5" i="30"/>
  <c r="C7" i="30"/>
  <c r="C8" i="30"/>
  <c r="C9" i="30"/>
  <c r="C10" i="30"/>
  <c r="C4" i="3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Gerri Garwood</author>
    <author>Titel, Aiden</author>
  </authors>
  <commentList>
    <comment ref="B12" authorId="0" shapeId="0" xr:uid="{4AB70AFE-B7EA-4E2B-9E89-A638C133CA48}">
      <text>
        <r>
          <rPr>
            <sz val="9"/>
            <color indexed="81"/>
            <rFont val="Tahoma"/>
            <family val="2"/>
          </rPr>
          <t>This identifier is used to identify the site throughout the different tabs. You may use any value that you want, but each row must have a unique value for this column.</t>
        </r>
      </text>
    </comment>
    <comment ref="J12" authorId="0" shapeId="0" xr:uid="{294DEDAA-A528-48B6-9C86-742D63E9C3FD}">
      <text>
        <r>
          <rPr>
            <sz val="9"/>
            <color indexed="81"/>
            <rFont val="Tahoma"/>
            <family val="2"/>
          </rPr>
          <t>This is an optional field. If you are submitting this to a state or local agency, this field can be used to enter the identifier your agency uses to identify your site.</t>
        </r>
      </text>
    </comment>
    <comment ref="K12" authorId="1" shapeId="0" xr:uid="{733E0835-0868-430D-BFA6-0E2A682C077E}">
      <text>
        <r>
          <rPr>
            <b/>
            <sz val="9"/>
            <color indexed="81"/>
            <rFont val="Tahoma"/>
            <charset val="1"/>
          </rPr>
          <t>Titel, Aiden:</t>
        </r>
        <r>
          <rPr>
            <sz val="9"/>
            <color indexed="81"/>
            <rFont val="Tahoma"/>
            <charset val="1"/>
          </rPr>
          <t xml:space="preserve">
Decimal degrees to 5 decimals using the North American Datum of 1983.</t>
        </r>
      </text>
    </comment>
    <comment ref="L12" authorId="1" shapeId="0" xr:uid="{6BD523E6-EBC4-424B-9F7F-A548225FF070}">
      <text>
        <r>
          <rPr>
            <b/>
            <sz val="9"/>
            <color indexed="81"/>
            <rFont val="Tahoma"/>
            <charset val="1"/>
          </rPr>
          <t>Titel, Aiden:</t>
        </r>
        <r>
          <rPr>
            <sz val="9"/>
            <color indexed="81"/>
            <rFont val="Tahoma"/>
            <charset val="1"/>
          </rPr>
          <t xml:space="preserve">
Decimal degrees to 5 decimals using the North American Datum of 1983.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Gerri Garwood</author>
  </authors>
  <commentList>
    <comment ref="M12" authorId="0" shapeId="0" xr:uid="{91D54F99-F905-4D9C-BCC3-30FAA64983E3}">
      <text>
        <r>
          <rPr>
            <sz val="9"/>
            <color indexed="81"/>
            <rFont val="Tahoma"/>
            <family val="2"/>
          </rPr>
          <t>This is an optional field that can be used to provide additional explanation for entries as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Gerri Garwood</author>
  </authors>
  <commentList>
    <comment ref="C12" authorId="0" shapeId="0" xr:uid="{3FC4EA82-0BB6-4CF5-95B8-611CE491852B}">
      <text>
        <r>
          <rPr>
            <sz val="9"/>
            <color indexed="81"/>
            <rFont val="Tahoma"/>
            <family val="2"/>
          </rPr>
          <t>This dropdown box is populated from the information on the CMS_Identification tab. It identifies the CMS associated with each deviation.</t>
        </r>
      </text>
    </comment>
    <comment ref="J12" authorId="0" shapeId="0" xr:uid="{E2918242-268D-46BF-8276-72496D22A1D1}">
      <text>
        <r>
          <rPr>
            <sz val="9"/>
            <color indexed="81"/>
            <rFont val="Tahoma"/>
            <family val="2"/>
          </rPr>
          <t>This is an optional field that can be used to provide additional explanation for entries as needed.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Gerri Garwood</author>
  </authors>
  <commentList>
    <comment ref="K12" authorId="0" shapeId="0" xr:uid="{C3796323-A272-40E5-90BA-4140EF880A0A}">
      <text>
        <r>
          <rPr>
            <sz val="9"/>
            <color indexed="81"/>
            <rFont val="Tahoma"/>
            <family val="2"/>
          </rPr>
          <t>This is an optional field that can be used to provide additional explanation for entries as needed.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Gerri Garwood</author>
  </authors>
  <commentList>
    <comment ref="B12" authorId="0" shapeId="0" xr:uid="{31B16243-66FC-49CD-A5E7-98B68D131E62}">
      <text>
        <r>
          <rPr>
            <sz val="9"/>
            <color indexed="81"/>
            <rFont val="Tahoma"/>
            <family val="2"/>
          </rPr>
          <t>This dropdown box is populated from the information on the Company_Information tab.</t>
        </r>
      </text>
    </comment>
    <comment ref="C12" authorId="0" shapeId="0" xr:uid="{457EBE98-AD5D-4F84-B1E7-37B0A4B2644C}">
      <text>
        <r>
          <rPr>
            <sz val="9"/>
            <color indexed="81"/>
            <rFont val="Tahoma"/>
            <family val="2"/>
          </rPr>
          <t>Describe the flare that experienced the described event.</t>
        </r>
      </text>
    </comment>
    <comment ref="D12" authorId="0" shapeId="0" xr:uid="{060AFBD4-F65E-46F4-AF0A-909109E02C28}">
      <text>
        <r>
          <rPr>
            <b/>
            <sz val="9"/>
            <color indexed="81"/>
            <rFont val="Tahoma"/>
            <family val="2"/>
          </rPr>
          <t>§63.2386(d)(5)</t>
        </r>
        <r>
          <rPr>
            <sz val="9"/>
            <color indexed="81"/>
            <rFont val="Tahoma"/>
            <family val="2"/>
          </rPr>
          <t xml:space="preserve">
...for each flare subject to the requirements in §63.2380, the compliance report must include the items specified in paragraphs (d)(5)(i) through (iii) of this section...
(i) ...for each 15-minute block during which there was at least one minute when regulated material is routed to a flare and no pilot flame or flare flame is present...
(ii) ...for each period of 2 consecutive hours during which visible emissions exceeded a total of 5 minutes.
(iii) The periods specified in §63.2390(h)(6)...
</t>
        </r>
        <r>
          <rPr>
            <b/>
            <sz val="9"/>
            <color indexed="81"/>
            <rFont val="Tahoma"/>
            <family val="2"/>
          </rPr>
          <t>§63.2390(h)(6)</t>
        </r>
        <r>
          <rPr>
            <sz val="9"/>
            <color indexed="81"/>
            <rFont val="Tahoma"/>
            <family val="2"/>
          </rPr>
          <t xml:space="preserve">
All periods during which operating values are outside of the applicable operating limits specified in §63.670(d) through (f) when regulated material is being routed to the flare.</t>
        </r>
      </text>
    </comment>
    <comment ref="E12" authorId="0" shapeId="0" xr:uid="{8DABD3A5-37F1-4DEA-AD36-03BAFE14DD8E}">
      <text>
        <r>
          <rPr>
            <b/>
            <sz val="9"/>
            <color indexed="81"/>
            <rFont val="Tahoma"/>
            <family val="2"/>
          </rPr>
          <t>§63.2386(d)(5)</t>
        </r>
        <r>
          <rPr>
            <sz val="9"/>
            <color indexed="81"/>
            <rFont val="Tahoma"/>
            <family val="2"/>
          </rPr>
          <t xml:space="preserve">
...for each flare subject to the requirements in §63.2380, the compliance report must include the items specified in paragraphs (d)(5)(i) through (iii)...
(i) ...for each 15-minute block during which there was at least one minute when regulated material is routed to a flare and no pilot flame or flare flame is present. Include the date of each 15-minute block.
(ii) Visible emission records as specified in §63.2390(h)(2)(iv) for each period of 2 consecutive hours during which visible emissions exceeded a total of 5 minutes.
(iii) The periods specified in §63.2390(h)(6). Indicate the date...
</t>
        </r>
        <r>
          <rPr>
            <b/>
            <sz val="9"/>
            <color indexed="81"/>
            <rFont val="Tahoma"/>
            <family val="2"/>
          </rPr>
          <t>§63.2390(h)(2)(iv)</t>
        </r>
        <r>
          <rPr>
            <sz val="9"/>
            <color indexed="81"/>
            <rFont val="Tahoma"/>
            <family val="2"/>
          </rPr>
          <t xml:space="preserve">
...the date...
</t>
        </r>
        <r>
          <rPr>
            <b/>
            <sz val="9"/>
            <color indexed="81"/>
            <rFont val="Tahoma"/>
            <family val="2"/>
          </rPr>
          <t>§63.2390(h)(6)</t>
        </r>
        <r>
          <rPr>
            <sz val="9"/>
            <color indexed="81"/>
            <rFont val="Tahoma"/>
            <family val="2"/>
          </rPr>
          <t xml:space="preserve">
All periods during which operating values are outside of the applicable operating limits specified in §63.670(d) through (f) when regulated material is being routed to the flare.</t>
        </r>
      </text>
    </comment>
    <comment ref="F12" authorId="0" shapeId="0" xr:uid="{2466A135-E8FC-4188-8B30-CFE549E32159}">
      <text>
        <r>
          <rPr>
            <b/>
            <sz val="9"/>
            <color indexed="81"/>
            <rFont val="Tahoma"/>
            <family val="2"/>
          </rPr>
          <t>§63.2386(d)(5)</t>
        </r>
        <r>
          <rPr>
            <sz val="9"/>
            <color indexed="81"/>
            <rFont val="Tahoma"/>
            <family val="2"/>
          </rPr>
          <t xml:space="preserve">
...for each flare subject to the requirements in §63.2380, the compliance report must include the items specified in paragraphs (d)(5)(i) through (iii)...
(i) ...for each 15-minute block during which there was at least one minute when regulated material is routed to a flare and no pilot flame or flare flame is present. Include the start...time...of each 15-minute block.
(ii) Visible emission records as specified in §63.2390(h)(2)(iv) for each period of 2 consecutive hours during which visible emissions exceeded a total of 5 minutes.
(iii) The periods specified in §63.2390(h)(6). Indicate...start...time for the period...
</t>
        </r>
        <r>
          <rPr>
            <b/>
            <sz val="9"/>
            <color indexed="81"/>
            <rFont val="Tahoma"/>
            <family val="2"/>
          </rPr>
          <t>§63.2390(h)(2)(iv)</t>
        </r>
        <r>
          <rPr>
            <sz val="9"/>
            <color indexed="81"/>
            <rFont val="Tahoma"/>
            <family val="2"/>
          </rPr>
          <t xml:space="preserve">
...start...time...
</t>
        </r>
        <r>
          <rPr>
            <b/>
            <sz val="9"/>
            <color indexed="81"/>
            <rFont val="Tahoma"/>
            <family val="2"/>
          </rPr>
          <t>§63.2390(h)(6)</t>
        </r>
        <r>
          <rPr>
            <sz val="9"/>
            <color indexed="81"/>
            <rFont val="Tahoma"/>
            <family val="2"/>
          </rPr>
          <t xml:space="preserve">
All periods during which operating values are outside of the applicable operating limits specified in §63.670(d) through (f) when regulated material is being routed to the flare.</t>
        </r>
      </text>
    </comment>
    <comment ref="G12" authorId="0" shapeId="0" xr:uid="{BE520A65-CC8C-450D-AD23-060C996C97FB}">
      <text>
        <r>
          <rPr>
            <b/>
            <sz val="9"/>
            <color indexed="81"/>
            <rFont val="Tahoma"/>
            <family val="2"/>
          </rPr>
          <t>§63.2386(d)(5)</t>
        </r>
        <r>
          <rPr>
            <sz val="9"/>
            <color indexed="81"/>
            <rFont val="Tahoma"/>
            <family val="2"/>
          </rPr>
          <t xml:space="preserve">
...for each flare subject to the requirements in §63.2380, the compliance report must include the items specified in paragraphs (d)(5)(i) through (iii)...
(i) ...for each 15-minute block during which there was at least one minute when regulated material is routed to a flare and no pilot flame or flare flame is present. Include the...stop time...of each 15-minute block.
(ii) Visible emission records as specified in §63.2390(h)(2)(iv) for each period of 2 consecutive hours during which visible emissions exceeded a total of 5 minutes.
(iii) The periods specified in §63.2390(h)(6). Indicate the...end time for the period...
</t>
        </r>
        <r>
          <rPr>
            <b/>
            <sz val="9"/>
            <color indexed="81"/>
            <rFont val="Tahoma"/>
            <family val="2"/>
          </rPr>
          <t>§63.2390(h)(2)(iv)</t>
        </r>
        <r>
          <rPr>
            <sz val="9"/>
            <color indexed="81"/>
            <rFont val="Tahoma"/>
            <family val="2"/>
          </rPr>
          <t xml:space="preserve">
...end time...
</t>
        </r>
        <r>
          <rPr>
            <b/>
            <sz val="9"/>
            <color indexed="81"/>
            <rFont val="Tahoma"/>
            <family val="2"/>
          </rPr>
          <t>§63.2390(h)(6)</t>
        </r>
        <r>
          <rPr>
            <sz val="9"/>
            <color indexed="81"/>
            <rFont val="Tahoma"/>
            <family val="2"/>
          </rPr>
          <t xml:space="preserve">
All periods during which operating values are outside of the applicable operating limits specified in §63.670(d) through (f) when regulated material is being routed to the flare.</t>
        </r>
      </text>
    </comment>
    <comment ref="H12" authorId="0" shapeId="0" xr:uid="{3846EA10-EFEF-45AE-9A69-DEC7FC6A5B77}">
      <text>
        <r>
          <rPr>
            <b/>
            <sz val="9"/>
            <color indexed="81"/>
            <rFont val="Tahoma"/>
            <family val="2"/>
          </rPr>
          <t>§63.2386(d)(5)(ii)</t>
        </r>
        <r>
          <rPr>
            <sz val="9"/>
            <color indexed="81"/>
            <rFont val="Tahoma"/>
            <family val="2"/>
          </rPr>
          <t xml:space="preserve">
Visible emission records as specified in §63.2390(h)(2)(iv) for each period of 2 consecutive hours during which visible emissions exceeded a total of 5 minutes.
</t>
        </r>
        <r>
          <rPr>
            <b/>
            <sz val="9"/>
            <color indexed="81"/>
            <rFont val="Tahoma"/>
            <family val="2"/>
          </rPr>
          <t>§63.2390(h)(2)(iv)</t>
        </r>
        <r>
          <rPr>
            <sz val="9"/>
            <color indexed="81"/>
            <rFont val="Tahoma"/>
            <family val="2"/>
          </rPr>
          <t xml:space="preserve">
...an estimate of the cumulative number of minutes in the 2-hour period for which emissions were visible.</t>
        </r>
      </text>
    </comment>
    <comment ref="I12" authorId="0" shapeId="0" xr:uid="{C6237820-F35B-4368-AC27-141744ADF555}">
      <text>
        <r>
          <rPr>
            <b/>
            <sz val="9"/>
            <color indexed="81"/>
            <rFont val="Tahoma"/>
            <family val="2"/>
          </rPr>
          <t>§63.2386(d)(5)(iii)</t>
        </r>
        <r>
          <rPr>
            <sz val="9"/>
            <color indexed="81"/>
            <rFont val="Tahoma"/>
            <family val="2"/>
          </rPr>
          <t xml:space="preserve">
The periods specified in §63.2390(h)(6). Indicate the...net heating value operating parameter(s) determined following the methods in §63.670(k) through (n) as applicable.</t>
        </r>
        <r>
          <rPr>
            <b/>
            <sz val="9"/>
            <color indexed="81"/>
            <rFont val="Tahoma"/>
            <family val="2"/>
          </rPr>
          <t xml:space="preserve">
§63.2390(h)(6)</t>
        </r>
        <r>
          <rPr>
            <sz val="9"/>
            <color indexed="81"/>
            <rFont val="Tahoma"/>
            <family val="2"/>
          </rPr>
          <t xml:space="preserve">
All periods during which operating values are outside of the applicable operating limits specified in §63.670(d) through (f) when regulated material is being routed to the flare.</t>
        </r>
      </text>
    </comment>
    <comment ref="J12" authorId="0" shapeId="0" xr:uid="{B0BC98F9-8F6A-475B-960A-663B3242D5CE}">
      <text>
        <r>
          <rPr>
            <b/>
            <sz val="9"/>
            <color indexed="81"/>
            <rFont val="Tahoma"/>
            <family val="2"/>
          </rPr>
          <t>§63.2386(d)(5)(iii)</t>
        </r>
        <r>
          <rPr>
            <sz val="9"/>
            <color indexed="81"/>
            <rFont val="Tahoma"/>
            <family val="2"/>
          </rPr>
          <t xml:space="preserve">
The periods specified in §63.2390(h)(6). Indicate the...net heating value operating parameter(s) determined following the methods in §63.670(k) through (n) as applicable.</t>
        </r>
      </text>
    </comment>
    <comment ref="K12" authorId="0" shapeId="0" xr:uid="{B88CB037-7ED3-4BAF-893E-1706E92393F8}">
      <text>
        <r>
          <rPr>
            <b/>
            <sz val="9"/>
            <color indexed="81"/>
            <rFont val="Tahoma"/>
            <family val="2"/>
          </rPr>
          <t>§63.2386(d)(5)(iii)</t>
        </r>
        <r>
          <rPr>
            <sz val="9"/>
            <color indexed="81"/>
            <rFont val="Tahoma"/>
            <family val="2"/>
          </rPr>
          <t xml:space="preserve">
The periods specified in §63.2390(h)(6). Indicate the...net heating value operating parameter(s) determined following the methods in §63.670(k) through (n) as applicable.</t>
        </r>
      </text>
    </comment>
    <comment ref="L12" authorId="0" shapeId="0" xr:uid="{7D08DBE9-55D9-46FD-81E9-76984DCA3277}">
      <text>
        <r>
          <rPr>
            <sz val="9"/>
            <color indexed="81"/>
            <rFont val="Tahoma"/>
            <family val="2"/>
          </rPr>
          <t>This is an optional field that can be used to provide additional explanation for entries as needed.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<sst xmlns="http://schemas.openxmlformats.org/spreadsheetml/2006/main" count="1072" uniqueCount="431">
  <si>
    <t>DO NOT REMOVE OR EDIT INFORMATION IN ROWS 1 THROUGH 5
FOR INTERNAL USE ONLY</t>
  </si>
  <si>
    <t>Template Name</t>
  </si>
  <si>
    <t>CitationID</t>
  </si>
  <si>
    <t>Template Version</t>
  </si>
  <si>
    <t>Last Updated Date</t>
  </si>
  <si>
    <t>e.g.: 1</t>
  </si>
  <si>
    <t>SITE INFORMATION</t>
  </si>
  <si>
    <t>REPORTING PERIOD</t>
  </si>
  <si>
    <t>ADDITIONAL INFORMATION</t>
  </si>
  <si>
    <t>Responsible Agency Facility ID 
(State Facility Identifier)</t>
  </si>
  <si>
    <t>Please enter any additional information.</t>
  </si>
  <si>
    <t xml:space="preserve">Enter associated file name reference. </t>
  </si>
  <si>
    <t>e.g.: ABC Company</t>
  </si>
  <si>
    <t>e.g.: 123 Main Street</t>
  </si>
  <si>
    <t>e.g.: Suite 100</t>
  </si>
  <si>
    <t>e.g.: Brooklyn</t>
  </si>
  <si>
    <t>e.g.: Kings</t>
  </si>
  <si>
    <t>e.g.: NY</t>
  </si>
  <si>
    <t>e.g.: 11221</t>
  </si>
  <si>
    <t>e.g.: 9145555555</t>
  </si>
  <si>
    <r>
      <t xml:space="preserve">e.g.: addlinfo.zip </t>
    </r>
    <r>
      <rPr>
        <b/>
        <sz val="11"/>
        <color theme="1"/>
        <rFont val="Calibri"/>
        <family val="2"/>
        <scheme val="minor"/>
      </rPr>
      <t/>
    </r>
  </si>
  <si>
    <t>Visible emissions exceed 5 minutes</t>
  </si>
  <si>
    <t>Applicable operating limits not met</t>
  </si>
  <si>
    <t>vtip</t>
  </si>
  <si>
    <t>NHVcz</t>
  </si>
  <si>
    <t>NHVdil</t>
  </si>
  <si>
    <t>January</t>
  </si>
  <si>
    <t>February</t>
  </si>
  <si>
    <t>March</t>
  </si>
  <si>
    <t>April</t>
  </si>
  <si>
    <t>May</t>
  </si>
  <si>
    <t>June</t>
  </si>
  <si>
    <t>July</t>
  </si>
  <si>
    <t>August</t>
  </si>
  <si>
    <t>September</t>
  </si>
  <si>
    <t>October</t>
  </si>
  <si>
    <t>November</t>
  </si>
  <si>
    <t>December</t>
  </si>
  <si>
    <t>Num</t>
  </si>
  <si>
    <t>Company Name</t>
  </si>
  <si>
    <t>CompanyList</t>
  </si>
  <si>
    <t>States</t>
  </si>
  <si>
    <t>AK</t>
  </si>
  <si>
    <t>AL</t>
  </si>
  <si>
    <t>AR</t>
  </si>
  <si>
    <t>AS</t>
  </si>
  <si>
    <t>AZ</t>
  </si>
  <si>
    <t>CA</t>
  </si>
  <si>
    <t>CO</t>
  </si>
  <si>
    <t>CT</t>
  </si>
  <si>
    <t>DC</t>
  </si>
  <si>
    <t>DE</t>
  </si>
  <si>
    <t>FL</t>
  </si>
  <si>
    <t>GA</t>
  </si>
  <si>
    <t>GU</t>
  </si>
  <si>
    <t>HI</t>
  </si>
  <si>
    <t>IA</t>
  </si>
  <si>
    <t>ID</t>
  </si>
  <si>
    <t>IL</t>
  </si>
  <si>
    <t>IN</t>
  </si>
  <si>
    <t>KS</t>
  </si>
  <si>
    <t>KY</t>
  </si>
  <si>
    <t>LA</t>
  </si>
  <si>
    <t>MA</t>
  </si>
  <si>
    <t>MD</t>
  </si>
  <si>
    <t>ME</t>
  </si>
  <si>
    <t>MI</t>
  </si>
  <si>
    <t>MN</t>
  </si>
  <si>
    <t>MO</t>
  </si>
  <si>
    <t>MP</t>
  </si>
  <si>
    <t>MS</t>
  </si>
  <si>
    <t>MT</t>
  </si>
  <si>
    <t>NC</t>
  </si>
  <si>
    <t>ND</t>
  </si>
  <si>
    <t>NE</t>
  </si>
  <si>
    <t>NH</t>
  </si>
  <si>
    <t>NJ</t>
  </si>
  <si>
    <t>NM</t>
  </si>
  <si>
    <t>NV</t>
  </si>
  <si>
    <t>NY</t>
  </si>
  <si>
    <t>OH</t>
  </si>
  <si>
    <t>OK</t>
  </si>
  <si>
    <t>OR</t>
  </si>
  <si>
    <t>PA</t>
  </si>
  <si>
    <t>PR</t>
  </si>
  <si>
    <t>RI</t>
  </si>
  <si>
    <t>SC</t>
  </si>
  <si>
    <t>SD</t>
  </si>
  <si>
    <t>TN</t>
  </si>
  <si>
    <t>TX</t>
  </si>
  <si>
    <t>UT</t>
  </si>
  <si>
    <t>VA</t>
  </si>
  <si>
    <t>VI</t>
  </si>
  <si>
    <t>VT</t>
  </si>
  <si>
    <t>WA</t>
  </si>
  <si>
    <t>WI</t>
  </si>
  <si>
    <t>WV</t>
  </si>
  <si>
    <t>WY</t>
  </si>
  <si>
    <t>Flare Events</t>
  </si>
  <si>
    <t>Flare Parameters</t>
  </si>
  <si>
    <t>Months</t>
  </si>
  <si>
    <t>Rank</t>
  </si>
  <si>
    <t>Affected CMS</t>
  </si>
  <si>
    <t>CMS</t>
  </si>
  <si>
    <t>Choices</t>
  </si>
  <si>
    <t>List</t>
  </si>
  <si>
    <r>
      <rPr>
        <b/>
        <i/>
        <sz val="11"/>
        <color theme="1"/>
        <rFont val="Calibri"/>
        <family val="2"/>
        <scheme val="minor"/>
      </rPr>
      <t>Template Navigation and Tabs to Complete:</t>
    </r>
    <r>
      <rPr>
        <i/>
        <sz val="11"/>
        <color theme="1"/>
        <rFont val="Calibri"/>
        <family val="2"/>
        <scheme val="minor"/>
      </rPr>
      <t xml:space="preserve">
Gray Tabs:  The gray tabs (Company_Information, Report Info, and General_Compliance) contain general information. If you choose to complete the "Report Info" tab, worksheets that are not relevant to your report will be hidden from view. 
Green Tabs:  Green tabs (CMS_Identification, CMS_Malfunction,  CMS_Downtime, CMS_Deviation, and CMS_Summary) contain information on continuous monitoring systems.   Some cells are linked to previous tabs or are calculations dependent upon data entry.
Yellow Tabs: Yellow tabs (LDAR_initial_TT, LDAR_TT_summary, LDAR_TT_shutdowns, LDAR_initial_H_UU, LDAR_H_UU_general, and LDAR_H_UU_summary) contain information on leak detection and repair programs.
Blue Tabs: blue tabs (Regenerative_Carbon_Bed, CVS_Leaks, Bypasses, Flares, New_Tanks_Racks, and Tanks) contain information on specific pieces of equipment.
In each worksheet, example rows are colored light red (rows 14 through 23), and the XML tags (row 13) are colored green.  These rows are locked; no data entry is made in these rows. </t>
    </r>
  </si>
  <si>
    <t>e.g.:</t>
  </si>
  <si>
    <t>e.g.: yes</t>
  </si>
  <si>
    <t>e.g.: Tank 300B</t>
  </si>
  <si>
    <t>e.g.: 2020AB</t>
  </si>
  <si>
    <t>e.g.: temperature</t>
  </si>
  <si>
    <t>e.g.: thermocouple replaced in kind with same model</t>
  </si>
  <si>
    <t>e.g.: 1 Tank 300B Manufacturer 2020AB</t>
  </si>
  <si>
    <t>e.g.: 20</t>
  </si>
  <si>
    <t>No pilot flame or flare flame present</t>
  </si>
  <si>
    <t>Bypass Type Events</t>
  </si>
  <si>
    <t>IMPORTANT: The final CEDRI upload file must be a single ZIP file, which must include this Excel workbook and any related attachments that were referenced in the workbook (i.e., additional information file found in the "Company_Information" tab).</t>
  </si>
  <si>
    <t>Comments or Additional Information</t>
  </si>
  <si>
    <t>The CEDRI spreadsheet template upload feature allows you to submit data in a single report for a single facility or multiple facilities using this EPA provided Excel workbook.  Data for each facility must be entered into the worksheet labeled "Company Information" in this Excel workbook.  Each row in the "Company Information" worksheet includes the data for a single facility. The Company Record No. will be used to match the information on each tab to the appropriate facility.</t>
  </si>
  <si>
    <r>
      <t xml:space="preserve">Company Record No.
</t>
    </r>
    <r>
      <rPr>
        <b/>
        <sz val="11"/>
        <color rgb="FF0070C0"/>
        <rFont val="Calibri"/>
        <family val="2"/>
        <scheme val="minor"/>
      </rPr>
      <t>(Field value will automatically generate if a value is not entered.)</t>
    </r>
  </si>
  <si>
    <t>This tab includes information on the site(s) for which you are reporting and the reporting period.</t>
  </si>
  <si>
    <t>e.g.: 01/01/17</t>
  </si>
  <si>
    <t>e.g.: 6/30/17</t>
  </si>
  <si>
    <t>AddressLine1</t>
  </si>
  <si>
    <t>AddressLine2</t>
  </si>
  <si>
    <t>CityName</t>
  </si>
  <si>
    <t>CountyName</t>
  </si>
  <si>
    <t>StateName</t>
  </si>
  <si>
    <t>ZIPCode</t>
  </si>
  <si>
    <t>StateFacID</t>
  </si>
  <si>
    <t>PeriodStartDate</t>
  </si>
  <si>
    <t>PeriodEndDate</t>
  </si>
  <si>
    <t>AddInfo</t>
  </si>
  <si>
    <t>AddFile</t>
  </si>
  <si>
    <r>
      <rPr>
        <i/>
        <u/>
        <sz val="11"/>
        <color theme="1"/>
        <rFont val="Calibri"/>
        <family val="2"/>
        <scheme val="minor"/>
      </rPr>
      <t>Note</t>
    </r>
    <r>
      <rPr>
        <i/>
        <sz val="11"/>
        <color theme="1"/>
        <rFont val="Calibri"/>
        <family val="2"/>
        <scheme val="minor"/>
      </rPr>
      <t>: Company Record No. selections will appear once information is entered onto the "Company_Information" tab.</t>
    </r>
  </si>
  <si>
    <r>
      <t xml:space="preserve">Company Record No.
</t>
    </r>
    <r>
      <rPr>
        <b/>
        <sz val="11"/>
        <color rgb="FF0070C0"/>
        <rFont val="Calibri"/>
        <family val="2"/>
        <scheme val="minor"/>
      </rPr>
      <t>(Select from dropdown)</t>
    </r>
  </si>
  <si>
    <t>e.g.: Tank 300B Manufacturer 2020AB</t>
  </si>
  <si>
    <t>This tab contains identifying and general information for each CMS at your site(s). This information will be used to populate the dropdown located on the other CMS tabs.</t>
  </si>
  <si>
    <t>CMSParameter</t>
  </si>
  <si>
    <t>CMSAuditDate</t>
  </si>
  <si>
    <t>CMSChangesDesc</t>
  </si>
  <si>
    <t>CMSComments</t>
  </si>
  <si>
    <t>CMSDescription</t>
  </si>
  <si>
    <t>EquipmentModelNo</t>
  </si>
  <si>
    <t>Site</t>
  </si>
  <si>
    <r>
      <rPr>
        <i/>
        <u/>
        <sz val="11"/>
        <color theme="1"/>
        <rFont val="Calibri"/>
        <family val="2"/>
        <scheme val="minor"/>
      </rPr>
      <t>Note</t>
    </r>
    <r>
      <rPr>
        <i/>
        <sz val="11"/>
        <color theme="1"/>
        <rFont val="Calibri"/>
        <family val="2"/>
        <scheme val="minor"/>
      </rPr>
      <t>: Affected CMS selections appear once information is added to the CMS_Identification worksheet. The Company Record No. is hidden and will autopopulate from the selection of the Affected CMS.</t>
    </r>
  </si>
  <si>
    <t>e.g.: inoperative</t>
  </si>
  <si>
    <t>e.g.: 03/15/20</t>
  </si>
  <si>
    <t>e.g.: 2:15 PM</t>
  </si>
  <si>
    <t>e.g.: 2.0</t>
  </si>
  <si>
    <t>e.g.: thermocouple replaced</t>
  </si>
  <si>
    <t>CMSOutageDescription</t>
  </si>
  <si>
    <t>CMSOutageStartDate</t>
  </si>
  <si>
    <t>CMSOutageStartTime</t>
  </si>
  <si>
    <t>CMSOutageDuration</t>
  </si>
  <si>
    <t>CMSOutageComments</t>
  </si>
  <si>
    <t>ExceedanceCause</t>
  </si>
  <si>
    <t>This tab contains information related to deviations where a CMS is used to comply. It includes space to provide information for excursions under 40 CFR part 63 subpart SS.</t>
  </si>
  <si>
    <r>
      <t xml:space="preserve">Company Record No.
</t>
    </r>
    <r>
      <rPr>
        <b/>
        <sz val="11"/>
        <color rgb="FF0070C0"/>
        <rFont val="Calibri"/>
        <family val="2"/>
        <scheme val="minor"/>
      </rPr>
      <t>(Autofill)</t>
    </r>
  </si>
  <si>
    <r>
      <t xml:space="preserve">Company Record No. *
</t>
    </r>
    <r>
      <rPr>
        <b/>
        <sz val="11"/>
        <color rgb="FF0070C0"/>
        <rFont val="Calibri"/>
        <family val="2"/>
        <scheme val="minor"/>
      </rPr>
      <t>(Autofill)</t>
    </r>
  </si>
  <si>
    <t>Time</t>
  </si>
  <si>
    <r>
      <rPr>
        <i/>
        <u/>
        <sz val="11"/>
        <color theme="1"/>
        <rFont val="Calibri"/>
        <family val="2"/>
        <scheme val="minor"/>
      </rPr>
      <t>Note</t>
    </r>
    <r>
      <rPr>
        <i/>
        <sz val="11"/>
        <color theme="1"/>
        <rFont val="Calibri"/>
        <family val="2"/>
        <scheme val="minor"/>
      </rPr>
      <t>: The information on this tab will autocomplete based on data entered in previous tabs. There is a comment field for any additional information you would like to provide.</t>
    </r>
  </si>
  <si>
    <t>DowntimeCorrectiveAction</t>
  </si>
  <si>
    <t>Revision Number</t>
  </si>
  <si>
    <t>Date</t>
  </si>
  <si>
    <t>Description</t>
  </si>
  <si>
    <t>Worksheet Name</t>
  </si>
  <si>
    <t>Parent</t>
  </si>
  <si>
    <t>JSON Key</t>
  </si>
  <si>
    <t>Parent Primary Key</t>
  </si>
  <si>
    <t>Child Foreign Key</t>
  </si>
  <si>
    <t>Company_Information</t>
  </si>
  <si>
    <t>CMS_Identification</t>
  </si>
  <si>
    <t>CMS_Downtime</t>
  </si>
  <si>
    <t>CMS_Deviation</t>
  </si>
  <si>
    <t>CMS_Summary</t>
  </si>
  <si>
    <t>Flares</t>
  </si>
  <si>
    <t>records</t>
  </si>
  <si>
    <t>CMSIdentification</t>
  </si>
  <si>
    <t>CMSDowntime</t>
  </si>
  <si>
    <t>CMSDeviation</t>
  </si>
  <si>
    <t>CMSSummary</t>
  </si>
  <si>
    <t>Instructions for Spreadsheet Template</t>
  </si>
  <si>
    <t>Do not submit confidential business information (CBI) to EPA via CEDRI. EPA will make all the information submitted through this form via CEDRI available to the public without further notice to you. All CBI claims must be asserted at the time of submission. Anything submitted using CEDRI cannot later be claimed to be CBI. Furthermore, under CAA section 114(c) emissions data is not entitled to confidential treatment, and EPA is required to make emissions data available to the public. Thus, emissions data will not be protected as CBI and will be made publicly available.</t>
  </si>
  <si>
    <t>Although we do not expect persons to assert a claim of CBI, if persons wish to assert a CBI claim for some of the information in this report, you must submit a version of the report with the CBI omitted via CEDRI and submit a complete report, including any information claimed to be CBI, to EPA. The preferred method to receive CBI is for it to be transmitted electronically using email attachments, File Transfer Protocol, or other online file sharing services. Electronic submissions must be transmitted directly to the OAQPS CBI Office at the email address oaqpscbi@epa.gov to the attention of the Bulk Gasoline Terminal Sector Lead. If assistance is needed with submitting large electronic files that exceed the file size limit for email attachments, and if you do not have your own file sharing service, please email oaqpscbi@epa.gov to request a file transfer link. If you cannot transmit the file electronically, you may send CBI information through the postal service to the following address:</t>
  </si>
  <si>
    <t xml:space="preserve">OAQPS Document Control Officer (C404-02)
OAQPS, U.S. Environmental Protection Agency
Attn: Organic Liquids Distribution Sector Lead
Research Triangle Park, North Carolina 27711 </t>
  </si>
  <si>
    <t>The mailed CBI material should be double wrapped and clearly marked. Any CBI markings should not show through the outer envelope. Clearly mark the part or all of the information that you claim to be CBI. Information not marked as CBI may be authorized for public release without prior notice. Information marked as CBI will not be disclosed except in accordance with procedures set forth in 40 CFR part 2.</t>
  </si>
  <si>
    <t>e.g.</t>
  </si>
  <si>
    <t xml:space="preserve">For each facility record found in the "Company Information" worksheet, you may reference a single file attachment that includes additional information. If you are uploading file attachments for your report, the uploaded files may be in any format (e.g., zip, docx, PDF). If you would like to include an Excel file(s) as an attachment, you must first zip the excel file(s) into a separate ZIP file to the master ZIP file that will be uploaded into CEDRI.
For example, the file “Jan-June2019-Report.zip” uploaded into CEDRI may contain 2 files:
                1. Completed_semiannual_reporting_spreadsheet_Jan-June2019.xlsx
                2. Attachments.zip 
The “Attachments.zip” file could contain as many attachments of any format (xlsx, xls, docx, pdf, zip, etc.) as needed.
If you only have one file to attach, you do not need to zip it unless it is an Excel file (.xlsx, .xls).
</t>
  </si>
  <si>
    <t>RecordId</t>
  </si>
  <si>
    <t>For further Paperwork Reduction Act information see: 
https://www.epa.gov/electronic-reporting-air-emissions/paperwork-reduction-act-pra-cedri-and-ert</t>
  </si>
  <si>
    <t>PROPOSAL DRAFT</t>
  </si>
  <si>
    <t>63.567(o)</t>
  </si>
  <si>
    <r>
      <rPr>
        <b/>
        <sz val="11"/>
        <color theme="1"/>
        <rFont val="Calibri"/>
        <family val="2"/>
        <scheme val="minor"/>
      </rPr>
      <t>Purpose:</t>
    </r>
    <r>
      <rPr>
        <sz val="11"/>
        <color theme="1"/>
        <rFont val="Calibri"/>
        <family val="2"/>
        <scheme val="minor"/>
      </rPr>
      <t xml:space="preserve">
This spreadsheet template was designed by the U.S. EPA to facilitate compliance reporting for facilities subject under the 40 CFR part 63, subpart Y National Emission Standards for Hazardous Air Pollutants: Marine Tank Vessel Loading Operations. Use of this template is required on and after the compliance date specified in §63.567(o). As such, this template reflects the requirements for reports as of that compliance date. This template may not accurately reflect reporting requirements prior to the compliance date specified in §63.567(o).</t>
    </r>
  </si>
  <si>
    <r>
      <rPr>
        <b/>
        <sz val="11"/>
        <color theme="1"/>
        <rFont val="Calibri"/>
        <family val="2"/>
        <scheme val="minor"/>
      </rPr>
      <t>Electronic reporting:</t>
    </r>
    <r>
      <rPr>
        <sz val="11"/>
        <color theme="1"/>
        <rFont val="Calibri"/>
        <family val="2"/>
        <scheme val="minor"/>
      </rPr>
      <t xml:space="preserve">
Electronic submission of Compliance Reports through the EPA's Compliance and Emissions Data Reporting Interface (CEDRI) is required under §63.567(o). CEDRI is accessed through the EPA's Central Data Exchange (https://cdx.epa.gov).</t>
    </r>
  </si>
  <si>
    <t>Proposal draft version</t>
  </si>
  <si>
    <t>Proposal Draft</t>
  </si>
  <si>
    <t>40 CFR Part 63, Subpart Y National Emission Standards for Hazardous Air Pollutants: Marine Tank Vessel Loading Operations</t>
  </si>
  <si>
    <t>OMB No.: 2060-#### Form ####-###</t>
  </si>
  <si>
    <t>40 CFR Part 63, Subpart Y - National Emission Standards for Hazardous Air Pollutants: Marine Tank Vessel Loading Operations
§63.567(o) Excess Emissions and Continuous Monitoring System Performance Report Spreadsheet Template</t>
  </si>
  <si>
    <t>FacilityName</t>
  </si>
  <si>
    <t>Latitude</t>
  </si>
  <si>
    <t>Longitude</t>
  </si>
  <si>
    <t>e.g.: 15.23456</t>
  </si>
  <si>
    <t>e.g.: -30.67890</t>
  </si>
  <si>
    <t xml:space="preserve"> </t>
  </si>
  <si>
    <t>Contact Person Name (§63.567(o)(1)(iv))</t>
  </si>
  <si>
    <t>CONTACT PERSON INFORMATION</t>
  </si>
  <si>
    <t>FirstNameLastName</t>
  </si>
  <si>
    <t>Facility Type</t>
  </si>
  <si>
    <t>existing source onshore MTVLO</t>
  </si>
  <si>
    <t>new source onshore MTVLO</t>
  </si>
  <si>
    <t>existing source offshore MTVLO</t>
  </si>
  <si>
    <t>new source offshore MTVLO</t>
  </si>
  <si>
    <t>TelephoneNo</t>
  </si>
  <si>
    <t>EmailAddress</t>
  </si>
  <si>
    <t>FacilityType</t>
  </si>
  <si>
    <t>e.g.: JaneDoe</t>
  </si>
  <si>
    <t>e.g.:johndoe@gmail.com</t>
  </si>
  <si>
    <t>555-555-5555</t>
  </si>
  <si>
    <t>ControlMethod</t>
  </si>
  <si>
    <t>Control Method</t>
  </si>
  <si>
    <t>submerged fill only</t>
  </si>
  <si>
    <t>vapor balancing</t>
  </si>
  <si>
    <t>combustion device other than flare</t>
  </si>
  <si>
    <t>flare</t>
  </si>
  <si>
    <t>carbon adsorption</t>
  </si>
  <si>
    <t>refrigerated condenser</t>
  </si>
  <si>
    <t>adsorber</t>
  </si>
  <si>
    <t>other (specify)</t>
  </si>
  <si>
    <t>CONTROL METHOD</t>
  </si>
  <si>
    <t>e.g.: submerged fill only</t>
  </si>
  <si>
    <t>e.g.: existing source onshore MTVLO</t>
  </si>
  <si>
    <t>ExcessFlag</t>
  </si>
  <si>
    <t>InoperativeFlag</t>
  </si>
  <si>
    <t>yes</t>
  </si>
  <si>
    <t>ParameterLimit</t>
  </si>
  <si>
    <t>e.g.: 45 degrees Celsius</t>
  </si>
  <si>
    <t>startup/shutdown</t>
  </si>
  <si>
    <t>control equipment problems</t>
  </si>
  <si>
    <t>process problems</t>
  </si>
  <si>
    <t>other known causes</t>
  </si>
  <si>
    <t>unknown causes</t>
  </si>
  <si>
    <t>e.g.: control equipment problems</t>
  </si>
  <si>
    <t/>
  </si>
  <si>
    <t>CMSRepairsAdjustments</t>
  </si>
  <si>
    <t>e.g.: probe replaced</t>
  </si>
  <si>
    <t>VesselID</t>
  </si>
  <si>
    <t>e.g.: N012345</t>
  </si>
  <si>
    <t>Comments/Additional Information</t>
  </si>
  <si>
    <t>CommodityLoadingDate</t>
  </si>
  <si>
    <t>TerminalOpName</t>
  </si>
  <si>
    <t>RegulatedCommodityComments</t>
  </si>
  <si>
    <t>CommodityCorrectiveAction</t>
  </si>
  <si>
    <t>e.g.: 01/05/2025</t>
  </si>
  <si>
    <t>e.g.: lack of documentation of vapor-tightness</t>
  </si>
  <si>
    <t>e.g.: documentation now required before loading commodities</t>
  </si>
  <si>
    <t>CommodityDeviationType</t>
  </si>
  <si>
    <t>lack of documentation of vapor-tightness</t>
  </si>
  <si>
    <t>vessel not connected to vapor collection system during loading</t>
  </si>
  <si>
    <t>LeakedComponentNumber</t>
  </si>
  <si>
    <t>LeakedComponentType</t>
  </si>
  <si>
    <t>LeakIDMethod</t>
  </si>
  <si>
    <t>InspectionDate</t>
  </si>
  <si>
    <t>RepairedComponentNumber</t>
  </si>
  <si>
    <t>e.g.: 01/01/2025</t>
  </si>
  <si>
    <t xml:space="preserve">Annual Method 21 conducted under §63.563(c)(1) </t>
  </si>
  <si>
    <t xml:space="preserve">Ongoing visual, audible, olfactory, or other method under §63.563(c)(2) </t>
  </si>
  <si>
    <t xml:space="preserve">e.g.: Annual Method 21 conducted under §63.563(c)(1) </t>
  </si>
  <si>
    <t>e.g.: 5</t>
  </si>
  <si>
    <t>e.g.: hatch seal</t>
  </si>
  <si>
    <t>Vessel Identification Number
(§63.567(o)(4)(i))</t>
  </si>
  <si>
    <t>Date of Inspection
(§63.567(o)(5)(i))</t>
  </si>
  <si>
    <t>e.g.: ft/s</t>
  </si>
  <si>
    <t>e.g.: 450</t>
  </si>
  <si>
    <t>e.g.: vtip</t>
  </si>
  <si>
    <t>e.g.: 9:35 AM</t>
  </si>
  <si>
    <t>e.g.: 9:20 AM</t>
  </si>
  <si>
    <t>e.g.: 06/01/20</t>
  </si>
  <si>
    <t>e.g.: No pilot flame present</t>
  </si>
  <si>
    <t>e.g.: Flare 300ST</t>
  </si>
  <si>
    <t>FlareComments</t>
  </si>
  <si>
    <t>FlareOpLimitUnits</t>
  </si>
  <si>
    <t>FlareOpLimitValue</t>
  </si>
  <si>
    <t>FlareOpLimitExceeded</t>
  </si>
  <si>
    <t>VETime</t>
  </si>
  <si>
    <t>FlareEndTime</t>
  </si>
  <si>
    <t>FlareStartTime</t>
  </si>
  <si>
    <t>FlareStartDate</t>
  </si>
  <si>
    <t>FlareEventType</t>
  </si>
  <si>
    <t>FlareId</t>
  </si>
  <si>
    <t>Operating Limits Not Met</t>
  </si>
  <si>
    <t>Visible Emissions Exceeded</t>
  </si>
  <si>
    <t>This tab contains information on periods when regulated material is routed to a flare and one of the following occurred: (1) no pilot/flare flame, (2) the visible emissions threshold was exceeded, or (3) applicable operating limits were not met.</t>
  </si>
  <si>
    <t>Start Date
(§63.567(o)(6)(i))</t>
  </si>
  <si>
    <t>Start Time
(§63.567(o)(6)(i))</t>
  </si>
  <si>
    <t>End Time
(§63.567(o)(6)(i))</t>
  </si>
  <si>
    <t>Estimate of Cumulative Number of Minutes for Which Emissions Were Visible
(§63.567(o)(6)(i)(B))</t>
  </si>
  <si>
    <r>
      <t xml:space="preserve">Which operating limit was not met?
(§63.567(o)(6)(i)(C))
</t>
    </r>
    <r>
      <rPr>
        <b/>
        <sz val="11"/>
        <color rgb="FF0070C0"/>
        <rFont val="Calibri"/>
        <family val="2"/>
        <scheme val="minor"/>
      </rPr>
      <t>(Select from dropdown)</t>
    </r>
  </si>
  <si>
    <t>Value of Operating Parameter
(§63.567(o)(6)(i)(C))</t>
  </si>
  <si>
    <r>
      <t xml:space="preserve">Units of Measure for Operating Parameter
(§63.567(o)(6)(i)(C))
</t>
    </r>
    <r>
      <rPr>
        <b/>
        <sz val="11"/>
        <color rgb="FF0070C0"/>
        <rFont val="Calibri"/>
        <family val="2"/>
        <scheme val="minor"/>
      </rPr>
      <t>(Autofilled)</t>
    </r>
  </si>
  <si>
    <t>No pilot flame present</t>
  </si>
  <si>
    <t>63.567(o) Periodic Report (Spreadsheet Template)</t>
  </si>
  <si>
    <t>63.2386(a), (c), and (d) Compliance Report (Spreadsheet Template)</t>
  </si>
  <si>
    <t>63.2386(a), (c), and (d)</t>
  </si>
  <si>
    <t>v1.01</t>
  </si>
  <si>
    <t>§63.567(o) Periodic Report Spreadsheet Template</t>
  </si>
  <si>
    <t>Regulated Commodity Loading</t>
  </si>
  <si>
    <t>RegulatedCommodityLoading</t>
  </si>
  <si>
    <t>Leak Inspection</t>
  </si>
  <si>
    <t>LeakInspection</t>
  </si>
  <si>
    <t>Latitude (§63.567(o)(1)(iii))</t>
  </si>
  <si>
    <t>Longitude (§63.567(o)(1)(iii))</t>
  </si>
  <si>
    <t>City
(§63.567(o)(1)(ii))</t>
  </si>
  <si>
    <t>County (§63.567(o)(1)(ii))</t>
  </si>
  <si>
    <t>Physical Address
(§63.567(o)(1)(ii))</t>
  </si>
  <si>
    <t>Physical Address 2
(§63.567(o)(1)(ii))</t>
  </si>
  <si>
    <t>Facility Name
(§63.567(o)(1)(i))</t>
  </si>
  <si>
    <r>
      <t xml:space="preserve">State Abbreviation
(§63.567(o)(1)(ii))
</t>
    </r>
    <r>
      <rPr>
        <b/>
        <sz val="11"/>
        <color rgb="FF0070C0"/>
        <rFont val="Calibri"/>
        <family val="2"/>
        <scheme val="minor"/>
      </rPr>
      <t>(Select from Dropdown)</t>
    </r>
  </si>
  <si>
    <t>Zip Code
(§63.567(o)(1)(ii))</t>
  </si>
  <si>
    <t>City
(§63.567(o)(1)(iv)(B)</t>
  </si>
  <si>
    <t>Mailing Address (§63.567(o)(1)(iv)(B))</t>
  </si>
  <si>
    <t>Zip Code
(§63.567(o)(1)(iv)(B))</t>
  </si>
  <si>
    <t>MailingAddress1</t>
  </si>
  <si>
    <t>MailingAddress2</t>
  </si>
  <si>
    <t>MailingState</t>
  </si>
  <si>
    <t>MailingZip</t>
  </si>
  <si>
    <t>ControlInfo</t>
  </si>
  <si>
    <r>
      <t xml:space="preserve">Type of Facility
(§63.567(o)(1)(v))
</t>
    </r>
    <r>
      <rPr>
        <b/>
        <sz val="11"/>
        <color rgb="FF0070C0"/>
        <rFont val="Calibri"/>
        <family val="2"/>
        <scheme val="minor"/>
      </rPr>
      <t>(Select from Dropdown)</t>
    </r>
  </si>
  <si>
    <r>
      <t xml:space="preserve">State Abbreviation
(§63.567(o)(1)(iv)(B)
</t>
    </r>
    <r>
      <rPr>
        <b/>
        <sz val="11"/>
        <color rgb="FF0070C0"/>
        <rFont val="Calibri"/>
        <family val="2"/>
        <scheme val="minor"/>
      </rPr>
      <t>(Select from Dropdown)</t>
    </r>
  </si>
  <si>
    <t>Brooklyn</t>
  </si>
  <si>
    <t>MailingCity</t>
  </si>
  <si>
    <t>Mailing Address 2 (§63.567(o)(1)(iv)(B))</t>
  </si>
  <si>
    <t>Suite 100</t>
  </si>
  <si>
    <t>ABC Company, 123 Main Street</t>
  </si>
  <si>
    <t>Applicable Standards</t>
  </si>
  <si>
    <r>
      <t xml:space="preserve">Applicable Standards
(§63.567(o)(1)(vi))
</t>
    </r>
    <r>
      <rPr>
        <b/>
        <sz val="11"/>
        <color rgb="FF0070C0"/>
        <rFont val="Calibri"/>
        <family val="2"/>
        <scheme val="minor"/>
      </rPr>
      <t>(Select from Dropdown)</t>
    </r>
  </si>
  <si>
    <t>AppStandards</t>
  </si>
  <si>
    <t>e.g.: MACT standards for non-VMT source</t>
  </si>
  <si>
    <t>§ 63.562(d) MACT and RACT standards for VMT source</t>
  </si>
  <si>
    <t>§ 63.562(c) only, RACT standards for non-VMT source</t>
  </si>
  <si>
    <t>both § 63.562(b) and (c), MACT and RACT standards for non-VMT source</t>
  </si>
  <si>
    <t>§ 63.562(b) only, MACT standards for non-VMT source</t>
  </si>
  <si>
    <t>Beginning Date of Reporting Period
((§63.567(o)(1)(vii))</t>
  </si>
  <si>
    <t>Ending Date of
 Reporting Period
((§63.567(o)(1)(vii))</t>
  </si>
  <si>
    <t>Control Method for Loading Commodities Other Than Exemptions in §63.562(d)(1)
(§63.567(o)(2))</t>
  </si>
  <si>
    <t>Control Method if "Other" was Selected in Column W
(§63.567(o)(2))</t>
  </si>
  <si>
    <t>e.g.: 2/1/2020</t>
  </si>
  <si>
    <t>UniqueCMSID</t>
  </si>
  <si>
    <t>Pollutant or Parameter Monitored</t>
  </si>
  <si>
    <t>temperature</t>
  </si>
  <si>
    <t>pressure</t>
  </si>
  <si>
    <t>VOC concentration</t>
  </si>
  <si>
    <t>net heating value</t>
  </si>
  <si>
    <t>flow rate</t>
  </si>
  <si>
    <t>EquipmentMake</t>
  </si>
  <si>
    <t>e.g.: Make</t>
  </si>
  <si>
    <t>No deviations from the operating limit or emissions limit occurred during the reporting period.</t>
  </si>
  <si>
    <t>No periods during which the CMS was inoperable or out-of control occurred during the reporting period.</t>
  </si>
  <si>
    <t>This tab contains information related to events where a CMS was inoperative or out of control. (The definition of out of control in 40 CFR part 63 subpart Y is specific to CEMS, but the term inoperative applies to all CMS.) It includes space to provide information on whether the event met the definition of an excursion in 40 CFR part 63 subpart Y.</t>
  </si>
  <si>
    <t>ParameterExcessStartDate</t>
  </si>
  <si>
    <t>ParameterExcessStartTime</t>
  </si>
  <si>
    <t>ParameterExcessDuration</t>
  </si>
  <si>
    <t>DeviationCorrectiveAction</t>
  </si>
  <si>
    <t>CMSDeviationComments</t>
  </si>
  <si>
    <t>e.g.: 2</t>
  </si>
  <si>
    <t>e.g.: Wire was tightened.</t>
  </si>
  <si>
    <t>AMVDeviation</t>
  </si>
  <si>
    <t xml:space="preserve">e.g.: </t>
  </si>
  <si>
    <t>monitor equipment malfunction</t>
  </si>
  <si>
    <t>DowntimeCause</t>
  </si>
  <si>
    <t>non-monitor equipment malfunctions</t>
  </si>
  <si>
    <t>quality assurance calibration</t>
  </si>
  <si>
    <r>
      <t xml:space="preserve">Deviation Type 
(§63.567(o)(4)(iv))
</t>
    </r>
    <r>
      <rPr>
        <b/>
        <sz val="11"/>
        <color rgb="FF0070C0"/>
        <rFont val="Calibri"/>
        <family val="2"/>
        <scheme val="minor"/>
      </rPr>
      <t>(Select from dropdown)</t>
    </r>
  </si>
  <si>
    <t>e.g.: Jane Doe</t>
  </si>
  <si>
    <t>This tab documents instances in which regulated commodities were loaded into a vessel for which vapor tightness documentation was not available or that was not connected to the vapor collection system.</t>
  </si>
  <si>
    <t>Date regular commodity loaded without proper documentation or connection to vapor recovery system
(§63.567(o)(4)(ii))</t>
  </si>
  <si>
    <t>Name of Responsible Terminal Operator 
(§63.567(o)(4)(iii))</t>
  </si>
  <si>
    <t>Corrective Action Taken to Prevent Recurrence
(§63.567(o)(4)(v))</t>
  </si>
  <si>
    <t>This tab contains information related to leak inspections conducted and leaks identified under §63.563(c).</t>
  </si>
  <si>
    <r>
      <t xml:space="preserve">Initial Leak Identification Method
(§63.567(o)(5)(ii))
</t>
    </r>
    <r>
      <rPr>
        <b/>
        <sz val="11"/>
        <color rgb="FF0070C0"/>
        <rFont val="Calibri"/>
        <family val="2"/>
        <scheme val="minor"/>
      </rPr>
      <t>(Select from dropdown)</t>
    </r>
  </si>
  <si>
    <t>Total Number of Leaking Components
(§63.567(o)(5)(iii))</t>
  </si>
  <si>
    <t>Type of Leaking Components
(§63.567(o)(5)(iii), (§63.567(o)(5)(iv))</t>
  </si>
  <si>
    <t>Total Number of Components Repaired within 15 Days or Prior to Next Loading Operation
(§63.567(o)(5)(iv))</t>
  </si>
  <si>
    <t>Flare ID
(§63.2386(d)(6)(i))</t>
  </si>
  <si>
    <r>
      <t xml:space="preserve">Type of Event
(§63.2386(d)(6)(i))
</t>
    </r>
    <r>
      <rPr>
        <b/>
        <sz val="11"/>
        <color rgb="FF0070C0"/>
        <rFont val="Calibri"/>
        <family val="2"/>
        <scheme val="minor"/>
      </rPr>
      <t>(Select from dropdown)</t>
    </r>
  </si>
  <si>
    <r>
      <t xml:space="preserve">Affected CMS
(§63.567(o)(3)(ix), §63.567(o)(6)(ii))
</t>
    </r>
    <r>
      <rPr>
        <b/>
        <sz val="11"/>
        <color rgb="FF0070C0"/>
        <rFont val="Calibri"/>
        <family val="2"/>
        <scheme val="minor"/>
      </rPr>
      <t>(Select from dropdown)</t>
    </r>
  </si>
  <si>
    <r>
      <t xml:space="preserve">CMS Inoperative or 
Out of Control?
(§63.567(o)(3)(ix), §63.567(o)(6)(ii))
</t>
    </r>
    <r>
      <rPr>
        <b/>
        <sz val="11"/>
        <color rgb="FF0070C0"/>
        <rFont val="Calibri"/>
        <family val="2"/>
        <scheme val="minor"/>
      </rPr>
      <t>(Select from dropdown)</t>
    </r>
  </si>
  <si>
    <t>Start Date CMS 
Inoperative or Out of Control
(§63.567(o)(3)(ix)(A), §63.567(o)(6)(ii))</t>
  </si>
  <si>
    <t>Start Time CMS Inoperative or Out of Control
(§63.567(o)(3)(ix)(A), §63.567(o)(6)(ii))</t>
  </si>
  <si>
    <t>This tab documents each instance where the vapor collection system diverted streams through the by-pass line.</t>
  </si>
  <si>
    <t>Start Date
(§63.567(o)(7))</t>
  </si>
  <si>
    <t>Start Time
(§63.567(o)(7))</t>
  </si>
  <si>
    <t>Duration (in hours)
(§63.567(o)(7))</t>
  </si>
  <si>
    <t>BypassType</t>
  </si>
  <si>
    <t>BypassDuration</t>
  </si>
  <si>
    <t>BypassTime</t>
  </si>
  <si>
    <t>BypassDate</t>
  </si>
  <si>
    <t>e.g.: 1/1/2025</t>
  </si>
  <si>
    <t>e.g.: 05:00 AM</t>
  </si>
  <si>
    <t>e.g.: 2 hours</t>
  </si>
  <si>
    <t>e.g.: flow indicator records flow bypassing the control device</t>
  </si>
  <si>
    <t>Flow indicator records flow bypassing the control device</t>
  </si>
  <si>
    <t>Key checked out for a lock-and-key valve</t>
  </si>
  <si>
    <t>Car-seal is broken</t>
  </si>
  <si>
    <t>Valve position changed</t>
  </si>
  <si>
    <r>
      <t xml:space="preserve">Bypass Type 
(§63.567(o)(7))
</t>
    </r>
    <r>
      <rPr>
        <b/>
        <sz val="11"/>
        <color rgb="FF0070C0"/>
        <rFont val="Calibri"/>
        <family val="2"/>
        <scheme val="minor"/>
      </rPr>
      <t>(Select from dropdown)</t>
    </r>
  </si>
  <si>
    <t>BypassComments</t>
  </si>
  <si>
    <t>Unique Identifier for CMS
(§63.567(o)(3)(i)), 
§63.567(o)(6)(ii))</t>
  </si>
  <si>
    <t>CMS Make
(§63.567(o)(3)(iii),  §63.567(o)(6)(ii))</t>
  </si>
  <si>
    <t>CMS Model Number
(§63.567(o)(3)(iii),  §63.567(o)(6)(ii))</t>
  </si>
  <si>
    <t>Date of Last CMS Calibration
(§63.567(o)(3)(iii),  §63.567(o)(6)(ii))</t>
  </si>
  <si>
    <t>Pollutant or Parameter Monitored
(§63.567(o)(3)(ii),  §63.567(o)(6)(ii))</t>
  </si>
  <si>
    <t>Emission/Operating Parameter Limit (§63.567(o)(3)(iv),  §63.567(o)(6)(ii))</t>
  </si>
  <si>
    <r>
      <t>Were there any deviations of the CMS operating parameter  pollutant/parameter?
(§63.567(o)(3)(vi),  §63.567(o)(6)(ii))</t>
    </r>
    <r>
      <rPr>
        <b/>
        <sz val="11"/>
        <color rgb="FF0070C0"/>
        <rFont val="Calibri"/>
        <family val="2"/>
        <scheme val="minor"/>
      </rPr>
      <t xml:space="preserve">
(Select from dropdown)</t>
    </r>
  </si>
  <si>
    <t>Description of any changes to the CMS since the last reporting period
(§63.567(o)(3)(v), §63.567(o)(6)(ii))</t>
  </si>
  <si>
    <r>
      <t>Were there any periods of CMS outages, including periods when CMS were inoperable or out-of-control?
(§63.567(o)(3)(vii), §63.567(o)(6)(ii))</t>
    </r>
    <r>
      <rPr>
        <b/>
        <sz val="11"/>
        <color rgb="FF0070C0"/>
        <rFont val="Calibri"/>
        <family val="2"/>
        <scheme val="minor"/>
      </rPr>
      <t xml:space="preserve">
(Select from dropdown)</t>
    </r>
  </si>
  <si>
    <t>Duration CMS Inoperative 
or Out of Control
(in hours)
(§63.567(o)(3)(ix)(B), §63.567(o)(6)(ii))</t>
  </si>
  <si>
    <r>
      <t xml:space="preserve">Cause of Deviation
(§63.567(o)(3)(ix)(C), §63.567(o)(6)(ii))
</t>
    </r>
    <r>
      <rPr>
        <b/>
        <sz val="11"/>
        <color rgb="FF0070C0"/>
        <rFont val="Calibri"/>
        <family val="2"/>
        <scheme val="minor"/>
      </rPr>
      <t>(Select from dropdown)</t>
    </r>
  </si>
  <si>
    <t>Corrective Action Taken or Preventative Measures Adopted
(§63.567(o)(3)(ix)(D), §63.567(o)(6)(ii))</t>
  </si>
  <si>
    <t>Repairs or Adjustments to CMS 
(§63.567(o)(3)(ix)€, §63.567(o)(6)(ii))</t>
  </si>
  <si>
    <r>
      <t xml:space="preserve">Affected CMS
(§63.567(o)(3)(viii))
</t>
    </r>
    <r>
      <rPr>
        <b/>
        <sz val="11"/>
        <color rgb="FF0070C0"/>
        <rFont val="Calibri"/>
        <family val="2"/>
        <scheme val="minor"/>
      </rPr>
      <t>(Select from dropdown)</t>
    </r>
  </si>
  <si>
    <t>Start Date of Deviation
(§63.567(o)(3)(viii)(A), §63.567(o)(6)(ii))</t>
  </si>
  <si>
    <t>Start Time of Deviation
(§63.567(o)(3)(viii)(A), §63.567(o)(6)(ii))</t>
  </si>
  <si>
    <t>Duration of Deviation
(in hours)  
(§63.567(o)(3)(viii)(B), §63.567(o)(6)(ii))</t>
  </si>
  <si>
    <t>Average Measured Value (including units) During Deviation
(§63.567(o)(3)(viii)(C), §63.567(o)(6)(ii))</t>
  </si>
  <si>
    <t>Cause of Deviation
(§63.567(o)(3)(viii)(D), §63.567(o)(6)(ii))</t>
  </si>
  <si>
    <t>Correction Action Taken
(§63.567(o)(3)(viii)(E), §63.567(o)(6)(ii))</t>
  </si>
  <si>
    <t>Telephone Number
(§63.567(o)(1)(iv)(C))</t>
  </si>
  <si>
    <t>E-mail Address
(§63.567(o)(1)(iv)(D))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</si>
</sst>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mm/dd/yyyy"/>
    <numFmt numFmtId="165" formatCode="00000"/>
    <numFmt numFmtId="166" formatCode="m/d/yyyy;@"/>
    <numFmt numFmtId="167" formatCode="h:mm;@"/>
    <numFmt numFmtId="168" formatCode="mm/dd/yy;@"/>
    <numFmt numFmtId="169" formatCode="[$-409]h:mm\ AM/PM;@"/>
    <numFmt numFmtId="170" formatCode="0.0"/>
    <numFmt numFmtId="171" formatCode="0.00000"/>
  </numFmts>
  <fonts count="19"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b/>
      <i/>
      <sz val="11"/>
      <color theme="1"/>
      <name val="Calibri"/>
      <family val="2"/>
      <scheme val="minor"/>
    </font>
    <font>
      <sz val="11"/>
      <color rgb="FF000000"/>
      <name val="Calibri"/>
      <family val="2"/>
      <scheme val="minor"/>
    </font>
    <font>
      <b/>
      <sz val="11"/>
      <color rgb="FF000000"/>
      <name val="Calibri"/>
      <family val="2"/>
      <scheme val="minor"/>
    </font>
    <font>
      <i/>
      <sz val="11"/>
      <color theme="1"/>
      <name val="Calibri"/>
      <family val="2"/>
      <scheme val="minor"/>
    </font>
    <font>
      <b/>
      <sz val="11"/>
      <color rgb="FF0070C0"/>
      <name val="Calibri"/>
      <family val="2"/>
      <scheme val="minor"/>
    </font>
    <font>
      <b/>
      <sz val="14"/>
      <color theme="1"/>
      <name val="Calibri"/>
      <family val="2"/>
      <scheme val="minor"/>
    </font>
    <font>
      <b/>
      <sz val="11"/>
      <name val="Calibri"/>
      <family val="2"/>
      <scheme val="minor"/>
    </font>
    <font>
      <b/>
      <sz val="11"/>
      <color theme="8" tint="-0.249977111117893"/>
      <name val="Calibri"/>
      <family val="2"/>
      <scheme val="minor"/>
    </font>
    <font>
      <sz val="9"/>
      <color indexed="81"/>
      <name val="Tahoma"/>
      <family val="2"/>
    </font>
    <font>
      <b/>
      <sz val="9"/>
      <color indexed="81"/>
      <name val="Tahoma"/>
      <family val="2"/>
    </font>
    <font>
      <i/>
      <u/>
      <sz val="11"/>
      <color theme="1"/>
      <name val="Calibri"/>
      <family val="2"/>
      <scheme val="minor"/>
    </font>
    <font>
      <b/>
      <sz val="10"/>
      <name val="Calibri"/>
      <family val="2"/>
      <scheme val="minor"/>
    </font>
    <font>
      <sz val="8"/>
      <name val="Calibri"/>
      <family val="2"/>
      <scheme val="minor"/>
    </font>
    <font>
      <sz val="9"/>
      <color indexed="81"/>
      <name val="Tahoma"/>
      <charset val="1"/>
    </font>
    <font>
      <b/>
      <sz val="9"/>
      <color indexed="81"/>
      <name val="Tahoma"/>
      <charset val="1"/>
    </font>
  </fonts>
  <fills count="14">
    <fill>
      <patternFill patternType="none"/>
    </fill>
    <fill>
      <patternFill patternType="gray125"/>
    </fill>
    <fill>
      <patternFill patternType="solid">
        <fgColor rgb="FFFFFF00"/>
        <bgColor indexed="64"/>
      </patternFill>
    </fill>
    <fill>
      <patternFill patternType="solid">
        <fgColor rgb="FFEEECE1"/>
        <bgColor indexed="64"/>
      </patternFill>
    </fill>
    <fill>
      <patternFill patternType="solid">
        <fgColor theme="9" tint="0.59999389629810485"/>
        <bgColor indexed="64"/>
      </patternFill>
    </fill>
    <fill>
      <patternFill patternType="solid">
        <fgColor theme="5" tint="0.59999389629810485"/>
        <bgColor indexed="64"/>
      </patternFill>
    </fill>
    <fill>
      <gradientFill degree="90">
        <stop position="0">
          <color rgb="FFEEECE1"/>
        </stop>
        <stop position="1">
          <color rgb="FFEEECE1"/>
        </stop>
      </gradientFill>
    </fill>
    <fill>
      <patternFill patternType="solid">
        <fgColor theme="0" tint="-0.14999847407452621"/>
        <bgColor theme="0" tint="-0.14999847407452621"/>
      </patternFill>
    </fill>
    <fill>
      <patternFill patternType="solid">
        <fgColor theme="9" tint="0.59999389629810485"/>
        <bgColor theme="0" tint="-0.14999847407452621"/>
      </patternFill>
    </fill>
    <fill>
      <patternFill patternType="solid">
        <fgColor theme="4" tint="0.59999389629810485"/>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6" tint="0.39997558519241921"/>
        <bgColor indexed="64"/>
      </patternFill>
    </fill>
  </fills>
  <borders count="50">
    <border>
      <left/>
      <right/>
      <top/>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auto="1"/>
      </top>
      <bottom style="thin">
        <color indexed="64"/>
      </bottom>
      <diagonal/>
    </border>
    <border>
      <left/>
      <right/>
      <top style="thin">
        <color indexed="64"/>
      </top>
      <bottom/>
      <diagonal/>
    </border>
    <border>
      <left style="thin">
        <color indexed="64"/>
      </left>
      <right/>
      <top style="medium">
        <color indexed="64"/>
      </top>
      <bottom style="medium">
        <color indexed="64"/>
      </bottom>
      <diagonal/>
    </border>
    <border>
      <left style="medium">
        <color indexed="64"/>
      </left>
      <right/>
      <top style="thin">
        <color indexed="64"/>
      </top>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medium">
        <color indexed="64"/>
      </bottom>
      <diagonal/>
    </border>
    <border>
      <left style="medium">
        <color indexed="64"/>
      </left>
      <right/>
      <top style="medium">
        <color indexed="64"/>
      </top>
      <bottom/>
      <diagonal/>
    </border>
    <border>
      <left/>
      <right/>
      <top/>
      <bottom style="thin">
        <color theme="8"/>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medium">
        <color indexed="64"/>
      </right>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1"/>
      </left>
      <right style="thin">
        <color theme="1"/>
      </right>
      <top style="medium">
        <color indexed="64"/>
      </top>
      <bottom style="medium">
        <color indexed="64"/>
      </bottom>
      <diagonal/>
    </border>
    <border>
      <left style="thin">
        <color theme="1"/>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rgb="FF000000"/>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s>
  <cellStyleXfs count="1">
    <xf numFmtId="0" fontId="0" fillId="0" borderId="0"/>
  </cellStyleXfs>
  <cellXfs count="280">
    <xf numFmtId="0" fontId="0" fillId="0" borderId="0" xfId="0"/>
    <xf numFmtId="0" fontId="2" fillId="2" borderId="0" xfId="0" applyFont="1" applyFill="1" applyAlignment="1">
      <alignment horizontal="centerContinuous" vertical="center" wrapText="1"/>
    </xf>
    <xf numFmtId="0" fontId="2" fillId="2" borderId="0" xfId="0" applyFont="1" applyFill="1" applyAlignment="1" applyProtection="1">
      <alignment horizontal="centerContinuous" vertical="center" wrapText="1"/>
    </xf>
    <xf numFmtId="0" fontId="2" fillId="2" borderId="0" xfId="0" applyFont="1" applyFill="1" applyAlignment="1" applyProtection="1">
      <alignment horizontal="left" vertical="center"/>
    </xf>
    <xf numFmtId="0" fontId="4" fillId="0" borderId="0" xfId="0" applyFont="1" applyAlignment="1">
      <alignment horizontal="left" vertical="center"/>
    </xf>
    <xf numFmtId="0" fontId="2" fillId="2" borderId="0" xfId="0" applyFont="1" applyFill="1" applyAlignment="1">
      <alignment horizontal="left" vertical="center" wrapText="1"/>
    </xf>
    <xf numFmtId="0" fontId="0" fillId="0" borderId="0" xfId="0" applyBorder="1"/>
    <xf numFmtId="0" fontId="2" fillId="2" borderId="0" xfId="0" applyFont="1" applyFill="1" applyAlignment="1">
      <alignment vertical="center"/>
    </xf>
    <xf numFmtId="0" fontId="2" fillId="2" borderId="0" xfId="0" applyFont="1" applyFill="1" applyAlignment="1"/>
    <xf numFmtId="0" fontId="1" fillId="0" borderId="0" xfId="0" applyFont="1" applyAlignment="1">
      <alignment horizontal="left" vertical="center"/>
    </xf>
    <xf numFmtId="0" fontId="1" fillId="0" borderId="0" xfId="0" applyFont="1" applyAlignment="1" applyProtection="1">
      <alignment horizontal="left" vertical="center"/>
    </xf>
    <xf numFmtId="0" fontId="9" fillId="0" borderId="0" xfId="0" applyFont="1" applyAlignment="1">
      <alignment horizontal="center" vertical="center" wrapText="1"/>
    </xf>
    <xf numFmtId="0" fontId="0" fillId="0" borderId="0" xfId="0" applyFont="1" applyBorder="1" applyAlignment="1">
      <alignment vertical="center" wrapText="1"/>
    </xf>
    <xf numFmtId="0" fontId="1" fillId="0" borderId="0" xfId="0" applyFont="1" applyAlignment="1">
      <alignment vertical="center" wrapText="1"/>
    </xf>
    <xf numFmtId="0" fontId="1" fillId="0" borderId="0" xfId="0" applyFont="1"/>
    <xf numFmtId="0" fontId="0" fillId="0" borderId="0" xfId="0" applyAlignment="1">
      <alignment vertical="center" wrapText="1"/>
    </xf>
    <xf numFmtId="0" fontId="3" fillId="2" borderId="0" xfId="0" applyFont="1" applyFill="1" applyAlignment="1" applyProtection="1">
      <alignment horizontal="left" vertical="center"/>
    </xf>
    <xf numFmtId="0" fontId="6" fillId="3" borderId="21" xfId="0" applyFont="1" applyFill="1" applyBorder="1" applyAlignment="1">
      <alignment horizontal="center" vertical="center" wrapText="1"/>
    </xf>
    <xf numFmtId="0" fontId="6" fillId="3" borderId="22" xfId="0" applyFont="1" applyFill="1" applyBorder="1" applyAlignment="1" applyProtection="1">
      <alignment horizontal="center" vertical="center" wrapText="1"/>
    </xf>
    <xf numFmtId="0" fontId="0" fillId="9" borderId="13" xfId="0" applyFill="1" applyBorder="1" applyAlignment="1">
      <alignment horizontal="center"/>
    </xf>
    <xf numFmtId="0" fontId="0" fillId="10" borderId="0" xfId="0" applyFill="1" applyBorder="1"/>
    <xf numFmtId="0" fontId="6" fillId="3" borderId="21" xfId="0" applyFont="1" applyFill="1" applyBorder="1" applyAlignment="1" applyProtection="1">
      <alignment horizontal="center" vertical="center" wrapText="1"/>
    </xf>
    <xf numFmtId="0" fontId="6" fillId="3" borderId="23" xfId="0" applyFont="1" applyFill="1" applyBorder="1" applyAlignment="1" applyProtection="1">
      <alignment horizontal="center" vertical="center" wrapText="1"/>
    </xf>
    <xf numFmtId="0" fontId="0" fillId="0" borderId="14" xfId="0" applyBorder="1"/>
    <xf numFmtId="0" fontId="0" fillId="0" borderId="1" xfId="0" applyBorder="1"/>
    <xf numFmtId="0" fontId="0" fillId="9" borderId="13" xfId="0" applyFill="1" applyBorder="1" applyAlignment="1">
      <alignment horizontal="center" vertical="center"/>
    </xf>
    <xf numFmtId="0" fontId="0" fillId="0" borderId="0" xfId="0" applyAlignment="1">
      <alignment horizontal="center"/>
    </xf>
    <xf numFmtId="0" fontId="6" fillId="3" borderId="22" xfId="0" applyFont="1" applyFill="1" applyBorder="1" applyAlignment="1">
      <alignment horizontal="center" vertical="center" wrapText="1"/>
    </xf>
    <xf numFmtId="0" fontId="6" fillId="3" borderId="24" xfId="0" applyFont="1" applyFill="1" applyBorder="1" applyAlignment="1">
      <alignment horizontal="center" vertical="center" wrapText="1"/>
    </xf>
    <xf numFmtId="0" fontId="6" fillId="3" borderId="25" xfId="0" applyFont="1" applyFill="1" applyBorder="1" applyAlignment="1">
      <alignment horizontal="center" vertical="center" wrapText="1"/>
    </xf>
    <xf numFmtId="0" fontId="0" fillId="10" borderId="1" xfId="0" applyFill="1" applyBorder="1"/>
    <xf numFmtId="0" fontId="11" fillId="0" borderId="27" xfId="0" applyFont="1" applyBorder="1"/>
    <xf numFmtId="168" fontId="2" fillId="2" borderId="0" xfId="0" applyNumberFormat="1" applyFont="1" applyFill="1" applyAlignment="1" applyProtection="1">
      <alignment horizontal="left" vertical="center"/>
    </xf>
    <xf numFmtId="0" fontId="3" fillId="2" borderId="0" xfId="0" applyFont="1" applyFill="1" applyAlignment="1">
      <alignment horizontal="left" vertical="center"/>
    </xf>
    <xf numFmtId="2" fontId="3" fillId="2" borderId="0" xfId="0" applyNumberFormat="1" applyFont="1" applyFill="1" applyAlignment="1">
      <alignment vertical="center"/>
    </xf>
    <xf numFmtId="0" fontId="0" fillId="0" borderId="0" xfId="0" applyAlignment="1">
      <alignment vertical="center"/>
    </xf>
    <xf numFmtId="0" fontId="0" fillId="0" borderId="0" xfId="0" applyFont="1" applyAlignment="1">
      <alignment vertical="center" wrapText="1"/>
    </xf>
    <xf numFmtId="0" fontId="7" fillId="0" borderId="0" xfId="0" applyFont="1" applyFill="1" applyAlignment="1">
      <alignment vertical="center" wrapText="1"/>
    </xf>
    <xf numFmtId="0" fontId="1" fillId="12" borderId="1" xfId="0" applyFont="1" applyFill="1" applyBorder="1"/>
    <xf numFmtId="0" fontId="2" fillId="2" borderId="0" xfId="0" applyFont="1" applyFill="1" applyAlignment="1" applyProtection="1">
      <alignment horizontal="centerContinuous" vertical="center"/>
    </xf>
    <xf numFmtId="1" fontId="5" fillId="4" borderId="5" xfId="0" applyNumberFormat="1" applyFont="1" applyFill="1" applyBorder="1" applyAlignment="1">
      <alignment horizontal="left" vertical="center" wrapText="1"/>
    </xf>
    <xf numFmtId="1" fontId="5" fillId="5" borderId="14" xfId="0" applyNumberFormat="1" applyFont="1" applyFill="1" applyBorder="1" applyAlignment="1">
      <alignment horizontal="left" vertical="center" wrapText="1"/>
    </xf>
    <xf numFmtId="0" fontId="0" fillId="0" borderId="0" xfId="0" applyAlignment="1" applyProtection="1">
      <alignment horizontal="left" vertical="center" wrapText="1"/>
    </xf>
    <xf numFmtId="0" fontId="1" fillId="0" borderId="7" xfId="0" applyFont="1" applyBorder="1" applyAlignment="1" applyProtection="1">
      <alignment horizontal="left" vertical="center" wrapText="1"/>
    </xf>
    <xf numFmtId="0" fontId="0" fillId="0" borderId="0" xfId="0" applyFont="1" applyAlignment="1" applyProtection="1">
      <alignment horizontal="left" vertical="center" wrapText="1"/>
    </xf>
    <xf numFmtId="0" fontId="0" fillId="4" borderId="10" xfId="0" applyFont="1" applyFill="1" applyBorder="1" applyAlignment="1">
      <alignment horizontal="left" vertical="center" wrapText="1"/>
    </xf>
    <xf numFmtId="0" fontId="0" fillId="0" borderId="0" xfId="0" applyFont="1" applyFill="1" applyAlignment="1" applyProtection="1">
      <alignment horizontal="left" vertical="center" wrapText="1"/>
    </xf>
    <xf numFmtId="49" fontId="0" fillId="5" borderId="12" xfId="0" applyNumberFormat="1" applyFont="1" applyFill="1" applyBorder="1" applyAlignment="1">
      <alignment horizontal="left" vertical="center" wrapText="1"/>
    </xf>
    <xf numFmtId="0" fontId="0" fillId="5" borderId="12" xfId="0" applyFont="1" applyFill="1" applyBorder="1" applyAlignment="1">
      <alignment horizontal="left" vertical="center" wrapText="1"/>
    </xf>
    <xf numFmtId="164" fontId="0" fillId="5" borderId="12" xfId="0" applyNumberFormat="1" applyFont="1" applyFill="1" applyBorder="1" applyAlignment="1">
      <alignment horizontal="left" vertical="center" wrapText="1"/>
    </xf>
    <xf numFmtId="0" fontId="0" fillId="0" borderId="0" xfId="0" applyFill="1" applyAlignment="1" applyProtection="1">
      <alignment horizontal="left" vertical="center" wrapText="1"/>
      <protection locked="0"/>
    </xf>
    <xf numFmtId="0" fontId="0" fillId="0" borderId="0" xfId="0" applyAlignment="1" applyProtection="1">
      <alignment horizontal="left" vertical="center" wrapText="1"/>
      <protection locked="0"/>
    </xf>
    <xf numFmtId="0" fontId="0" fillId="0" borderId="5" xfId="0" applyFill="1" applyBorder="1" applyAlignment="1" applyProtection="1">
      <alignment horizontal="left" vertical="center" wrapText="1"/>
      <protection locked="0"/>
    </xf>
    <xf numFmtId="0" fontId="0" fillId="0" borderId="0" xfId="0" applyFill="1" applyBorder="1" applyAlignment="1" applyProtection="1">
      <alignment horizontal="left" vertical="center" wrapText="1"/>
      <protection locked="0"/>
    </xf>
    <xf numFmtId="2" fontId="3" fillId="2" borderId="0" xfId="0" applyNumberFormat="1" applyFont="1" applyFill="1" applyAlignment="1" applyProtection="1">
      <alignment horizontal="left" vertical="center"/>
    </xf>
    <xf numFmtId="14" fontId="3" fillId="2" borderId="0" xfId="0" applyNumberFormat="1" applyFont="1" applyFill="1" applyAlignment="1" applyProtection="1">
      <alignment horizontal="left" vertical="center"/>
    </xf>
    <xf numFmtId="0" fontId="0" fillId="0" borderId="0" xfId="0" applyAlignment="1" applyProtection="1">
      <alignment horizontal="left" vertical="center"/>
    </xf>
    <xf numFmtId="0" fontId="1" fillId="0" borderId="0" xfId="0" applyFont="1" applyBorder="1" applyAlignment="1" applyProtection="1">
      <alignment horizontal="left" vertical="center"/>
    </xf>
    <xf numFmtId="0" fontId="1" fillId="0" borderId="0" xfId="0" applyFont="1" applyFill="1" applyBorder="1" applyAlignment="1" applyProtection="1">
      <alignment horizontal="left" vertical="center"/>
    </xf>
    <xf numFmtId="1" fontId="0" fillId="0" borderId="0" xfId="0" applyNumberFormat="1" applyFont="1" applyFill="1" applyBorder="1" applyAlignment="1" applyProtection="1">
      <alignment horizontal="left" vertical="center"/>
    </xf>
    <xf numFmtId="0" fontId="0" fillId="0" borderId="0" xfId="0" applyFont="1" applyAlignment="1" applyProtection="1">
      <alignment horizontal="center" vertical="center" wrapText="1"/>
    </xf>
    <xf numFmtId="0" fontId="3" fillId="2" borderId="0" xfId="0" applyFont="1" applyFill="1" applyAlignment="1" applyProtection="1">
      <alignment horizontal="centerContinuous" vertical="center"/>
    </xf>
    <xf numFmtId="0" fontId="0" fillId="0" borderId="0" xfId="0" applyFont="1" applyFill="1" applyBorder="1" applyAlignment="1" applyProtection="1">
      <alignment horizontal="left" vertical="center" wrapText="1"/>
    </xf>
    <xf numFmtId="49" fontId="0" fillId="5" borderId="0" xfId="0" applyNumberFormat="1" applyFont="1" applyFill="1" applyBorder="1" applyAlignment="1" applyProtection="1">
      <alignment horizontal="left" vertical="center" wrapText="1"/>
    </xf>
    <xf numFmtId="0" fontId="6" fillId="3" borderId="15" xfId="0" applyFont="1" applyFill="1" applyBorder="1" applyAlignment="1">
      <alignment horizontal="center" vertical="center" wrapText="1"/>
    </xf>
    <xf numFmtId="0" fontId="1" fillId="3" borderId="9" xfId="0" applyFont="1" applyFill="1" applyBorder="1" applyAlignment="1" applyProtection="1">
      <alignment horizontal="centerContinuous" vertical="center" wrapText="1"/>
    </xf>
    <xf numFmtId="0" fontId="1" fillId="3" borderId="5" xfId="0" applyFont="1" applyFill="1" applyBorder="1" applyAlignment="1" applyProtection="1">
      <alignment horizontal="centerContinuous" vertical="center" wrapText="1"/>
    </xf>
    <xf numFmtId="0" fontId="1" fillId="3" borderId="6" xfId="0" applyFont="1" applyFill="1" applyBorder="1" applyAlignment="1" applyProtection="1">
      <alignment horizontal="centerContinuous" vertical="center" wrapText="1"/>
    </xf>
    <xf numFmtId="0" fontId="7" fillId="0" borderId="0" xfId="0" applyFont="1" applyBorder="1" applyAlignment="1" applyProtection="1">
      <alignment horizontal="left" vertical="center"/>
    </xf>
    <xf numFmtId="1" fontId="5" fillId="4" borderId="19" xfId="0" applyNumberFormat="1" applyFont="1" applyFill="1" applyBorder="1" applyAlignment="1">
      <alignment horizontal="left" vertical="center" wrapText="1"/>
    </xf>
    <xf numFmtId="1" fontId="5" fillId="4" borderId="20" xfId="0" applyNumberFormat="1" applyFont="1" applyFill="1" applyBorder="1" applyAlignment="1">
      <alignment horizontal="left" vertical="center" wrapText="1"/>
    </xf>
    <xf numFmtId="1" fontId="5" fillId="5" borderId="16" xfId="0" applyNumberFormat="1" applyFont="1" applyFill="1" applyBorder="1" applyAlignment="1">
      <alignment horizontal="left" vertical="center" wrapText="1"/>
    </xf>
    <xf numFmtId="1" fontId="5" fillId="5" borderId="12" xfId="0" applyNumberFormat="1" applyFont="1" applyFill="1" applyBorder="1" applyAlignment="1">
      <alignment horizontal="left" vertical="center" wrapText="1"/>
    </xf>
    <xf numFmtId="0" fontId="3" fillId="0" borderId="0" xfId="0" applyFont="1" applyAlignment="1" applyProtection="1">
      <alignment horizontal="left" vertical="center" wrapText="1"/>
    </xf>
    <xf numFmtId="49" fontId="0" fillId="4" borderId="20" xfId="0" applyNumberFormat="1" applyFont="1" applyFill="1" applyBorder="1" applyAlignment="1">
      <alignment horizontal="left" vertical="center" wrapText="1"/>
    </xf>
    <xf numFmtId="49" fontId="0" fillId="4" borderId="2" xfId="0" applyNumberFormat="1" applyFont="1" applyFill="1" applyBorder="1" applyAlignment="1">
      <alignment horizontal="left" vertical="center" wrapText="1"/>
    </xf>
    <xf numFmtId="0" fontId="0" fillId="8" borderId="2" xfId="0" applyFont="1" applyFill="1" applyBorder="1" applyAlignment="1">
      <alignment horizontal="left" vertical="center" wrapText="1"/>
    </xf>
    <xf numFmtId="49" fontId="0" fillId="5" borderId="4" xfId="0" applyNumberFormat="1" applyFont="1" applyFill="1" applyBorder="1" applyAlignment="1">
      <alignment horizontal="left" vertical="center" wrapText="1"/>
    </xf>
    <xf numFmtId="0" fontId="0" fillId="5" borderId="4" xfId="0" applyFont="1" applyFill="1" applyBorder="1" applyAlignment="1">
      <alignment horizontal="left" vertical="center" wrapText="1"/>
    </xf>
    <xf numFmtId="0" fontId="0" fillId="0" borderId="0" xfId="0" applyAlignment="1">
      <alignment horizontal="left" vertical="center" wrapText="1"/>
    </xf>
    <xf numFmtId="0" fontId="0" fillId="0" borderId="0" xfId="0" applyFill="1" applyBorder="1" applyAlignment="1">
      <alignment horizontal="left" vertical="center" wrapText="1"/>
    </xf>
    <xf numFmtId="0" fontId="0" fillId="0" borderId="2" xfId="0" applyBorder="1" applyAlignment="1" applyProtection="1">
      <alignment horizontal="left" vertical="center" wrapText="1"/>
      <protection locked="0"/>
    </xf>
    <xf numFmtId="166" fontId="0" fillId="0" borderId="0" xfId="0" applyNumberFormat="1" applyAlignment="1">
      <alignment horizontal="left" vertical="center" wrapText="1"/>
    </xf>
    <xf numFmtId="0" fontId="0" fillId="0" borderId="4" xfId="0" applyBorder="1" applyAlignment="1" applyProtection="1">
      <alignment horizontal="left" vertical="center" wrapText="1"/>
      <protection locked="0"/>
    </xf>
    <xf numFmtId="0" fontId="0" fillId="0" borderId="11" xfId="0" applyBorder="1" applyAlignment="1" applyProtection="1">
      <alignment horizontal="left" vertical="center" wrapText="1"/>
      <protection locked="0"/>
    </xf>
    <xf numFmtId="0" fontId="0" fillId="0" borderId="14" xfId="0" applyBorder="1" applyAlignment="1" applyProtection="1">
      <alignment horizontal="left" vertical="center" wrapText="1"/>
      <protection locked="0"/>
    </xf>
    <xf numFmtId="0" fontId="0" fillId="0" borderId="0" xfId="0" applyBorder="1" applyAlignment="1" applyProtection="1">
      <alignment horizontal="left" vertical="center" wrapText="1"/>
      <protection locked="0"/>
    </xf>
    <xf numFmtId="0" fontId="0" fillId="0" borderId="0" xfId="0" applyBorder="1" applyAlignment="1">
      <alignment horizontal="left" vertical="center" wrapText="1"/>
    </xf>
    <xf numFmtId="0" fontId="3" fillId="0" borderId="0" xfId="0" applyFont="1" applyAlignment="1" applyProtection="1">
      <alignment horizontal="left" vertical="center"/>
    </xf>
    <xf numFmtId="0" fontId="7" fillId="0" borderId="0" xfId="0" applyFont="1" applyAlignment="1" applyProtection="1">
      <alignment horizontal="left" vertical="center"/>
    </xf>
    <xf numFmtId="0" fontId="0" fillId="0" borderId="0" xfId="0" applyFill="1" applyAlignment="1" applyProtection="1">
      <alignment horizontal="left" vertical="center"/>
    </xf>
    <xf numFmtId="0" fontId="0" fillId="0" borderId="0" xfId="0" applyBorder="1" applyAlignment="1" applyProtection="1">
      <alignment horizontal="left" vertical="center"/>
    </xf>
    <xf numFmtId="0" fontId="0" fillId="0" borderId="9" xfId="0" applyFont="1" applyBorder="1" applyAlignment="1" applyProtection="1">
      <alignment horizontal="center" vertical="center" wrapText="1"/>
    </xf>
    <xf numFmtId="0" fontId="3" fillId="2" borderId="0" xfId="0" applyFont="1" applyFill="1" applyAlignment="1" applyProtection="1">
      <alignment horizontal="centerContinuous" vertical="center" wrapText="1"/>
    </xf>
    <xf numFmtId="0" fontId="3" fillId="0" borderId="0" xfId="0" applyFont="1" applyAlignment="1" applyProtection="1">
      <alignment horizontal="centerContinuous" vertical="center" wrapText="1"/>
    </xf>
    <xf numFmtId="0" fontId="0" fillId="4" borderId="0" xfId="0" applyFont="1" applyFill="1" applyAlignment="1" applyProtection="1">
      <alignment horizontal="left" vertical="center" wrapText="1"/>
    </xf>
    <xf numFmtId="0" fontId="0" fillId="5" borderId="0" xfId="0" applyFont="1" applyFill="1" applyAlignment="1" applyProtection="1">
      <alignment horizontal="left" vertical="center" wrapText="1"/>
    </xf>
    <xf numFmtId="1" fontId="5" fillId="5" borderId="4" xfId="0" applyNumberFormat="1" applyFont="1" applyFill="1" applyBorder="1" applyAlignment="1">
      <alignment horizontal="left" vertical="center" wrapText="1"/>
    </xf>
    <xf numFmtId="49" fontId="0" fillId="5" borderId="4" xfId="0" applyNumberFormat="1" applyFont="1" applyFill="1" applyBorder="1" applyAlignment="1" applyProtection="1">
      <alignment horizontal="left" vertical="center" wrapText="1"/>
    </xf>
    <xf numFmtId="1" fontId="7" fillId="0" borderId="0" xfId="0" applyNumberFormat="1" applyFont="1" applyFill="1" applyBorder="1" applyAlignment="1" applyProtection="1">
      <alignment horizontal="left" vertical="center"/>
    </xf>
    <xf numFmtId="0" fontId="0" fillId="0" borderId="0" xfId="0" applyFont="1" applyFill="1" applyAlignment="1" applyProtection="1">
      <alignment horizontal="left" vertical="center"/>
    </xf>
    <xf numFmtId="1" fontId="5" fillId="5" borderId="4" xfId="0" applyNumberFormat="1" applyFont="1" applyFill="1" applyBorder="1" applyAlignment="1" applyProtection="1">
      <alignment horizontal="left" vertical="center" wrapText="1"/>
    </xf>
    <xf numFmtId="0" fontId="0" fillId="0" borderId="0" xfId="0" applyFill="1" applyBorder="1" applyAlignment="1" applyProtection="1">
      <alignment horizontal="left" vertical="center"/>
    </xf>
    <xf numFmtId="167" fontId="0" fillId="5" borderId="0" xfId="0" applyNumberFormat="1" applyFont="1" applyFill="1" applyAlignment="1" applyProtection="1">
      <alignment horizontal="left" vertical="center" wrapText="1"/>
    </xf>
    <xf numFmtId="167" fontId="0" fillId="4" borderId="0" xfId="0" applyNumberFormat="1" applyFont="1" applyFill="1" applyAlignment="1" applyProtection="1">
      <alignment horizontal="left" vertical="center"/>
    </xf>
    <xf numFmtId="0" fontId="15" fillId="2" borderId="0" xfId="0" applyFont="1" applyFill="1" applyAlignment="1" applyProtection="1">
      <alignment horizontal="centerContinuous" vertical="center" wrapText="1"/>
    </xf>
    <xf numFmtId="0" fontId="0" fillId="0" borderId="0" xfId="0" applyNumberFormat="1"/>
    <xf numFmtId="0" fontId="0" fillId="0" borderId="0" xfId="0" applyFont="1" applyFill="1" applyBorder="1" applyAlignment="1" applyProtection="1">
      <alignment horizontal="left" vertical="center"/>
    </xf>
    <xf numFmtId="1" fontId="5" fillId="4" borderId="2" xfId="0" applyNumberFormat="1" applyFont="1" applyFill="1" applyBorder="1" applyAlignment="1" applyProtection="1">
      <alignment horizontal="left" vertical="center"/>
    </xf>
    <xf numFmtId="49" fontId="0" fillId="4" borderId="2" xfId="0" applyNumberFormat="1" applyFont="1" applyFill="1" applyBorder="1" applyAlignment="1" applyProtection="1">
      <alignment horizontal="left" vertical="center"/>
    </xf>
    <xf numFmtId="0" fontId="1" fillId="3" borderId="26" xfId="0" applyFont="1" applyFill="1" applyBorder="1" applyAlignment="1" applyProtection="1">
      <alignment horizontal="centerContinuous" vertical="center" wrapText="1"/>
    </xf>
    <xf numFmtId="0" fontId="0" fillId="0" borderId="0" xfId="0" applyNumberFormat="1" applyAlignment="1" applyProtection="1">
      <alignment horizontal="left" vertical="center"/>
    </xf>
    <xf numFmtId="0" fontId="0" fillId="0" borderId="4" xfId="0" applyBorder="1" applyAlignment="1">
      <alignment horizontal="center"/>
    </xf>
    <xf numFmtId="0" fontId="1" fillId="13" borderId="0" xfId="0" applyFont="1" applyFill="1" applyAlignment="1">
      <alignment horizontal="center"/>
    </xf>
    <xf numFmtId="0" fontId="1" fillId="0" borderId="0" xfId="0" applyFont="1" applyFill="1" applyAlignment="1">
      <alignment horizontal="center"/>
    </xf>
    <xf numFmtId="0" fontId="0" fillId="0" borderId="0" xfId="0" applyFont="1" applyAlignment="1">
      <alignment wrapText="1"/>
    </xf>
    <xf numFmtId="0" fontId="0" fillId="0" borderId="0" xfId="0" applyFont="1" applyBorder="1" applyAlignment="1">
      <alignment horizontal="left" vertical="center" wrapText="1" indent="3"/>
    </xf>
    <xf numFmtId="0" fontId="0" fillId="0" borderId="14" xfId="0" applyFont="1" applyFill="1" applyBorder="1" applyAlignment="1" applyProtection="1">
      <alignment horizontal="left" vertical="center" wrapText="1"/>
      <protection locked="0"/>
    </xf>
    <xf numFmtId="0" fontId="0" fillId="0" borderId="12" xfId="0" applyFont="1" applyFill="1" applyBorder="1" applyAlignment="1" applyProtection="1">
      <alignment horizontal="left" vertical="center" wrapText="1"/>
      <protection locked="0"/>
    </xf>
    <xf numFmtId="165" fontId="0" fillId="0" borderId="12" xfId="0" applyNumberFormat="1" applyFont="1" applyFill="1" applyBorder="1" applyAlignment="1" applyProtection="1">
      <alignment horizontal="left" vertical="center" wrapText="1"/>
      <protection locked="0"/>
    </xf>
    <xf numFmtId="168" fontId="0" fillId="0" borderId="12" xfId="0" applyNumberFormat="1" applyFont="1" applyFill="1" applyBorder="1" applyAlignment="1" applyProtection="1">
      <alignment horizontal="left" vertical="center" wrapText="1"/>
      <protection locked="0"/>
    </xf>
    <xf numFmtId="0" fontId="0" fillId="7" borderId="14" xfId="0" applyFont="1" applyFill="1" applyBorder="1" applyAlignment="1" applyProtection="1">
      <alignment horizontal="left" vertical="center" wrapText="1"/>
      <protection locked="0"/>
    </xf>
    <xf numFmtId="0" fontId="0" fillId="7" borderId="12" xfId="0" applyFont="1" applyFill="1" applyBorder="1" applyAlignment="1" applyProtection="1">
      <alignment horizontal="left" vertical="center" wrapText="1"/>
      <protection locked="0"/>
    </xf>
    <xf numFmtId="165" fontId="0" fillId="7" borderId="12" xfId="0" applyNumberFormat="1" applyFont="1" applyFill="1" applyBorder="1" applyAlignment="1" applyProtection="1">
      <alignment horizontal="left" vertical="center" wrapText="1"/>
      <protection locked="0"/>
    </xf>
    <xf numFmtId="168" fontId="0" fillId="7" borderId="12" xfId="0" applyNumberFormat="1" applyFont="1" applyFill="1" applyBorder="1" applyAlignment="1" applyProtection="1">
      <alignment horizontal="left" vertical="center" wrapText="1"/>
      <protection locked="0"/>
    </xf>
    <xf numFmtId="0" fontId="0" fillId="0" borderId="14" xfId="0" applyFont="1" applyBorder="1" applyAlignment="1" applyProtection="1">
      <alignment horizontal="left" vertical="center" wrapText="1"/>
      <protection locked="0"/>
    </xf>
    <xf numFmtId="0" fontId="0" fillId="0" borderId="12" xfId="0" applyFont="1" applyBorder="1" applyAlignment="1" applyProtection="1">
      <alignment horizontal="left" vertical="center" wrapText="1"/>
      <protection locked="0"/>
    </xf>
    <xf numFmtId="165" fontId="0" fillId="0" borderId="12" xfId="0" applyNumberFormat="1" applyFont="1" applyBorder="1" applyAlignment="1" applyProtection="1">
      <alignment horizontal="left" vertical="center" wrapText="1"/>
      <protection locked="0"/>
    </xf>
    <xf numFmtId="168" fontId="0" fillId="0" borderId="12" xfId="0" applyNumberFormat="1" applyFont="1" applyBorder="1" applyAlignment="1" applyProtection="1">
      <alignment horizontal="left" vertical="center" wrapText="1"/>
      <protection locked="0"/>
    </xf>
    <xf numFmtId="0" fontId="0" fillId="0" borderId="0" xfId="0" applyFont="1" applyFill="1" applyBorder="1" applyAlignment="1" applyProtection="1">
      <alignment horizontal="left" vertical="center" wrapText="1"/>
      <protection locked="0"/>
    </xf>
    <xf numFmtId="0" fontId="0" fillId="0" borderId="0" xfId="0" applyFont="1" applyAlignment="1" applyProtection="1">
      <alignment horizontal="left" vertical="center" wrapText="1"/>
      <protection locked="0"/>
    </xf>
    <xf numFmtId="168" fontId="0" fillId="0" borderId="0" xfId="0" applyNumberFormat="1" applyFont="1" applyFill="1" applyBorder="1" applyAlignment="1" applyProtection="1">
      <alignment horizontal="left" vertical="center" wrapText="1"/>
      <protection locked="0"/>
    </xf>
    <xf numFmtId="168" fontId="0" fillId="0" borderId="0" xfId="0" applyNumberFormat="1" applyAlignment="1" applyProtection="1">
      <alignment horizontal="left" vertical="center" wrapText="1"/>
      <protection locked="0"/>
    </xf>
    <xf numFmtId="166" fontId="0" fillId="0" borderId="0" xfId="0" applyNumberFormat="1" applyAlignment="1" applyProtection="1">
      <alignment horizontal="left" vertical="center" wrapText="1"/>
      <protection locked="0"/>
    </xf>
    <xf numFmtId="0" fontId="0" fillId="4" borderId="20" xfId="0" applyNumberFormat="1" applyFont="1" applyFill="1" applyBorder="1" applyAlignment="1" applyProtection="1">
      <alignment horizontal="left" vertical="center" wrapText="1"/>
    </xf>
    <xf numFmtId="0" fontId="0" fillId="5" borderId="12" xfId="0" applyNumberFormat="1" applyFont="1" applyFill="1" applyBorder="1" applyAlignment="1" applyProtection="1">
      <alignment horizontal="left" vertical="center" wrapText="1"/>
    </xf>
    <xf numFmtId="1" fontId="5" fillId="5" borderId="12" xfId="0" applyNumberFormat="1" applyFont="1" applyFill="1" applyBorder="1" applyAlignment="1" applyProtection="1">
      <alignment horizontal="left" vertical="center" wrapText="1"/>
    </xf>
    <xf numFmtId="0" fontId="6" fillId="3" borderId="22" xfId="0" applyNumberFormat="1" applyFont="1" applyFill="1" applyBorder="1" applyAlignment="1" applyProtection="1">
      <alignment horizontal="center" vertical="center" wrapText="1"/>
    </xf>
    <xf numFmtId="0" fontId="0" fillId="5" borderId="4" xfId="0" applyNumberFormat="1" applyFont="1" applyFill="1" applyBorder="1" applyAlignment="1" applyProtection="1">
      <alignment horizontal="left" vertical="center" wrapText="1"/>
    </xf>
    <xf numFmtId="169" fontId="0" fillId="0" borderId="0" xfId="0" applyNumberFormat="1" applyFont="1" applyFill="1" applyBorder="1" applyAlignment="1" applyProtection="1">
      <alignment horizontal="left" vertical="center" wrapText="1"/>
      <protection locked="0"/>
    </xf>
    <xf numFmtId="169" fontId="0" fillId="0" borderId="0" xfId="0" applyNumberFormat="1" applyAlignment="1" applyProtection="1">
      <alignment horizontal="left" vertical="center" wrapText="1"/>
      <protection locked="0"/>
    </xf>
    <xf numFmtId="167" fontId="0" fillId="0" borderId="0" xfId="0" applyNumberFormat="1" applyAlignment="1" applyProtection="1">
      <alignment horizontal="left" vertical="center" wrapText="1"/>
      <protection locked="0"/>
    </xf>
    <xf numFmtId="0" fontId="6" fillId="3" borderId="8" xfId="0" applyFont="1" applyFill="1" applyBorder="1" applyAlignment="1" applyProtection="1">
      <alignment horizontal="center" vertical="center" wrapText="1"/>
    </xf>
    <xf numFmtId="1" fontId="5" fillId="5" borderId="16" xfId="0" applyNumberFormat="1" applyFont="1" applyFill="1" applyBorder="1" applyAlignment="1" applyProtection="1">
      <alignment horizontal="left" vertical="center" wrapText="1"/>
    </xf>
    <xf numFmtId="49" fontId="0" fillId="5" borderId="12" xfId="0" applyNumberFormat="1" applyFont="1" applyFill="1" applyBorder="1" applyAlignment="1" applyProtection="1">
      <alignment horizontal="left" vertical="center" wrapText="1"/>
    </xf>
    <xf numFmtId="170" fontId="0" fillId="0" borderId="0" xfId="0" applyNumberFormat="1" applyFont="1" applyFill="1" applyBorder="1" applyAlignment="1" applyProtection="1">
      <alignment horizontal="left" vertical="center" wrapText="1"/>
      <protection locked="0"/>
    </xf>
    <xf numFmtId="167" fontId="0" fillId="0" borderId="0" xfId="0" applyNumberFormat="1" applyFont="1" applyFill="1" applyBorder="1" applyAlignment="1" applyProtection="1">
      <alignment horizontal="left" vertical="center" wrapText="1"/>
      <protection locked="0"/>
    </xf>
    <xf numFmtId="170" fontId="0" fillId="0" borderId="0" xfId="0" applyNumberFormat="1" applyAlignment="1" applyProtection="1">
      <alignment horizontal="left" vertical="center" wrapText="1"/>
      <protection locked="0"/>
    </xf>
    <xf numFmtId="167" fontId="0" fillId="0" borderId="0" xfId="0" applyNumberFormat="1" applyFont="1" applyFill="1" applyAlignment="1" applyProtection="1">
      <alignment horizontal="left" vertical="center" wrapText="1"/>
      <protection locked="0"/>
    </xf>
    <xf numFmtId="0" fontId="0" fillId="0" borderId="0" xfId="0" applyFill="1" applyBorder="1" applyAlignment="1" applyProtection="1">
      <alignment horizontal="left" vertical="center" wrapText="1"/>
    </xf>
    <xf numFmtId="0" fontId="0" fillId="11" borderId="0" xfId="0" applyFont="1" applyFill="1" applyBorder="1" applyAlignment="1" applyProtection="1">
      <alignment horizontal="left" vertical="center" wrapText="1"/>
    </xf>
    <xf numFmtId="0" fontId="6" fillId="3" borderId="15" xfId="0" applyFont="1" applyFill="1" applyBorder="1" applyAlignment="1" applyProtection="1">
      <alignment horizontal="center" vertical="center" wrapText="1"/>
    </xf>
    <xf numFmtId="0" fontId="0" fillId="0" borderId="0" xfId="0" applyAlignment="1" applyProtection="1">
      <alignment horizontal="center" vertical="center" wrapText="1"/>
    </xf>
    <xf numFmtId="0" fontId="0" fillId="11" borderId="0" xfId="0" applyFill="1" applyAlignment="1" applyProtection="1">
      <alignment horizontal="left" vertical="center" wrapText="1"/>
    </xf>
    <xf numFmtId="0" fontId="0" fillId="2" borderId="0" xfId="0" applyFill="1" applyAlignment="1" applyProtection="1">
      <alignment horizontal="centerContinuous" vertical="center" wrapText="1"/>
    </xf>
    <xf numFmtId="0" fontId="0" fillId="2" borderId="0" xfId="0" applyNumberFormat="1" applyFill="1" applyAlignment="1" applyProtection="1">
      <alignment horizontal="centerContinuous" vertical="center" wrapText="1"/>
    </xf>
    <xf numFmtId="0" fontId="0" fillId="2" borderId="0" xfId="0" applyFill="1" applyAlignment="1" applyProtection="1">
      <alignment horizontal="left" vertical="center"/>
    </xf>
    <xf numFmtId="0" fontId="0" fillId="2" borderId="0" xfId="0" applyNumberFormat="1" applyFill="1" applyAlignment="1" applyProtection="1">
      <alignment horizontal="left" vertical="center"/>
    </xf>
    <xf numFmtId="0" fontId="0" fillId="0" borderId="9" xfId="0" applyBorder="1" applyAlignment="1" applyProtection="1">
      <alignment horizontal="center" vertical="center" wrapText="1"/>
    </xf>
    <xf numFmtId="0" fontId="0" fillId="4" borderId="2" xfId="0" applyNumberFormat="1" applyFont="1" applyFill="1" applyBorder="1" applyAlignment="1" applyProtection="1">
      <alignment horizontal="left" vertical="center"/>
    </xf>
    <xf numFmtId="14" fontId="0" fillId="0" borderId="4" xfId="0" applyNumberFormat="1" applyBorder="1" applyAlignment="1">
      <alignment horizontal="center"/>
    </xf>
    <xf numFmtId="168" fontId="3" fillId="2" borderId="0" xfId="0" applyNumberFormat="1" applyFont="1" applyFill="1" applyAlignment="1">
      <alignment horizontal="left" vertical="center"/>
    </xf>
    <xf numFmtId="0" fontId="0" fillId="0" borderId="3" xfId="0" applyBorder="1" applyAlignment="1">
      <alignment horizontal="center"/>
    </xf>
    <xf numFmtId="2" fontId="0" fillId="0" borderId="3" xfId="0" applyNumberFormat="1" applyBorder="1" applyAlignment="1">
      <alignment horizontal="center"/>
    </xf>
    <xf numFmtId="0" fontId="0" fillId="0" borderId="28" xfId="0" applyBorder="1" applyAlignment="1">
      <alignment horizontal="center"/>
    </xf>
    <xf numFmtId="0" fontId="0" fillId="0" borderId="28" xfId="0" applyBorder="1" applyAlignment="1">
      <alignment horizontal="left"/>
    </xf>
    <xf numFmtId="0" fontId="0" fillId="0" borderId="29"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6" fillId="6" borderId="22" xfId="0" applyFont="1" applyFill="1" applyBorder="1" applyAlignment="1">
      <alignment horizontal="center" vertical="center" wrapText="1"/>
    </xf>
    <xf numFmtId="0" fontId="0" fillId="4" borderId="20" xfId="0" applyFont="1" applyFill="1" applyBorder="1" applyAlignment="1">
      <alignment horizontal="left" vertical="center" wrapText="1"/>
    </xf>
    <xf numFmtId="0" fontId="6" fillId="3" borderId="7" xfId="0" applyFont="1" applyFill="1" applyBorder="1" applyAlignment="1">
      <alignment horizontal="center" vertical="center" wrapText="1"/>
    </xf>
    <xf numFmtId="0" fontId="6" fillId="3" borderId="8" xfId="0" applyFont="1" applyFill="1" applyBorder="1" applyAlignment="1">
      <alignment horizontal="center" vertical="center" wrapText="1"/>
    </xf>
    <xf numFmtId="171" fontId="0" fillId="0" borderId="12" xfId="0" applyNumberFormat="1" applyFont="1" applyFill="1" applyBorder="1" applyAlignment="1" applyProtection="1">
      <alignment horizontal="left" vertical="center" wrapText="1"/>
      <protection locked="0"/>
    </xf>
    <xf numFmtId="171" fontId="0" fillId="7" borderId="12" xfId="0" applyNumberFormat="1" applyFont="1" applyFill="1" applyBorder="1" applyAlignment="1" applyProtection="1">
      <alignment horizontal="left" vertical="center" wrapText="1"/>
      <protection locked="0"/>
    </xf>
    <xf numFmtId="171" fontId="0" fillId="0" borderId="12" xfId="0" applyNumberFormat="1" applyFont="1" applyBorder="1" applyAlignment="1" applyProtection="1">
      <alignment horizontal="left" vertical="center" wrapText="1"/>
      <protection locked="0"/>
    </xf>
    <xf numFmtId="0" fontId="0" fillId="4" borderId="5" xfId="0" applyFont="1" applyFill="1" applyBorder="1" applyAlignment="1">
      <alignment horizontal="left" vertical="center" wrapText="1"/>
    </xf>
    <xf numFmtId="0" fontId="0" fillId="5" borderId="14" xfId="0" applyFont="1" applyFill="1" applyBorder="1" applyAlignment="1">
      <alignment horizontal="left" vertical="center" wrapText="1"/>
    </xf>
    <xf numFmtId="49" fontId="0" fillId="5" borderId="14" xfId="0" applyNumberFormat="1" applyFont="1" applyFill="1" applyBorder="1" applyAlignment="1">
      <alignment horizontal="left" vertical="center" wrapText="1"/>
    </xf>
    <xf numFmtId="0" fontId="1" fillId="3" borderId="8" xfId="0" applyFont="1" applyFill="1" applyBorder="1" applyAlignment="1" applyProtection="1">
      <alignment horizontal="centerContinuous" vertical="center" wrapText="1"/>
    </xf>
    <xf numFmtId="0" fontId="0" fillId="4" borderId="26" xfId="0" applyFont="1" applyFill="1" applyBorder="1" applyAlignment="1">
      <alignment horizontal="left" vertical="center" wrapText="1"/>
    </xf>
    <xf numFmtId="0" fontId="0" fillId="4" borderId="30" xfId="0" applyFont="1" applyFill="1" applyBorder="1" applyAlignment="1">
      <alignment horizontal="left" vertical="center" wrapText="1"/>
    </xf>
    <xf numFmtId="49" fontId="0" fillId="5" borderId="16" xfId="0" applyNumberFormat="1" applyFont="1" applyFill="1" applyBorder="1" applyAlignment="1">
      <alignment horizontal="left" vertical="center" wrapText="1"/>
    </xf>
    <xf numFmtId="49" fontId="0" fillId="5" borderId="31" xfId="0" applyNumberFormat="1" applyFont="1" applyFill="1" applyBorder="1" applyAlignment="1">
      <alignment horizontal="left" vertical="center" wrapText="1"/>
    </xf>
    <xf numFmtId="168" fontId="0" fillId="7" borderId="32" xfId="0" applyNumberFormat="1" applyFont="1" applyFill="1" applyBorder="1" applyAlignment="1" applyProtection="1">
      <alignment horizontal="left" vertical="center" wrapText="1"/>
      <protection locked="0"/>
    </xf>
    <xf numFmtId="0" fontId="0" fillId="5" borderId="31" xfId="0" applyFont="1" applyFill="1" applyBorder="1" applyAlignment="1">
      <alignment horizontal="left" vertical="center" wrapText="1"/>
    </xf>
    <xf numFmtId="171" fontId="0" fillId="7" borderId="33" xfId="0" applyNumberFormat="1" applyFont="1" applyFill="1" applyBorder="1" applyAlignment="1" applyProtection="1">
      <alignment horizontal="left" vertical="center" wrapText="1"/>
      <protection locked="0"/>
    </xf>
    <xf numFmtId="171" fontId="0" fillId="7" borderId="32" xfId="0" applyNumberFormat="1" applyFont="1" applyFill="1" applyBorder="1" applyAlignment="1" applyProtection="1">
      <alignment horizontal="left" vertical="center" wrapText="1"/>
      <protection locked="0"/>
    </xf>
    <xf numFmtId="0" fontId="0" fillId="4" borderId="0" xfId="0" applyFont="1" applyFill="1" applyBorder="1" applyAlignment="1">
      <alignment horizontal="left" vertical="center" wrapText="1"/>
    </xf>
    <xf numFmtId="171" fontId="0" fillId="0" borderId="14" xfId="0" applyNumberFormat="1" applyFont="1" applyFill="1" applyBorder="1" applyAlignment="1" applyProtection="1">
      <alignment horizontal="left" vertical="center" wrapText="1"/>
      <protection locked="0"/>
    </xf>
    <xf numFmtId="171" fontId="0" fillId="7" borderId="14" xfId="0" applyNumberFormat="1" applyFont="1" applyFill="1" applyBorder="1" applyAlignment="1" applyProtection="1">
      <alignment horizontal="left" vertical="center" wrapText="1"/>
      <protection locked="0"/>
    </xf>
    <xf numFmtId="171" fontId="0" fillId="0" borderId="14" xfId="0" applyNumberFormat="1" applyFont="1" applyBorder="1" applyAlignment="1" applyProtection="1">
      <alignment horizontal="left" vertical="center" wrapText="1"/>
      <protection locked="0"/>
    </xf>
    <xf numFmtId="171" fontId="0" fillId="7" borderId="35" xfId="0" applyNumberFormat="1" applyFont="1" applyFill="1" applyBorder="1" applyAlignment="1" applyProtection="1">
      <alignment horizontal="left" vertical="center" wrapText="1"/>
      <protection locked="0"/>
    </xf>
    <xf numFmtId="49" fontId="0" fillId="4" borderId="26" xfId="0" applyNumberFormat="1" applyFont="1" applyFill="1" applyBorder="1" applyAlignment="1">
      <alignment horizontal="left" vertical="center" wrapText="1"/>
    </xf>
    <xf numFmtId="0" fontId="0" fillId="4" borderId="37" xfId="0" applyFont="1" applyFill="1" applyBorder="1" applyAlignment="1">
      <alignment horizontal="left" vertical="center" wrapText="1"/>
    </xf>
    <xf numFmtId="0" fontId="0" fillId="5" borderId="38" xfId="0" applyFont="1" applyFill="1" applyBorder="1" applyAlignment="1">
      <alignment horizontal="left" vertical="center" wrapText="1"/>
    </xf>
    <xf numFmtId="49" fontId="0" fillId="5" borderId="38" xfId="0" applyNumberFormat="1" applyFont="1" applyFill="1" applyBorder="1" applyAlignment="1">
      <alignment horizontal="left" vertical="center" wrapText="1"/>
    </xf>
    <xf numFmtId="0" fontId="0" fillId="0" borderId="16" xfId="0" applyFont="1" applyFill="1" applyBorder="1" applyAlignment="1" applyProtection="1">
      <alignment horizontal="left" vertical="center" wrapText="1"/>
      <protection locked="0"/>
    </xf>
    <xf numFmtId="171" fontId="0" fillId="0" borderId="38" xfId="0" applyNumberFormat="1" applyFont="1" applyFill="1" applyBorder="1" applyAlignment="1" applyProtection="1">
      <alignment horizontal="left" vertical="center" wrapText="1"/>
      <protection locked="0"/>
    </xf>
    <xf numFmtId="0" fontId="0" fillId="7" borderId="16" xfId="0" applyFont="1" applyFill="1" applyBorder="1" applyAlignment="1" applyProtection="1">
      <alignment horizontal="left" vertical="center" wrapText="1"/>
      <protection locked="0"/>
    </xf>
    <xf numFmtId="171" fontId="0" fillId="7" borderId="38" xfId="0" applyNumberFormat="1" applyFont="1" applyFill="1" applyBorder="1" applyAlignment="1" applyProtection="1">
      <alignment horizontal="left" vertical="center" wrapText="1"/>
      <protection locked="0"/>
    </xf>
    <xf numFmtId="0" fontId="0" fillId="0" borderId="16" xfId="0" applyFont="1" applyBorder="1" applyAlignment="1" applyProtection="1">
      <alignment horizontal="left" vertical="center" wrapText="1"/>
      <protection locked="0"/>
    </xf>
    <xf numFmtId="171" fontId="0" fillId="0" borderId="38" xfId="0" applyNumberFormat="1" applyFont="1" applyBorder="1" applyAlignment="1" applyProtection="1">
      <alignment horizontal="left" vertical="center" wrapText="1"/>
      <protection locked="0"/>
    </xf>
    <xf numFmtId="0" fontId="0" fillId="7" borderId="34" xfId="0" applyFont="1" applyFill="1" applyBorder="1" applyAlignment="1" applyProtection="1">
      <alignment horizontal="left" vertical="center" wrapText="1"/>
      <protection locked="0"/>
    </xf>
    <xf numFmtId="0" fontId="0" fillId="7" borderId="32" xfId="0" applyFont="1" applyFill="1" applyBorder="1" applyAlignment="1" applyProtection="1">
      <alignment horizontal="left" vertical="center" wrapText="1"/>
      <protection locked="0"/>
    </xf>
    <xf numFmtId="165" fontId="0" fillId="7" borderId="32" xfId="0" applyNumberFormat="1" applyFont="1" applyFill="1" applyBorder="1" applyAlignment="1" applyProtection="1">
      <alignment horizontal="left" vertical="center" wrapText="1"/>
      <protection locked="0"/>
    </xf>
    <xf numFmtId="0" fontId="6" fillId="3" borderId="23" xfId="0" applyFont="1" applyFill="1" applyBorder="1" applyAlignment="1">
      <alignment horizontal="center" vertical="center" wrapText="1"/>
    </xf>
    <xf numFmtId="0" fontId="10" fillId="3" borderId="40" xfId="0" applyFont="1" applyFill="1" applyBorder="1" applyAlignment="1">
      <alignment horizontal="center" wrapText="1"/>
    </xf>
    <xf numFmtId="0" fontId="0" fillId="4" borderId="39" xfId="0" applyFill="1" applyBorder="1" applyAlignment="1">
      <alignment horizontal="left" vertical="top" wrapText="1"/>
    </xf>
    <xf numFmtId="0" fontId="0" fillId="4" borderId="0" xfId="0" applyFill="1" applyAlignment="1">
      <alignment horizontal="left" vertical="top" wrapText="1"/>
    </xf>
    <xf numFmtId="1" fontId="0" fillId="5" borderId="41" xfId="0" applyNumberFormat="1" applyFill="1" applyBorder="1" applyAlignment="1">
      <alignment horizontal="left" vertical="top" wrapText="1"/>
    </xf>
    <xf numFmtId="49" fontId="0" fillId="4" borderId="0" xfId="0" applyNumberFormat="1" applyFont="1" applyFill="1" applyBorder="1" applyAlignment="1" applyProtection="1">
      <alignment horizontal="left" vertical="center"/>
    </xf>
    <xf numFmtId="0" fontId="6" fillId="3" borderId="42" xfId="0" applyFont="1" applyFill="1" applyBorder="1" applyAlignment="1" applyProtection="1">
      <alignment horizontal="center" vertical="center" wrapText="1"/>
    </xf>
    <xf numFmtId="0" fontId="0" fillId="8" borderId="0" xfId="0" applyFont="1" applyFill="1" applyBorder="1" applyAlignment="1">
      <alignment horizontal="left" vertical="center" wrapText="1"/>
    </xf>
    <xf numFmtId="0" fontId="0" fillId="5" borderId="0" xfId="0" applyFont="1" applyFill="1" applyBorder="1" applyAlignment="1">
      <alignment horizontal="left" vertical="center" wrapText="1"/>
    </xf>
    <xf numFmtId="0" fontId="6" fillId="3" borderId="43" xfId="0" applyFont="1" applyFill="1" applyBorder="1" applyAlignment="1" applyProtection="1">
      <alignment horizontal="center" vertical="center" wrapText="1"/>
    </xf>
    <xf numFmtId="0" fontId="0" fillId="5" borderId="0" xfId="0" applyFill="1" applyAlignment="1">
      <alignment horizontal="left" vertical="center" wrapText="1"/>
    </xf>
    <xf numFmtId="0" fontId="0" fillId="0" borderId="0" xfId="0" applyAlignment="1">
      <alignment horizontal="left" vertical="center"/>
    </xf>
    <xf numFmtId="0" fontId="0" fillId="4" borderId="0" xfId="0" applyFill="1" applyAlignment="1">
      <alignment horizontal="left" vertical="center"/>
    </xf>
    <xf numFmtId="1" fontId="5" fillId="4" borderId="2" xfId="0" applyNumberFormat="1" applyFont="1" applyFill="1" applyBorder="1" applyAlignment="1">
      <alignment horizontal="left" vertical="center"/>
    </xf>
    <xf numFmtId="0" fontId="0" fillId="0" borderId="9" xfId="0" applyBorder="1" applyAlignment="1">
      <alignment horizontal="center" vertical="center" wrapText="1"/>
    </xf>
    <xf numFmtId="0" fontId="1" fillId="3" borderId="22" xfId="0" applyFont="1" applyFill="1" applyBorder="1" applyAlignment="1">
      <alignment horizontal="center" vertical="center" wrapText="1"/>
    </xf>
    <xf numFmtId="0" fontId="1" fillId="3" borderId="23" xfId="0" applyFont="1" applyFill="1" applyBorder="1" applyAlignment="1">
      <alignment horizontal="center" vertical="center" wrapText="1"/>
    </xf>
    <xf numFmtId="0" fontId="1" fillId="3" borderId="21" xfId="0" applyFont="1" applyFill="1" applyBorder="1" applyAlignment="1">
      <alignment horizontal="center" vertical="center" wrapText="1"/>
    </xf>
    <xf numFmtId="0" fontId="1" fillId="3" borderId="24" xfId="0" applyFont="1" applyFill="1" applyBorder="1" applyAlignment="1">
      <alignment horizontal="center" vertical="center" wrapText="1"/>
    </xf>
    <xf numFmtId="0" fontId="0" fillId="0" borderId="0" xfId="0" applyAlignment="1">
      <alignment horizontal="center" vertical="center" wrapText="1"/>
    </xf>
    <xf numFmtId="0" fontId="1" fillId="3" borderId="17" xfId="0" applyFont="1" applyFill="1" applyBorder="1" applyAlignment="1">
      <alignment horizontal="centerContinuous" vertical="center"/>
    </xf>
    <xf numFmtId="0" fontId="1" fillId="3" borderId="8" xfId="0" applyFont="1" applyFill="1" applyBorder="1" applyAlignment="1">
      <alignment horizontal="centerContinuous" vertical="center"/>
    </xf>
    <xf numFmtId="0" fontId="1" fillId="3" borderId="24" xfId="0" applyFont="1" applyFill="1" applyBorder="1" applyAlignment="1">
      <alignment horizontal="centerContinuous" vertical="center"/>
    </xf>
    <xf numFmtId="1" fontId="0" fillId="0" borderId="0" xfId="0" applyNumberFormat="1" applyAlignment="1">
      <alignment horizontal="left" vertical="center"/>
    </xf>
    <xf numFmtId="1" fontId="7" fillId="0" borderId="0" xfId="0" applyNumberFormat="1" applyFont="1" applyAlignment="1">
      <alignment horizontal="left" vertical="center"/>
    </xf>
    <xf numFmtId="0" fontId="3" fillId="0" borderId="0" xfId="0" applyFont="1" applyAlignment="1">
      <alignment horizontal="left" vertical="center"/>
    </xf>
    <xf numFmtId="14" fontId="3" fillId="2" borderId="0" xfId="0" applyNumberFormat="1" applyFont="1" applyFill="1" applyAlignment="1">
      <alignment horizontal="left" vertical="center"/>
    </xf>
    <xf numFmtId="168" fontId="2" fillId="2" borderId="0" xfId="0" applyNumberFormat="1" applyFont="1" applyFill="1" applyAlignment="1">
      <alignment horizontal="left" vertical="center"/>
    </xf>
    <xf numFmtId="0" fontId="2" fillId="2" borderId="0" xfId="0" applyFont="1" applyFill="1" applyAlignment="1">
      <alignment horizontal="left" vertical="center"/>
    </xf>
    <xf numFmtId="2" fontId="3" fillId="2" borderId="0" xfId="0" applyNumberFormat="1" applyFont="1" applyFill="1" applyAlignment="1">
      <alignment horizontal="left" vertical="center"/>
    </xf>
    <xf numFmtId="0" fontId="3" fillId="0" borderId="0" xfId="0" applyFont="1" applyAlignment="1">
      <alignment horizontal="centerContinuous" vertical="center" wrapText="1"/>
    </xf>
    <xf numFmtId="0" fontId="3" fillId="2" borderId="0" xfId="0" applyFont="1" applyFill="1" applyAlignment="1">
      <alignment horizontal="centerContinuous" vertical="center" wrapText="1"/>
    </xf>
    <xf numFmtId="0" fontId="3" fillId="0" borderId="0" xfId="0" applyFont="1" applyAlignment="1">
      <alignment horizontal="left" vertical="center" wrapText="1"/>
    </xf>
    <xf numFmtId="164" fontId="0" fillId="5" borderId="14" xfId="0" applyNumberFormat="1" applyFont="1" applyFill="1" applyBorder="1" applyAlignment="1">
      <alignment horizontal="left" vertical="center" wrapText="1"/>
    </xf>
    <xf numFmtId="168" fontId="0" fillId="0" borderId="14" xfId="0" applyNumberFormat="1" applyFont="1" applyFill="1" applyBorder="1" applyAlignment="1" applyProtection="1">
      <alignment horizontal="left" vertical="center" wrapText="1"/>
      <protection locked="0"/>
    </xf>
    <xf numFmtId="168" fontId="0" fillId="7" borderId="14" xfId="0" applyNumberFormat="1" applyFont="1" applyFill="1" applyBorder="1" applyAlignment="1" applyProtection="1">
      <alignment horizontal="left" vertical="center" wrapText="1"/>
      <protection locked="0"/>
    </xf>
    <xf numFmtId="168" fontId="0" fillId="0" borderId="14" xfId="0" applyNumberFormat="1" applyFont="1" applyBorder="1" applyAlignment="1" applyProtection="1">
      <alignment horizontal="left" vertical="center" wrapText="1"/>
      <protection locked="0"/>
    </xf>
    <xf numFmtId="168" fontId="0" fillId="7" borderId="35" xfId="0" applyNumberFormat="1" applyFont="1" applyFill="1" applyBorder="1" applyAlignment="1" applyProtection="1">
      <alignment horizontal="left" vertical="center" wrapText="1"/>
      <protection locked="0"/>
    </xf>
    <xf numFmtId="0" fontId="6" fillId="3" borderId="46" xfId="0" applyFont="1" applyFill="1" applyBorder="1" applyAlignment="1">
      <alignment horizontal="center" vertical="center" wrapText="1"/>
    </xf>
    <xf numFmtId="0" fontId="6" fillId="3" borderId="30" xfId="0" applyFont="1" applyFill="1" applyBorder="1" applyAlignment="1">
      <alignment horizontal="center" vertical="center" wrapText="1"/>
    </xf>
    <xf numFmtId="171" fontId="0" fillId="0" borderId="4" xfId="0" applyNumberFormat="1" applyFont="1" applyFill="1" applyBorder="1" applyAlignment="1" applyProtection="1">
      <alignment horizontal="left" vertical="center" wrapText="1"/>
      <protection locked="0"/>
    </xf>
    <xf numFmtId="171" fontId="0" fillId="7" borderId="4" xfId="0" applyNumberFormat="1" applyFont="1" applyFill="1" applyBorder="1" applyAlignment="1" applyProtection="1">
      <alignment horizontal="left" vertical="center" wrapText="1"/>
      <protection locked="0"/>
    </xf>
    <xf numFmtId="171" fontId="0" fillId="0" borderId="4" xfId="0" applyNumberFormat="1" applyFont="1" applyBorder="1" applyAlignment="1" applyProtection="1">
      <alignment horizontal="left" vertical="center" wrapText="1"/>
      <protection locked="0"/>
    </xf>
    <xf numFmtId="0" fontId="0" fillId="4" borderId="47" xfId="0" applyFont="1" applyFill="1" applyBorder="1" applyAlignment="1">
      <alignment horizontal="left" vertical="center" wrapText="1"/>
    </xf>
    <xf numFmtId="0" fontId="0" fillId="5" borderId="48" xfId="0" applyFont="1" applyFill="1" applyBorder="1" applyAlignment="1">
      <alignment horizontal="left" vertical="center" wrapText="1"/>
    </xf>
    <xf numFmtId="49" fontId="0" fillId="5" borderId="48" xfId="0" applyNumberFormat="1" applyFont="1" applyFill="1" applyBorder="1" applyAlignment="1">
      <alignment horizontal="left" vertical="center" wrapText="1"/>
    </xf>
    <xf numFmtId="171" fontId="0" fillId="0" borderId="48" xfId="0" applyNumberFormat="1" applyFont="1" applyFill="1" applyBorder="1" applyAlignment="1" applyProtection="1">
      <alignment horizontal="left" vertical="center" wrapText="1"/>
      <protection locked="0"/>
    </xf>
    <xf numFmtId="171" fontId="0" fillId="7" borderId="48" xfId="0" applyNumberFormat="1" applyFont="1" applyFill="1" applyBorder="1" applyAlignment="1" applyProtection="1">
      <alignment horizontal="left" vertical="center" wrapText="1"/>
      <protection locked="0"/>
    </xf>
    <xf numFmtId="171" fontId="0" fillId="0" borderId="48" xfId="0" applyNumberFormat="1" applyFont="1" applyBorder="1" applyAlignment="1" applyProtection="1">
      <alignment horizontal="left" vertical="center" wrapText="1"/>
      <protection locked="0"/>
    </xf>
    <xf numFmtId="171" fontId="0" fillId="7" borderId="44" xfId="0" applyNumberFormat="1" applyFont="1" applyFill="1" applyBorder="1" applyAlignment="1" applyProtection="1">
      <alignment horizontal="left" vertical="center" wrapText="1"/>
      <protection locked="0"/>
    </xf>
    <xf numFmtId="0" fontId="6" fillId="3" borderId="42" xfId="0" applyFont="1" applyFill="1" applyBorder="1" applyAlignment="1">
      <alignment horizontal="center" vertical="center" wrapText="1"/>
    </xf>
    <xf numFmtId="0" fontId="0" fillId="4" borderId="2" xfId="0" applyFont="1" applyFill="1" applyBorder="1" applyAlignment="1">
      <alignment horizontal="left" vertical="center" wrapText="1"/>
    </xf>
    <xf numFmtId="0" fontId="0" fillId="4" borderId="49" xfId="0" applyFont="1" applyFill="1" applyBorder="1" applyAlignment="1">
      <alignment horizontal="left" vertical="center" wrapText="1"/>
    </xf>
    <xf numFmtId="171" fontId="0" fillId="7" borderId="45" xfId="0" applyNumberFormat="1" applyFont="1" applyFill="1" applyBorder="1" applyAlignment="1" applyProtection="1">
      <alignment horizontal="left" vertical="center" wrapText="1"/>
      <protection locked="0"/>
    </xf>
    <xf numFmtId="0" fontId="6" fillId="3" borderId="19" xfId="0" applyFont="1" applyFill="1" applyBorder="1" applyAlignment="1">
      <alignment horizontal="center" vertical="center" wrapText="1"/>
    </xf>
    <xf numFmtId="0" fontId="6" fillId="3" borderId="36" xfId="0" applyFont="1" applyFill="1" applyBorder="1" applyAlignment="1">
      <alignment horizontal="center" vertical="center" wrapText="1"/>
    </xf>
    <xf numFmtId="0" fontId="0" fillId="5" borderId="16" xfId="0" applyFont="1" applyFill="1" applyBorder="1" applyAlignment="1">
      <alignment horizontal="left" vertical="center" wrapText="1"/>
    </xf>
    <xf numFmtId="0" fontId="0" fillId="0" borderId="31" xfId="0" applyFont="1" applyFill="1" applyBorder="1" applyAlignment="1" applyProtection="1">
      <alignment horizontal="left" vertical="center" wrapText="1"/>
      <protection locked="0"/>
    </xf>
    <xf numFmtId="0" fontId="0" fillId="7" borderId="31" xfId="0" applyFont="1" applyFill="1" applyBorder="1" applyAlignment="1" applyProtection="1">
      <alignment horizontal="left" vertical="center" wrapText="1"/>
      <protection locked="0"/>
    </xf>
    <xf numFmtId="0" fontId="0" fillId="0" borderId="31" xfId="0" applyFont="1" applyBorder="1" applyAlignment="1" applyProtection="1">
      <alignment horizontal="left" vertical="center" wrapText="1"/>
      <protection locked="0"/>
    </xf>
    <xf numFmtId="0" fontId="0" fillId="7" borderId="33" xfId="0" applyFont="1" applyFill="1" applyBorder="1" applyAlignment="1" applyProtection="1">
      <alignment horizontal="left" vertical="center" wrapText="1"/>
      <protection locked="0"/>
    </xf>
    <xf numFmtId="14" fontId="0" fillId="0" borderId="0" xfId="0" applyNumberFormat="1" applyFont="1" applyFill="1" applyBorder="1" applyAlignment="1" applyProtection="1">
      <alignment horizontal="left" vertical="center" wrapText="1"/>
    </xf>
    <xf numFmtId="0" fontId="0" fillId="12" borderId="0" xfId="0" applyFill="1"/>
    <xf numFmtId="0" fontId="15" fillId="2" borderId="0" xfId="0" applyFont="1" applyFill="1" applyAlignment="1">
      <alignment horizontal="centerContinuous" vertical="center" wrapText="1"/>
    </xf>
    <xf numFmtId="0" fontId="0" fillId="2" borderId="0" xfId="0" applyFill="1" applyAlignment="1">
      <alignment horizontal="centerContinuous" vertical="center" wrapText="1"/>
    </xf>
    <xf numFmtId="0" fontId="0" fillId="2" borderId="0" xfId="0" applyFill="1" applyAlignment="1">
      <alignment horizontal="left" vertical="center"/>
    </xf>
    <xf numFmtId="49" fontId="0" fillId="4" borderId="2" xfId="0" applyNumberFormat="1" applyFill="1" applyBorder="1" applyAlignment="1">
      <alignment horizontal="left" vertical="center"/>
    </xf>
    <xf numFmtId="0" fontId="0" fillId="4" borderId="2" xfId="0" applyFill="1" applyBorder="1" applyAlignment="1">
      <alignment horizontal="left" vertical="center"/>
    </xf>
    <xf numFmtId="49" fontId="0" fillId="5" borderId="4" xfId="0" applyNumberFormat="1" applyFill="1" applyBorder="1" applyAlignment="1">
      <alignment horizontal="left" vertical="center" wrapText="1"/>
    </xf>
    <xf numFmtId="0" fontId="0" fillId="5" borderId="4" xfId="0" applyFill="1" applyBorder="1" applyAlignment="1">
      <alignment horizontal="left" vertical="center" wrapText="1"/>
    </xf>
    <xf numFmtId="49" fontId="0" fillId="5" borderId="12" xfId="0" applyNumberFormat="1" applyFill="1" applyBorder="1" applyAlignment="1">
      <alignment horizontal="left" vertical="center" wrapText="1"/>
    </xf>
    <xf numFmtId="1" fontId="5" fillId="5" borderId="18" xfId="0" applyNumberFormat="1" applyFont="1" applyFill="1" applyBorder="1" applyAlignment="1">
      <alignment horizontal="left" vertical="center" wrapText="1"/>
    </xf>
    <xf numFmtId="0" fontId="0" fillId="11" borderId="0" xfId="0" applyFill="1" applyAlignment="1">
      <alignment horizontal="left" vertical="center" wrapText="1"/>
    </xf>
    <xf numFmtId="0" fontId="0" fillId="5" borderId="12" xfId="0" applyFill="1" applyBorder="1" applyAlignment="1">
      <alignment horizontal="left" vertical="center" wrapText="1"/>
    </xf>
  </cellXfs>
  <cellStyles count="1">
    <cellStyle name="Normal" xfId="0" builtinId="0"/>
  </cellStyles>
  <dxfs count="141">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top style="thin">
          <color theme="8"/>
        </top>
      </border>
    </dxf>
    <dxf>
      <border outline="0">
        <bottom style="thin">
          <color theme="8"/>
        </bottom>
      </border>
    </dxf>
    <dxf>
      <font>
        <b/>
        <i val="0"/>
        <strike val="0"/>
        <condense val="0"/>
        <extend val="0"/>
        <outline val="0"/>
        <shadow val="0"/>
        <u val="none"/>
        <vertAlign val="baseline"/>
        <sz val="11"/>
        <color theme="8" tint="-0.249977111117893"/>
        <name val="Calibri"/>
        <family val="2"/>
        <scheme val="minor"/>
      </font>
    </dxf>
    <dxf>
      <numFmt numFmtId="0" formatCode="General"/>
    </dxf>
    <dxf>
      <numFmt numFmtId="0" formatCode="General"/>
    </dxf>
    <dxf>
      <numFmt numFmtId="0" formatCode="General"/>
    </dxf>
    <dxf>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medium">
          <color indexed="64"/>
        </bottom>
      </border>
    </dxf>
    <dxf>
      <font>
        <b/>
        <i val="0"/>
        <strike val="0"/>
        <condense val="0"/>
        <extend val="0"/>
        <outline val="0"/>
        <shadow val="0"/>
        <u val="none"/>
        <vertAlign val="baseline"/>
        <sz val="11"/>
        <color rgb="FF000000"/>
        <name val="Calibri"/>
        <family val="2"/>
        <scheme val="minor"/>
      </font>
      <fill>
        <gradientFill degree="90">
          <stop position="0">
            <color rgb="FFEEECE1"/>
          </stop>
          <stop position="1">
            <color rgb="FFEEECE1"/>
          </stop>
        </gradient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val="0"/>
        <i val="0"/>
        <strike val="0"/>
        <condense val="0"/>
        <extend val="0"/>
        <outline val="0"/>
        <shadow val="0"/>
        <u val="none"/>
        <vertAlign val="baseline"/>
        <sz val="11"/>
        <color theme="1"/>
        <name val="Calibri"/>
        <family val="2"/>
        <scheme val="minor"/>
      </font>
      <alignment horizontal="left" vertical="center" textRotation="0" wrapText="1" indent="0" justifyLastLine="0" shrinkToFit="0" readingOrder="0"/>
      <protection locked="0" hidden="0"/>
    </dxf>
    <dxf>
      <numFmt numFmtId="166" formatCode="m/d/yyyy;@"/>
      <alignment horizontal="left" vertical="center" textRotation="0" wrapText="1" indent="0" justifyLastLine="0" shrinkToFit="0" readingOrder="0"/>
      <protection locked="0" hidden="0"/>
    </dxf>
    <dxf>
      <numFmt numFmtId="166" formatCode="m/d/yyyy;@"/>
      <alignment horizontal="left" vertical="center" textRotation="0" wrapText="1" indent="0" justifyLastLine="0" shrinkToFit="0" readingOrder="0"/>
    </dxf>
    <dxf>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0" hidden="0"/>
    </dxf>
    <dxf>
      <border outline="0">
        <top style="thin">
          <color rgb="FF000000"/>
        </top>
      </border>
    </dxf>
    <dxf>
      <alignment horizontal="left" vertical="center" textRotation="0" wrapText="1" indent="0" justifyLastLine="0" shrinkToFit="0" readingOrder="0"/>
    </dxf>
    <dxf>
      <border>
        <bottom style="medium">
          <color rgb="FF000000"/>
        </bottom>
      </border>
    </dxf>
    <dxf>
      <font>
        <b/>
        <i val="0"/>
        <strike val="0"/>
        <condense val="0"/>
        <extend val="0"/>
        <outline val="0"/>
        <shadow val="0"/>
        <u val="none"/>
        <vertAlign val="baseline"/>
        <sz val="11"/>
        <color rgb="FF000000"/>
        <name val="Calibri"/>
        <family val="2"/>
        <scheme val="minor"/>
      </font>
      <fill>
        <patternFill patternType="solid">
          <fgColor indexed="64"/>
          <bgColor rgb="FFEEECE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alignment horizontal="left" vertical="center" textRotation="0" wrapText="1" indent="0" justifyLastLine="0" shrinkToFit="0" readingOrder="0"/>
    </dxf>
    <dxf>
      <numFmt numFmtId="0" formatCode="General"/>
      <alignment horizontal="left" vertical="center" textRotation="0" wrapText="1" indent="0" justifyLastLine="0" shrinkToFit="0" readingOrder="0"/>
      <protection locked="1" hidden="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border outline="0">
        <top style="thin">
          <color indexed="64"/>
        </top>
      </border>
    </dxf>
    <dxf>
      <alignment horizontal="left" vertical="center" textRotation="0" wrapText="1" indent="0" justifyLastLine="0" shrinkToFit="0" readingOrder="0"/>
    </dxf>
    <dxf>
      <border>
        <bottom style="medium">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EEECE1"/>
        </patternFill>
      </fill>
      <alignment horizontal="center" vertical="center" textRotation="0" wrapText="1" indent="0" justifyLastLine="0" shrinkToFit="0" readingOrder="0"/>
      <border diagonalUp="0" diagonalDown="0" outline="0">
        <left style="thin">
          <color indexed="64"/>
        </left>
        <right style="thin">
          <color indexed="64"/>
        </right>
        <top/>
        <bottom/>
      </border>
    </dxf>
    <dxf>
      <alignment horizontal="left" vertical="center" textRotation="0" wrapText="1" indent="0" justifyLastLine="0" shrinkToFit="0" readingOrder="0"/>
      <protection locked="0" hidden="0"/>
    </dxf>
    <dxf>
      <numFmt numFmtId="170" formatCode="0.0"/>
      <alignment horizontal="left" vertical="center" textRotation="0" wrapText="1" indent="0" justifyLastLine="0" shrinkToFit="0" readingOrder="0"/>
      <protection locked="0" hidden="0"/>
    </dxf>
    <dxf>
      <numFmt numFmtId="169" formatCode="[$-409]h:mm\ AM/PM;@"/>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1" hidden="0"/>
    </dxf>
    <dxf>
      <border outline="0">
        <top style="medium">
          <color indexed="64"/>
        </top>
      </border>
    </dxf>
    <dxf>
      <alignment horizontal="left" vertical="center" textRotation="0" wrapText="1" indent="0" justifyLastLine="0" shrinkToFit="0" readingOrder="0"/>
      <protection locked="0" hidden="0"/>
    </dxf>
    <dxf>
      <border>
        <bottom style="medium">
          <color indexed="64"/>
        </bottom>
      </border>
    </dxf>
    <dxf>
      <font>
        <b/>
        <i val="0"/>
        <strike val="0"/>
        <condense val="0"/>
        <extend val="0"/>
        <outline val="0"/>
        <shadow val="0"/>
        <u val="none"/>
        <vertAlign val="baseline"/>
        <sz val="11"/>
        <color rgb="FF000000"/>
        <name val="Calibri"/>
        <family val="2"/>
        <scheme val="minor"/>
      </font>
      <fill>
        <patternFill patternType="solid">
          <fgColor indexed="64"/>
          <bgColor rgb="FFEEECE1"/>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alibri"/>
        <family val="2"/>
        <scheme val="minor"/>
      </font>
      <alignment horizontal="left" vertical="center" textRotation="0" wrapText="1" indent="0" justifyLastLine="0" shrinkToFit="0" readingOrder="0"/>
      <protection locked="0" hidden="0"/>
    </dxf>
    <dxf>
      <alignment horizontal="left" vertical="center" textRotation="0" wrapText="1" indent="0" justifyLastLine="0" shrinkToFit="0" readingOrder="0"/>
    </dxf>
    <dxf>
      <numFmt numFmtId="166" formatCode="m/d/yyyy;@"/>
      <alignment horizontal="left" vertical="center" textRotation="0" wrapText="1" indent="0" justifyLastLine="0" shrinkToFit="0" readingOrder="0"/>
      <protection locked="0" hidden="0"/>
    </dxf>
    <dxf>
      <numFmt numFmtId="166" formatCode="m/d/yyyy;@"/>
      <alignment horizontal="left" vertical="center" textRotation="0" wrapText="1" indent="0" justifyLastLine="0" shrinkToFit="0" readingOrder="0"/>
    </dxf>
    <dxf>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0" hidden="0"/>
    </dxf>
    <dxf>
      <border outline="0">
        <top style="thin">
          <color rgb="FF000000"/>
        </top>
      </border>
    </dxf>
    <dxf>
      <alignment horizontal="left" vertical="center" textRotation="0" wrapText="1" indent="0" justifyLastLine="0" shrinkToFit="0" readingOrder="0"/>
    </dxf>
    <dxf>
      <border>
        <bottom style="medium">
          <color rgb="FF000000"/>
        </bottom>
      </border>
    </dxf>
    <dxf>
      <font>
        <b/>
        <i val="0"/>
        <strike val="0"/>
        <condense val="0"/>
        <extend val="0"/>
        <outline val="0"/>
        <shadow val="0"/>
        <u val="none"/>
        <vertAlign val="baseline"/>
        <sz val="11"/>
        <color rgb="FF000000"/>
        <name val="Calibri"/>
        <family val="2"/>
        <scheme val="minor"/>
      </font>
      <fill>
        <patternFill patternType="solid">
          <fgColor indexed="64"/>
          <bgColor rgb="FFEEECE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numFmt numFmtId="167" formatCode="h:mm;@"/>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0" hidden="0"/>
    </dxf>
    <dxf>
      <numFmt numFmtId="170" formatCode="0.0"/>
      <alignment horizontal="left" vertical="center" textRotation="0" wrapText="1" indent="0" justifyLastLine="0" shrinkToFit="0" readingOrder="0"/>
      <protection locked="0" hidden="0"/>
    </dxf>
    <dxf>
      <numFmt numFmtId="167" formatCode="h:mm;@"/>
      <alignment horizontal="left" vertical="center" textRotation="0" wrapText="1" indent="0" justifyLastLine="0" shrinkToFit="0" readingOrder="0"/>
      <protection locked="0" hidden="0"/>
    </dxf>
    <dxf>
      <numFmt numFmtId="167" formatCode="h:mm;@"/>
      <alignment horizontal="left" vertical="center" textRotation="0" wrapText="1" indent="0" justifyLastLine="0" shrinkToFit="0" readingOrder="0"/>
      <protection locked="0" hidden="0"/>
    </dxf>
    <dxf>
      <numFmt numFmtId="166" formatCode="m/d/yyyy;@"/>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1" hidden="0"/>
    </dxf>
    <dxf>
      <border outline="0">
        <top style="thin">
          <color indexed="64"/>
        </top>
      </border>
    </dxf>
    <dxf>
      <alignment horizontal="left" vertical="center" textRotation="0" wrapText="1" indent="0" justifyLastLine="0" shrinkToFit="0" readingOrder="0"/>
      <protection locked="0" hidden="0"/>
    </dxf>
    <dxf>
      <border>
        <bottom style="medium">
          <color indexed="64"/>
        </bottom>
      </border>
    </dxf>
    <dxf>
      <font>
        <b/>
        <i val="0"/>
        <strike val="0"/>
        <condense val="0"/>
        <extend val="0"/>
        <outline val="0"/>
        <shadow val="0"/>
        <u val="none"/>
        <vertAlign val="baseline"/>
        <sz val="11"/>
        <color rgb="FF000000"/>
        <name val="Calibri"/>
        <family val="2"/>
        <scheme val="minor"/>
      </font>
      <fill>
        <patternFill patternType="solid">
          <fgColor indexed="64"/>
          <bgColor rgb="FFEEECE1"/>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0" hidden="0"/>
    </dxf>
    <dxf>
      <numFmt numFmtId="170" formatCode="0.0"/>
      <alignment horizontal="left" vertical="center" textRotation="0" wrapText="1" indent="0" justifyLastLine="0" shrinkToFit="0" readingOrder="0"/>
      <protection locked="0" hidden="0"/>
    </dxf>
    <dxf>
      <numFmt numFmtId="170" formatCode="0.0"/>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1" hidden="0"/>
    </dxf>
    <dxf>
      <border outline="0">
        <top style="medium">
          <color indexed="64"/>
        </top>
      </border>
    </dxf>
    <dxf>
      <alignment horizontal="left" vertical="center" textRotation="0" wrapText="1" indent="0" justifyLastLine="0" shrinkToFit="0" readingOrder="0"/>
      <protection locked="0" hidden="0"/>
    </dxf>
    <dxf>
      <border>
        <bottom style="medium">
          <color indexed="64"/>
        </bottom>
      </border>
    </dxf>
    <dxf>
      <font>
        <b/>
        <i val="0"/>
        <strike val="0"/>
        <condense val="0"/>
        <extend val="0"/>
        <outline val="0"/>
        <shadow val="0"/>
        <u val="none"/>
        <vertAlign val="baseline"/>
        <sz val="11"/>
        <color rgb="FF000000"/>
        <name val="Calibri"/>
        <family val="2"/>
        <scheme val="minor"/>
      </font>
      <fill>
        <patternFill patternType="solid">
          <fgColor indexed="64"/>
          <bgColor rgb="FFEEECE1"/>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alignment horizontal="left" vertical="center" textRotation="0" wrapText="1" indent="0" justifyLastLine="0" shrinkToFit="0" readingOrder="0"/>
    </dxf>
    <dxf>
      <numFmt numFmtId="166" formatCode="m/d/yyyy;@"/>
      <alignment horizontal="left" vertical="center" textRotation="0" wrapText="1" indent="0" justifyLastLine="0" shrinkToFit="0" readingOrder="0"/>
      <protection locked="0" hidden="0"/>
    </dxf>
    <dxf>
      <numFmt numFmtId="166" formatCode="m/d/yyyy;@"/>
      <alignment horizontal="left" vertical="center" textRotation="0" wrapText="1" indent="0" justifyLastLine="0" shrinkToFit="0" readingOrder="0"/>
      <protection locked="0" hidden="0"/>
    </dxf>
    <dxf>
      <numFmt numFmtId="166" formatCode="m/d/yyyy;@"/>
      <alignment horizontal="left" vertical="center" textRotation="0" wrapText="1" indent="0" justifyLastLine="0" shrinkToFit="0" readingOrder="0"/>
    </dxf>
    <dxf>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1" hidden="0"/>
    </dxf>
    <dxf>
      <numFmt numFmtId="0" formatCode="General"/>
      <alignment horizontal="left" vertical="center" textRotation="0" wrapText="1" indent="0" justifyLastLine="0" shrinkToFit="0" readingOrder="0"/>
      <protection locked="1" hidden="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0" hidden="0"/>
    </dxf>
    <dxf>
      <border outline="0">
        <top style="thin">
          <color indexed="64"/>
        </top>
      </border>
    </dxf>
    <dxf>
      <alignment horizontal="left" vertical="center" textRotation="0" wrapText="1" indent="0" justifyLastLine="0" shrinkToFit="0" readingOrder="0"/>
    </dxf>
    <dxf>
      <border>
        <bottom style="medium">
          <color indexed="64"/>
        </bottom>
      </border>
    </dxf>
    <dxf>
      <font>
        <b/>
        <i val="0"/>
        <strike val="0"/>
        <condense val="0"/>
        <extend val="0"/>
        <outline val="0"/>
        <shadow val="0"/>
        <u val="none"/>
        <vertAlign val="baseline"/>
        <sz val="11"/>
        <color rgb="FF000000"/>
        <name val="Calibri"/>
        <family val="2"/>
        <scheme val="minor"/>
      </font>
      <fill>
        <patternFill patternType="solid">
          <fgColor indexed="64"/>
          <bgColor rgb="FFEEECE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alignment horizontal="left" vertical="center" textRotation="0" wrapText="1" indent="0" justifyLastLine="0" shrinkToFit="0"/>
      <border diagonalUp="0" diagonalDown="0">
        <left style="thin">
          <color indexed="64"/>
        </left>
        <right/>
        <top style="thin">
          <color indexed="64"/>
        </top>
        <bottom/>
      </border>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alignment horizontal="left" vertical="center" textRotation="0" wrapText="1" indent="0" justifyLastLine="0" shrinkToFit="0"/>
      <border diagonalUp="0" diagonalDown="0">
        <left style="medium">
          <color indexed="64"/>
        </left>
        <right/>
        <top style="thin">
          <color indexed="64"/>
        </top>
        <bottom/>
      </border>
    </dxf>
    <dxf>
      <font>
        <b val="0"/>
        <i val="0"/>
        <strike val="0"/>
        <condense val="0"/>
        <extend val="0"/>
        <outline val="0"/>
        <shadow val="0"/>
        <u val="none"/>
        <vertAlign val="baseline"/>
        <sz val="11"/>
        <color theme="1"/>
        <name val="Calibri"/>
        <family val="2"/>
        <scheme val="minor"/>
      </font>
      <numFmt numFmtId="166" formatCode="m/d/yyyy;@"/>
      <fill>
        <patternFill patternType="solid">
          <fgColor theme="0" tint="-0.14999847407452621"/>
          <bgColor theme="0" tint="-0.14999847407452621"/>
        </patternFill>
      </fill>
      <alignment horizontal="left" vertical="center" textRotation="0" wrapText="1" indent="0" justifyLastLine="0" shrinkToFit="0"/>
      <border diagonalUp="0" diagonalDown="0">
        <left style="thin">
          <color indexed="64"/>
        </left>
        <right/>
        <top style="thin">
          <color indexed="64"/>
        </top>
        <bottom/>
      </border>
    </dxf>
    <dxf>
      <font>
        <b val="0"/>
        <i val="0"/>
        <strike val="0"/>
        <condense val="0"/>
        <extend val="0"/>
        <outline val="0"/>
        <shadow val="0"/>
        <u val="none"/>
        <vertAlign val="baseline"/>
        <sz val="11"/>
        <color theme="1"/>
        <name val="Calibri"/>
        <family val="2"/>
        <scheme val="minor"/>
      </font>
      <numFmt numFmtId="166" formatCode="m/d/yyyy;@"/>
      <fill>
        <patternFill patternType="solid">
          <fgColor theme="0" tint="-0.14999847407452621"/>
          <bgColor theme="0" tint="-0.14999847407452621"/>
        </patternFill>
      </fill>
      <alignment horizontal="left" vertical="center" textRotation="0" wrapText="1" indent="0" justifyLastLine="0" shrinkToFit="0"/>
      <border diagonalUp="0" diagonalDown="0">
        <left style="medium">
          <color indexed="64"/>
        </left>
        <right/>
        <top style="thin">
          <color indexed="64"/>
        </top>
        <bottom/>
      </border>
    </dxf>
    <dxf>
      <font>
        <b val="0"/>
        <i val="0"/>
        <strike val="0"/>
        <condense val="0"/>
        <extend val="0"/>
        <outline val="0"/>
        <shadow val="0"/>
        <u val="none"/>
        <vertAlign val="baseline"/>
        <sz val="11"/>
        <color theme="1"/>
        <name val="Calibri"/>
        <family val="2"/>
        <scheme val="minor"/>
      </font>
      <numFmt numFmtId="171" formatCode="0.00000"/>
      <fill>
        <patternFill patternType="solid">
          <fgColor theme="0" tint="-0.14999847407452621"/>
          <bgColor theme="0" tint="-0.14999847407452621"/>
        </patternFill>
      </fill>
      <alignment horizontal="left" vertical="center" textRotation="0" wrapText="1"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theme="1"/>
        <name val="Calibri"/>
        <family val="2"/>
        <scheme val="minor"/>
      </font>
      <numFmt numFmtId="171" formatCode="0.00000"/>
      <fill>
        <patternFill patternType="solid">
          <fgColor theme="0" tint="-0.14999847407452621"/>
          <bgColor theme="0" tint="-0.14999847407452621"/>
        </patternFill>
      </fill>
      <alignment horizontal="left" vertical="center" textRotation="0" wrapText="1"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theme="1"/>
        <name val="Calibri"/>
        <family val="2"/>
        <scheme val="minor"/>
      </font>
      <numFmt numFmtId="171" formatCode="0.00000"/>
      <fill>
        <patternFill patternType="solid">
          <fgColor theme="0" tint="-0.14999847407452621"/>
          <bgColor theme="0" tint="-0.14999847407452621"/>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0" hidden="0"/>
    </dxf>
    <dxf>
      <font>
        <b val="0"/>
        <i val="0"/>
        <strike val="0"/>
        <condense val="0"/>
        <extend val="0"/>
        <outline val="0"/>
        <shadow val="0"/>
        <u val="none"/>
        <vertAlign val="baseline"/>
        <sz val="11"/>
        <color theme="1"/>
        <name val="Calibri"/>
        <family val="2"/>
        <scheme val="minor"/>
      </font>
      <numFmt numFmtId="171" formatCode="0.00000"/>
      <fill>
        <patternFill patternType="solid">
          <fgColor theme="0" tint="-0.14999847407452621"/>
          <bgColor theme="0" tint="-0.14999847407452621"/>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0" hidden="0"/>
    </dxf>
    <dxf>
      <font>
        <b val="0"/>
        <i val="0"/>
        <strike val="0"/>
        <condense val="0"/>
        <extend val="0"/>
        <outline val="0"/>
        <shadow val="0"/>
        <u val="none"/>
        <vertAlign val="baseline"/>
        <sz val="11"/>
        <color theme="1"/>
        <name val="Calibri"/>
        <family val="2"/>
        <scheme val="minor"/>
      </font>
      <numFmt numFmtId="171" formatCode="0.00000"/>
      <fill>
        <patternFill patternType="solid">
          <fgColor theme="0" tint="-0.14999847407452621"/>
          <bgColor theme="0" tint="-0.14999847407452621"/>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0" hidden="0"/>
    </dxf>
    <dxf>
      <font>
        <b val="0"/>
        <i val="0"/>
        <strike val="0"/>
        <condense val="0"/>
        <extend val="0"/>
        <outline val="0"/>
        <shadow val="0"/>
        <u val="none"/>
        <vertAlign val="baseline"/>
        <sz val="11"/>
        <color theme="1"/>
        <name val="Calibri"/>
        <family val="2"/>
        <scheme val="minor"/>
      </font>
      <numFmt numFmtId="171" formatCode="0.00000"/>
      <fill>
        <patternFill patternType="solid">
          <fgColor theme="0" tint="-0.14999847407452621"/>
          <bgColor theme="0" tint="-0.14999847407452621"/>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0" hidden="0"/>
    </dxf>
    <dxf>
      <font>
        <b val="0"/>
        <i val="0"/>
        <strike val="0"/>
        <condense val="0"/>
        <extend val="0"/>
        <outline val="0"/>
        <shadow val="0"/>
        <u val="none"/>
        <vertAlign val="baseline"/>
        <sz val="11"/>
        <color theme="1"/>
        <name val="Calibri"/>
        <family val="2"/>
        <scheme val="minor"/>
      </font>
      <numFmt numFmtId="171" formatCode="0.00000"/>
      <fill>
        <patternFill patternType="solid">
          <fgColor theme="0" tint="-0.14999847407452621"/>
          <bgColor theme="0" tint="-0.14999847407452621"/>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0" hidden="0"/>
    </dxf>
    <dxf>
      <font>
        <b val="0"/>
        <i val="0"/>
        <strike val="0"/>
        <condense val="0"/>
        <extend val="0"/>
        <outline val="0"/>
        <shadow val="0"/>
        <u val="none"/>
        <vertAlign val="baseline"/>
        <sz val="11"/>
        <color theme="1"/>
        <name val="Calibri"/>
        <family val="2"/>
        <scheme val="minor"/>
      </font>
      <numFmt numFmtId="171" formatCode="0.00000"/>
      <fill>
        <patternFill patternType="solid">
          <fgColor theme="0" tint="-0.14999847407452621"/>
          <bgColor theme="0" tint="-0.14999847407452621"/>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0" hidden="0"/>
    </dxf>
    <dxf>
      <font>
        <b val="0"/>
        <i val="0"/>
        <strike val="0"/>
        <condense val="0"/>
        <extend val="0"/>
        <outline val="0"/>
        <shadow val="0"/>
        <u val="none"/>
        <vertAlign val="baseline"/>
        <sz val="11"/>
        <color theme="1"/>
        <name val="Calibri"/>
        <family val="2"/>
        <scheme val="minor"/>
      </font>
      <numFmt numFmtId="171" formatCode="0.00000"/>
      <fill>
        <patternFill patternType="solid">
          <fgColor theme="0" tint="-0.14999847407452621"/>
          <bgColor theme="0" tint="-0.14999847407452621"/>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0" hidden="0"/>
    </dxf>
    <dxf>
      <font>
        <b val="0"/>
        <i val="0"/>
        <strike val="0"/>
        <condense val="0"/>
        <extend val="0"/>
        <outline val="0"/>
        <shadow val="0"/>
        <u val="none"/>
        <vertAlign val="baseline"/>
        <sz val="11"/>
        <color theme="1"/>
        <name val="Calibri"/>
        <family val="2"/>
        <scheme val="minor"/>
      </font>
      <numFmt numFmtId="171" formatCode="0.00000"/>
      <fill>
        <patternFill patternType="solid">
          <fgColor theme="0" tint="-0.14999847407452621"/>
          <bgColor theme="0" tint="-0.14999847407452621"/>
        </patternFill>
      </fill>
      <alignment horizontal="left" vertical="center" textRotation="0" wrapText="1" indent="0" justifyLastLine="0" shrinkToFit="0" readingOrder="0"/>
      <border diagonalUp="0" diagonalDown="0">
        <left style="medium">
          <color indexed="64"/>
        </left>
        <right/>
        <top style="thin">
          <color indexed="64"/>
        </top>
        <bottom/>
        <vertical/>
        <horizontal/>
      </border>
      <protection locked="0" hidden="0"/>
    </dxf>
    <dxf>
      <font>
        <b val="0"/>
        <i val="0"/>
        <strike val="0"/>
        <condense val="0"/>
        <extend val="0"/>
        <outline val="0"/>
        <shadow val="0"/>
        <u val="none"/>
        <vertAlign val="baseline"/>
        <sz val="11"/>
        <color theme="1"/>
        <name val="Calibri"/>
        <family val="2"/>
        <scheme val="minor"/>
      </font>
      <numFmt numFmtId="171" formatCode="0.00000"/>
      <fill>
        <patternFill patternType="solid">
          <fgColor theme="0" tint="-0.14999847407452621"/>
          <bgColor theme="0" tint="-0.1499984740745262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theme="1"/>
        <name val="Calibri"/>
        <family val="2"/>
        <scheme val="minor"/>
      </font>
      <numFmt numFmtId="171" formatCode="0.00000"/>
      <fill>
        <patternFill patternType="solid">
          <fgColor theme="0" tint="-0.14999847407452621"/>
          <bgColor theme="0" tint="-0.1499984740745262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alignment horizontal="left" vertical="center" textRotation="0" wrapText="1" indent="0" justifyLastLine="0" shrinkToFit="0"/>
      <border diagonalUp="0" diagonalDown="0">
        <left style="thin">
          <color indexed="64"/>
        </left>
        <right/>
        <top style="thin">
          <color indexed="64"/>
        </top>
        <bottom/>
      </border>
    </dxf>
    <dxf>
      <font>
        <b val="0"/>
        <i val="0"/>
        <strike val="0"/>
        <condense val="0"/>
        <extend val="0"/>
        <outline val="0"/>
        <shadow val="0"/>
        <u val="none"/>
        <vertAlign val="baseline"/>
        <sz val="11"/>
        <color theme="1"/>
        <name val="Calibri"/>
        <family val="2"/>
        <scheme val="minor"/>
      </font>
      <numFmt numFmtId="165" formatCode="00000"/>
      <fill>
        <patternFill patternType="solid">
          <fgColor theme="0" tint="-0.14999847407452621"/>
          <bgColor theme="0" tint="-0.14999847407452621"/>
        </patternFill>
      </fill>
      <alignment horizontal="left" vertical="center" textRotation="0" wrapText="1" indent="0" justifyLastLine="0" shrinkToFit="0"/>
      <border diagonalUp="0" diagonalDown="0">
        <left style="thin">
          <color indexed="64"/>
        </left>
        <right/>
        <top style="thin">
          <color indexed="64"/>
        </top>
        <bottom/>
      </border>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alignment horizontal="left" vertical="center" textRotation="0" wrapText="1" indent="0" justifyLastLine="0" shrinkToFit="0"/>
      <border diagonalUp="0" diagonalDown="0">
        <left style="thin">
          <color indexed="64"/>
        </left>
        <right/>
        <top style="thin">
          <color indexed="64"/>
        </top>
        <bottom/>
      </border>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alignment horizontal="left" vertical="center" textRotation="0" wrapText="1" indent="0" justifyLastLine="0" shrinkToFit="0"/>
      <border diagonalUp="0" diagonalDown="0">
        <left style="thin">
          <color indexed="64"/>
        </left>
        <right/>
        <top style="thin">
          <color indexed="64"/>
        </top>
        <bottom/>
      </border>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alignment horizontal="left" vertical="center" textRotation="0" wrapText="1" indent="0" justifyLastLine="0" shrinkToFit="0"/>
      <border diagonalUp="0" diagonalDown="0">
        <left style="thin">
          <color indexed="64"/>
        </left>
        <right/>
        <top style="thin">
          <color indexed="64"/>
        </top>
        <bottom/>
      </border>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alignment horizontal="left" vertical="center" textRotation="0" wrapText="1" indent="0" justifyLastLine="0" shrinkToFit="0"/>
      <border diagonalUp="0" diagonalDown="0">
        <left style="thin">
          <color indexed="64"/>
        </left>
        <right/>
        <top style="thin">
          <color indexed="64"/>
        </top>
        <bottom/>
      </border>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alignment horizontal="left" vertical="center" textRotation="0" wrapText="1" indent="0" justifyLastLine="0" shrinkToFit="0"/>
      <border diagonalUp="0" diagonalDown="0">
        <left style="thin">
          <color indexed="64"/>
        </left>
        <right/>
        <top style="thin">
          <color indexed="64"/>
        </top>
        <bottom/>
      </border>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alignment horizontal="left" vertical="center" textRotation="0" wrapText="1" indent="0" justifyLastLine="0" shrinkToFit="0"/>
      <border diagonalUp="0" diagonalDown="0">
        <left style="medium">
          <color indexed="64"/>
        </left>
        <right/>
        <top style="thin">
          <color indexed="64"/>
        </top>
        <bottom/>
      </border>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alignment horizontal="left" vertical="center" textRotation="0" wrapText="1" indent="0" justifyLastLine="0" shrinkToFit="0"/>
      <border diagonalUp="0" diagonalDown="0" outline="0">
        <left/>
        <right/>
        <top style="thin">
          <color indexed="64"/>
        </top>
        <bottom/>
      </border>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alignment horizontal="left" vertical="center" textRotation="0" wrapText="1" indent="0" justifyLastLine="0" shrinkToFit="0"/>
    </dxf>
    <dxf>
      <font>
        <b/>
        <i val="0"/>
        <strike val="0"/>
        <condense val="0"/>
        <extend val="0"/>
        <outline val="0"/>
        <shadow val="0"/>
        <u val="none"/>
        <vertAlign val="baseline"/>
        <sz val="11"/>
        <color rgb="FF000000"/>
        <name val="Calibri"/>
        <family val="2"/>
        <scheme val="minor"/>
      </font>
      <fill>
        <patternFill patternType="solid">
          <fgColor indexed="64"/>
          <bgColor rgb="FFEEECE1"/>
        </patternFill>
      </fill>
      <alignment horizontal="center" vertical="center" textRotation="0" wrapText="1" indent="0" justifyLastLine="0" shrinkToFit="0" readingOrder="0"/>
    </dxf>
  </dxfs>
  <tableStyles count="0" defaultTableStyle="TableStyleMedium2" defaultPivotStyle="PivotStyleLight16"/>
  <colors>
    <mruColors>
      <color rgb="FFFF66CC"/>
      <color rgb="FFEEEC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E2DC36E-B387-4B45-AE54-E50E5E6BBA16}" name="Table2" displayName="Table2" ref="B12:AB33" totalsRowShown="0" headerRowDxfId="140" dataDxfId="139" tableBorderDxfId="138">
  <autoFilter ref="B12:AB33" xr:uid="{BE2DC36E-B387-4B45-AE54-E50E5E6BBA16}"/>
  <tableColumns count="27">
    <tableColumn id="1" xr3:uid="{1AEDA8F6-C064-4813-8C2D-512BECAF3FAD}" name="Company Record No._x000a_(Field value will automatically generate if a value is not entered.)" dataDxfId="137">
      <calculatedColumnFormula>IF(C13="","",ROW(B13)-23)</calculatedColumnFormula>
    </tableColumn>
    <tableColumn id="2" xr3:uid="{AA741A2A-4553-45E7-81DA-191F00FDBF92}" name="Facility Name_x000a_(§63.567(o)(1)(i))" dataDxfId="136"/>
    <tableColumn id="3" xr3:uid="{C9737547-372A-4E76-ABED-BB2B8CB41344}" name="Physical Address_x000a_(§63.567(o)(1)(ii))" dataDxfId="135"/>
    <tableColumn id="4" xr3:uid="{E97D2AE3-12BF-432F-9093-2A24BA5D10E3}" name="Physical Address 2_x000a_(§63.567(o)(1)(ii))" dataDxfId="134"/>
    <tableColumn id="5" xr3:uid="{2B2AA8B1-E0B0-4F3B-BFC5-577D2F29127B}" name="City_x000a_(§63.567(o)(1)(ii))" dataDxfId="133"/>
    <tableColumn id="6" xr3:uid="{18BE03B4-0AFC-484D-8E81-E6F7573A4A5C}" name="County (§63.567(o)(1)(ii))" dataDxfId="132"/>
    <tableColumn id="7" xr3:uid="{6B88A944-3194-4914-B8DD-91BAE5C1AB7A}" name="State Abbreviation_x000a_(§63.567(o)(1)(ii))_x000a_(Select from Dropdown)" dataDxfId="131"/>
    <tableColumn id="8" xr3:uid="{D7E36128-E98F-48D4-8167-B52552336D34}" name="Zip Code_x000a_(§63.567(o)(1)(ii))" dataDxfId="130"/>
    <tableColumn id="9" xr3:uid="{0D6F2B6A-D215-4A78-BCB6-C94625C27E6C}" name="Responsible Agency Facility ID _x000a_(State Facility Identifier)" dataDxfId="129"/>
    <tableColumn id="17" xr3:uid="{27C3F3B8-40F7-4861-A3B9-F9BEA35BDFB2}" name="Latitude (§63.567(o)(1)(iii))" dataDxfId="128"/>
    <tableColumn id="16" xr3:uid="{AEDC136C-BE2B-47A1-947D-22282EFB9005}" name="Longitude (§63.567(o)(1)(iii))" dataDxfId="127"/>
    <tableColumn id="15" xr3:uid="{2BFD88AE-9D85-42D6-91E7-F5EF6B349590}" name="Type of Facility_x000a_(§63.567(o)(1)(v))_x000a_(Select from Dropdown)" dataDxfId="126"/>
    <tableColumn id="28" xr3:uid="{4819F425-7626-4E83-AABB-55B34FE9CCCF}" name="Applicable Standards_x000a_(§63.567(o)(1)(vi))_x000a_(Select from Dropdown)" dataDxfId="125"/>
    <tableColumn id="19" xr3:uid="{CD67D662-C866-4065-A823-F0CFB046DB98}" name="Contact Person Name (§63.567(o)(1)(iv))" dataDxfId="124"/>
    <tableColumn id="21" xr3:uid="{DFAB8DDF-9072-42D0-8F06-D69D99B256F4}" name="Mailing Address (§63.567(o)(1)(iv)(B))" dataDxfId="123"/>
    <tableColumn id="27" xr3:uid="{8C66D4A7-2687-43FF-9304-B0C73C9586ED}" name="Mailing Address 2 (§63.567(o)(1)(iv)(B))" dataDxfId="122"/>
    <tableColumn id="23" xr3:uid="{D65BBD86-8969-44AB-821F-6AD65AD0C05C}" name="City_x000a_(§63.567(o)(1)(iv)(B)" dataDxfId="121"/>
    <tableColumn id="24" xr3:uid="{E5000E55-0519-4724-BF55-D83CAC5451AC}" name="State Abbreviation_x000a_(§63.567(o)(1)(iv)(B)_x000a_(Select from Dropdown)" dataDxfId="120"/>
    <tableColumn id="26" xr3:uid="{BC599968-69C7-48D8-9408-EAC0313DA103}" name="Zip Code_x000a_(§63.567(o)(1)(iv)(B))" dataDxfId="119"/>
    <tableColumn id="20" xr3:uid="{87EF5630-31B0-4B2F-9D4F-31E33CC7D33F}" name="Telephone Number_x000a_(§63.567(o)(1)(iv)(C))" dataDxfId="118"/>
    <tableColumn id="18" xr3:uid="{131AD6B1-F7E9-4B82-AF94-7BFA6414F307}" name="E-mail Address_x000a_(§63.567(o)(1)(iv)(D))" dataDxfId="117"/>
    <tableColumn id="25" xr3:uid="{F3C2C4A5-5DA0-4CD2-A848-0CF86A18D157}" name="Control Method for Loading Commodities Other Than Exemptions in §63.562(d)(1)_x000a_(§63.567(o)(2))" dataDxfId="116"/>
    <tableColumn id="22" xr3:uid="{7E9E7D44-B92D-4ED4-AA1F-2DA19DD346DD}" name="Control Method if &quot;Other&quot; was Selected in Column W_x000a_(§63.567(o)(2))" dataDxfId="115"/>
    <tableColumn id="10" xr3:uid="{9BE7DFF3-41B7-4DEF-BA76-B36E820EC8A0}" name="Beginning Date of Reporting Period_x000a_((§63.567(o)(1)(vii))" dataDxfId="114"/>
    <tableColumn id="11" xr3:uid="{ECB9EA79-780C-4384-9745-3FBE952C53E2}" name="Ending Date of_x000a_ Reporting Period_x000a_((§63.567(o)(1)(vii))" dataDxfId="113"/>
    <tableColumn id="13" xr3:uid="{7A8D7525-8379-4275-94DC-CDCDFAF07C18}" name="Please enter any additional information." dataDxfId="112"/>
    <tableColumn id="14" xr3:uid="{E6B5B801-C48B-400B-BDA6-31B6B515CE3E}" name="Enter associated file name reference. " dataDxfId="111"/>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39F7265-7236-4855-A007-0B993FC58D0A}" name="Table21" displayName="Table21" ref="B12:M523" totalsRowShown="0" headerRowDxfId="110" dataDxfId="108" headerRowBorderDxfId="109" tableBorderDxfId="107">
  <autoFilter ref="B12:M523" xr:uid="{339F7265-7236-4855-A007-0B993FC58D0A}"/>
  <tableColumns count="12">
    <tableColumn id="1" xr3:uid="{09D179AA-9674-454F-8B26-53992D13B68F}" name="Company Record No._x000a_(Select from dropdown)" dataDxfId="106"/>
    <tableColumn id="2" xr3:uid="{03ABACF5-2C12-4B53-AE47-869AC400C068}" name="Unique Identifier for CMS_x000a_(§63.567(o)(3)(i)), _x000a_§63.567(o)(6)(ii))" dataDxfId="105"/>
    <tableColumn id="4" xr3:uid="{B9EC16A7-8126-45AA-90F2-8EE7899958BB}" name="CMS Make_x000a_(§63.567(o)(3)(iii),  §63.567(o)(6)(ii))" dataDxfId="104"/>
    <tableColumn id="5" xr3:uid="{7DDEC040-0D1A-444F-A55E-F28FEFCC8432}" name="CMS Model Number_x000a_(§63.567(o)(3)(iii),  §63.567(o)(6)(ii))" dataDxfId="103"/>
    <tableColumn id="6" xr3:uid="{34423E89-CF3F-4409-9036-2BBDC404E05F}" name="Affected CMS" dataDxfId="102">
      <calculatedColumnFormula>IF(C13="","",CONCATENATE(B13," ",C13," ",D13," ",E13))</calculatedColumnFormula>
    </tableColumn>
    <tableColumn id="14" xr3:uid="{56851908-652B-4099-95CF-99229F5F6A65}" name="Date of Last CMS Calibration_x000a_(§63.567(o)(3)(iii),  §63.567(o)(6)(ii))" dataDxfId="101"/>
    <tableColumn id="7" xr3:uid="{B5BF01DB-3DFF-4623-BD66-2DCC1E2F984B}" name="Pollutant or Parameter Monitored_x000a_(§63.567(o)(3)(ii),  §63.567(o)(6)(ii))" dataDxfId="100"/>
    <tableColumn id="13" xr3:uid="{84D569C5-5A12-4D80-8DD9-86FF7218EE3B}" name="Emission/Operating Parameter Limit (§63.567(o)(3)(iv),  §63.567(o)(6)(ii))" dataDxfId="99"/>
    <tableColumn id="9" xr3:uid="{CDA0549D-8D27-4ECB-BFBA-290F8153C41F}" name="Description of any changes to the CMS since the last reporting period_x000a_(§63.567(o)(3)(v), §63.567(o)(6)(ii))" dataDxfId="98"/>
    <tableColumn id="12" xr3:uid="{92755A98-CC8B-45DC-BFFD-33472F253B38}" name="Were there any deviations of the CMS operating parameter  pollutant/parameter?_x000a_(§63.567(o)(3)(vi),  §63.567(o)(6)(ii))_x000a_(Select from dropdown)" dataDxfId="97"/>
    <tableColumn id="11" xr3:uid="{9A203CDA-BE72-4664-8604-AB0A9E070CD5}" name="Were there any periods of CMS outages, including periods when CMS were inoperable or out-of-control?_x000a_(§63.567(o)(3)(vii), §63.567(o)(6)(ii))_x000a_(Select from dropdown)" dataDxfId="96"/>
    <tableColumn id="10" xr3:uid="{0C2098B1-2BA2-4ECA-B839-0704156051B7}" name="Comments or Additional Information" dataDxfId="95"/>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665F07D-E032-4FC8-B005-0B023DF08885}" name="Table255" displayName="Table255" ref="B12:J1023" totalsRowShown="0" headerRowDxfId="94" dataDxfId="92" headerRowBorderDxfId="93" tableBorderDxfId="91">
  <autoFilter ref="B12:J1023" xr:uid="{6F5F0E6A-191C-406A-9F74-2C14D126DA42}"/>
  <tableColumns count="9">
    <tableColumn id="1" xr3:uid="{42499EF9-B0E1-4436-BDA6-E28AA72E27F1}" name="Company Record No._x000a_(Autofill)" dataDxfId="90"/>
    <tableColumn id="2" xr3:uid="{53FCA561-2058-4B7C-B09D-93563B217E19}" name="Affected CMS_x000a_(§63.567(o)(3)(viii))_x000a_(Select from dropdown)" dataDxfId="89"/>
    <tableColumn id="4" xr3:uid="{92BF0D7A-6DF6-4E39-B978-296BAA3213CC}" name="Start Date of Deviation_x000a_(§63.567(o)(3)(viii)(A), §63.567(o)(6)(ii))" dataDxfId="88"/>
    <tableColumn id="5" xr3:uid="{3612BF9D-7EF1-4F16-BBD4-318D333D623C}" name="Start Time of Deviation_x000a_(§63.567(o)(3)(viii)(A), §63.567(o)(6)(ii))" dataDxfId="87"/>
    <tableColumn id="6" xr3:uid="{5A7873F8-80FA-4637-8F97-338CB432ABC5}" name="Duration of Deviation_x000a_(in hours)  _x000a_(§63.567(o)(3)(viii)(B), §63.567(o)(6)(ii))" dataDxfId="86"/>
    <tableColumn id="9" xr3:uid="{2AA882F9-86A9-4ED6-93A7-CBC5834B83B6}" name="Average Measured Value (including units) During Deviation_x000a_(§63.567(o)(3)(viii)(C), §63.567(o)(6)(ii))" dataDxfId="85"/>
    <tableColumn id="7" xr3:uid="{E4BC0163-1AB5-4025-9858-9CCEE833A2F2}" name="Cause of Deviation_x000a_(§63.567(o)(3)(viii)(D), §63.567(o)(6)(ii))" dataDxfId="84"/>
    <tableColumn id="8" xr3:uid="{A1BA251D-A21D-4BE9-9EEB-E345A2835CCF}" name="Correction Action Taken_x000a_(§63.567(o)(3)(viii)(E), §63.567(o)(6)(ii))" dataDxfId="83"/>
    <tableColumn id="16" xr3:uid="{FFAC2E66-44C2-454C-836F-32D2089AE628}" name="Comments or Additional Information" dataDxfId="82"/>
  </tableColumns>
  <tableStyleInfo name="TableStyleLight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F47C440-8445-4460-B908-246D0297494D}" name="Table24" displayName="Table24" ref="B12:K1023" totalsRowShown="0" headerRowDxfId="81" dataDxfId="79" headerRowBorderDxfId="80" tableBorderDxfId="78">
  <autoFilter ref="B12:K1023" xr:uid="{5F47C440-8445-4460-B908-246D0297494D}"/>
  <tableColumns count="10">
    <tableColumn id="1" xr3:uid="{2E8B5742-5A55-4800-92D0-23D5BB5460EE}" name="Company Record No. *_x000a_(Autofill)" dataDxfId="77"/>
    <tableColumn id="2" xr3:uid="{1081DF81-CC3E-47DC-B9B9-19B757BC7AED}" name="Affected CMS_x000a_(§63.567(o)(3)(ix), §63.567(o)(6)(ii))_x000a_(Select from dropdown)" dataDxfId="76"/>
    <tableColumn id="3" xr3:uid="{8A557DB0-3B1A-4EEA-B034-B283068A1D4B}" name="CMS Inoperative or _x000a_Out of Control?_x000a_(§63.567(o)(3)(ix), §63.567(o)(6)(ii))_x000a_(Select from dropdown)" dataDxfId="75"/>
    <tableColumn id="4" xr3:uid="{FC49F3EC-41B6-47F9-803E-2D1D25D80638}" name="Start Date CMS _x000a_Inoperative or Out of Control_x000a_(§63.567(o)(3)(ix)(A), §63.567(o)(6)(ii))" dataDxfId="74"/>
    <tableColumn id="5" xr3:uid="{56E28C75-AE18-464D-86B2-AB89B2B77F04}" name="Start Time CMS Inoperative or Out of Control_x000a_(§63.567(o)(3)(ix)(A), §63.567(o)(6)(ii))" dataDxfId="73"/>
    <tableColumn id="6" xr3:uid="{70F7C16E-49C0-40FC-98E8-D3757DCCBFB2}" name="Duration CMS Inoperative _x000a_or Out of Control_x000a_(in hours)_x000a_(§63.567(o)(3)(ix)(B), §63.567(o)(6)(ii))" dataDxfId="72"/>
    <tableColumn id="12" xr3:uid="{8A1B77FA-9F4D-4EE1-A977-3F7E014A63B7}" name="Cause of Deviation_x000a_(§63.567(o)(3)(ix)(C), §63.567(o)(6)(ii))_x000a_(Select from dropdown)" dataDxfId="71"/>
    <tableColumn id="7" xr3:uid="{383303CC-BCF5-484E-87B5-049ACFA5079A}" name="Corrective Action Taken or Preventative Measures Adopted_x000a_(§63.567(o)(3)(ix)(D), §63.567(o)(6)(ii))" dataDxfId="70"/>
    <tableColumn id="13" xr3:uid="{6842CE2A-84E2-43ED-B289-E5BEA68CBFA1}" name="Repairs or Adjustments to CMS _x000a_(§63.567(o)(3)(ix)€, §63.567(o)(6)(ii))" dataDxfId="69"/>
    <tableColumn id="11" xr3:uid="{FFA18923-72AF-4154-86E5-AB9E0232F8B2}" name="Comments or Additional Information" dataDxfId="68"/>
  </tableColumns>
  <tableStyleInfo name="TableStyleLight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4E0C4ED-6978-4F8A-AEA1-13194A4F8713}" name="Table216" displayName="Table216" ref="B12:H523" totalsRowShown="0" headerRowDxfId="67" dataDxfId="65" headerRowBorderDxfId="66" tableBorderDxfId="64">
  <autoFilter ref="B12:H523" xr:uid="{339F7265-7236-4855-A007-0B993FC58D0A}"/>
  <tableColumns count="7">
    <tableColumn id="7" xr3:uid="{BCAB70F6-84C5-405D-A79E-3092D8EADAA2}" name="Company Record No._x000a_(Select from dropdown)" dataDxfId="63"/>
    <tableColumn id="13" xr3:uid="{B17021AF-3241-4983-ABE3-EDBD32141247}" name="Vessel Identification Number_x000a_(§63.567(o)(4)(i))" dataDxfId="62"/>
    <tableColumn id="15" xr3:uid="{63000A55-BA08-4ABD-BF35-3C4E3AFB4FC0}" name="Date regular commodity loaded without proper documentation or connection to vapor recovery system_x000a_(§63.567(o)(4)(ii))" dataDxfId="61"/>
    <tableColumn id="9" xr3:uid="{E6DEA05D-0F30-42AB-9878-65B8F18D40FD}" name="Name of Responsible Terminal Operator _x000a_(§63.567(o)(4)(iii))" dataDxfId="60"/>
    <tableColumn id="16" xr3:uid="{C6F9C2D6-4C4F-4BC8-A771-5E0D50C49334}" name="Deviation Type _x000a_(§63.567(o)(4)(iv))_x000a_(Select from dropdown)" dataDxfId="59"/>
    <tableColumn id="10" xr3:uid="{068C4B26-FD90-44F5-A454-582C2DCAAC23}" name="Corrective Action Taken to Prevent Recurrence_x000a_(§63.567(o)(4)(v))" dataDxfId="58"/>
    <tableColumn id="18" xr3:uid="{AE5D001C-D36B-4A07-A735-87DDEE406050}" name="Comments/Additional Information" dataDxfId="57"/>
  </tableColumns>
  <tableStyleInfo name="TableStyleLight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F5F0E6A-191C-406A-9F74-2C14D126DA42}" name="Table25" displayName="Table25" ref="B12:H1023" totalsRowShown="0" headerRowDxfId="56" dataDxfId="54" headerRowBorderDxfId="55" tableBorderDxfId="53">
  <autoFilter ref="B12:H1023" xr:uid="{6F5F0E6A-191C-406A-9F74-2C14D126DA42}"/>
  <tableColumns count="7">
    <tableColumn id="1" xr3:uid="{674D1F3F-7B4E-4976-9CA7-DD83F08CD947}" name="Company Record No._x000a_(Select from dropdown)" dataDxfId="52"/>
    <tableColumn id="2" xr3:uid="{E5D95D18-BA21-4323-AF4E-B022B728F160}" name="Date of Inspection_x000a_(§63.567(o)(5)(i))" dataDxfId="51"/>
    <tableColumn id="3" xr3:uid="{E6D2A8D5-3F00-479A-BA45-79CA518FE089}" name="Initial Leak Identification Method_x000a_(§63.567(o)(5)(ii))_x000a_(Select from dropdown)" dataDxfId="50"/>
    <tableColumn id="5" xr3:uid="{E215298B-BBF1-45D5-B09A-F0B36DD2AC4C}" name="Type of Leaking Components_x000a_(§63.567(o)(5)(iii), (§63.567(o)(5)(iv))" dataDxfId="49"/>
    <tableColumn id="8" xr3:uid="{02463E30-8A57-4D97-BACE-4BE2E2FB7BE8}" name="Total Number of Leaking Components_x000a_(§63.567(o)(5)(iii))" dataDxfId="48"/>
    <tableColumn id="6" xr3:uid="{95B71C1E-FA7E-4DC7-8E2C-21AD3572C31B}" name="Total Number of Components Repaired within 15 Days or Prior to Next Loading Operation_x000a_(§63.567(o)(5)(iv))" dataDxfId="47"/>
    <tableColumn id="7" xr3:uid="{DFCA71C4-B39D-49BC-A191-2FD1DAD9D586}" name="Comments/Additional Information" dataDxfId="46"/>
  </tableColumns>
  <tableStyleInfo name="TableStyleLight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DFDE1E0-08B3-4346-AE3F-AD5D519B98B5}" name="Table8" displayName="Table8" ref="B12:L523" totalsRowShown="0" headerRowDxfId="45" dataDxfId="43" headerRowBorderDxfId="44" tableBorderDxfId="42">
  <autoFilter ref="B12:L523" xr:uid="{158E2E7C-1995-432C-BDAA-90EE5BDD1B01}"/>
  <tableColumns count="11">
    <tableColumn id="1" xr3:uid="{A220D52F-0F92-4696-9A53-D3021357C7B6}" name="Company Record No._x000a_(Select from dropdown)" dataDxfId="41"/>
    <tableColumn id="2" xr3:uid="{930F60C4-7641-421B-84B7-4411BF5F4D44}" name="Flare ID_x000a_(§63.2386(d)(6)(i))" dataDxfId="40"/>
    <tableColumn id="3" xr3:uid="{D10F7AE0-9B96-4884-A0B7-73904108449A}" name="Type of Event_x000a_(§63.2386(d)(6)(i))_x000a_(Select from dropdown)" dataDxfId="39"/>
    <tableColumn id="4" xr3:uid="{53DB217F-F29A-49A8-902B-8D0F267F86A8}" name="Start Date_x000a_(§63.567(o)(6)(i))" dataDxfId="38"/>
    <tableColumn id="5" xr3:uid="{DB39E429-7044-49E0-AB23-FA56CD243878}" name="Start Time_x000a_(§63.567(o)(6)(i))" dataDxfId="37"/>
    <tableColumn id="6" xr3:uid="{E93A9B8E-73B0-43A7-BCC2-06872D1AA4D2}" name="End Time_x000a_(§63.567(o)(6)(i))" dataDxfId="36"/>
    <tableColumn id="7" xr3:uid="{164E9632-8AC2-4883-A37A-560069DD5CD8}" name="Estimate of Cumulative Number of Minutes for Which Emissions Were Visible_x000a_(§63.567(o)(6)(i)(B))" dataDxfId="35"/>
    <tableColumn id="8" xr3:uid="{64DB7C50-074D-4452-9541-F6A758C666ED}" name="Which operating limit was not met?_x000a_(§63.567(o)(6)(i)(C))_x000a_(Select from dropdown)" dataDxfId="34"/>
    <tableColumn id="9" xr3:uid="{CE3876DA-B6EA-47BB-880C-8CB6E6B7E3DB}" name="Value of Operating Parameter_x000a_(§63.567(o)(6)(i)(C))" dataDxfId="33"/>
    <tableColumn id="10" xr3:uid="{43E79BEC-26F4-4D9C-A092-A26D2494100B}" name="Units of Measure for Operating Parameter_x000a_(§63.567(o)(6)(i)(C))_x000a_(Autofilled)" dataDxfId="32">
      <calculatedColumnFormula>IF(I13="","",IF(I13="vtip","ft/s",IF(I13="NHVcz","Btu/scf","Btu/sq ft")))</calculatedColumnFormula>
    </tableColumn>
    <tableColumn id="11" xr3:uid="{F1A69C13-699A-4A97-AA93-2E1DCB15EE33}" name="Comments or Additional Information" dataDxfId="31"/>
  </tableColumns>
  <tableStyleInfo name="TableStyleLight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69800A9-4BC9-4E35-8178-1984CF4133B3}" name="Table2168" displayName="Table2168" ref="B12:G523" totalsRowShown="0" headerRowDxfId="30" dataDxfId="28" headerRowBorderDxfId="29" tableBorderDxfId="27">
  <autoFilter ref="B12:G523" xr:uid="{339F7265-7236-4855-A007-0B993FC58D0A}"/>
  <tableColumns count="6">
    <tableColumn id="7" xr3:uid="{A86C84B6-53E1-40D2-8170-6D541E2DAB46}" name="Company Record No._x000a_(Select from dropdown)" dataDxfId="26"/>
    <tableColumn id="13" xr3:uid="{5EE9AF62-9340-4FD1-90F8-57F80755DBD7}" name="Start Date_x000a_(§63.567(o)(7))" dataDxfId="25"/>
    <tableColumn id="15" xr3:uid="{D913FD31-3798-4B00-A78D-A1A27C62B0BB}" name="Start Time_x000a_(§63.567(o)(7))" dataDxfId="24"/>
    <tableColumn id="9" xr3:uid="{4BEC1BC0-DD9C-46E1-94CC-A0FDD8F7BB18}" name="Duration (in hours)_x000a_(§63.567(o)(7))" dataDxfId="23"/>
    <tableColumn id="16" xr3:uid="{55463DE9-4F7C-4565-99EF-F15C4B8D3884}" name="Bypass Type _x000a_(§63.567(o)(7))_x000a_(Select from dropdown)" dataDxfId="22"/>
    <tableColumn id="18" xr3:uid="{E74851AF-CD1D-4DA3-9527-3014CE727B35}" name="Comments/Additional Information" dataDxfId="21"/>
  </tableColumns>
  <tableStyleInfo name="TableStyleLight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C66657A-4F4C-4EB5-A4EA-6ADE5AB2D4E3}" name="Table29" displayName="Table29" ref="A3:C12" totalsRowShown="0" headerRowDxfId="20" headerRowBorderDxfId="19" tableBorderDxfId="18" totalsRowBorderDxfId="17">
  <autoFilter ref="A3:C12" xr:uid="{8C66657A-4F4C-4EB5-A4EA-6ADE5AB2D4E3}">
    <filterColumn colId="0" hiddenButton="1"/>
    <filterColumn colId="1" hiddenButton="1"/>
    <filterColumn colId="2" hiddenButton="1"/>
  </autoFilter>
  <tableColumns count="3">
    <tableColumn id="1" xr3:uid="{78530045-46B4-4B2F-A485-23F7D830D430}" name="Revision Number" dataDxfId="16"/>
    <tableColumn id="2" xr3:uid="{43C79ACF-AA41-4E8F-8A6A-8F886C587BC8}" name="Date" dataDxfId="15"/>
    <tableColumn id="3" xr3:uid="{A6D756D3-87A2-45A2-80F0-C07DDA7F32DC}" name="Description" dataDxfId="14"/>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0B3BCD-688E-464D-85B4-40E074E59253}" name="Table13" displayName="Table13" ref="A1:C11" totalsRowShown="0">
  <tableColumns count="3">
    <tableColumn id="2" xr3:uid="{262B293A-A7AD-43BC-B0CA-E356D7B4B38B}" name="Num" dataDxfId="13">
      <calculatedColumnFormula>IF(B2="","",MAX(A1:A$1)+1)</calculatedColumnFormula>
    </tableColumn>
    <tableColumn id="4" xr3:uid="{8BB4F4CE-2235-4DCD-8E0C-7B74F68F1E54}" name="Company Name" dataDxfId="12">
      <calculatedColumnFormula array="1">IF(SUMPRODUCT(--(LEN(Company_Information!B24:B33)&gt;0))&gt;0,IF(Company_Information!B24="","",Company_Information!B24),"Add a company in the Company Information tab")</calculatedColumnFormula>
    </tableColumn>
    <tableColumn id="1" xr3:uid="{6D625D65-826D-43AA-83D6-87EDFCCEFBCD}" name="CompanyList" dataDxfId="11">
      <calculatedColumnFormula>+IFERROR(INDEX($B$2:$B$11,MATCH(ROW()-ROW($C$1),$A$2:$A$11,0)),"")</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8F211A-9554-48C6-BBC4-3731CDB715F8}" name="Table17" displayName="Table17" ref="E1:E57" totalsRowShown="0">
  <tableColumns count="1">
    <tableColumn id="1" xr3:uid="{DE3A3F1C-455D-43EE-815B-8E4FFB778BBC}" name="States"/>
  </tableColumns>
  <tableStyleInfo name="TableStyleLight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4944FA-FF5A-4ADE-8EFD-A46F0E4601F7}" name="Table22" displayName="Table22" ref="I1:M501" totalsRowShown="0" headerRowDxfId="10" headerRowBorderDxfId="9" tableBorderDxfId="8">
  <tableColumns count="5">
    <tableColumn id="1" xr3:uid="{2E8E2ADA-654A-41EA-BF33-1AC490A83976}" name="CMS" dataDxfId="7">
      <calculatedColumnFormula array="1">IF(SUMPRODUCT(--(LEN(CMS_Identification!F24:F523)&gt;0))&gt;0,IF(CMS_Identification!F24="","",CMS_Identification!F24),"Add CMS to the CMS_Identification tab")</calculatedColumnFormula>
    </tableColumn>
    <tableColumn id="5" xr3:uid="{1BE0AD4A-4A65-42B5-83F0-0A85C215D0B3}" name="Site" dataDxfId="6">
      <calculatedColumnFormula>IF(CMS_Identification!B24="","",CMS_Identification!B24)</calculatedColumnFormula>
    </tableColumn>
    <tableColumn id="2" xr3:uid="{62C945C3-A7AD-455A-A156-23CD5A8883EE}" name="Choices" dataDxfId="5">
      <calculatedColumnFormula>IF(COUNTIF(I$2:I2,I2)=1,I2,"")</calculatedColumnFormula>
    </tableColumn>
    <tableColumn id="3" xr3:uid="{88AF7856-5791-42B9-97C0-8C464D3AF19C}" name="Rank" dataDxfId="4">
      <calculatedColumnFormula>+IF(K2="","",MAX(L$1:L1)+1)</calculatedColumnFormula>
    </tableColumn>
    <tableColumn id="4" xr3:uid="{12C809CF-46C1-45BD-9C8C-17FD42C694F7}" name="List" dataDxfId="3">
      <calculatedColumnFormula>+IFERROR(INDEX($I$2:$I$501,MATCH(ROW()-ROW($L$1),$L$2:$L$501,0)),"")</calculatedColumnFormula>
    </tableColumn>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1C1FB73-C601-4560-BB25-20D43E1AE938}" name="Table10" displayName="Table10" ref="R1:T501" totalsRowShown="0">
  <autoFilter ref="R1:T501" xr:uid="{693F8776-1156-4275-8567-CB7EDA489721}"/>
  <tableColumns count="3">
    <tableColumn id="1" xr3:uid="{AFE8788F-C925-40DA-B298-BEDCD6EEBF50}" name="Site" dataDxfId="2">
      <calculatedColumnFormula>IF(CMS_Identification!B24="","",CMS_Identification!B24)</calculatedColumnFormula>
    </tableColumn>
    <tableColumn id="2" xr3:uid="{6CF89DA0-BECB-4CF1-976B-7A0B2D4493A7}" name="CMS" dataDxfId="1">
      <calculatedColumnFormula>IF(CMS_Identification!F24="","",CMS_Identification!F24)</calculatedColumnFormula>
    </tableColumn>
    <tableColumn id="3" xr3:uid="{D4E13237-EE0D-4681-9E29-5A7C153CE958}" name="Time" dataDxfId="0">
      <calculatedColumnFormula>IF(CMS_Identification!D24="","",CMS_Identification!D24)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5.v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5C372-C104-4CF4-8D1A-5BC00A4CEFC1}">
  <sheetPr codeName="Sheet6">
    <tabColor theme="5" tint="0.59999389629810485"/>
  </sheetPr>
  <dimension ref="A1:B19"/>
  <sheetViews>
    <sheetView showGridLines="0" tabSelected="1" topLeftCell="A2" workbookViewId="0">
      <selection activeCell="B7" sqref="B7"/>
    </sheetView>
  </sheetViews>
  <sheetFormatPr defaultColWidth="0" defaultRowHeight="14.4" zeroHeight="1" x14ac:dyDescent="0.3"/>
  <cols>
    <col min="1" max="1" width="15" customWidth="1"/>
    <col min="2" max="2" width="152.109375" style="35" customWidth="1"/>
    <col min="3" max="16384" width="9.109375" hidden="1"/>
  </cols>
  <sheetData>
    <row r="1" spans="1:2" ht="29.25" hidden="1" customHeight="1" x14ac:dyDescent="0.3">
      <c r="A1" s="1" t="s">
        <v>0</v>
      </c>
      <c r="B1" s="1"/>
    </row>
    <row r="2" spans="1:2" x14ac:dyDescent="0.3">
      <c r="A2" s="5" t="s">
        <v>1</v>
      </c>
      <c r="B2" s="7" t="s">
        <v>303</v>
      </c>
    </row>
    <row r="3" spans="1:2" x14ac:dyDescent="0.3">
      <c r="A3" s="8" t="s">
        <v>2</v>
      </c>
      <c r="B3" s="33" t="s">
        <v>193</v>
      </c>
    </row>
    <row r="4" spans="1:2" x14ac:dyDescent="0.3">
      <c r="A4" s="8" t="s">
        <v>3</v>
      </c>
      <c r="B4" s="34" t="s">
        <v>192</v>
      </c>
    </row>
    <row r="5" spans="1:2" x14ac:dyDescent="0.3">
      <c r="A5" s="8" t="s">
        <v>4</v>
      </c>
      <c r="B5" s="161">
        <v>45911</v>
      </c>
    </row>
    <row r="6" spans="1:2" x14ac:dyDescent="0.3">
      <c r="B6" s="13" t="s">
        <v>199</v>
      </c>
    </row>
    <row r="7" spans="1:2" ht="28.8" x14ac:dyDescent="0.3">
      <c r="B7" s="13" t="s">
        <v>191</v>
      </c>
    </row>
    <row r="8" spans="1:2" ht="36" x14ac:dyDescent="0.3">
      <c r="B8" s="11" t="s">
        <v>200</v>
      </c>
    </row>
    <row r="9" spans="1:2" ht="32.1" customHeight="1" x14ac:dyDescent="0.3">
      <c r="B9" s="13" t="s">
        <v>183</v>
      </c>
    </row>
    <row r="10" spans="1:2" ht="87" customHeight="1" x14ac:dyDescent="0.3">
      <c r="B10" s="36" t="s">
        <v>194</v>
      </c>
    </row>
    <row r="11" spans="1:2" ht="44.4" customHeight="1" x14ac:dyDescent="0.3">
      <c r="B11" s="115" t="s">
        <v>195</v>
      </c>
    </row>
    <row r="12" spans="1:2" ht="68.400000000000006" customHeight="1" x14ac:dyDescent="0.3">
      <c r="B12" s="36" t="s">
        <v>184</v>
      </c>
    </row>
    <row r="13" spans="1:2" ht="94.5" customHeight="1" x14ac:dyDescent="0.3">
      <c r="B13" s="36" t="s">
        <v>185</v>
      </c>
    </row>
    <row r="14" spans="1:2" ht="79.5" customHeight="1" x14ac:dyDescent="0.3">
      <c r="B14" s="116" t="s">
        <v>186</v>
      </c>
    </row>
    <row r="15" spans="1:2" ht="43.2" x14ac:dyDescent="0.3">
      <c r="B15" s="12" t="s">
        <v>187</v>
      </c>
    </row>
    <row r="16" spans="1:2" ht="58.5" customHeight="1" x14ac:dyDescent="0.3">
      <c r="B16" s="13" t="s">
        <v>119</v>
      </c>
    </row>
    <row r="17" spans="2:2" ht="36" customHeight="1" x14ac:dyDescent="0.3">
      <c r="B17" s="13" t="s">
        <v>117</v>
      </c>
    </row>
    <row r="18" spans="2:2" ht="144" x14ac:dyDescent="0.3">
      <c r="B18" s="15" t="s">
        <v>189</v>
      </c>
    </row>
    <row r="19" spans="2:2" ht="187.2" x14ac:dyDescent="0.3">
      <c r="B19" s="37" t="s">
        <v>106</v>
      </c>
    </row>
  </sheetData>
  <sheetProtection sort="0" autoFilter="0"/>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596B89-06CC-46A5-9EAB-6BEAA25E35CD}">
  <sheetPr codeName="Sheet2">
    <tabColor theme="6" tint="0.39997558519241921"/>
    <pageSetUpPr fitToPage="1"/>
  </sheetPr>
  <dimension ref="B1:AM109"/>
  <sheetViews>
    <sheetView showGridLines="0" topLeftCell="S7" zoomScaleNormal="100" workbookViewId="0">
      <selection activeCell="V13" sqref="V13"/>
    </sheetView>
  </sheetViews>
  <sheetFormatPr defaultColWidth="0" defaultRowHeight="0" customHeight="1" zeroHeight="1" x14ac:dyDescent="0.3"/>
  <cols>
    <col min="1" max="1" width="9.109375" style="51" hidden="1" customWidth="1"/>
    <col min="2" max="2" width="17.5546875" style="51" customWidth="1"/>
    <col min="3" max="3" width="19.88671875" style="51" bestFit="1" customWidth="1"/>
    <col min="4" max="4" width="23.88671875" style="51" customWidth="1"/>
    <col min="5" max="6" width="20.109375" style="51" customWidth="1"/>
    <col min="7" max="7" width="18.109375" style="51" customWidth="1"/>
    <col min="8" max="8" width="18.33203125" style="51" customWidth="1"/>
    <col min="9" max="9" width="16.6640625" style="51" customWidth="1"/>
    <col min="10" max="10" width="27.88671875" style="51" customWidth="1"/>
    <col min="11" max="11" width="18.6640625" style="51" bestFit="1" customWidth="1"/>
    <col min="12" max="12" width="20.44140625" style="51" bestFit="1" customWidth="1"/>
    <col min="13" max="14" width="23.33203125" style="51" customWidth="1"/>
    <col min="15" max="15" width="21.88671875" style="51" bestFit="1" customWidth="1"/>
    <col min="16" max="16" width="23.6640625" style="51" bestFit="1" customWidth="1"/>
    <col min="17" max="18" width="23.6640625" style="51" customWidth="1"/>
    <col min="19" max="19" width="20.33203125" style="51" bestFit="1" customWidth="1"/>
    <col min="20" max="20" width="23.6640625" style="51" customWidth="1"/>
    <col min="21" max="21" width="20.33203125" style="51" bestFit="1" customWidth="1"/>
    <col min="22" max="22" width="23" style="51" bestFit="1" customWidth="1"/>
    <col min="23" max="24" width="27.88671875" style="51" customWidth="1"/>
    <col min="25" max="25" width="22.44140625" style="51" bestFit="1" customWidth="1"/>
    <col min="26" max="26" width="21.5546875" style="51" bestFit="1" customWidth="1"/>
    <col min="27" max="27" width="38.88671875" style="51" customWidth="1"/>
    <col min="28" max="28" width="36.5546875" style="51" customWidth="1"/>
    <col min="29" max="39" width="13.44140625" style="51" hidden="1" customWidth="1"/>
    <col min="40" max="16384" width="9.109375" style="51" hidden="1"/>
  </cols>
  <sheetData>
    <row r="1" spans="2:33" s="61" customFormat="1" ht="27.6" hidden="1" x14ac:dyDescent="0.3">
      <c r="B1" s="1" t="s">
        <v>0</v>
      </c>
      <c r="C1" s="39"/>
      <c r="D1" s="39"/>
      <c r="E1" s="39"/>
      <c r="F1" s="39"/>
      <c r="G1" s="39"/>
      <c r="H1" s="39"/>
    </row>
    <row r="2" spans="2:33" s="16" customFormat="1" ht="13.8" hidden="1" x14ac:dyDescent="0.3">
      <c r="B2" s="3" t="s">
        <v>1</v>
      </c>
      <c r="C2" s="3" t="str">
        <f>Welcome!B2</f>
        <v>63.567(o) Periodic Report (Spreadsheet Template)</v>
      </c>
      <c r="D2" s="3"/>
      <c r="E2" s="3"/>
      <c r="F2" s="3"/>
      <c r="G2" s="3"/>
      <c r="H2" s="3"/>
    </row>
    <row r="3" spans="2:33" s="16" customFormat="1" ht="13.8" hidden="1" x14ac:dyDescent="0.3">
      <c r="B3" s="3" t="s">
        <v>2</v>
      </c>
      <c r="C3" s="3" t="str">
        <f>Welcome!B3</f>
        <v>63.567(o)</v>
      </c>
    </row>
    <row r="4" spans="2:33" s="16" customFormat="1" ht="13.8" hidden="1" x14ac:dyDescent="0.3">
      <c r="B4" s="3" t="s">
        <v>3</v>
      </c>
      <c r="C4" s="3" t="str">
        <f>Welcome!B4</f>
        <v>PROPOSAL DRAFT</v>
      </c>
      <c r="D4" s="54"/>
      <c r="E4" s="54"/>
      <c r="F4" s="54"/>
      <c r="G4" s="54"/>
      <c r="H4" s="54"/>
    </row>
    <row r="5" spans="2:33" s="16" customFormat="1" ht="13.8" hidden="1" x14ac:dyDescent="0.3">
      <c r="B5" s="3" t="s">
        <v>4</v>
      </c>
      <c r="C5" s="32">
        <f>Welcome!B5</f>
        <v>45911</v>
      </c>
      <c r="D5" s="55"/>
      <c r="E5" s="55"/>
      <c r="F5" s="55"/>
      <c r="G5" s="55"/>
      <c r="H5" s="55"/>
    </row>
    <row r="6" spans="2:33" s="56" customFormat="1" ht="14.4" hidden="1" x14ac:dyDescent="0.3"/>
    <row r="7" spans="2:33" s="56" customFormat="1" ht="14.4" x14ac:dyDescent="0.3">
      <c r="B7" s="9" t="s">
        <v>198</v>
      </c>
      <c r="C7" s="57"/>
      <c r="D7" s="57"/>
      <c r="E7" s="57"/>
      <c r="F7" s="57"/>
      <c r="G7" s="57"/>
      <c r="H7" s="57"/>
      <c r="I7" s="57"/>
      <c r="J7" s="57"/>
      <c r="K7" s="57"/>
      <c r="L7" s="57"/>
      <c r="M7" s="57"/>
      <c r="N7" s="57"/>
      <c r="O7" s="57"/>
      <c r="P7" s="57"/>
      <c r="Q7" s="57"/>
      <c r="R7" s="57"/>
      <c r="S7" s="57"/>
      <c r="T7" s="57"/>
      <c r="U7" s="57"/>
      <c r="V7" s="57"/>
      <c r="W7" s="57"/>
      <c r="X7" s="57"/>
      <c r="Y7" s="57"/>
      <c r="Z7" s="57"/>
      <c r="AA7" s="57"/>
      <c r="AB7" s="57"/>
      <c r="AC7" s="57"/>
      <c r="AD7" s="57"/>
      <c r="AE7" s="57"/>
      <c r="AF7" s="57"/>
      <c r="AG7" s="57"/>
    </row>
    <row r="8" spans="2:33" s="56" customFormat="1" ht="14.4" x14ac:dyDescent="0.3">
      <c r="B8" s="58" t="s">
        <v>307</v>
      </c>
      <c r="C8" s="58"/>
      <c r="D8" s="58"/>
      <c r="E8" s="58"/>
      <c r="F8" s="58"/>
      <c r="G8" s="58"/>
      <c r="H8" s="58"/>
      <c r="I8" s="58"/>
      <c r="J8" s="58"/>
      <c r="K8" s="58"/>
      <c r="L8" s="58"/>
      <c r="M8" s="58"/>
      <c r="N8" s="58"/>
      <c r="O8" s="58"/>
      <c r="P8" s="58" t="s">
        <v>206</v>
      </c>
      <c r="Q8" s="58"/>
      <c r="R8" s="58"/>
      <c r="S8" s="58"/>
      <c r="T8" s="58"/>
      <c r="U8" s="58"/>
      <c r="V8" s="58"/>
      <c r="W8" s="58"/>
      <c r="X8" s="58"/>
      <c r="Y8" s="58"/>
      <c r="Z8" s="58"/>
      <c r="AA8" s="58"/>
      <c r="AB8" s="58"/>
      <c r="AC8" s="57"/>
      <c r="AD8" s="57"/>
      <c r="AE8" s="57"/>
      <c r="AF8" s="57"/>
      <c r="AG8" s="57"/>
    </row>
    <row r="9" spans="2:33" s="56" customFormat="1" ht="32.25" customHeight="1" thickBot="1" x14ac:dyDescent="0.35">
      <c r="B9" s="68" t="s">
        <v>121</v>
      </c>
      <c r="C9" s="57"/>
      <c r="D9" s="57"/>
      <c r="E9" s="57"/>
      <c r="F9" s="57"/>
      <c r="G9" s="57"/>
      <c r="H9" s="57"/>
      <c r="I9" s="57"/>
      <c r="J9" s="57"/>
      <c r="K9" s="57"/>
      <c r="L9" s="57"/>
      <c r="M9" s="57"/>
      <c r="N9" s="57"/>
      <c r="O9" s="57"/>
      <c r="P9" s="57"/>
      <c r="Q9" s="57"/>
      <c r="R9" s="57"/>
      <c r="S9" s="57"/>
      <c r="T9" s="57"/>
      <c r="U9" s="57"/>
      <c r="V9" s="57"/>
      <c r="W9" s="57"/>
      <c r="X9" s="57"/>
      <c r="Y9" s="57"/>
      <c r="Z9" s="57"/>
      <c r="AA9" s="57"/>
      <c r="AB9" s="57"/>
      <c r="AC9" s="58"/>
      <c r="AD9" s="58"/>
      <c r="AE9" s="58"/>
      <c r="AF9" s="58"/>
      <c r="AG9" s="58"/>
    </row>
    <row r="10" spans="2:33" s="56" customFormat="1" ht="15" hidden="1" thickBot="1" x14ac:dyDescent="0.35">
      <c r="B10" s="59"/>
      <c r="C10" s="59"/>
      <c r="D10" s="59"/>
      <c r="E10" s="59"/>
      <c r="F10" s="59"/>
      <c r="G10" s="59"/>
      <c r="H10" s="59"/>
      <c r="I10" s="59"/>
      <c r="J10" s="59"/>
      <c r="K10" s="59"/>
      <c r="L10" s="59"/>
      <c r="M10" s="59"/>
      <c r="N10" s="59"/>
      <c r="O10" s="59"/>
      <c r="P10" s="59"/>
      <c r="Q10" s="59"/>
      <c r="R10" s="59"/>
      <c r="S10" s="59"/>
      <c r="T10" s="59"/>
      <c r="U10" s="59"/>
      <c r="V10" s="59"/>
      <c r="W10" s="59"/>
      <c r="X10" s="59"/>
      <c r="Y10" s="59"/>
      <c r="Z10" s="59"/>
      <c r="AA10" s="59"/>
      <c r="AB10" s="59"/>
      <c r="AC10" s="59"/>
      <c r="AD10" s="59"/>
      <c r="AE10" s="59"/>
      <c r="AF10" s="59"/>
      <c r="AG10" s="59"/>
    </row>
    <row r="11" spans="2:33" s="42" customFormat="1" ht="15.75" customHeight="1" thickBot="1" x14ac:dyDescent="0.35">
      <c r="B11" s="43"/>
      <c r="C11" s="110" t="s">
        <v>6</v>
      </c>
      <c r="D11" s="66"/>
      <c r="E11" s="66"/>
      <c r="F11" s="66"/>
      <c r="G11" s="66"/>
      <c r="H11" s="66"/>
      <c r="I11" s="66"/>
      <c r="J11" s="66"/>
      <c r="K11" s="66"/>
      <c r="L11" s="66"/>
      <c r="M11" s="66"/>
      <c r="N11" s="67"/>
      <c r="O11" s="66" t="s">
        <v>208</v>
      </c>
      <c r="P11" s="66"/>
      <c r="Q11" s="66"/>
      <c r="R11" s="66"/>
      <c r="S11" s="66"/>
      <c r="T11" s="66"/>
      <c r="U11" s="66"/>
      <c r="V11" s="67"/>
      <c r="W11" s="67" t="s">
        <v>231</v>
      </c>
      <c r="X11" s="66"/>
      <c r="Y11" s="179" t="s">
        <v>7</v>
      </c>
      <c r="Z11" s="65"/>
      <c r="AA11" s="110" t="s">
        <v>8</v>
      </c>
      <c r="AB11" s="67"/>
    </row>
    <row r="12" spans="2:33" s="60" customFormat="1" ht="87" thickBot="1" x14ac:dyDescent="0.35">
      <c r="B12" s="28" t="s">
        <v>120</v>
      </c>
      <c r="C12" s="172" t="s">
        <v>318</v>
      </c>
      <c r="D12" s="64" t="s">
        <v>316</v>
      </c>
      <c r="E12" s="64" t="s">
        <v>317</v>
      </c>
      <c r="F12" s="64" t="s">
        <v>314</v>
      </c>
      <c r="G12" s="64" t="s">
        <v>315</v>
      </c>
      <c r="H12" s="64" t="s">
        <v>319</v>
      </c>
      <c r="I12" s="64" t="s">
        <v>320</v>
      </c>
      <c r="J12" s="27" t="s">
        <v>9</v>
      </c>
      <c r="K12" s="27" t="s">
        <v>312</v>
      </c>
      <c r="L12" s="64" t="s">
        <v>313</v>
      </c>
      <c r="M12" s="17" t="s">
        <v>329</v>
      </c>
      <c r="N12" s="206" t="s">
        <v>337</v>
      </c>
      <c r="O12" s="256" t="s">
        <v>207</v>
      </c>
      <c r="P12" s="27" t="s">
        <v>322</v>
      </c>
      <c r="Q12" s="27" t="s">
        <v>333</v>
      </c>
      <c r="R12" s="27" t="s">
        <v>321</v>
      </c>
      <c r="S12" s="27" t="s">
        <v>330</v>
      </c>
      <c r="T12" s="27" t="s">
        <v>323</v>
      </c>
      <c r="U12" s="27" t="s">
        <v>429</v>
      </c>
      <c r="V12" s="64" t="s">
        <v>430</v>
      </c>
      <c r="W12" s="244" t="s">
        <v>346</v>
      </c>
      <c r="X12" s="245" t="s">
        <v>347</v>
      </c>
      <c r="Y12" s="171" t="s">
        <v>344</v>
      </c>
      <c r="Z12" s="29" t="s">
        <v>345</v>
      </c>
      <c r="AA12" s="260" t="s">
        <v>10</v>
      </c>
      <c r="AB12" s="261" t="s">
        <v>11</v>
      </c>
    </row>
    <row r="13" spans="2:33" s="46" customFormat="1" ht="14.4" x14ac:dyDescent="0.3">
      <c r="B13" s="40" t="s">
        <v>190</v>
      </c>
      <c r="C13" s="193" t="s">
        <v>201</v>
      </c>
      <c r="D13" s="45" t="s">
        <v>124</v>
      </c>
      <c r="E13" s="45" t="s">
        <v>125</v>
      </c>
      <c r="F13" s="45" t="s">
        <v>126</v>
      </c>
      <c r="G13" s="45" t="s">
        <v>127</v>
      </c>
      <c r="H13" s="45" t="s">
        <v>128</v>
      </c>
      <c r="I13" s="45" t="s">
        <v>129</v>
      </c>
      <c r="J13" s="45" t="s">
        <v>130</v>
      </c>
      <c r="K13" s="45" t="s">
        <v>202</v>
      </c>
      <c r="L13" s="45" t="s">
        <v>203</v>
      </c>
      <c r="M13" s="257" t="s">
        <v>217</v>
      </c>
      <c r="N13" s="258" t="s">
        <v>338</v>
      </c>
      <c r="O13" s="188" t="s">
        <v>209</v>
      </c>
      <c r="P13" s="170" t="s">
        <v>324</v>
      </c>
      <c r="Q13" s="170" t="s">
        <v>325</v>
      </c>
      <c r="R13" s="170" t="s">
        <v>332</v>
      </c>
      <c r="S13" s="170" t="s">
        <v>326</v>
      </c>
      <c r="T13" s="170" t="s">
        <v>327</v>
      </c>
      <c r="U13" s="170" t="s">
        <v>215</v>
      </c>
      <c r="V13" s="170" t="s">
        <v>216</v>
      </c>
      <c r="W13" s="249" t="s">
        <v>221</v>
      </c>
      <c r="X13" s="194" t="s">
        <v>328</v>
      </c>
      <c r="Y13" s="176" t="s">
        <v>131</v>
      </c>
      <c r="Z13" s="45" t="s">
        <v>132</v>
      </c>
      <c r="AA13" s="180" t="s">
        <v>133</v>
      </c>
      <c r="AB13" s="181" t="s">
        <v>134</v>
      </c>
    </row>
    <row r="14" spans="2:33" s="44" customFormat="1" ht="28.8" x14ac:dyDescent="0.3">
      <c r="B14" s="41" t="s">
        <v>5</v>
      </c>
      <c r="C14" s="182" t="s">
        <v>12</v>
      </c>
      <c r="D14" s="48" t="s">
        <v>13</v>
      </c>
      <c r="E14" s="48" t="s">
        <v>14</v>
      </c>
      <c r="F14" s="48" t="s">
        <v>15</v>
      </c>
      <c r="G14" s="48" t="s">
        <v>16</v>
      </c>
      <c r="H14" s="48" t="s">
        <v>17</v>
      </c>
      <c r="I14" s="48" t="s">
        <v>18</v>
      </c>
      <c r="J14" s="48" t="s">
        <v>19</v>
      </c>
      <c r="K14" s="48" t="s">
        <v>204</v>
      </c>
      <c r="L14" s="48" t="s">
        <v>205</v>
      </c>
      <c r="M14" s="78" t="s">
        <v>233</v>
      </c>
      <c r="N14" s="195" t="s">
        <v>339</v>
      </c>
      <c r="O14" s="177" t="s">
        <v>218</v>
      </c>
      <c r="P14" s="48" t="s">
        <v>335</v>
      </c>
      <c r="Q14" s="48" t="s">
        <v>334</v>
      </c>
      <c r="R14" s="48" t="s">
        <v>331</v>
      </c>
      <c r="S14" s="48" t="s">
        <v>79</v>
      </c>
      <c r="T14" s="48">
        <v>11221</v>
      </c>
      <c r="U14" s="48" t="s">
        <v>220</v>
      </c>
      <c r="V14" s="48" t="s">
        <v>219</v>
      </c>
      <c r="W14" s="250" t="s">
        <v>232</v>
      </c>
      <c r="X14" s="195"/>
      <c r="Y14" s="239" t="s">
        <v>122</v>
      </c>
      <c r="Z14" s="49" t="s">
        <v>123</v>
      </c>
      <c r="AA14" s="262"/>
      <c r="AB14" s="185" t="s">
        <v>20</v>
      </c>
    </row>
    <row r="15" spans="2:33" s="42" customFormat="1" ht="14.4" hidden="1" x14ac:dyDescent="0.3">
      <c r="B15" s="41" t="s">
        <v>188</v>
      </c>
      <c r="C15" s="182" t="s">
        <v>188</v>
      </c>
      <c r="D15" s="47" t="s">
        <v>188</v>
      </c>
      <c r="E15" s="47" t="s">
        <v>188</v>
      </c>
      <c r="F15" s="47" t="s">
        <v>188</v>
      </c>
      <c r="G15" s="47" t="s">
        <v>188</v>
      </c>
      <c r="H15" s="47" t="s">
        <v>188</v>
      </c>
      <c r="I15" s="47" t="s">
        <v>188</v>
      </c>
      <c r="J15" s="47" t="s">
        <v>188</v>
      </c>
      <c r="K15" s="47"/>
      <c r="L15" s="47"/>
      <c r="M15" s="77"/>
      <c r="N15" s="196"/>
      <c r="O15" s="178"/>
      <c r="P15" s="47"/>
      <c r="Q15" s="47"/>
      <c r="R15" s="47"/>
      <c r="S15" s="47"/>
      <c r="T15" s="47"/>
      <c r="U15" s="47"/>
      <c r="V15" s="47"/>
      <c r="W15" s="251"/>
      <c r="X15" s="196"/>
      <c r="Y15" s="178" t="s">
        <v>188</v>
      </c>
      <c r="Z15" s="47" t="s">
        <v>188</v>
      </c>
      <c r="AA15" s="182" t="s">
        <v>188</v>
      </c>
      <c r="AB15" s="183" t="s">
        <v>188</v>
      </c>
    </row>
    <row r="16" spans="2:33" s="42" customFormat="1" ht="14.4" hidden="1" x14ac:dyDescent="0.3">
      <c r="B16" s="41" t="s">
        <v>188</v>
      </c>
      <c r="C16" s="182" t="s">
        <v>188</v>
      </c>
      <c r="D16" s="47" t="s">
        <v>188</v>
      </c>
      <c r="E16" s="47" t="s">
        <v>188</v>
      </c>
      <c r="F16" s="47" t="s">
        <v>188</v>
      </c>
      <c r="G16" s="47" t="s">
        <v>188</v>
      </c>
      <c r="H16" s="47" t="s">
        <v>188</v>
      </c>
      <c r="I16" s="47" t="s">
        <v>188</v>
      </c>
      <c r="J16" s="47" t="s">
        <v>188</v>
      </c>
      <c r="K16" s="47"/>
      <c r="L16" s="47"/>
      <c r="M16" s="77"/>
      <c r="N16" s="196"/>
      <c r="O16" s="178"/>
      <c r="P16" s="47"/>
      <c r="Q16" s="47"/>
      <c r="R16" s="47"/>
      <c r="S16" s="47"/>
      <c r="T16" s="47"/>
      <c r="U16" s="47"/>
      <c r="V16" s="47"/>
      <c r="W16" s="251"/>
      <c r="X16" s="196"/>
      <c r="Y16" s="178" t="s">
        <v>188</v>
      </c>
      <c r="Z16" s="47" t="s">
        <v>188</v>
      </c>
      <c r="AA16" s="182" t="s">
        <v>188</v>
      </c>
      <c r="AB16" s="183" t="s">
        <v>188</v>
      </c>
    </row>
    <row r="17" spans="2:28" s="42" customFormat="1" ht="14.4" hidden="1" x14ac:dyDescent="0.3">
      <c r="B17" s="41" t="s">
        <v>188</v>
      </c>
      <c r="C17" s="182" t="s">
        <v>188</v>
      </c>
      <c r="D17" s="47" t="s">
        <v>188</v>
      </c>
      <c r="E17" s="47" t="s">
        <v>188</v>
      </c>
      <c r="F17" s="47" t="s">
        <v>188</v>
      </c>
      <c r="G17" s="47" t="s">
        <v>188</v>
      </c>
      <c r="H17" s="47" t="s">
        <v>188</v>
      </c>
      <c r="I17" s="47" t="s">
        <v>188</v>
      </c>
      <c r="J17" s="47" t="s">
        <v>188</v>
      </c>
      <c r="K17" s="47"/>
      <c r="L17" s="47"/>
      <c r="M17" s="77"/>
      <c r="N17" s="196"/>
      <c r="O17" s="178"/>
      <c r="P17" s="47"/>
      <c r="Q17" s="47"/>
      <c r="R17" s="47"/>
      <c r="S17" s="47"/>
      <c r="T17" s="47"/>
      <c r="U17" s="47"/>
      <c r="V17" s="47"/>
      <c r="W17" s="251"/>
      <c r="X17" s="196"/>
      <c r="Y17" s="178" t="s">
        <v>188</v>
      </c>
      <c r="Z17" s="47" t="s">
        <v>188</v>
      </c>
      <c r="AA17" s="182" t="s">
        <v>188</v>
      </c>
      <c r="AB17" s="183" t="s">
        <v>188</v>
      </c>
    </row>
    <row r="18" spans="2:28" s="42" customFormat="1" ht="14.4" hidden="1" x14ac:dyDescent="0.3">
      <c r="B18" s="41" t="s">
        <v>188</v>
      </c>
      <c r="C18" s="182" t="s">
        <v>188</v>
      </c>
      <c r="D18" s="47" t="s">
        <v>188</v>
      </c>
      <c r="E18" s="47" t="s">
        <v>188</v>
      </c>
      <c r="F18" s="47" t="s">
        <v>188</v>
      </c>
      <c r="G18" s="47" t="s">
        <v>188</v>
      </c>
      <c r="H18" s="47" t="s">
        <v>188</v>
      </c>
      <c r="I18" s="47" t="s">
        <v>188</v>
      </c>
      <c r="J18" s="47" t="s">
        <v>188</v>
      </c>
      <c r="K18" s="47"/>
      <c r="L18" s="47"/>
      <c r="M18" s="77"/>
      <c r="N18" s="196"/>
      <c r="O18" s="178"/>
      <c r="P18" s="47"/>
      <c r="Q18" s="47"/>
      <c r="R18" s="47"/>
      <c r="S18" s="47"/>
      <c r="T18" s="47"/>
      <c r="U18" s="47"/>
      <c r="V18" s="47"/>
      <c r="W18" s="251"/>
      <c r="X18" s="196"/>
      <c r="Y18" s="178" t="s">
        <v>188</v>
      </c>
      <c r="Z18" s="47" t="s">
        <v>188</v>
      </c>
      <c r="AA18" s="182" t="s">
        <v>188</v>
      </c>
      <c r="AB18" s="183" t="s">
        <v>188</v>
      </c>
    </row>
    <row r="19" spans="2:28" s="42" customFormat="1" ht="14.4" hidden="1" x14ac:dyDescent="0.3">
      <c r="B19" s="41" t="s">
        <v>188</v>
      </c>
      <c r="C19" s="182" t="s">
        <v>188</v>
      </c>
      <c r="D19" s="47" t="s">
        <v>188</v>
      </c>
      <c r="E19" s="47" t="s">
        <v>188</v>
      </c>
      <c r="F19" s="47" t="s">
        <v>188</v>
      </c>
      <c r="G19" s="47" t="s">
        <v>188</v>
      </c>
      <c r="H19" s="47" t="s">
        <v>188</v>
      </c>
      <c r="I19" s="47" t="s">
        <v>188</v>
      </c>
      <c r="J19" s="47" t="s">
        <v>188</v>
      </c>
      <c r="K19" s="47"/>
      <c r="L19" s="47"/>
      <c r="M19" s="77"/>
      <c r="N19" s="196"/>
      <c r="O19" s="178"/>
      <c r="P19" s="47"/>
      <c r="Q19" s="47"/>
      <c r="R19" s="47"/>
      <c r="S19" s="47"/>
      <c r="T19" s="47"/>
      <c r="U19" s="47"/>
      <c r="V19" s="47"/>
      <c r="W19" s="251"/>
      <c r="X19" s="196"/>
      <c r="Y19" s="178" t="s">
        <v>188</v>
      </c>
      <c r="Z19" s="47" t="s">
        <v>188</v>
      </c>
      <c r="AA19" s="182" t="s">
        <v>188</v>
      </c>
      <c r="AB19" s="183" t="s">
        <v>188</v>
      </c>
    </row>
    <row r="20" spans="2:28" s="42" customFormat="1" ht="14.4" hidden="1" x14ac:dyDescent="0.3">
      <c r="B20" s="41" t="s">
        <v>188</v>
      </c>
      <c r="C20" s="182" t="s">
        <v>188</v>
      </c>
      <c r="D20" s="47" t="s">
        <v>188</v>
      </c>
      <c r="E20" s="47" t="s">
        <v>188</v>
      </c>
      <c r="F20" s="47" t="s">
        <v>188</v>
      </c>
      <c r="G20" s="47" t="s">
        <v>188</v>
      </c>
      <c r="H20" s="47" t="s">
        <v>188</v>
      </c>
      <c r="I20" s="47" t="s">
        <v>188</v>
      </c>
      <c r="J20" s="47" t="s">
        <v>188</v>
      </c>
      <c r="K20" s="47"/>
      <c r="L20" s="47"/>
      <c r="M20" s="77"/>
      <c r="N20" s="196"/>
      <c r="O20" s="178"/>
      <c r="P20" s="47"/>
      <c r="Q20" s="47"/>
      <c r="R20" s="47"/>
      <c r="S20" s="47"/>
      <c r="T20" s="47"/>
      <c r="U20" s="47"/>
      <c r="V20" s="47"/>
      <c r="W20" s="251"/>
      <c r="X20" s="196"/>
      <c r="Y20" s="178" t="s">
        <v>188</v>
      </c>
      <c r="Z20" s="47" t="s">
        <v>188</v>
      </c>
      <c r="AA20" s="182" t="s">
        <v>188</v>
      </c>
      <c r="AB20" s="183" t="s">
        <v>188</v>
      </c>
    </row>
    <row r="21" spans="2:28" s="42" customFormat="1" ht="14.4" hidden="1" x14ac:dyDescent="0.3">
      <c r="B21" s="41" t="s">
        <v>188</v>
      </c>
      <c r="C21" s="182" t="s">
        <v>188</v>
      </c>
      <c r="D21" s="47" t="s">
        <v>188</v>
      </c>
      <c r="E21" s="47" t="s">
        <v>188</v>
      </c>
      <c r="F21" s="47" t="s">
        <v>188</v>
      </c>
      <c r="G21" s="47" t="s">
        <v>188</v>
      </c>
      <c r="H21" s="47" t="s">
        <v>188</v>
      </c>
      <c r="I21" s="47" t="s">
        <v>188</v>
      </c>
      <c r="J21" s="47" t="s">
        <v>188</v>
      </c>
      <c r="K21" s="47"/>
      <c r="L21" s="47"/>
      <c r="M21" s="77"/>
      <c r="N21" s="196"/>
      <c r="O21" s="178"/>
      <c r="P21" s="47"/>
      <c r="Q21" s="47"/>
      <c r="R21" s="47"/>
      <c r="S21" s="47"/>
      <c r="T21" s="47"/>
      <c r="U21" s="47"/>
      <c r="V21" s="47"/>
      <c r="W21" s="251"/>
      <c r="X21" s="196"/>
      <c r="Y21" s="178" t="s">
        <v>188</v>
      </c>
      <c r="Z21" s="47" t="s">
        <v>188</v>
      </c>
      <c r="AA21" s="182" t="s">
        <v>188</v>
      </c>
      <c r="AB21" s="183" t="s">
        <v>188</v>
      </c>
    </row>
    <row r="22" spans="2:28" s="42" customFormat="1" ht="14.4" hidden="1" x14ac:dyDescent="0.3">
      <c r="B22" s="41" t="s">
        <v>188</v>
      </c>
      <c r="C22" s="182" t="s">
        <v>188</v>
      </c>
      <c r="D22" s="47" t="s">
        <v>188</v>
      </c>
      <c r="E22" s="47" t="s">
        <v>188</v>
      </c>
      <c r="F22" s="47" t="s">
        <v>188</v>
      </c>
      <c r="G22" s="47" t="s">
        <v>188</v>
      </c>
      <c r="H22" s="47" t="s">
        <v>188</v>
      </c>
      <c r="I22" s="47" t="s">
        <v>188</v>
      </c>
      <c r="J22" s="47" t="s">
        <v>188</v>
      </c>
      <c r="K22" s="47"/>
      <c r="L22" s="47"/>
      <c r="M22" s="77"/>
      <c r="N22" s="196"/>
      <c r="O22" s="178"/>
      <c r="P22" s="47"/>
      <c r="Q22" s="47"/>
      <c r="R22" s="47"/>
      <c r="S22" s="47"/>
      <c r="T22" s="47"/>
      <c r="U22" s="47"/>
      <c r="V22" s="47"/>
      <c r="W22" s="251"/>
      <c r="X22" s="196"/>
      <c r="Y22" s="178" t="s">
        <v>188</v>
      </c>
      <c r="Z22" s="47" t="s">
        <v>188</v>
      </c>
      <c r="AA22" s="182" t="s">
        <v>188</v>
      </c>
      <c r="AB22" s="183" t="s">
        <v>188</v>
      </c>
    </row>
    <row r="23" spans="2:28" s="42" customFormat="1" ht="14.4" hidden="1" x14ac:dyDescent="0.3">
      <c r="B23" s="41" t="s">
        <v>188</v>
      </c>
      <c r="C23" s="182" t="s">
        <v>188</v>
      </c>
      <c r="D23" s="47" t="s">
        <v>188</v>
      </c>
      <c r="E23" s="47" t="s">
        <v>188</v>
      </c>
      <c r="F23" s="47" t="s">
        <v>188</v>
      </c>
      <c r="G23" s="47" t="s">
        <v>188</v>
      </c>
      <c r="H23" s="47" t="s">
        <v>188</v>
      </c>
      <c r="I23" s="47" t="s">
        <v>188</v>
      </c>
      <c r="J23" s="47" t="s">
        <v>188</v>
      </c>
      <c r="K23" s="47"/>
      <c r="L23" s="47"/>
      <c r="M23" s="77"/>
      <c r="N23" s="196"/>
      <c r="O23" s="178"/>
      <c r="P23" s="47"/>
      <c r="Q23" s="47"/>
      <c r="R23" s="47"/>
      <c r="S23" s="47"/>
      <c r="T23" s="47"/>
      <c r="U23" s="47"/>
      <c r="V23" s="47"/>
      <c r="W23" s="251"/>
      <c r="X23" s="196"/>
      <c r="Y23" s="178" t="s">
        <v>188</v>
      </c>
      <c r="Z23" s="47" t="s">
        <v>188</v>
      </c>
      <c r="AA23" s="182" t="s">
        <v>188</v>
      </c>
      <c r="AB23" s="183" t="s">
        <v>188</v>
      </c>
    </row>
    <row r="24" spans="2:28" s="50" customFormat="1" ht="14.4" x14ac:dyDescent="0.3">
      <c r="B24" s="117" t="str">
        <f>IF(C24="","",ROW(B24)-23)</f>
        <v/>
      </c>
      <c r="C24" s="197"/>
      <c r="D24" s="118"/>
      <c r="E24" s="118"/>
      <c r="F24" s="118"/>
      <c r="G24" s="118"/>
      <c r="H24" s="118"/>
      <c r="I24" s="119"/>
      <c r="J24" s="118"/>
      <c r="K24" s="173"/>
      <c r="L24" s="173"/>
      <c r="M24" s="246"/>
      <c r="N24" s="198"/>
      <c r="O24" s="189"/>
      <c r="P24" s="173"/>
      <c r="Q24" s="173"/>
      <c r="R24" s="173"/>
      <c r="S24" s="173"/>
      <c r="T24" s="173"/>
      <c r="U24" s="173"/>
      <c r="V24" s="173"/>
      <c r="W24" s="252"/>
      <c r="X24" s="198"/>
      <c r="Y24" s="240"/>
      <c r="Z24" s="120"/>
      <c r="AA24" s="197"/>
      <c r="AB24" s="263"/>
    </row>
    <row r="25" spans="2:28" ht="14.4" x14ac:dyDescent="0.3">
      <c r="B25" s="121" t="str">
        <f t="shared" ref="B25:B33" si="0">IF(C25="","",ROW(B25)-23)</f>
        <v/>
      </c>
      <c r="C25" s="199"/>
      <c r="D25" s="122"/>
      <c r="E25" s="122"/>
      <c r="F25" s="122"/>
      <c r="G25" s="122"/>
      <c r="H25" s="122"/>
      <c r="I25" s="123"/>
      <c r="J25" s="122"/>
      <c r="K25" s="174"/>
      <c r="L25" s="174"/>
      <c r="M25" s="247"/>
      <c r="N25" s="200"/>
      <c r="O25" s="190"/>
      <c r="P25" s="174"/>
      <c r="Q25" s="174"/>
      <c r="R25" s="174"/>
      <c r="S25" s="174"/>
      <c r="T25" s="174"/>
      <c r="U25" s="174"/>
      <c r="V25" s="174"/>
      <c r="W25" s="253"/>
      <c r="X25" s="200"/>
      <c r="Y25" s="241"/>
      <c r="Z25" s="124"/>
      <c r="AA25" s="199"/>
      <c r="AB25" s="264"/>
    </row>
    <row r="26" spans="2:28" s="50" customFormat="1" ht="14.4" x14ac:dyDescent="0.3">
      <c r="B26" s="117" t="str">
        <f t="shared" si="0"/>
        <v/>
      </c>
      <c r="C26" s="197"/>
      <c r="D26" s="118"/>
      <c r="E26" s="118"/>
      <c r="F26" s="118"/>
      <c r="G26" s="118"/>
      <c r="H26" s="118"/>
      <c r="I26" s="119"/>
      <c r="J26" s="118"/>
      <c r="K26" s="173"/>
      <c r="L26" s="173"/>
      <c r="M26" s="246"/>
      <c r="N26" s="198"/>
      <c r="O26" s="189"/>
      <c r="P26" s="173"/>
      <c r="Q26" s="173"/>
      <c r="R26" s="173"/>
      <c r="S26" s="173"/>
      <c r="T26" s="173"/>
      <c r="U26" s="173"/>
      <c r="V26" s="173"/>
      <c r="W26" s="252"/>
      <c r="X26" s="198"/>
      <c r="Y26" s="240"/>
      <c r="Z26" s="120"/>
      <c r="AA26" s="197"/>
      <c r="AB26" s="263"/>
    </row>
    <row r="27" spans="2:28" ht="14.4" x14ac:dyDescent="0.3">
      <c r="B27" s="121" t="str">
        <f t="shared" si="0"/>
        <v/>
      </c>
      <c r="C27" s="199"/>
      <c r="D27" s="122"/>
      <c r="E27" s="122"/>
      <c r="F27" s="122"/>
      <c r="G27" s="122"/>
      <c r="H27" s="122"/>
      <c r="I27" s="123"/>
      <c r="J27" s="122"/>
      <c r="K27" s="174"/>
      <c r="L27" s="174"/>
      <c r="M27" s="247"/>
      <c r="N27" s="200"/>
      <c r="O27" s="190"/>
      <c r="P27" s="174"/>
      <c r="Q27" s="174"/>
      <c r="R27" s="174"/>
      <c r="S27" s="174"/>
      <c r="T27" s="174"/>
      <c r="U27" s="174"/>
      <c r="V27" s="174"/>
      <c r="W27" s="253"/>
      <c r="X27" s="200"/>
      <c r="Y27" s="241"/>
      <c r="Z27" s="124"/>
      <c r="AA27" s="199"/>
      <c r="AB27" s="264"/>
    </row>
    <row r="28" spans="2:28" ht="14.4" x14ac:dyDescent="0.3">
      <c r="B28" s="125" t="str">
        <f t="shared" si="0"/>
        <v/>
      </c>
      <c r="C28" s="201"/>
      <c r="D28" s="126"/>
      <c r="E28" s="126"/>
      <c r="F28" s="126"/>
      <c r="G28" s="126"/>
      <c r="H28" s="126"/>
      <c r="I28" s="127"/>
      <c r="J28" s="126"/>
      <c r="K28" s="175"/>
      <c r="L28" s="175"/>
      <c r="M28" s="248"/>
      <c r="N28" s="202"/>
      <c r="O28" s="191"/>
      <c r="P28" s="175"/>
      <c r="Q28" s="175"/>
      <c r="R28" s="175"/>
      <c r="S28" s="175"/>
      <c r="T28" s="175"/>
      <c r="U28" s="175"/>
      <c r="V28" s="175"/>
      <c r="W28" s="254"/>
      <c r="X28" s="202"/>
      <c r="Y28" s="242"/>
      <c r="Z28" s="128"/>
      <c r="AA28" s="201"/>
      <c r="AB28" s="265"/>
    </row>
    <row r="29" spans="2:28" ht="14.4" x14ac:dyDescent="0.3">
      <c r="B29" s="121" t="str">
        <f t="shared" si="0"/>
        <v/>
      </c>
      <c r="C29" s="199"/>
      <c r="D29" s="122"/>
      <c r="E29" s="122"/>
      <c r="F29" s="122"/>
      <c r="G29" s="122"/>
      <c r="H29" s="122"/>
      <c r="I29" s="123"/>
      <c r="J29" s="122"/>
      <c r="K29" s="174"/>
      <c r="L29" s="174"/>
      <c r="M29" s="247"/>
      <c r="N29" s="200"/>
      <c r="O29" s="190"/>
      <c r="P29" s="174"/>
      <c r="Q29" s="174"/>
      <c r="R29" s="174"/>
      <c r="S29" s="174"/>
      <c r="T29" s="174"/>
      <c r="U29" s="174"/>
      <c r="V29" s="174"/>
      <c r="W29" s="253"/>
      <c r="X29" s="200"/>
      <c r="Y29" s="241"/>
      <c r="Z29" s="124"/>
      <c r="AA29" s="199"/>
      <c r="AB29" s="264"/>
    </row>
    <row r="30" spans="2:28" ht="14.4" x14ac:dyDescent="0.3">
      <c r="B30" s="125" t="str">
        <f t="shared" si="0"/>
        <v/>
      </c>
      <c r="C30" s="201"/>
      <c r="D30" s="126"/>
      <c r="E30" s="126"/>
      <c r="F30" s="126"/>
      <c r="G30" s="126"/>
      <c r="H30" s="126"/>
      <c r="I30" s="127"/>
      <c r="J30" s="126"/>
      <c r="K30" s="175"/>
      <c r="L30" s="175"/>
      <c r="M30" s="248"/>
      <c r="N30" s="202"/>
      <c r="O30" s="191"/>
      <c r="P30" s="175"/>
      <c r="Q30" s="175"/>
      <c r="R30" s="175"/>
      <c r="S30" s="175"/>
      <c r="T30" s="175"/>
      <c r="U30" s="175"/>
      <c r="V30" s="175"/>
      <c r="W30" s="254"/>
      <c r="X30" s="202"/>
      <c r="Y30" s="242"/>
      <c r="Z30" s="128"/>
      <c r="AA30" s="201"/>
      <c r="AB30" s="265"/>
    </row>
    <row r="31" spans="2:28" ht="14.4" x14ac:dyDescent="0.3">
      <c r="B31" s="121" t="str">
        <f t="shared" si="0"/>
        <v/>
      </c>
      <c r="C31" s="199"/>
      <c r="D31" s="122"/>
      <c r="E31" s="122"/>
      <c r="F31" s="122"/>
      <c r="G31" s="122"/>
      <c r="H31" s="122"/>
      <c r="I31" s="123"/>
      <c r="J31" s="122"/>
      <c r="K31" s="174"/>
      <c r="L31" s="174"/>
      <c r="M31" s="247"/>
      <c r="N31" s="200"/>
      <c r="O31" s="190"/>
      <c r="P31" s="174"/>
      <c r="Q31" s="174"/>
      <c r="R31" s="174"/>
      <c r="S31" s="174"/>
      <c r="T31" s="174"/>
      <c r="U31" s="174"/>
      <c r="V31" s="174"/>
      <c r="W31" s="253"/>
      <c r="X31" s="200"/>
      <c r="Y31" s="241"/>
      <c r="Z31" s="124"/>
      <c r="AA31" s="199"/>
      <c r="AB31" s="264"/>
    </row>
    <row r="32" spans="2:28" ht="14.4" x14ac:dyDescent="0.3">
      <c r="B32" s="125" t="str">
        <f t="shared" si="0"/>
        <v/>
      </c>
      <c r="C32" s="201"/>
      <c r="D32" s="126"/>
      <c r="E32" s="126"/>
      <c r="F32" s="126"/>
      <c r="G32" s="126"/>
      <c r="H32" s="126"/>
      <c r="I32" s="127"/>
      <c r="J32" s="126"/>
      <c r="K32" s="175"/>
      <c r="L32" s="175"/>
      <c r="M32" s="248"/>
      <c r="N32" s="202"/>
      <c r="O32" s="191"/>
      <c r="P32" s="175"/>
      <c r="Q32" s="175"/>
      <c r="R32" s="175"/>
      <c r="S32" s="175"/>
      <c r="T32" s="175"/>
      <c r="U32" s="175"/>
      <c r="V32" s="175"/>
      <c r="W32" s="254"/>
      <c r="X32" s="202"/>
      <c r="Y32" s="242"/>
      <c r="Z32" s="128"/>
      <c r="AA32" s="201"/>
      <c r="AB32" s="265"/>
    </row>
    <row r="33" spans="2:28" ht="15" thickBot="1" x14ac:dyDescent="0.35">
      <c r="B33" s="121" t="str">
        <f t="shared" si="0"/>
        <v/>
      </c>
      <c r="C33" s="203"/>
      <c r="D33" s="204"/>
      <c r="E33" s="204"/>
      <c r="F33" s="204"/>
      <c r="G33" s="204"/>
      <c r="H33" s="204"/>
      <c r="I33" s="205"/>
      <c r="J33" s="204"/>
      <c r="K33" s="187"/>
      <c r="L33" s="187"/>
      <c r="M33" s="259"/>
      <c r="N33" s="186"/>
      <c r="O33" s="192"/>
      <c r="P33" s="187"/>
      <c r="Q33" s="187"/>
      <c r="R33" s="187"/>
      <c r="S33" s="187"/>
      <c r="T33" s="187"/>
      <c r="U33" s="187"/>
      <c r="V33" s="187"/>
      <c r="W33" s="255"/>
      <c r="X33" s="186"/>
      <c r="Y33" s="243"/>
      <c r="Z33" s="184"/>
      <c r="AA33" s="203"/>
      <c r="AB33" s="266"/>
    </row>
    <row r="34" spans="2:28" ht="14.4" hidden="1" x14ac:dyDescent="0.3">
      <c r="B34" s="52"/>
    </row>
    <row r="35" spans="2:28" ht="14.4" hidden="1" x14ac:dyDescent="0.3">
      <c r="B35" s="53"/>
    </row>
    <row r="36" spans="2:28" ht="14.4" hidden="1" x14ac:dyDescent="0.3">
      <c r="B36" s="53"/>
    </row>
    <row r="37" spans="2:28" ht="14.4" hidden="1" x14ac:dyDescent="0.3">
      <c r="B37" s="53"/>
    </row>
    <row r="38" spans="2:28" ht="14.4" hidden="1" x14ac:dyDescent="0.3">
      <c r="B38" s="53"/>
    </row>
    <row r="39" spans="2:28" ht="14.4" hidden="1" x14ac:dyDescent="0.3">
      <c r="B39" s="53"/>
    </row>
    <row r="40" spans="2:28" ht="14.4" hidden="1" x14ac:dyDescent="0.3">
      <c r="B40" s="53"/>
    </row>
    <row r="41" spans="2:28" ht="14.4" hidden="1" x14ac:dyDescent="0.3">
      <c r="B41" s="53"/>
    </row>
    <row r="42" spans="2:28" ht="14.4" hidden="1" x14ac:dyDescent="0.3">
      <c r="B42" s="53"/>
    </row>
    <row r="43" spans="2:28" ht="14.4" hidden="1" x14ac:dyDescent="0.3">
      <c r="B43" s="53"/>
    </row>
    <row r="44" spans="2:28" ht="14.4" hidden="1" x14ac:dyDescent="0.3">
      <c r="B44" s="53"/>
    </row>
    <row r="45" spans="2:28" ht="14.4" hidden="1" x14ac:dyDescent="0.3">
      <c r="B45" s="53"/>
    </row>
    <row r="46" spans="2:28" ht="14.4" hidden="1" x14ac:dyDescent="0.3">
      <c r="B46" s="53"/>
    </row>
    <row r="47" spans="2:28" ht="14.4" hidden="1" x14ac:dyDescent="0.3">
      <c r="B47" s="53"/>
    </row>
    <row r="48" spans="2:28" ht="14.4" hidden="1" x14ac:dyDescent="0.3">
      <c r="B48" s="53"/>
    </row>
    <row r="49" spans="2:2" ht="14.4" hidden="1" x14ac:dyDescent="0.3">
      <c r="B49" s="53"/>
    </row>
    <row r="50" spans="2:2" ht="14.4" hidden="1" x14ac:dyDescent="0.3">
      <c r="B50" s="53"/>
    </row>
    <row r="51" spans="2:2" ht="14.4" hidden="1" x14ac:dyDescent="0.3">
      <c r="B51" s="53"/>
    </row>
    <row r="52" spans="2:2" ht="14.4" hidden="1" x14ac:dyDescent="0.3">
      <c r="B52" s="53"/>
    </row>
    <row r="53" spans="2:2" ht="14.4" hidden="1" x14ac:dyDescent="0.3">
      <c r="B53" s="53"/>
    </row>
    <row r="54" spans="2:2" ht="14.4" hidden="1" x14ac:dyDescent="0.3">
      <c r="B54" s="53"/>
    </row>
    <row r="55" spans="2:2" ht="14.4" hidden="1" x14ac:dyDescent="0.3">
      <c r="B55" s="53"/>
    </row>
    <row r="56" spans="2:2" ht="14.4" hidden="1" x14ac:dyDescent="0.3">
      <c r="B56" s="53"/>
    </row>
    <row r="57" spans="2:2" ht="14.4" hidden="1" x14ac:dyDescent="0.3">
      <c r="B57" s="53"/>
    </row>
    <row r="58" spans="2:2" ht="14.4" hidden="1" x14ac:dyDescent="0.3">
      <c r="B58" s="53"/>
    </row>
    <row r="59" spans="2:2" ht="14.4" hidden="1" x14ac:dyDescent="0.3">
      <c r="B59" s="53"/>
    </row>
    <row r="60" spans="2:2" ht="14.4" hidden="1" x14ac:dyDescent="0.3">
      <c r="B60" s="53"/>
    </row>
    <row r="61" spans="2:2" ht="14.4" hidden="1" x14ac:dyDescent="0.3">
      <c r="B61" s="53"/>
    </row>
    <row r="62" spans="2:2" ht="14.4" hidden="1" x14ac:dyDescent="0.3">
      <c r="B62" s="53"/>
    </row>
    <row r="63" spans="2:2" ht="14.4" hidden="1" x14ac:dyDescent="0.3">
      <c r="B63" s="53"/>
    </row>
    <row r="64" spans="2:2" ht="14.4" hidden="1" x14ac:dyDescent="0.3">
      <c r="B64" s="53"/>
    </row>
    <row r="65" spans="2:2" ht="14.4" hidden="1" x14ac:dyDescent="0.3">
      <c r="B65" s="53"/>
    </row>
    <row r="66" spans="2:2" ht="14.4" hidden="1" x14ac:dyDescent="0.3">
      <c r="B66" s="53"/>
    </row>
    <row r="67" spans="2:2" ht="14.4" hidden="1" x14ac:dyDescent="0.3">
      <c r="B67" s="53"/>
    </row>
    <row r="68" spans="2:2" ht="14.4" hidden="1" x14ac:dyDescent="0.3">
      <c r="B68" s="53"/>
    </row>
    <row r="69" spans="2:2" ht="14.4" hidden="1" x14ac:dyDescent="0.3">
      <c r="B69" s="53"/>
    </row>
    <row r="70" spans="2:2" ht="14.4" hidden="1" x14ac:dyDescent="0.3">
      <c r="B70" s="53"/>
    </row>
    <row r="71" spans="2:2" ht="14.4" hidden="1" x14ac:dyDescent="0.3">
      <c r="B71" s="53"/>
    </row>
    <row r="72" spans="2:2" ht="14.4" hidden="1" x14ac:dyDescent="0.3">
      <c r="B72" s="53"/>
    </row>
    <row r="73" spans="2:2" ht="14.4" hidden="1" x14ac:dyDescent="0.3">
      <c r="B73" s="53"/>
    </row>
    <row r="74" spans="2:2" ht="14.4" hidden="1" x14ac:dyDescent="0.3">
      <c r="B74" s="53"/>
    </row>
    <row r="75" spans="2:2" ht="14.4" hidden="1" x14ac:dyDescent="0.3">
      <c r="B75" s="53"/>
    </row>
    <row r="76" spans="2:2" ht="14.4" hidden="1" x14ac:dyDescent="0.3">
      <c r="B76" s="53"/>
    </row>
    <row r="77" spans="2:2" ht="14.4" hidden="1" x14ac:dyDescent="0.3">
      <c r="B77" s="53"/>
    </row>
    <row r="78" spans="2:2" ht="14.4" hidden="1" x14ac:dyDescent="0.3">
      <c r="B78" s="53"/>
    </row>
    <row r="79" spans="2:2" ht="14.4" hidden="1" x14ac:dyDescent="0.3">
      <c r="B79" s="53"/>
    </row>
    <row r="80" spans="2:2" ht="14.4" hidden="1" x14ac:dyDescent="0.3">
      <c r="B80" s="53"/>
    </row>
    <row r="81" spans="2:2" ht="14.4" hidden="1" x14ac:dyDescent="0.3">
      <c r="B81" s="53"/>
    </row>
    <row r="82" spans="2:2" ht="14.4" hidden="1" x14ac:dyDescent="0.3">
      <c r="B82" s="53"/>
    </row>
    <row r="83" spans="2:2" ht="14.4" hidden="1" x14ac:dyDescent="0.3">
      <c r="B83" s="53"/>
    </row>
    <row r="84" spans="2:2" ht="14.4" hidden="1" x14ac:dyDescent="0.3">
      <c r="B84" s="53"/>
    </row>
    <row r="85" spans="2:2" ht="14.4" hidden="1" x14ac:dyDescent="0.3">
      <c r="B85" s="53"/>
    </row>
    <row r="86" spans="2:2" ht="14.4" hidden="1" x14ac:dyDescent="0.3">
      <c r="B86" s="53"/>
    </row>
    <row r="87" spans="2:2" ht="14.4" hidden="1" x14ac:dyDescent="0.3">
      <c r="B87" s="53"/>
    </row>
    <row r="88" spans="2:2" ht="14.4" hidden="1" x14ac:dyDescent="0.3">
      <c r="B88" s="53"/>
    </row>
    <row r="89" spans="2:2" ht="14.4" hidden="1" x14ac:dyDescent="0.3">
      <c r="B89" s="53"/>
    </row>
    <row r="90" spans="2:2" ht="14.4" hidden="1" x14ac:dyDescent="0.3">
      <c r="B90" s="53"/>
    </row>
    <row r="91" spans="2:2" ht="14.4" hidden="1" x14ac:dyDescent="0.3">
      <c r="B91" s="53"/>
    </row>
    <row r="92" spans="2:2" ht="14.4" hidden="1" x14ac:dyDescent="0.3">
      <c r="B92" s="53"/>
    </row>
    <row r="93" spans="2:2" ht="14.4" hidden="1" x14ac:dyDescent="0.3">
      <c r="B93" s="53"/>
    </row>
    <row r="94" spans="2:2" ht="14.4" hidden="1" x14ac:dyDescent="0.3">
      <c r="B94" s="53"/>
    </row>
    <row r="95" spans="2:2" ht="14.4" hidden="1" x14ac:dyDescent="0.3">
      <c r="B95" s="53"/>
    </row>
    <row r="96" spans="2:2" ht="14.4" hidden="1" x14ac:dyDescent="0.3">
      <c r="B96" s="53"/>
    </row>
    <row r="97" spans="2:2" ht="14.4" hidden="1" x14ac:dyDescent="0.3">
      <c r="B97" s="53"/>
    </row>
    <row r="98" spans="2:2" ht="14.4" hidden="1" x14ac:dyDescent="0.3">
      <c r="B98" s="53"/>
    </row>
    <row r="99" spans="2:2" ht="14.4" hidden="1" x14ac:dyDescent="0.3">
      <c r="B99" s="53"/>
    </row>
    <row r="100" spans="2:2" ht="14.4" hidden="1" x14ac:dyDescent="0.3">
      <c r="B100" s="53"/>
    </row>
    <row r="101" spans="2:2" ht="14.4" hidden="1" x14ac:dyDescent="0.3">
      <c r="B101" s="53"/>
    </row>
    <row r="102" spans="2:2" ht="14.4" hidden="1" x14ac:dyDescent="0.3">
      <c r="B102" s="53"/>
    </row>
    <row r="103" spans="2:2" ht="14.4" hidden="1" x14ac:dyDescent="0.3">
      <c r="B103" s="53"/>
    </row>
    <row r="104" spans="2:2" ht="14.4" hidden="1" x14ac:dyDescent="0.3">
      <c r="B104" s="53"/>
    </row>
    <row r="105" spans="2:2" ht="14.4" hidden="1" x14ac:dyDescent="0.3">
      <c r="B105" s="53"/>
    </row>
    <row r="106" spans="2:2" ht="14.4" hidden="1" x14ac:dyDescent="0.3">
      <c r="B106" s="53"/>
    </row>
    <row r="107" spans="2:2" ht="14.4" hidden="1" x14ac:dyDescent="0.3">
      <c r="B107" s="53"/>
    </row>
    <row r="108" spans="2:2" ht="14.4" hidden="1" x14ac:dyDescent="0.3">
      <c r="B108" s="53"/>
    </row>
    <row r="109" spans="2:2" ht="14.4" hidden="1" x14ac:dyDescent="0.3">
      <c r="B109" s="53"/>
    </row>
  </sheetData>
  <sheetProtection sort="0" autoFilter="0"/>
  <phoneticPr fontId="16" type="noConversion"/>
  <dataValidations count="4">
    <dataValidation type="date" operator="greaterThan" allowBlank="1" showInputMessage="1" showErrorMessage="1" sqref="Y24:Y33" xr:uid="{3CC46026-B14F-476E-8A26-345A78E2B577}">
      <formula1>43831</formula1>
    </dataValidation>
    <dataValidation type="date" operator="greaterThan" allowBlank="1" showInputMessage="1" showErrorMessage="1" sqref="Z24:Z33" xr:uid="{91F26F39-840E-4E39-982A-5496D889BB7E}">
      <formula1>$Y24</formula1>
    </dataValidation>
    <dataValidation type="whole" allowBlank="1" showInputMessage="1" showErrorMessage="1" sqref="I24:I33" xr:uid="{75906FCF-D067-4F2C-8729-84C3D971CB52}">
      <formula1>0</formula1>
      <formula2>99999</formula2>
    </dataValidation>
    <dataValidation type="decimal" allowBlank="1" showInputMessage="1" showErrorMessage="1" sqref="K24:L33" xr:uid="{7EF1C2D7-F1D1-49F1-B7CD-16F080FBE7EF}">
      <formula1>-999.99999</formula1>
      <formula2>999.99999</formula2>
    </dataValidation>
  </dataValidations>
  <pageMargins left="0.25" right="0.25" top="0.75" bottom="0.75" header="0.3" footer="0.3"/>
  <pageSetup scale="82" fitToWidth="2" fitToHeight="0" orientation="landscape" r:id="rId1"/>
  <headerFooter>
    <oddHeader>&amp;C&amp;10 40 CFR Part 63, Subpart EEEE National Emission Standards for Hazardous Air Pollutants: Organic Liquids Distribution (Non-Gasoline) - Compliance Report</oddHeader>
    <oddFooter>&amp;L&amp;10&amp;A&amp;R&amp;10Page &amp;P</oddFooter>
  </headerFooter>
  <legacy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601C07DB-243D-46ED-869A-3BBA039F9D26}">
          <x14:formula1>
            <xm:f>Lists!$E$2:$E$57</xm:f>
          </x14:formula1>
          <xm:sqref>H24:H33</xm:sqref>
        </x14:dataValidation>
        <x14:dataValidation type="list" allowBlank="1" showInputMessage="1" showErrorMessage="1" errorTitle="Invalid Entry!" error="Please select a facility type from the list" promptTitle="Type of Facility" prompt="Please select a facility type from the list" xr:uid="{E2FC5C35-C061-4051-9EA1-00B4ADC57601}">
          <x14:formula1>
            <xm:f>Lists!$B$14:$B$17</xm:f>
          </x14:formula1>
          <xm:sqref>M24:M33</xm:sqref>
        </x14:dataValidation>
        <x14:dataValidation type="list" allowBlank="1" showInputMessage="1" showErrorMessage="1" errorTitle="Invalid Entry!" error="Please select a control method from the list" promptTitle="Control Method" prompt="Please select a control method from the list. NOTE: if selecting other, specify the information in the second field." xr:uid="{90E231F7-DBFB-4E46-B024-0267B5DC6451}">
          <x14:formula1>
            <xm:f>Lists!$B$20:$B$27</xm:f>
          </x14:formula1>
          <xm:sqref>W24:W33</xm:sqref>
        </x14:dataValidation>
        <x14:dataValidation type="list" allowBlank="1" showErrorMessage="1" errorTitle="Invalid Entry!" error="Please select a state abbreviation from the dropdown." promptTitle="MailingState" prompt="Please select a state abbreviation from the dropdown." xr:uid="{2396637B-D55B-4189-A67D-5C97F2F41BD1}">
          <x14:formula1>
            <xm:f>Lists!$E$2:$E$57</xm:f>
          </x14:formula1>
          <xm:sqref>S24:S33</xm:sqref>
        </x14:dataValidation>
        <x14:dataValidation type="list" allowBlank="1" showInputMessage="1" showErrorMessage="1" errorTitle="Invalid Entry!" error="Please select an applicable standard from the list." promptTitle="Applicable Standards" prompt="Please select an applicable standard from the list." xr:uid="{B1009801-F755-4BA4-B4FF-D4E0B397BEC4}">
          <x14:formula1>
            <xm:f>Lists!$G$27:$G$30</xm:f>
          </x14:formula1>
          <xm:sqref>N24:N33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FD3FE-D1D6-4AD0-B498-F93876E61C3F}">
  <sheetPr codeName="Sheet31">
    <tabColor theme="9" tint="0.59999389629810485"/>
    <pageSetUpPr fitToPage="1"/>
  </sheetPr>
  <dimension ref="A1:Z1508"/>
  <sheetViews>
    <sheetView showGridLines="0" topLeftCell="B7" zoomScaleNormal="100" workbookViewId="0">
      <selection activeCell="B12" sqref="B12"/>
    </sheetView>
  </sheetViews>
  <sheetFormatPr defaultColWidth="0" defaultRowHeight="14.4" zeroHeight="1" x14ac:dyDescent="0.3"/>
  <cols>
    <col min="1" max="1" width="9.109375" style="79" hidden="1" customWidth="1"/>
    <col min="2" max="2" width="15" style="79" customWidth="1"/>
    <col min="3" max="3" width="43.6640625" style="79" customWidth="1"/>
    <col min="4" max="5" width="21.33203125" style="79" customWidth="1"/>
    <col min="6" max="6" width="35.33203125" style="42" hidden="1" customWidth="1"/>
    <col min="7" max="7" width="19.6640625" style="42" customWidth="1"/>
    <col min="8" max="9" width="27" style="79" customWidth="1"/>
    <col min="10" max="12" width="56.5546875" style="82" customWidth="1"/>
    <col min="13" max="13" width="44.5546875" style="79" customWidth="1"/>
    <col min="14" max="19" width="23.44140625" style="79" hidden="1" customWidth="1"/>
    <col min="20" max="21" width="15.5546875" style="79" hidden="1" customWidth="1"/>
    <col min="22" max="22" width="29.33203125" style="79" hidden="1" customWidth="1"/>
    <col min="23" max="23" width="15.5546875" style="79" hidden="1" customWidth="1"/>
    <col min="24" max="26" width="33.6640625" style="79" hidden="1" customWidth="1"/>
    <col min="27" max="16384" width="9.109375" style="79" hidden="1"/>
  </cols>
  <sheetData>
    <row r="1" spans="1:16" s="94" customFormat="1" ht="24.75" hidden="1" customHeight="1" x14ac:dyDescent="0.3">
      <c r="A1" s="88"/>
      <c r="B1" s="1" t="s">
        <v>0</v>
      </c>
      <c r="C1" s="1"/>
      <c r="D1" s="2"/>
      <c r="E1" s="2"/>
      <c r="F1" s="2"/>
      <c r="G1" s="2"/>
      <c r="H1" s="2"/>
      <c r="I1" s="2"/>
      <c r="J1" s="93"/>
      <c r="K1" s="93"/>
      <c r="L1" s="93"/>
    </row>
    <row r="2" spans="1:16" s="88" customFormat="1" ht="13.8" hidden="1" x14ac:dyDescent="0.3">
      <c r="B2" s="3" t="s">
        <v>1</v>
      </c>
      <c r="C2" s="3" t="str">
        <f>Welcome!B2</f>
        <v>63.567(o) Periodic Report (Spreadsheet Template)</v>
      </c>
      <c r="D2" s="3"/>
      <c r="E2" s="3"/>
      <c r="F2" s="3"/>
      <c r="G2" s="3"/>
      <c r="H2" s="3"/>
      <c r="I2" s="3"/>
      <c r="J2" s="16"/>
      <c r="K2" s="16"/>
      <c r="L2" s="16"/>
    </row>
    <row r="3" spans="1:16" s="88" customFormat="1" ht="13.8" hidden="1" x14ac:dyDescent="0.3">
      <c r="B3" s="3" t="s">
        <v>2</v>
      </c>
      <c r="C3" s="3" t="str">
        <f>Welcome!B3</f>
        <v>63.567(o)</v>
      </c>
      <c r="D3" s="16"/>
      <c r="E3" s="16"/>
      <c r="F3" s="16"/>
      <c r="G3" s="16"/>
      <c r="H3" s="16"/>
      <c r="I3" s="16"/>
      <c r="J3" s="16"/>
      <c r="K3" s="16"/>
      <c r="L3" s="16"/>
    </row>
    <row r="4" spans="1:16" s="88" customFormat="1" ht="13.8" hidden="1" x14ac:dyDescent="0.3">
      <c r="B4" s="3" t="s">
        <v>3</v>
      </c>
      <c r="C4" s="3" t="str">
        <f>Welcome!B4</f>
        <v>PROPOSAL DRAFT</v>
      </c>
      <c r="D4" s="54"/>
      <c r="E4" s="54"/>
      <c r="F4" s="54"/>
      <c r="G4" s="54"/>
      <c r="H4" s="54"/>
      <c r="I4" s="54"/>
      <c r="J4" s="16"/>
      <c r="K4" s="16"/>
      <c r="L4" s="16"/>
    </row>
    <row r="5" spans="1:16" s="88" customFormat="1" ht="13.8" hidden="1" x14ac:dyDescent="0.3">
      <c r="B5" s="3" t="s">
        <v>4</v>
      </c>
      <c r="C5" s="32">
        <f>Welcome!B5</f>
        <v>45911</v>
      </c>
      <c r="D5" s="55"/>
      <c r="E5" s="55"/>
      <c r="F5" s="55"/>
      <c r="G5" s="55"/>
      <c r="H5" s="55"/>
      <c r="I5" s="55"/>
      <c r="J5" s="16"/>
      <c r="K5" s="16"/>
      <c r="L5" s="16"/>
    </row>
    <row r="6" spans="1:16" s="56" customFormat="1" hidden="1" x14ac:dyDescent="0.3"/>
    <row r="7" spans="1:16" s="56" customFormat="1" x14ac:dyDescent="0.3">
      <c r="B7" s="9" t="str">
        <f>Company_Information!B7</f>
        <v>40 CFR Part 63, Subpart Y National Emission Standards for Hazardous Air Pollutants: Marine Tank Vessel Loading Operations</v>
      </c>
      <c r="C7" s="4"/>
      <c r="D7" s="57"/>
      <c r="E7" s="57"/>
      <c r="F7" s="57"/>
      <c r="G7" s="57"/>
      <c r="H7" s="57"/>
      <c r="I7" s="10"/>
      <c r="J7" s="57"/>
      <c r="K7" s="57"/>
      <c r="L7" s="57"/>
      <c r="M7" s="57"/>
      <c r="N7" s="57"/>
      <c r="O7" s="57"/>
      <c r="P7" s="57"/>
    </row>
    <row r="8" spans="1:16" s="56" customFormat="1" x14ac:dyDescent="0.3">
      <c r="B8" s="9" t="str">
        <f>Company_Information!B8</f>
        <v>§63.567(o) Periodic Report Spreadsheet Template</v>
      </c>
      <c r="C8" s="58"/>
      <c r="D8" s="58"/>
      <c r="E8" s="58"/>
      <c r="F8" s="58"/>
      <c r="G8" s="58"/>
      <c r="H8" s="58"/>
      <c r="I8" s="10"/>
      <c r="J8" s="57"/>
      <c r="K8" s="57"/>
      <c r="L8" s="57"/>
      <c r="M8" s="57"/>
      <c r="N8" s="57"/>
      <c r="O8" s="57"/>
      <c r="P8" s="57"/>
    </row>
    <row r="9" spans="1:16" s="56" customFormat="1" ht="32.25" customHeight="1" x14ac:dyDescent="0.3">
      <c r="B9" s="59" t="s">
        <v>138</v>
      </c>
      <c r="C9" s="59"/>
      <c r="D9" s="59"/>
      <c r="E9" s="59"/>
      <c r="F9" s="59"/>
      <c r="G9" s="59"/>
      <c r="H9" s="59"/>
      <c r="I9" s="59"/>
      <c r="J9" s="58"/>
      <c r="K9" s="58"/>
      <c r="L9" s="58"/>
      <c r="M9" s="58"/>
      <c r="N9" s="58"/>
      <c r="O9" s="58"/>
      <c r="P9" s="58"/>
    </row>
    <row r="10" spans="1:16" s="56" customFormat="1" x14ac:dyDescent="0.3">
      <c r="B10" s="89" t="s">
        <v>135</v>
      </c>
      <c r="H10" s="90"/>
      <c r="I10" s="89"/>
      <c r="J10" s="59"/>
      <c r="K10" s="59"/>
      <c r="L10" s="59"/>
      <c r="M10" s="59"/>
      <c r="N10" s="59"/>
      <c r="O10" s="59"/>
      <c r="P10" s="59"/>
    </row>
    <row r="11" spans="1:16" s="56" customFormat="1" ht="15" thickBot="1" x14ac:dyDescent="0.35">
      <c r="B11" s="59"/>
      <c r="C11" s="57"/>
      <c r="D11" s="57"/>
      <c r="E11" s="57"/>
      <c r="F11" s="57"/>
      <c r="G11" s="57"/>
      <c r="H11" s="57"/>
      <c r="I11" s="57"/>
    </row>
    <row r="12" spans="1:16" s="92" customFormat="1" ht="58.2" thickBot="1" x14ac:dyDescent="0.35">
      <c r="B12" s="17" t="s">
        <v>136</v>
      </c>
      <c r="C12" s="27" t="s">
        <v>409</v>
      </c>
      <c r="D12" s="27" t="s">
        <v>410</v>
      </c>
      <c r="E12" s="27" t="s">
        <v>411</v>
      </c>
      <c r="F12" s="18" t="s">
        <v>102</v>
      </c>
      <c r="G12" s="27" t="s">
        <v>412</v>
      </c>
      <c r="H12" s="27" t="s">
        <v>413</v>
      </c>
      <c r="I12" s="27" t="s">
        <v>414</v>
      </c>
      <c r="J12" s="27" t="s">
        <v>416</v>
      </c>
      <c r="K12" s="207" t="s">
        <v>415</v>
      </c>
      <c r="L12" s="207" t="s">
        <v>417</v>
      </c>
      <c r="M12" s="22" t="s">
        <v>118</v>
      </c>
    </row>
    <row r="13" spans="1:16" s="46" customFormat="1" x14ac:dyDescent="0.3">
      <c r="B13" s="69" t="s">
        <v>190</v>
      </c>
      <c r="C13" s="70" t="s">
        <v>349</v>
      </c>
      <c r="D13" s="74" t="s">
        <v>356</v>
      </c>
      <c r="E13" s="74" t="s">
        <v>144</v>
      </c>
      <c r="F13" s="134" t="s">
        <v>143</v>
      </c>
      <c r="G13" s="75" t="s">
        <v>140</v>
      </c>
      <c r="H13" s="74" t="s">
        <v>139</v>
      </c>
      <c r="I13" s="74" t="s">
        <v>237</v>
      </c>
      <c r="J13" s="76" t="s">
        <v>141</v>
      </c>
      <c r="K13" s="208" t="s">
        <v>234</v>
      </c>
      <c r="L13" s="209" t="s">
        <v>235</v>
      </c>
      <c r="M13" s="95" t="s">
        <v>142</v>
      </c>
    </row>
    <row r="14" spans="1:16" s="44" customFormat="1" x14ac:dyDescent="0.3">
      <c r="B14" s="71" t="s">
        <v>5</v>
      </c>
      <c r="C14" s="72" t="s">
        <v>109</v>
      </c>
      <c r="D14" s="47" t="s">
        <v>357</v>
      </c>
      <c r="E14" s="47" t="s">
        <v>110</v>
      </c>
      <c r="F14" s="135" t="s">
        <v>137</v>
      </c>
      <c r="G14" s="77" t="s">
        <v>348</v>
      </c>
      <c r="H14" s="47" t="s">
        <v>111</v>
      </c>
      <c r="I14" s="47" t="s">
        <v>238</v>
      </c>
      <c r="J14" s="78" t="s">
        <v>112</v>
      </c>
      <c r="K14" s="210" t="s">
        <v>108</v>
      </c>
      <c r="L14" s="210" t="s">
        <v>108</v>
      </c>
      <c r="M14" s="96" t="s">
        <v>107</v>
      </c>
    </row>
    <row r="15" spans="1:16" hidden="1" x14ac:dyDescent="0.3">
      <c r="B15" s="71" t="s">
        <v>188</v>
      </c>
      <c r="C15" s="72" t="s">
        <v>188</v>
      </c>
      <c r="D15" s="72" t="s">
        <v>188</v>
      </c>
      <c r="E15" s="72" t="s">
        <v>188</v>
      </c>
      <c r="F15" s="136" t="s">
        <v>188</v>
      </c>
      <c r="G15" s="136"/>
      <c r="H15" s="72" t="s">
        <v>188</v>
      </c>
      <c r="I15" s="72"/>
      <c r="J15" s="72" t="s">
        <v>188</v>
      </c>
      <c r="K15" s="72"/>
      <c r="L15" s="72"/>
      <c r="M15" s="72" t="s">
        <v>188</v>
      </c>
    </row>
    <row r="16" spans="1:16" hidden="1" x14ac:dyDescent="0.3">
      <c r="B16" s="71" t="s">
        <v>188</v>
      </c>
      <c r="C16" s="72" t="s">
        <v>188</v>
      </c>
      <c r="D16" s="72" t="s">
        <v>188</v>
      </c>
      <c r="E16" s="72" t="s">
        <v>188</v>
      </c>
      <c r="F16" s="136" t="s">
        <v>188</v>
      </c>
      <c r="G16" s="136"/>
      <c r="H16" s="72" t="s">
        <v>188</v>
      </c>
      <c r="I16" s="72"/>
      <c r="J16" s="72" t="s">
        <v>188</v>
      </c>
      <c r="K16" s="72"/>
      <c r="L16" s="72"/>
      <c r="M16" s="72" t="s">
        <v>188</v>
      </c>
    </row>
    <row r="17" spans="2:13" hidden="1" x14ac:dyDescent="0.3">
      <c r="B17" s="71" t="s">
        <v>188</v>
      </c>
      <c r="C17" s="72" t="s">
        <v>188</v>
      </c>
      <c r="D17" s="72" t="s">
        <v>188</v>
      </c>
      <c r="E17" s="72" t="s">
        <v>188</v>
      </c>
      <c r="F17" s="136" t="s">
        <v>188</v>
      </c>
      <c r="G17" s="136"/>
      <c r="H17" s="72" t="s">
        <v>188</v>
      </c>
      <c r="I17" s="72"/>
      <c r="J17" s="72" t="s">
        <v>188</v>
      </c>
      <c r="K17" s="72"/>
      <c r="L17" s="72"/>
      <c r="M17" s="72" t="s">
        <v>188</v>
      </c>
    </row>
    <row r="18" spans="2:13" hidden="1" x14ac:dyDescent="0.3">
      <c r="B18" s="71" t="s">
        <v>188</v>
      </c>
      <c r="C18" s="72" t="s">
        <v>188</v>
      </c>
      <c r="D18" s="72" t="s">
        <v>188</v>
      </c>
      <c r="E18" s="72" t="s">
        <v>188</v>
      </c>
      <c r="F18" s="136" t="s">
        <v>188</v>
      </c>
      <c r="G18" s="136"/>
      <c r="H18" s="72" t="s">
        <v>188</v>
      </c>
      <c r="I18" s="72"/>
      <c r="J18" s="72" t="s">
        <v>188</v>
      </c>
      <c r="K18" s="72"/>
      <c r="L18" s="72"/>
      <c r="M18" s="72" t="s">
        <v>188</v>
      </c>
    </row>
    <row r="19" spans="2:13" hidden="1" x14ac:dyDescent="0.3">
      <c r="B19" s="71" t="s">
        <v>188</v>
      </c>
      <c r="C19" s="72" t="s">
        <v>188</v>
      </c>
      <c r="D19" s="72" t="s">
        <v>188</v>
      </c>
      <c r="E19" s="72" t="s">
        <v>188</v>
      </c>
      <c r="F19" s="136" t="s">
        <v>188</v>
      </c>
      <c r="G19" s="136"/>
      <c r="H19" s="72" t="s">
        <v>188</v>
      </c>
      <c r="I19" s="72"/>
      <c r="J19" s="72" t="s">
        <v>188</v>
      </c>
      <c r="K19" s="72"/>
      <c r="L19" s="72"/>
      <c r="M19" s="72" t="s">
        <v>188</v>
      </c>
    </row>
    <row r="20" spans="2:13" hidden="1" x14ac:dyDescent="0.3">
      <c r="B20" s="71" t="s">
        <v>188</v>
      </c>
      <c r="C20" s="72" t="s">
        <v>188</v>
      </c>
      <c r="D20" s="72" t="s">
        <v>188</v>
      </c>
      <c r="E20" s="72" t="s">
        <v>188</v>
      </c>
      <c r="F20" s="136" t="s">
        <v>188</v>
      </c>
      <c r="G20" s="136"/>
      <c r="H20" s="72" t="s">
        <v>188</v>
      </c>
      <c r="I20" s="72"/>
      <c r="J20" s="72" t="s">
        <v>188</v>
      </c>
      <c r="K20" s="72"/>
      <c r="L20" s="72"/>
      <c r="M20" s="72" t="s">
        <v>188</v>
      </c>
    </row>
    <row r="21" spans="2:13" hidden="1" x14ac:dyDescent="0.3">
      <c r="B21" s="71" t="s">
        <v>188</v>
      </c>
      <c r="C21" s="72" t="s">
        <v>188</v>
      </c>
      <c r="D21" s="72" t="s">
        <v>188</v>
      </c>
      <c r="E21" s="72" t="s">
        <v>188</v>
      </c>
      <c r="F21" s="136" t="s">
        <v>188</v>
      </c>
      <c r="G21" s="136"/>
      <c r="H21" s="72" t="s">
        <v>188</v>
      </c>
      <c r="I21" s="72"/>
      <c r="J21" s="72" t="s">
        <v>188</v>
      </c>
      <c r="K21" s="72"/>
      <c r="L21" s="72"/>
      <c r="M21" s="72" t="s">
        <v>188</v>
      </c>
    </row>
    <row r="22" spans="2:13" hidden="1" x14ac:dyDescent="0.3">
      <c r="B22" s="71" t="s">
        <v>188</v>
      </c>
      <c r="C22" s="72" t="s">
        <v>188</v>
      </c>
      <c r="D22" s="72" t="s">
        <v>188</v>
      </c>
      <c r="E22" s="72" t="s">
        <v>188</v>
      </c>
      <c r="F22" s="136" t="s">
        <v>188</v>
      </c>
      <c r="G22" s="136"/>
      <c r="H22" s="72" t="s">
        <v>188</v>
      </c>
      <c r="I22" s="72"/>
      <c r="J22" s="72" t="s">
        <v>188</v>
      </c>
      <c r="K22" s="72"/>
      <c r="L22" s="72"/>
      <c r="M22" s="72" t="s">
        <v>188</v>
      </c>
    </row>
    <row r="23" spans="2:13" hidden="1" x14ac:dyDescent="0.3">
      <c r="B23" s="71" t="s">
        <v>188</v>
      </c>
      <c r="C23" s="72" t="s">
        <v>188</v>
      </c>
      <c r="D23" s="72" t="s">
        <v>188</v>
      </c>
      <c r="E23" s="72" t="s">
        <v>188</v>
      </c>
      <c r="F23" s="136" t="s">
        <v>188</v>
      </c>
      <c r="G23" s="136"/>
      <c r="H23" s="72" t="s">
        <v>188</v>
      </c>
      <c r="I23" s="72"/>
      <c r="J23" s="72" t="s">
        <v>188</v>
      </c>
      <c r="K23" s="72"/>
      <c r="L23" s="72"/>
      <c r="M23" s="72" t="s">
        <v>188</v>
      </c>
    </row>
    <row r="24" spans="2:13" s="80" customFormat="1" x14ac:dyDescent="0.3">
      <c r="B24" s="129"/>
      <c r="C24" s="129"/>
      <c r="D24" s="129"/>
      <c r="E24" s="129"/>
      <c r="F24" s="62" t="str">
        <f t="shared" ref="F24:F87" si="0">IF(C24="","",CONCATENATE(B24," ",C24," ",D24," ",E24))</f>
        <v/>
      </c>
      <c r="G24" s="62"/>
      <c r="H24" s="129"/>
      <c r="I24" s="129"/>
      <c r="J24" s="129"/>
      <c r="K24" s="129"/>
      <c r="L24" s="129"/>
      <c r="M24" s="129"/>
    </row>
    <row r="25" spans="2:13" s="80" customFormat="1" x14ac:dyDescent="0.3">
      <c r="B25" s="129"/>
      <c r="C25" s="129"/>
      <c r="D25" s="129"/>
      <c r="E25" s="129"/>
      <c r="F25" s="62" t="str">
        <f t="shared" si="0"/>
        <v/>
      </c>
      <c r="G25" s="267"/>
      <c r="H25" s="129"/>
      <c r="I25" s="129"/>
      <c r="J25" s="129"/>
      <c r="K25" s="129"/>
      <c r="L25" s="129"/>
      <c r="M25" s="129"/>
    </row>
    <row r="26" spans="2:13" s="80" customFormat="1" x14ac:dyDescent="0.3">
      <c r="B26" s="129"/>
      <c r="C26" s="129"/>
      <c r="D26" s="129"/>
      <c r="E26" s="129"/>
      <c r="F26" s="62" t="str">
        <f t="shared" si="0"/>
        <v/>
      </c>
      <c r="G26" s="267"/>
      <c r="H26" s="129"/>
      <c r="I26" s="129"/>
      <c r="J26" s="129"/>
      <c r="K26" s="129"/>
      <c r="L26" s="129"/>
      <c r="M26" s="129"/>
    </row>
    <row r="27" spans="2:13" s="80" customFormat="1" x14ac:dyDescent="0.3">
      <c r="B27" s="129"/>
      <c r="C27" s="129"/>
      <c r="D27" s="129"/>
      <c r="E27" s="129"/>
      <c r="F27" s="62" t="str">
        <f t="shared" si="0"/>
        <v/>
      </c>
      <c r="G27" s="62"/>
      <c r="H27" s="129"/>
      <c r="I27" s="129"/>
      <c r="J27" s="129"/>
      <c r="K27" s="129"/>
      <c r="L27" s="129"/>
      <c r="M27" s="129"/>
    </row>
    <row r="28" spans="2:13" s="80" customFormat="1" x14ac:dyDescent="0.3">
      <c r="B28" s="129"/>
      <c r="C28" s="129"/>
      <c r="D28" s="129"/>
      <c r="E28" s="129"/>
      <c r="F28" s="62" t="str">
        <f t="shared" si="0"/>
        <v/>
      </c>
      <c r="G28" s="62"/>
      <c r="H28" s="129"/>
      <c r="I28" s="129"/>
      <c r="J28" s="129"/>
      <c r="K28" s="129"/>
      <c r="L28" s="129"/>
      <c r="M28" s="129"/>
    </row>
    <row r="29" spans="2:13" s="80" customFormat="1" x14ac:dyDescent="0.3">
      <c r="B29" s="129"/>
      <c r="C29" s="129"/>
      <c r="D29" s="129"/>
      <c r="E29" s="129"/>
      <c r="F29" s="62" t="str">
        <f t="shared" si="0"/>
        <v/>
      </c>
      <c r="G29" s="62"/>
      <c r="H29" s="129"/>
      <c r="I29" s="129"/>
      <c r="J29" s="129"/>
      <c r="K29" s="129"/>
      <c r="L29" s="129"/>
      <c r="M29" s="129"/>
    </row>
    <row r="30" spans="2:13" s="80" customFormat="1" x14ac:dyDescent="0.3">
      <c r="B30" s="129"/>
      <c r="C30" s="129"/>
      <c r="D30" s="129"/>
      <c r="E30" s="129"/>
      <c r="F30" s="62" t="str">
        <f t="shared" si="0"/>
        <v/>
      </c>
      <c r="G30" s="62"/>
      <c r="H30" s="129"/>
      <c r="I30" s="129"/>
      <c r="J30" s="129"/>
      <c r="K30" s="129"/>
      <c r="L30" s="129"/>
      <c r="M30" s="129"/>
    </row>
    <row r="31" spans="2:13" s="80" customFormat="1" x14ac:dyDescent="0.3">
      <c r="B31" s="129"/>
      <c r="C31" s="129"/>
      <c r="D31" s="129"/>
      <c r="E31" s="129"/>
      <c r="F31" s="62" t="str">
        <f t="shared" si="0"/>
        <v/>
      </c>
      <c r="G31" s="62"/>
      <c r="H31" s="129"/>
      <c r="I31" s="129"/>
      <c r="J31" s="129"/>
      <c r="K31" s="129"/>
      <c r="L31" s="129"/>
      <c r="M31" s="129"/>
    </row>
    <row r="32" spans="2:13" s="80" customFormat="1" x14ac:dyDescent="0.3">
      <c r="B32" s="129"/>
      <c r="C32" s="129"/>
      <c r="D32" s="129"/>
      <c r="E32" s="129"/>
      <c r="F32" s="62" t="str">
        <f t="shared" si="0"/>
        <v/>
      </c>
      <c r="G32" s="62"/>
      <c r="H32" s="129"/>
      <c r="I32" s="129"/>
      <c r="J32" s="129"/>
      <c r="K32" s="129"/>
      <c r="L32" s="129"/>
      <c r="M32" s="129"/>
    </row>
    <row r="33" spans="2:13" s="80" customFormat="1" x14ac:dyDescent="0.3">
      <c r="B33" s="129"/>
      <c r="C33" s="129"/>
      <c r="D33" s="129"/>
      <c r="E33" s="129"/>
      <c r="F33" s="62" t="str">
        <f t="shared" si="0"/>
        <v/>
      </c>
      <c r="G33" s="62"/>
      <c r="H33" s="129"/>
      <c r="I33" s="129"/>
      <c r="J33" s="129"/>
      <c r="K33" s="129"/>
      <c r="L33" s="129"/>
      <c r="M33" s="129"/>
    </row>
    <row r="34" spans="2:13" s="80" customFormat="1" x14ac:dyDescent="0.3">
      <c r="B34" s="129"/>
      <c r="C34" s="129"/>
      <c r="D34" s="129"/>
      <c r="E34" s="129"/>
      <c r="F34" s="62" t="str">
        <f t="shared" si="0"/>
        <v/>
      </c>
      <c r="G34" s="62"/>
      <c r="H34" s="129"/>
      <c r="I34" s="129"/>
      <c r="J34" s="129"/>
      <c r="K34" s="129"/>
      <c r="L34" s="129"/>
      <c r="M34" s="129"/>
    </row>
    <row r="35" spans="2:13" s="80" customFormat="1" x14ac:dyDescent="0.3">
      <c r="B35" s="129"/>
      <c r="C35" s="129"/>
      <c r="D35" s="129"/>
      <c r="E35" s="129"/>
      <c r="F35" s="62" t="str">
        <f t="shared" si="0"/>
        <v/>
      </c>
      <c r="G35" s="62"/>
      <c r="H35" s="129"/>
      <c r="I35" s="129"/>
      <c r="J35" s="129"/>
      <c r="K35" s="129"/>
      <c r="L35" s="129"/>
      <c r="M35" s="129"/>
    </row>
    <row r="36" spans="2:13" s="80" customFormat="1" x14ac:dyDescent="0.3">
      <c r="B36" s="129"/>
      <c r="C36" s="129"/>
      <c r="D36" s="129"/>
      <c r="E36" s="129"/>
      <c r="F36" s="62" t="str">
        <f t="shared" si="0"/>
        <v/>
      </c>
      <c r="G36" s="62"/>
      <c r="H36" s="129"/>
      <c r="I36" s="129"/>
      <c r="J36" s="129"/>
      <c r="K36" s="129"/>
      <c r="L36" s="129"/>
      <c r="M36" s="129"/>
    </row>
    <row r="37" spans="2:13" s="80" customFormat="1" x14ac:dyDescent="0.3">
      <c r="B37" s="129"/>
      <c r="C37" s="129"/>
      <c r="D37" s="129"/>
      <c r="E37" s="129"/>
      <c r="F37" s="62" t="str">
        <f t="shared" si="0"/>
        <v/>
      </c>
      <c r="G37" s="62"/>
      <c r="H37" s="129"/>
      <c r="I37" s="129"/>
      <c r="J37" s="129"/>
      <c r="K37" s="129"/>
      <c r="L37" s="129"/>
      <c r="M37" s="129"/>
    </row>
    <row r="38" spans="2:13" s="80" customFormat="1" x14ac:dyDescent="0.3">
      <c r="B38" s="129"/>
      <c r="C38" s="129"/>
      <c r="D38" s="129"/>
      <c r="E38" s="129"/>
      <c r="F38" s="62" t="str">
        <f t="shared" si="0"/>
        <v/>
      </c>
      <c r="G38" s="62"/>
      <c r="H38" s="129"/>
      <c r="I38" s="129"/>
      <c r="J38" s="129"/>
      <c r="K38" s="129"/>
      <c r="L38" s="129"/>
      <c r="M38" s="129"/>
    </row>
    <row r="39" spans="2:13" s="80" customFormat="1" x14ac:dyDescent="0.3">
      <c r="B39" s="129"/>
      <c r="C39" s="129"/>
      <c r="D39" s="129"/>
      <c r="E39" s="129"/>
      <c r="F39" s="62" t="str">
        <f t="shared" si="0"/>
        <v/>
      </c>
      <c r="G39" s="62"/>
      <c r="H39" s="129"/>
      <c r="I39" s="129"/>
      <c r="J39" s="129"/>
      <c r="K39" s="129"/>
      <c r="L39" s="129"/>
      <c r="M39" s="129"/>
    </row>
    <row r="40" spans="2:13" s="80" customFormat="1" x14ac:dyDescent="0.3">
      <c r="B40" s="129"/>
      <c r="C40" s="129"/>
      <c r="D40" s="129"/>
      <c r="E40" s="129"/>
      <c r="F40" s="62" t="str">
        <f t="shared" si="0"/>
        <v/>
      </c>
      <c r="G40" s="62"/>
      <c r="H40" s="129"/>
      <c r="I40" s="129"/>
      <c r="J40" s="129"/>
      <c r="K40" s="129"/>
      <c r="L40" s="129"/>
      <c r="M40" s="129"/>
    </row>
    <row r="41" spans="2:13" s="80" customFormat="1" x14ac:dyDescent="0.3">
      <c r="B41" s="129"/>
      <c r="C41" s="129"/>
      <c r="D41" s="129"/>
      <c r="E41" s="129"/>
      <c r="F41" s="62" t="str">
        <f t="shared" si="0"/>
        <v/>
      </c>
      <c r="G41" s="62"/>
      <c r="H41" s="129"/>
      <c r="I41" s="129"/>
      <c r="J41" s="129"/>
      <c r="K41" s="129"/>
      <c r="L41" s="129"/>
      <c r="M41" s="129"/>
    </row>
    <row r="42" spans="2:13" s="80" customFormat="1" x14ac:dyDescent="0.3">
      <c r="B42" s="129"/>
      <c r="C42" s="129"/>
      <c r="D42" s="129"/>
      <c r="E42" s="129"/>
      <c r="F42" s="62" t="str">
        <f t="shared" si="0"/>
        <v/>
      </c>
      <c r="G42" s="62"/>
      <c r="H42" s="129"/>
      <c r="I42" s="129"/>
      <c r="J42" s="129"/>
      <c r="K42" s="129"/>
      <c r="L42" s="129"/>
      <c r="M42" s="129"/>
    </row>
    <row r="43" spans="2:13" s="80" customFormat="1" x14ac:dyDescent="0.3">
      <c r="B43" s="129"/>
      <c r="C43" s="129"/>
      <c r="D43" s="129"/>
      <c r="E43" s="129"/>
      <c r="F43" s="62" t="str">
        <f t="shared" si="0"/>
        <v/>
      </c>
      <c r="G43" s="62"/>
      <c r="H43" s="129"/>
      <c r="I43" s="129"/>
      <c r="J43" s="129"/>
      <c r="K43" s="129"/>
      <c r="L43" s="129"/>
      <c r="M43" s="129"/>
    </row>
    <row r="44" spans="2:13" s="80" customFormat="1" x14ac:dyDescent="0.3">
      <c r="B44" s="129"/>
      <c r="C44" s="129"/>
      <c r="D44" s="129"/>
      <c r="E44" s="129"/>
      <c r="F44" s="62" t="str">
        <f t="shared" si="0"/>
        <v/>
      </c>
      <c r="G44" s="62"/>
      <c r="H44" s="129"/>
      <c r="I44" s="129"/>
      <c r="J44" s="129"/>
      <c r="K44" s="129"/>
      <c r="L44" s="129"/>
      <c r="M44" s="129"/>
    </row>
    <row r="45" spans="2:13" s="80" customFormat="1" x14ac:dyDescent="0.3">
      <c r="B45" s="129"/>
      <c r="C45" s="129"/>
      <c r="D45" s="129"/>
      <c r="E45" s="129"/>
      <c r="F45" s="62" t="str">
        <f t="shared" si="0"/>
        <v/>
      </c>
      <c r="G45" s="62"/>
      <c r="H45" s="129"/>
      <c r="I45" s="129"/>
      <c r="J45" s="129"/>
      <c r="K45" s="129"/>
      <c r="L45" s="129"/>
      <c r="M45" s="129"/>
    </row>
    <row r="46" spans="2:13" s="80" customFormat="1" x14ac:dyDescent="0.3">
      <c r="B46" s="129"/>
      <c r="C46" s="129"/>
      <c r="D46" s="129"/>
      <c r="E46" s="129"/>
      <c r="F46" s="62" t="str">
        <f t="shared" si="0"/>
        <v/>
      </c>
      <c r="G46" s="62"/>
      <c r="H46" s="129"/>
      <c r="I46" s="129"/>
      <c r="J46" s="129"/>
      <c r="K46" s="129"/>
      <c r="L46" s="129"/>
      <c r="M46" s="129"/>
    </row>
    <row r="47" spans="2:13" s="80" customFormat="1" x14ac:dyDescent="0.3">
      <c r="B47" s="129"/>
      <c r="C47" s="129"/>
      <c r="D47" s="129"/>
      <c r="E47" s="129"/>
      <c r="F47" s="62" t="str">
        <f t="shared" si="0"/>
        <v/>
      </c>
      <c r="G47" s="62"/>
      <c r="H47" s="129"/>
      <c r="I47" s="129"/>
      <c r="J47" s="129"/>
      <c r="K47" s="129"/>
      <c r="L47" s="129"/>
      <c r="M47" s="129"/>
    </row>
    <row r="48" spans="2:13" s="80" customFormat="1" x14ac:dyDescent="0.3">
      <c r="B48" s="129"/>
      <c r="C48" s="129"/>
      <c r="D48" s="129"/>
      <c r="E48" s="129"/>
      <c r="F48" s="62" t="str">
        <f t="shared" si="0"/>
        <v/>
      </c>
      <c r="G48" s="62"/>
      <c r="H48" s="129"/>
      <c r="I48" s="129"/>
      <c r="J48" s="129"/>
      <c r="K48" s="129"/>
      <c r="L48" s="129"/>
      <c r="M48" s="129"/>
    </row>
    <row r="49" spans="2:13" s="80" customFormat="1" x14ac:dyDescent="0.3">
      <c r="B49" s="129"/>
      <c r="C49" s="129"/>
      <c r="D49" s="129"/>
      <c r="E49" s="129"/>
      <c r="F49" s="62" t="str">
        <f t="shared" si="0"/>
        <v/>
      </c>
      <c r="G49" s="62"/>
      <c r="H49" s="129"/>
      <c r="I49" s="129"/>
      <c r="J49" s="129"/>
      <c r="K49" s="129"/>
      <c r="L49" s="129"/>
      <c r="M49" s="129"/>
    </row>
    <row r="50" spans="2:13" s="80" customFormat="1" x14ac:dyDescent="0.3">
      <c r="B50" s="129"/>
      <c r="C50" s="129"/>
      <c r="D50" s="129"/>
      <c r="E50" s="129"/>
      <c r="F50" s="62" t="str">
        <f t="shared" si="0"/>
        <v/>
      </c>
      <c r="G50" s="62"/>
      <c r="H50" s="129"/>
      <c r="I50" s="129"/>
      <c r="J50" s="129"/>
      <c r="K50" s="129"/>
      <c r="L50" s="129"/>
      <c r="M50" s="129"/>
    </row>
    <row r="51" spans="2:13" s="80" customFormat="1" x14ac:dyDescent="0.3">
      <c r="B51" s="129"/>
      <c r="C51" s="129"/>
      <c r="D51" s="129"/>
      <c r="E51" s="129"/>
      <c r="F51" s="62" t="str">
        <f t="shared" si="0"/>
        <v/>
      </c>
      <c r="G51" s="62"/>
      <c r="H51" s="129"/>
      <c r="I51" s="129"/>
      <c r="J51" s="129"/>
      <c r="K51" s="129"/>
      <c r="L51" s="129"/>
      <c r="M51" s="129"/>
    </row>
    <row r="52" spans="2:13" s="80" customFormat="1" x14ac:dyDescent="0.3">
      <c r="B52" s="129"/>
      <c r="C52" s="129"/>
      <c r="D52" s="129"/>
      <c r="E52" s="129"/>
      <c r="F52" s="62" t="str">
        <f t="shared" si="0"/>
        <v/>
      </c>
      <c r="G52" s="62"/>
      <c r="H52" s="129"/>
      <c r="I52" s="129"/>
      <c r="J52" s="129"/>
      <c r="K52" s="129"/>
      <c r="L52" s="129"/>
      <c r="M52" s="129"/>
    </row>
    <row r="53" spans="2:13" s="80" customFormat="1" x14ac:dyDescent="0.3">
      <c r="B53" s="129"/>
      <c r="C53" s="129"/>
      <c r="D53" s="129"/>
      <c r="E53" s="129"/>
      <c r="F53" s="62" t="str">
        <f t="shared" si="0"/>
        <v/>
      </c>
      <c r="G53" s="62"/>
      <c r="H53" s="129"/>
      <c r="I53" s="129"/>
      <c r="J53" s="129"/>
      <c r="K53" s="129"/>
      <c r="L53" s="129"/>
      <c r="M53" s="129"/>
    </row>
    <row r="54" spans="2:13" s="80" customFormat="1" x14ac:dyDescent="0.3">
      <c r="B54" s="129"/>
      <c r="C54" s="129"/>
      <c r="D54" s="129"/>
      <c r="E54" s="129"/>
      <c r="F54" s="62" t="str">
        <f t="shared" si="0"/>
        <v/>
      </c>
      <c r="G54" s="62"/>
      <c r="H54" s="129"/>
      <c r="I54" s="129"/>
      <c r="J54" s="129"/>
      <c r="K54" s="129"/>
      <c r="L54" s="129"/>
      <c r="M54" s="129"/>
    </row>
    <row r="55" spans="2:13" s="80" customFormat="1" x14ac:dyDescent="0.3">
      <c r="B55" s="129"/>
      <c r="C55" s="129"/>
      <c r="D55" s="129"/>
      <c r="E55" s="129"/>
      <c r="F55" s="62" t="str">
        <f t="shared" si="0"/>
        <v/>
      </c>
      <c r="G55" s="62"/>
      <c r="H55" s="129"/>
      <c r="I55" s="129"/>
      <c r="J55" s="129"/>
      <c r="K55" s="129"/>
      <c r="L55" s="129"/>
      <c r="M55" s="129"/>
    </row>
    <row r="56" spans="2:13" s="80" customFormat="1" x14ac:dyDescent="0.3">
      <c r="B56" s="129"/>
      <c r="C56" s="129"/>
      <c r="D56" s="129"/>
      <c r="E56" s="129"/>
      <c r="F56" s="62" t="str">
        <f t="shared" si="0"/>
        <v/>
      </c>
      <c r="G56" s="62"/>
      <c r="H56" s="129"/>
      <c r="I56" s="129"/>
      <c r="J56" s="129"/>
      <c r="K56" s="129"/>
      <c r="L56" s="129"/>
      <c r="M56" s="129"/>
    </row>
    <row r="57" spans="2:13" s="80" customFormat="1" x14ac:dyDescent="0.3">
      <c r="B57" s="129"/>
      <c r="C57" s="129"/>
      <c r="D57" s="129"/>
      <c r="E57" s="129"/>
      <c r="F57" s="62" t="str">
        <f t="shared" si="0"/>
        <v/>
      </c>
      <c r="G57" s="62"/>
      <c r="H57" s="129"/>
      <c r="I57" s="129"/>
      <c r="J57" s="129"/>
      <c r="K57" s="129"/>
      <c r="L57" s="129"/>
      <c r="M57" s="129"/>
    </row>
    <row r="58" spans="2:13" s="80" customFormat="1" x14ac:dyDescent="0.3">
      <c r="B58" s="129"/>
      <c r="C58" s="129"/>
      <c r="D58" s="129"/>
      <c r="E58" s="129"/>
      <c r="F58" s="62" t="str">
        <f t="shared" si="0"/>
        <v/>
      </c>
      <c r="G58" s="62"/>
      <c r="H58" s="129"/>
      <c r="I58" s="129"/>
      <c r="J58" s="129"/>
      <c r="K58" s="129"/>
      <c r="L58" s="129"/>
      <c r="M58" s="129"/>
    </row>
    <row r="59" spans="2:13" s="80" customFormat="1" x14ac:dyDescent="0.3">
      <c r="B59" s="129"/>
      <c r="C59" s="129"/>
      <c r="D59" s="129"/>
      <c r="E59" s="129"/>
      <c r="F59" s="62" t="str">
        <f t="shared" si="0"/>
        <v/>
      </c>
      <c r="G59" s="62"/>
      <c r="H59" s="129"/>
      <c r="I59" s="129"/>
      <c r="J59" s="129"/>
      <c r="K59" s="129"/>
      <c r="L59" s="129"/>
      <c r="M59" s="129"/>
    </row>
    <row r="60" spans="2:13" s="80" customFormat="1" x14ac:dyDescent="0.3">
      <c r="B60" s="129"/>
      <c r="C60" s="129"/>
      <c r="D60" s="129"/>
      <c r="E60" s="129"/>
      <c r="F60" s="62" t="str">
        <f t="shared" si="0"/>
        <v/>
      </c>
      <c r="G60" s="62"/>
      <c r="H60" s="129"/>
      <c r="I60" s="129"/>
      <c r="J60" s="129"/>
      <c r="K60" s="129"/>
      <c r="L60" s="129"/>
      <c r="M60" s="129"/>
    </row>
    <row r="61" spans="2:13" s="80" customFormat="1" x14ac:dyDescent="0.3">
      <c r="B61" s="129"/>
      <c r="C61" s="129"/>
      <c r="D61" s="129"/>
      <c r="E61" s="129"/>
      <c r="F61" s="62" t="str">
        <f t="shared" si="0"/>
        <v/>
      </c>
      <c r="G61" s="62"/>
      <c r="H61" s="129"/>
      <c r="I61" s="129"/>
      <c r="J61" s="129"/>
      <c r="K61" s="129"/>
      <c r="L61" s="129"/>
      <c r="M61" s="129"/>
    </row>
    <row r="62" spans="2:13" s="80" customFormat="1" x14ac:dyDescent="0.3">
      <c r="B62" s="129"/>
      <c r="C62" s="129"/>
      <c r="D62" s="129"/>
      <c r="E62" s="129"/>
      <c r="F62" s="62" t="str">
        <f t="shared" si="0"/>
        <v/>
      </c>
      <c r="G62" s="62"/>
      <c r="H62" s="129"/>
      <c r="I62" s="129"/>
      <c r="J62" s="129"/>
      <c r="K62" s="129"/>
      <c r="L62" s="129"/>
      <c r="M62" s="129"/>
    </row>
    <row r="63" spans="2:13" s="80" customFormat="1" x14ac:dyDescent="0.3">
      <c r="B63" s="129"/>
      <c r="C63" s="129"/>
      <c r="D63" s="129"/>
      <c r="E63" s="129"/>
      <c r="F63" s="62" t="str">
        <f t="shared" si="0"/>
        <v/>
      </c>
      <c r="G63" s="62"/>
      <c r="H63" s="129"/>
      <c r="I63" s="129"/>
      <c r="J63" s="129"/>
      <c r="K63" s="129"/>
      <c r="L63" s="129"/>
      <c r="M63" s="129"/>
    </row>
    <row r="64" spans="2:13" s="80" customFormat="1" x14ac:dyDescent="0.3">
      <c r="B64" s="129"/>
      <c r="C64" s="129"/>
      <c r="D64" s="129"/>
      <c r="E64" s="129"/>
      <c r="F64" s="62" t="str">
        <f t="shared" si="0"/>
        <v/>
      </c>
      <c r="G64" s="62"/>
      <c r="H64" s="129"/>
      <c r="I64" s="129"/>
      <c r="J64" s="129"/>
      <c r="K64" s="129"/>
      <c r="L64" s="129"/>
      <c r="M64" s="129"/>
    </row>
    <row r="65" spans="2:13" s="80" customFormat="1" x14ac:dyDescent="0.3">
      <c r="B65" s="129"/>
      <c r="C65" s="129"/>
      <c r="D65" s="129"/>
      <c r="E65" s="129"/>
      <c r="F65" s="62" t="str">
        <f t="shared" si="0"/>
        <v/>
      </c>
      <c r="G65" s="62"/>
      <c r="H65" s="129"/>
      <c r="I65" s="129"/>
      <c r="J65" s="129"/>
      <c r="K65" s="129"/>
      <c r="L65" s="129"/>
      <c r="M65" s="129"/>
    </row>
    <row r="66" spans="2:13" s="80" customFormat="1" x14ac:dyDescent="0.3">
      <c r="B66" s="129"/>
      <c r="C66" s="129"/>
      <c r="D66" s="129"/>
      <c r="E66" s="129"/>
      <c r="F66" s="62" t="str">
        <f t="shared" si="0"/>
        <v/>
      </c>
      <c r="G66" s="62"/>
      <c r="H66" s="129"/>
      <c r="I66" s="129"/>
      <c r="J66" s="129"/>
      <c r="K66" s="129"/>
      <c r="L66" s="129"/>
      <c r="M66" s="129"/>
    </row>
    <row r="67" spans="2:13" s="80" customFormat="1" x14ac:dyDescent="0.3">
      <c r="B67" s="129"/>
      <c r="C67" s="129"/>
      <c r="D67" s="129"/>
      <c r="E67" s="129"/>
      <c r="F67" s="62" t="str">
        <f t="shared" si="0"/>
        <v/>
      </c>
      <c r="G67" s="62"/>
      <c r="H67" s="129"/>
      <c r="I67" s="129"/>
      <c r="J67" s="129"/>
      <c r="K67" s="129"/>
      <c r="L67" s="129"/>
      <c r="M67" s="129"/>
    </row>
    <row r="68" spans="2:13" s="80" customFormat="1" x14ac:dyDescent="0.3">
      <c r="B68" s="129"/>
      <c r="C68" s="129"/>
      <c r="D68" s="129"/>
      <c r="E68" s="129"/>
      <c r="F68" s="62" t="str">
        <f t="shared" si="0"/>
        <v/>
      </c>
      <c r="G68" s="62"/>
      <c r="H68" s="129"/>
      <c r="I68" s="129"/>
      <c r="J68" s="129"/>
      <c r="K68" s="129"/>
      <c r="L68" s="129"/>
      <c r="M68" s="129"/>
    </row>
    <row r="69" spans="2:13" s="80" customFormat="1" x14ac:dyDescent="0.3">
      <c r="B69" s="129"/>
      <c r="C69" s="129"/>
      <c r="D69" s="129"/>
      <c r="E69" s="129"/>
      <c r="F69" s="62" t="str">
        <f t="shared" si="0"/>
        <v/>
      </c>
      <c r="G69" s="62"/>
      <c r="H69" s="129"/>
      <c r="I69" s="129"/>
      <c r="J69" s="129"/>
      <c r="K69" s="129"/>
      <c r="L69" s="129"/>
      <c r="M69" s="129"/>
    </row>
    <row r="70" spans="2:13" s="80" customFormat="1" x14ac:dyDescent="0.3">
      <c r="B70" s="129"/>
      <c r="C70" s="129"/>
      <c r="D70" s="129"/>
      <c r="E70" s="129"/>
      <c r="F70" s="62" t="str">
        <f t="shared" si="0"/>
        <v/>
      </c>
      <c r="G70" s="62"/>
      <c r="H70" s="129"/>
      <c r="I70" s="129"/>
      <c r="J70" s="129"/>
      <c r="K70" s="129"/>
      <c r="L70" s="129"/>
      <c r="M70" s="129"/>
    </row>
    <row r="71" spans="2:13" s="80" customFormat="1" x14ac:dyDescent="0.3">
      <c r="B71" s="129"/>
      <c r="C71" s="129"/>
      <c r="D71" s="129"/>
      <c r="E71" s="129"/>
      <c r="F71" s="62" t="str">
        <f t="shared" si="0"/>
        <v/>
      </c>
      <c r="G71" s="62"/>
      <c r="H71" s="129"/>
      <c r="I71" s="129"/>
      <c r="J71" s="129"/>
      <c r="K71" s="129"/>
      <c r="L71" s="129"/>
      <c r="M71" s="129"/>
    </row>
    <row r="72" spans="2:13" s="80" customFormat="1" x14ac:dyDescent="0.3">
      <c r="B72" s="129"/>
      <c r="C72" s="129"/>
      <c r="D72" s="129"/>
      <c r="E72" s="129"/>
      <c r="F72" s="62" t="str">
        <f t="shared" si="0"/>
        <v/>
      </c>
      <c r="G72" s="62"/>
      <c r="H72" s="129"/>
      <c r="I72" s="129"/>
      <c r="J72" s="129"/>
      <c r="K72" s="129"/>
      <c r="L72" s="129"/>
      <c r="M72" s="129"/>
    </row>
    <row r="73" spans="2:13" s="80" customFormat="1" x14ac:dyDescent="0.3">
      <c r="B73" s="129"/>
      <c r="C73" s="129"/>
      <c r="D73" s="129"/>
      <c r="E73" s="129"/>
      <c r="F73" s="62" t="str">
        <f t="shared" si="0"/>
        <v/>
      </c>
      <c r="G73" s="62"/>
      <c r="H73" s="129"/>
      <c r="I73" s="129"/>
      <c r="J73" s="129"/>
      <c r="K73" s="129"/>
      <c r="L73" s="129"/>
      <c r="M73" s="129"/>
    </row>
    <row r="74" spans="2:13" s="80" customFormat="1" x14ac:dyDescent="0.3">
      <c r="B74" s="129"/>
      <c r="C74" s="129"/>
      <c r="D74" s="129"/>
      <c r="E74" s="129"/>
      <c r="F74" s="62" t="str">
        <f t="shared" si="0"/>
        <v/>
      </c>
      <c r="G74" s="62"/>
      <c r="H74" s="129"/>
      <c r="I74" s="129"/>
      <c r="J74" s="129"/>
      <c r="K74" s="129"/>
      <c r="L74" s="129"/>
      <c r="M74" s="129"/>
    </row>
    <row r="75" spans="2:13" s="80" customFormat="1" x14ac:dyDescent="0.3">
      <c r="B75" s="129"/>
      <c r="C75" s="129"/>
      <c r="D75" s="129"/>
      <c r="E75" s="129"/>
      <c r="F75" s="62" t="str">
        <f t="shared" si="0"/>
        <v/>
      </c>
      <c r="G75" s="62"/>
      <c r="H75" s="129"/>
      <c r="I75" s="129"/>
      <c r="J75" s="129"/>
      <c r="K75" s="129"/>
      <c r="L75" s="129"/>
      <c r="M75" s="129"/>
    </row>
    <row r="76" spans="2:13" s="80" customFormat="1" x14ac:dyDescent="0.3">
      <c r="B76" s="129"/>
      <c r="C76" s="129"/>
      <c r="D76" s="129"/>
      <c r="E76" s="129"/>
      <c r="F76" s="62" t="str">
        <f t="shared" si="0"/>
        <v/>
      </c>
      <c r="G76" s="62"/>
      <c r="H76" s="129"/>
      <c r="I76" s="129"/>
      <c r="J76" s="129"/>
      <c r="K76" s="129"/>
      <c r="L76" s="129"/>
      <c r="M76" s="129"/>
    </row>
    <row r="77" spans="2:13" s="80" customFormat="1" x14ac:dyDescent="0.3">
      <c r="B77" s="129"/>
      <c r="C77" s="129"/>
      <c r="D77" s="129"/>
      <c r="E77" s="129"/>
      <c r="F77" s="62" t="str">
        <f t="shared" si="0"/>
        <v/>
      </c>
      <c r="G77" s="62"/>
      <c r="H77" s="129"/>
      <c r="I77" s="129"/>
      <c r="J77" s="129"/>
      <c r="K77" s="129"/>
      <c r="L77" s="129"/>
      <c r="M77" s="129"/>
    </row>
    <row r="78" spans="2:13" s="80" customFormat="1" x14ac:dyDescent="0.3">
      <c r="B78" s="129"/>
      <c r="C78" s="129"/>
      <c r="D78" s="129"/>
      <c r="E78" s="129"/>
      <c r="F78" s="62" t="str">
        <f t="shared" si="0"/>
        <v/>
      </c>
      <c r="G78" s="62"/>
      <c r="H78" s="129"/>
      <c r="I78" s="129"/>
      <c r="J78" s="129"/>
      <c r="K78" s="129"/>
      <c r="L78" s="129"/>
      <c r="M78" s="129"/>
    </row>
    <row r="79" spans="2:13" s="80" customFormat="1" x14ac:dyDescent="0.3">
      <c r="B79" s="129"/>
      <c r="C79" s="129"/>
      <c r="D79" s="129"/>
      <c r="E79" s="129"/>
      <c r="F79" s="62" t="str">
        <f t="shared" si="0"/>
        <v/>
      </c>
      <c r="G79" s="62"/>
      <c r="H79" s="129"/>
      <c r="I79" s="129"/>
      <c r="J79" s="129"/>
      <c r="K79" s="129"/>
      <c r="L79" s="129"/>
      <c r="M79" s="129"/>
    </row>
    <row r="80" spans="2:13" s="80" customFormat="1" x14ac:dyDescent="0.3">
      <c r="B80" s="129"/>
      <c r="C80" s="129"/>
      <c r="D80" s="129"/>
      <c r="E80" s="129"/>
      <c r="F80" s="62" t="str">
        <f t="shared" si="0"/>
        <v/>
      </c>
      <c r="G80" s="62"/>
      <c r="H80" s="129"/>
      <c r="I80" s="129"/>
      <c r="J80" s="129"/>
      <c r="K80" s="129"/>
      <c r="L80" s="129"/>
      <c r="M80" s="129"/>
    </row>
    <row r="81" spans="2:13" s="80" customFormat="1" x14ac:dyDescent="0.3">
      <c r="B81" s="129"/>
      <c r="C81" s="129"/>
      <c r="D81" s="129"/>
      <c r="E81" s="129"/>
      <c r="F81" s="62" t="str">
        <f t="shared" si="0"/>
        <v/>
      </c>
      <c r="G81" s="62"/>
      <c r="H81" s="129"/>
      <c r="I81" s="129"/>
      <c r="J81" s="129"/>
      <c r="K81" s="129"/>
      <c r="L81" s="129"/>
      <c r="M81" s="129"/>
    </row>
    <row r="82" spans="2:13" s="80" customFormat="1" x14ac:dyDescent="0.3">
      <c r="B82" s="129"/>
      <c r="C82" s="129"/>
      <c r="D82" s="129"/>
      <c r="E82" s="129"/>
      <c r="F82" s="62" t="str">
        <f t="shared" si="0"/>
        <v/>
      </c>
      <c r="G82" s="62"/>
      <c r="H82" s="129"/>
      <c r="I82" s="129"/>
      <c r="J82" s="129"/>
      <c r="K82" s="129"/>
      <c r="L82" s="129"/>
      <c r="M82" s="129"/>
    </row>
    <row r="83" spans="2:13" s="80" customFormat="1" x14ac:dyDescent="0.3">
      <c r="B83" s="129"/>
      <c r="C83" s="129"/>
      <c r="D83" s="129"/>
      <c r="E83" s="129"/>
      <c r="F83" s="62" t="str">
        <f t="shared" si="0"/>
        <v/>
      </c>
      <c r="G83" s="62"/>
      <c r="H83" s="129"/>
      <c r="I83" s="129"/>
      <c r="J83" s="129"/>
      <c r="K83" s="129"/>
      <c r="L83" s="129"/>
      <c r="M83" s="129"/>
    </row>
    <row r="84" spans="2:13" s="80" customFormat="1" x14ac:dyDescent="0.3">
      <c r="B84" s="129"/>
      <c r="C84" s="129"/>
      <c r="D84" s="129"/>
      <c r="E84" s="129"/>
      <c r="F84" s="62" t="str">
        <f t="shared" si="0"/>
        <v/>
      </c>
      <c r="G84" s="62"/>
      <c r="H84" s="129"/>
      <c r="I84" s="129"/>
      <c r="J84" s="129"/>
      <c r="K84" s="129"/>
      <c r="L84" s="129"/>
      <c r="M84" s="129"/>
    </row>
    <row r="85" spans="2:13" s="80" customFormat="1" x14ac:dyDescent="0.3">
      <c r="B85" s="129"/>
      <c r="C85" s="129"/>
      <c r="D85" s="129"/>
      <c r="E85" s="129"/>
      <c r="F85" s="62" t="str">
        <f t="shared" si="0"/>
        <v/>
      </c>
      <c r="G85" s="62"/>
      <c r="H85" s="129"/>
      <c r="I85" s="129"/>
      <c r="J85" s="129"/>
      <c r="K85" s="129"/>
      <c r="L85" s="129"/>
      <c r="M85" s="129"/>
    </row>
    <row r="86" spans="2:13" s="80" customFormat="1" x14ac:dyDescent="0.3">
      <c r="B86" s="129"/>
      <c r="C86" s="129"/>
      <c r="D86" s="129"/>
      <c r="E86" s="129"/>
      <c r="F86" s="62" t="str">
        <f t="shared" si="0"/>
        <v/>
      </c>
      <c r="G86" s="62"/>
      <c r="H86" s="129"/>
      <c r="I86" s="129"/>
      <c r="J86" s="129"/>
      <c r="K86" s="129"/>
      <c r="L86" s="129"/>
      <c r="M86" s="129"/>
    </row>
    <row r="87" spans="2:13" s="80" customFormat="1" x14ac:dyDescent="0.3">
      <c r="B87" s="129"/>
      <c r="C87" s="129"/>
      <c r="D87" s="129"/>
      <c r="E87" s="129"/>
      <c r="F87" s="62" t="str">
        <f t="shared" si="0"/>
        <v/>
      </c>
      <c r="G87" s="62"/>
      <c r="H87" s="129"/>
      <c r="I87" s="129"/>
      <c r="J87" s="129"/>
      <c r="K87" s="129"/>
      <c r="L87" s="129"/>
      <c r="M87" s="129"/>
    </row>
    <row r="88" spans="2:13" s="80" customFormat="1" x14ac:dyDescent="0.3">
      <c r="B88" s="129"/>
      <c r="C88" s="129"/>
      <c r="D88" s="129"/>
      <c r="E88" s="129"/>
      <c r="F88" s="62" t="str">
        <f t="shared" ref="F88:F151" si="1">IF(C88="","",CONCATENATE(B88," ",C88," ",D88," ",E88))</f>
        <v/>
      </c>
      <c r="G88" s="62"/>
      <c r="H88" s="129"/>
      <c r="I88" s="129"/>
      <c r="J88" s="129"/>
      <c r="K88" s="129"/>
      <c r="L88" s="129"/>
      <c r="M88" s="129"/>
    </row>
    <row r="89" spans="2:13" s="80" customFormat="1" x14ac:dyDescent="0.3">
      <c r="B89" s="129"/>
      <c r="C89" s="129"/>
      <c r="D89" s="129"/>
      <c r="E89" s="129"/>
      <c r="F89" s="62" t="str">
        <f t="shared" si="1"/>
        <v/>
      </c>
      <c r="G89" s="62"/>
      <c r="H89" s="129"/>
      <c r="I89" s="129"/>
      <c r="J89" s="129"/>
      <c r="K89" s="129"/>
      <c r="L89" s="129"/>
      <c r="M89" s="129"/>
    </row>
    <row r="90" spans="2:13" s="80" customFormat="1" x14ac:dyDescent="0.3">
      <c r="B90" s="129"/>
      <c r="C90" s="129"/>
      <c r="D90" s="129"/>
      <c r="E90" s="129"/>
      <c r="F90" s="62" t="str">
        <f t="shared" si="1"/>
        <v/>
      </c>
      <c r="G90" s="62"/>
      <c r="H90" s="129"/>
      <c r="I90" s="129"/>
      <c r="J90" s="129"/>
      <c r="K90" s="129"/>
      <c r="L90" s="129"/>
      <c r="M90" s="129"/>
    </row>
    <row r="91" spans="2:13" s="80" customFormat="1" x14ac:dyDescent="0.3">
      <c r="B91" s="129"/>
      <c r="C91" s="129"/>
      <c r="D91" s="129"/>
      <c r="E91" s="129"/>
      <c r="F91" s="62" t="str">
        <f t="shared" si="1"/>
        <v/>
      </c>
      <c r="G91" s="62"/>
      <c r="H91" s="129"/>
      <c r="I91" s="129"/>
      <c r="J91" s="129"/>
      <c r="K91" s="129"/>
      <c r="L91" s="129"/>
      <c r="M91" s="129"/>
    </row>
    <row r="92" spans="2:13" s="80" customFormat="1" x14ac:dyDescent="0.3">
      <c r="B92" s="129"/>
      <c r="C92" s="129"/>
      <c r="D92" s="129"/>
      <c r="E92" s="129"/>
      <c r="F92" s="62" t="str">
        <f t="shared" si="1"/>
        <v/>
      </c>
      <c r="G92" s="62"/>
      <c r="H92" s="129"/>
      <c r="I92" s="129"/>
      <c r="J92" s="129"/>
      <c r="K92" s="129"/>
      <c r="L92" s="129"/>
      <c r="M92" s="129"/>
    </row>
    <row r="93" spans="2:13" s="80" customFormat="1" x14ac:dyDescent="0.3">
      <c r="B93" s="129"/>
      <c r="C93" s="129"/>
      <c r="D93" s="129"/>
      <c r="E93" s="129"/>
      <c r="F93" s="62" t="str">
        <f t="shared" si="1"/>
        <v/>
      </c>
      <c r="G93" s="62"/>
      <c r="H93" s="129"/>
      <c r="I93" s="129"/>
      <c r="J93" s="129"/>
      <c r="K93" s="129"/>
      <c r="L93" s="129"/>
      <c r="M93" s="129"/>
    </row>
    <row r="94" spans="2:13" s="80" customFormat="1" x14ac:dyDescent="0.3">
      <c r="B94" s="129"/>
      <c r="C94" s="129"/>
      <c r="D94" s="129"/>
      <c r="E94" s="129"/>
      <c r="F94" s="62" t="str">
        <f t="shared" si="1"/>
        <v/>
      </c>
      <c r="G94" s="62"/>
      <c r="H94" s="129"/>
      <c r="I94" s="129"/>
      <c r="J94" s="129"/>
      <c r="K94" s="129"/>
      <c r="L94" s="129"/>
      <c r="M94" s="129"/>
    </row>
    <row r="95" spans="2:13" s="80" customFormat="1" x14ac:dyDescent="0.3">
      <c r="B95" s="129"/>
      <c r="C95" s="129"/>
      <c r="D95" s="129"/>
      <c r="E95" s="129"/>
      <c r="F95" s="62" t="str">
        <f t="shared" si="1"/>
        <v/>
      </c>
      <c r="G95" s="62"/>
      <c r="H95" s="129"/>
      <c r="I95" s="129"/>
      <c r="J95" s="129"/>
      <c r="K95" s="129"/>
      <c r="L95" s="129"/>
      <c r="M95" s="129"/>
    </row>
    <row r="96" spans="2:13" s="80" customFormat="1" x14ac:dyDescent="0.3">
      <c r="B96" s="129"/>
      <c r="C96" s="129"/>
      <c r="D96" s="129"/>
      <c r="E96" s="129"/>
      <c r="F96" s="62" t="str">
        <f t="shared" si="1"/>
        <v/>
      </c>
      <c r="G96" s="62"/>
      <c r="H96" s="129"/>
      <c r="I96" s="129"/>
      <c r="J96" s="129"/>
      <c r="K96" s="129"/>
      <c r="L96" s="129"/>
      <c r="M96" s="129"/>
    </row>
    <row r="97" spans="2:13" s="80" customFormat="1" x14ac:dyDescent="0.3">
      <c r="B97" s="129"/>
      <c r="C97" s="129"/>
      <c r="D97" s="129"/>
      <c r="E97" s="129"/>
      <c r="F97" s="62" t="str">
        <f t="shared" si="1"/>
        <v/>
      </c>
      <c r="G97" s="62"/>
      <c r="H97" s="129"/>
      <c r="I97" s="129"/>
      <c r="J97" s="129"/>
      <c r="K97" s="129"/>
      <c r="L97" s="129"/>
      <c r="M97" s="129"/>
    </row>
    <row r="98" spans="2:13" s="80" customFormat="1" x14ac:dyDescent="0.3">
      <c r="B98" s="129"/>
      <c r="C98" s="129"/>
      <c r="D98" s="129"/>
      <c r="E98" s="129"/>
      <c r="F98" s="62" t="str">
        <f t="shared" si="1"/>
        <v/>
      </c>
      <c r="G98" s="62"/>
      <c r="H98" s="129"/>
      <c r="I98" s="129"/>
      <c r="J98" s="129"/>
      <c r="K98" s="129"/>
      <c r="L98" s="129"/>
      <c r="M98" s="129"/>
    </row>
    <row r="99" spans="2:13" s="80" customFormat="1" x14ac:dyDescent="0.3">
      <c r="B99" s="129"/>
      <c r="C99" s="129"/>
      <c r="D99" s="129"/>
      <c r="E99" s="129"/>
      <c r="F99" s="62" t="str">
        <f t="shared" si="1"/>
        <v/>
      </c>
      <c r="G99" s="62"/>
      <c r="H99" s="129"/>
      <c r="I99" s="129"/>
      <c r="J99" s="129"/>
      <c r="K99" s="129"/>
      <c r="L99" s="129"/>
      <c r="M99" s="129"/>
    </row>
    <row r="100" spans="2:13" s="80" customFormat="1" x14ac:dyDescent="0.3">
      <c r="B100" s="129"/>
      <c r="C100" s="129"/>
      <c r="D100" s="129"/>
      <c r="E100" s="129"/>
      <c r="F100" s="62" t="str">
        <f t="shared" si="1"/>
        <v/>
      </c>
      <c r="G100" s="62"/>
      <c r="H100" s="129"/>
      <c r="I100" s="129"/>
      <c r="J100" s="129"/>
      <c r="K100" s="129"/>
      <c r="L100" s="129"/>
      <c r="M100" s="129"/>
    </row>
    <row r="101" spans="2:13" x14ac:dyDescent="0.3">
      <c r="B101" s="51"/>
      <c r="C101" s="51"/>
      <c r="D101" s="51"/>
      <c r="E101" s="51"/>
      <c r="F101" s="42" t="str">
        <f t="shared" si="1"/>
        <v/>
      </c>
      <c r="H101" s="81"/>
      <c r="I101" s="86"/>
      <c r="J101" s="133"/>
      <c r="K101" s="133"/>
      <c r="L101" s="133"/>
      <c r="M101" s="130"/>
    </row>
    <row r="102" spans="2:13" x14ac:dyDescent="0.3">
      <c r="B102" s="51"/>
      <c r="C102" s="51"/>
      <c r="D102" s="51"/>
      <c r="E102" s="51"/>
      <c r="F102" s="42" t="str">
        <f t="shared" si="1"/>
        <v/>
      </c>
      <c r="H102" s="83"/>
      <c r="I102" s="86"/>
      <c r="J102" s="133"/>
      <c r="K102" s="133"/>
      <c r="L102" s="133"/>
      <c r="M102" s="130"/>
    </row>
    <row r="103" spans="2:13" x14ac:dyDescent="0.3">
      <c r="B103" s="51"/>
      <c r="C103" s="51"/>
      <c r="D103" s="51"/>
      <c r="E103" s="51"/>
      <c r="F103" s="42" t="str">
        <f t="shared" si="1"/>
        <v/>
      </c>
      <c r="H103" s="83"/>
      <c r="I103" s="86"/>
      <c r="J103" s="133"/>
      <c r="K103" s="133"/>
      <c r="L103" s="133"/>
      <c r="M103" s="130"/>
    </row>
    <row r="104" spans="2:13" x14ac:dyDescent="0.3">
      <c r="B104" s="51"/>
      <c r="C104" s="51"/>
      <c r="D104" s="51"/>
      <c r="E104" s="51"/>
      <c r="F104" s="42" t="str">
        <f t="shared" si="1"/>
        <v/>
      </c>
      <c r="H104" s="83"/>
      <c r="I104" s="86"/>
      <c r="J104" s="133"/>
      <c r="K104" s="133"/>
      <c r="L104" s="133"/>
      <c r="M104" s="130"/>
    </row>
    <row r="105" spans="2:13" x14ac:dyDescent="0.3">
      <c r="B105" s="51"/>
      <c r="C105" s="51"/>
      <c r="D105" s="51"/>
      <c r="E105" s="51"/>
      <c r="F105" s="42" t="str">
        <f t="shared" si="1"/>
        <v/>
      </c>
      <c r="H105" s="83"/>
      <c r="I105" s="86"/>
      <c r="J105" s="133"/>
      <c r="K105" s="133"/>
      <c r="L105" s="133"/>
      <c r="M105" s="130"/>
    </row>
    <row r="106" spans="2:13" x14ac:dyDescent="0.3">
      <c r="B106" s="51"/>
      <c r="C106" s="51"/>
      <c r="D106" s="51"/>
      <c r="E106" s="51"/>
      <c r="F106" s="42" t="str">
        <f t="shared" si="1"/>
        <v/>
      </c>
      <c r="H106" s="83"/>
      <c r="I106" s="86"/>
      <c r="J106" s="133"/>
      <c r="K106" s="133"/>
      <c r="L106" s="133"/>
      <c r="M106" s="130"/>
    </row>
    <row r="107" spans="2:13" x14ac:dyDescent="0.3">
      <c r="B107" s="51"/>
      <c r="C107" s="51"/>
      <c r="D107" s="51"/>
      <c r="E107" s="51"/>
      <c r="F107" s="42" t="str">
        <f t="shared" si="1"/>
        <v/>
      </c>
      <c r="H107" s="83"/>
      <c r="I107" s="86"/>
      <c r="J107" s="133"/>
      <c r="K107" s="133"/>
      <c r="L107" s="133"/>
      <c r="M107" s="130"/>
    </row>
    <row r="108" spans="2:13" x14ac:dyDescent="0.3">
      <c r="B108" s="51"/>
      <c r="C108" s="51"/>
      <c r="D108" s="51"/>
      <c r="E108" s="51"/>
      <c r="F108" s="42" t="str">
        <f t="shared" si="1"/>
        <v/>
      </c>
      <c r="H108" s="83"/>
      <c r="I108" s="86"/>
      <c r="J108" s="133"/>
      <c r="K108" s="133"/>
      <c r="L108" s="133"/>
      <c r="M108" s="130"/>
    </row>
    <row r="109" spans="2:13" x14ac:dyDescent="0.3">
      <c r="B109" s="51"/>
      <c r="C109" s="51"/>
      <c r="D109" s="51"/>
      <c r="E109" s="51"/>
      <c r="F109" s="42" t="str">
        <f t="shared" si="1"/>
        <v/>
      </c>
      <c r="H109" s="83"/>
      <c r="I109" s="86"/>
      <c r="J109" s="133"/>
      <c r="K109" s="133"/>
      <c r="L109" s="133"/>
      <c r="M109" s="130"/>
    </row>
    <row r="110" spans="2:13" x14ac:dyDescent="0.3">
      <c r="B110" s="51"/>
      <c r="C110" s="51"/>
      <c r="D110" s="51"/>
      <c r="E110" s="51"/>
      <c r="F110" s="42" t="str">
        <f t="shared" si="1"/>
        <v/>
      </c>
      <c r="H110" s="83"/>
      <c r="I110" s="86"/>
      <c r="J110" s="133"/>
      <c r="K110" s="133"/>
      <c r="L110" s="133"/>
      <c r="M110" s="130"/>
    </row>
    <row r="111" spans="2:13" x14ac:dyDescent="0.3">
      <c r="B111" s="51"/>
      <c r="C111" s="51"/>
      <c r="D111" s="51"/>
      <c r="E111" s="51"/>
      <c r="F111" s="42" t="str">
        <f t="shared" si="1"/>
        <v/>
      </c>
      <c r="H111" s="83"/>
      <c r="I111" s="86"/>
      <c r="J111" s="133"/>
      <c r="K111" s="133"/>
      <c r="L111" s="133"/>
      <c r="M111" s="130"/>
    </row>
    <row r="112" spans="2:13" x14ac:dyDescent="0.3">
      <c r="B112" s="51"/>
      <c r="C112" s="51"/>
      <c r="D112" s="51"/>
      <c r="E112" s="51"/>
      <c r="F112" s="42" t="str">
        <f t="shared" si="1"/>
        <v/>
      </c>
      <c r="H112" s="83"/>
      <c r="I112" s="86"/>
      <c r="J112" s="133"/>
      <c r="K112" s="133"/>
      <c r="L112" s="133"/>
      <c r="M112" s="130"/>
    </row>
    <row r="113" spans="2:13" x14ac:dyDescent="0.3">
      <c r="B113" s="51"/>
      <c r="C113" s="51"/>
      <c r="D113" s="51"/>
      <c r="E113" s="51"/>
      <c r="F113" s="42" t="str">
        <f t="shared" si="1"/>
        <v/>
      </c>
      <c r="H113" s="83"/>
      <c r="I113" s="86"/>
      <c r="J113" s="133"/>
      <c r="K113" s="133"/>
      <c r="L113" s="133"/>
      <c r="M113" s="130"/>
    </row>
    <row r="114" spans="2:13" x14ac:dyDescent="0.3">
      <c r="B114" s="51"/>
      <c r="C114" s="51"/>
      <c r="D114" s="51"/>
      <c r="E114" s="51"/>
      <c r="F114" s="42" t="str">
        <f t="shared" si="1"/>
        <v/>
      </c>
      <c r="H114" s="83"/>
      <c r="I114" s="86"/>
      <c r="J114" s="133"/>
      <c r="K114" s="133"/>
      <c r="L114" s="133"/>
      <c r="M114" s="130"/>
    </row>
    <row r="115" spans="2:13" x14ac:dyDescent="0.3">
      <c r="B115" s="51"/>
      <c r="C115" s="51"/>
      <c r="D115" s="51"/>
      <c r="E115" s="51"/>
      <c r="F115" s="42" t="str">
        <f t="shared" si="1"/>
        <v/>
      </c>
      <c r="H115" s="83"/>
      <c r="I115" s="86"/>
      <c r="J115" s="133"/>
      <c r="K115" s="133"/>
      <c r="L115" s="133"/>
      <c r="M115" s="130"/>
    </row>
    <row r="116" spans="2:13" x14ac:dyDescent="0.3">
      <c r="B116" s="51"/>
      <c r="C116" s="51"/>
      <c r="D116" s="51"/>
      <c r="E116" s="51"/>
      <c r="F116" s="42" t="str">
        <f t="shared" si="1"/>
        <v/>
      </c>
      <c r="H116" s="83"/>
      <c r="I116" s="86"/>
      <c r="J116" s="133"/>
      <c r="K116" s="133"/>
      <c r="L116" s="133"/>
      <c r="M116" s="130"/>
    </row>
    <row r="117" spans="2:13" x14ac:dyDescent="0.3">
      <c r="B117" s="51"/>
      <c r="C117" s="51"/>
      <c r="D117" s="51"/>
      <c r="E117" s="51"/>
      <c r="F117" s="42" t="str">
        <f t="shared" si="1"/>
        <v/>
      </c>
      <c r="H117" s="83"/>
      <c r="I117" s="86"/>
      <c r="J117" s="133"/>
      <c r="K117" s="133"/>
      <c r="L117" s="133"/>
      <c r="M117" s="130"/>
    </row>
    <row r="118" spans="2:13" x14ac:dyDescent="0.3">
      <c r="B118" s="51"/>
      <c r="C118" s="51"/>
      <c r="D118" s="51"/>
      <c r="E118" s="51"/>
      <c r="F118" s="42" t="str">
        <f t="shared" si="1"/>
        <v/>
      </c>
      <c r="H118" s="83"/>
      <c r="I118" s="86"/>
      <c r="J118" s="133"/>
      <c r="K118" s="133"/>
      <c r="L118" s="133"/>
      <c r="M118" s="130"/>
    </row>
    <row r="119" spans="2:13" x14ac:dyDescent="0.3">
      <c r="B119" s="51"/>
      <c r="C119" s="51"/>
      <c r="D119" s="51"/>
      <c r="E119" s="51"/>
      <c r="F119" s="42" t="str">
        <f t="shared" si="1"/>
        <v/>
      </c>
      <c r="H119" s="83"/>
      <c r="I119" s="86"/>
      <c r="J119" s="133"/>
      <c r="K119" s="133"/>
      <c r="L119" s="133"/>
      <c r="M119" s="130"/>
    </row>
    <row r="120" spans="2:13" x14ac:dyDescent="0.3">
      <c r="B120" s="51"/>
      <c r="C120" s="51"/>
      <c r="D120" s="51"/>
      <c r="E120" s="51"/>
      <c r="F120" s="42" t="str">
        <f t="shared" si="1"/>
        <v/>
      </c>
      <c r="H120" s="83"/>
      <c r="I120" s="86"/>
      <c r="J120" s="133"/>
      <c r="K120" s="133"/>
      <c r="L120" s="133"/>
      <c r="M120" s="130"/>
    </row>
    <row r="121" spans="2:13" x14ac:dyDescent="0.3">
      <c r="B121" s="51"/>
      <c r="C121" s="51"/>
      <c r="D121" s="51"/>
      <c r="E121" s="51"/>
      <c r="F121" s="42" t="str">
        <f t="shared" si="1"/>
        <v/>
      </c>
      <c r="H121" s="83"/>
      <c r="I121" s="86"/>
      <c r="J121" s="133"/>
      <c r="K121" s="133"/>
      <c r="L121" s="133"/>
      <c r="M121" s="130"/>
    </row>
    <row r="122" spans="2:13" x14ac:dyDescent="0.3">
      <c r="B122" s="51"/>
      <c r="C122" s="51"/>
      <c r="D122" s="51"/>
      <c r="E122" s="51"/>
      <c r="F122" s="42" t="str">
        <f t="shared" si="1"/>
        <v/>
      </c>
      <c r="H122" s="83"/>
      <c r="I122" s="86"/>
      <c r="J122" s="133"/>
      <c r="K122" s="133"/>
      <c r="L122" s="133"/>
      <c r="M122" s="130"/>
    </row>
    <row r="123" spans="2:13" x14ac:dyDescent="0.3">
      <c r="B123" s="51"/>
      <c r="C123" s="51"/>
      <c r="D123" s="51"/>
      <c r="E123" s="51"/>
      <c r="F123" s="42" t="str">
        <f t="shared" si="1"/>
        <v/>
      </c>
      <c r="H123" s="83"/>
      <c r="I123" s="86"/>
      <c r="J123" s="133"/>
      <c r="K123" s="133"/>
      <c r="L123" s="133"/>
      <c r="M123" s="130"/>
    </row>
    <row r="124" spans="2:13" x14ac:dyDescent="0.3">
      <c r="B124" s="51"/>
      <c r="C124" s="51"/>
      <c r="D124" s="51"/>
      <c r="E124" s="51"/>
      <c r="F124" s="42" t="str">
        <f t="shared" si="1"/>
        <v/>
      </c>
      <c r="H124" s="83"/>
      <c r="I124" s="86"/>
      <c r="J124" s="133"/>
      <c r="K124" s="133"/>
      <c r="L124" s="133"/>
      <c r="M124" s="130"/>
    </row>
    <row r="125" spans="2:13" x14ac:dyDescent="0.3">
      <c r="B125" s="51"/>
      <c r="C125" s="51"/>
      <c r="D125" s="51"/>
      <c r="E125" s="51"/>
      <c r="F125" s="42" t="str">
        <f t="shared" si="1"/>
        <v/>
      </c>
      <c r="H125" s="83"/>
      <c r="I125" s="86"/>
      <c r="J125" s="133"/>
      <c r="K125" s="133"/>
      <c r="L125" s="133"/>
      <c r="M125" s="130"/>
    </row>
    <row r="126" spans="2:13" x14ac:dyDescent="0.3">
      <c r="B126" s="51"/>
      <c r="C126" s="51"/>
      <c r="D126" s="51"/>
      <c r="E126" s="51"/>
      <c r="F126" s="42" t="str">
        <f t="shared" si="1"/>
        <v/>
      </c>
      <c r="H126" s="83"/>
      <c r="I126" s="86"/>
      <c r="J126" s="133"/>
      <c r="K126" s="133"/>
      <c r="L126" s="133"/>
      <c r="M126" s="130"/>
    </row>
    <row r="127" spans="2:13" x14ac:dyDescent="0.3">
      <c r="B127" s="51"/>
      <c r="C127" s="51"/>
      <c r="D127" s="51"/>
      <c r="E127" s="51"/>
      <c r="F127" s="42" t="str">
        <f t="shared" si="1"/>
        <v/>
      </c>
      <c r="H127" s="83"/>
      <c r="I127" s="86"/>
      <c r="J127" s="133"/>
      <c r="K127" s="133"/>
      <c r="L127" s="133"/>
      <c r="M127" s="130"/>
    </row>
    <row r="128" spans="2:13" x14ac:dyDescent="0.3">
      <c r="B128" s="51"/>
      <c r="C128" s="51"/>
      <c r="D128" s="51"/>
      <c r="E128" s="51"/>
      <c r="F128" s="42" t="str">
        <f t="shared" si="1"/>
        <v/>
      </c>
      <c r="H128" s="83"/>
      <c r="I128" s="86"/>
      <c r="J128" s="133"/>
      <c r="K128" s="133"/>
      <c r="L128" s="133"/>
      <c r="M128" s="130"/>
    </row>
    <row r="129" spans="2:13" x14ac:dyDescent="0.3">
      <c r="B129" s="51"/>
      <c r="C129" s="51"/>
      <c r="D129" s="51"/>
      <c r="E129" s="51"/>
      <c r="F129" s="42" t="str">
        <f t="shared" si="1"/>
        <v/>
      </c>
      <c r="H129" s="83"/>
      <c r="I129" s="86"/>
      <c r="J129" s="133"/>
      <c r="K129" s="133"/>
      <c r="L129" s="133"/>
      <c r="M129" s="130"/>
    </row>
    <row r="130" spans="2:13" x14ac:dyDescent="0.3">
      <c r="B130" s="51"/>
      <c r="C130" s="51"/>
      <c r="D130" s="51"/>
      <c r="E130" s="51"/>
      <c r="F130" s="42" t="str">
        <f t="shared" si="1"/>
        <v/>
      </c>
      <c r="H130" s="83"/>
      <c r="I130" s="86"/>
      <c r="J130" s="133"/>
      <c r="K130" s="133"/>
      <c r="L130" s="133"/>
      <c r="M130" s="130"/>
    </row>
    <row r="131" spans="2:13" x14ac:dyDescent="0.3">
      <c r="B131" s="51"/>
      <c r="C131" s="51"/>
      <c r="D131" s="51"/>
      <c r="E131" s="51"/>
      <c r="F131" s="42" t="str">
        <f t="shared" si="1"/>
        <v/>
      </c>
      <c r="H131" s="83"/>
      <c r="I131" s="86"/>
      <c r="J131" s="133"/>
      <c r="K131" s="133"/>
      <c r="L131" s="133"/>
      <c r="M131" s="130"/>
    </row>
    <row r="132" spans="2:13" x14ac:dyDescent="0.3">
      <c r="B132" s="51"/>
      <c r="C132" s="51"/>
      <c r="D132" s="51"/>
      <c r="E132" s="51"/>
      <c r="F132" s="42" t="str">
        <f t="shared" si="1"/>
        <v/>
      </c>
      <c r="H132" s="83"/>
      <c r="I132" s="86"/>
      <c r="J132" s="133"/>
      <c r="K132" s="133"/>
      <c r="L132" s="133"/>
      <c r="M132" s="130"/>
    </row>
    <row r="133" spans="2:13" x14ac:dyDescent="0.3">
      <c r="B133" s="51"/>
      <c r="C133" s="51"/>
      <c r="D133" s="51"/>
      <c r="E133" s="51"/>
      <c r="F133" s="42" t="str">
        <f t="shared" si="1"/>
        <v/>
      </c>
      <c r="H133" s="83"/>
      <c r="I133" s="86"/>
      <c r="J133" s="133"/>
      <c r="K133" s="133"/>
      <c r="L133" s="133"/>
      <c r="M133" s="130"/>
    </row>
    <row r="134" spans="2:13" x14ac:dyDescent="0.3">
      <c r="B134" s="51"/>
      <c r="C134" s="51"/>
      <c r="D134" s="51"/>
      <c r="E134" s="51"/>
      <c r="F134" s="42" t="str">
        <f t="shared" si="1"/>
        <v/>
      </c>
      <c r="H134" s="83"/>
      <c r="I134" s="86"/>
      <c r="J134" s="133"/>
      <c r="K134" s="133"/>
      <c r="L134" s="133"/>
      <c r="M134" s="130"/>
    </row>
    <row r="135" spans="2:13" x14ac:dyDescent="0.3">
      <c r="B135" s="51"/>
      <c r="C135" s="51"/>
      <c r="D135" s="51"/>
      <c r="E135" s="51"/>
      <c r="F135" s="42" t="str">
        <f t="shared" si="1"/>
        <v/>
      </c>
      <c r="H135" s="83"/>
      <c r="I135" s="86"/>
      <c r="J135" s="133"/>
      <c r="K135" s="133"/>
      <c r="L135" s="133"/>
      <c r="M135" s="130"/>
    </row>
    <row r="136" spans="2:13" x14ac:dyDescent="0.3">
      <c r="B136" s="51"/>
      <c r="C136" s="51"/>
      <c r="D136" s="51"/>
      <c r="E136" s="51"/>
      <c r="F136" s="42" t="str">
        <f t="shared" si="1"/>
        <v/>
      </c>
      <c r="H136" s="83"/>
      <c r="I136" s="86"/>
      <c r="J136" s="133"/>
      <c r="K136" s="133"/>
      <c r="L136" s="133"/>
      <c r="M136" s="130"/>
    </row>
    <row r="137" spans="2:13" x14ac:dyDescent="0.3">
      <c r="B137" s="51"/>
      <c r="C137" s="51"/>
      <c r="D137" s="51"/>
      <c r="E137" s="51"/>
      <c r="F137" s="42" t="str">
        <f t="shared" si="1"/>
        <v/>
      </c>
      <c r="H137" s="83"/>
      <c r="I137" s="86"/>
      <c r="J137" s="133"/>
      <c r="K137" s="133"/>
      <c r="L137" s="133"/>
      <c r="M137" s="130"/>
    </row>
    <row r="138" spans="2:13" x14ac:dyDescent="0.3">
      <c r="B138" s="51"/>
      <c r="C138" s="51"/>
      <c r="D138" s="51"/>
      <c r="E138" s="51"/>
      <c r="F138" s="42" t="str">
        <f t="shared" si="1"/>
        <v/>
      </c>
      <c r="H138" s="83"/>
      <c r="I138" s="86"/>
      <c r="J138" s="133"/>
      <c r="K138" s="133"/>
      <c r="L138" s="133"/>
      <c r="M138" s="130"/>
    </row>
    <row r="139" spans="2:13" x14ac:dyDescent="0.3">
      <c r="B139" s="51"/>
      <c r="C139" s="51"/>
      <c r="D139" s="51"/>
      <c r="E139" s="51"/>
      <c r="F139" s="42" t="str">
        <f t="shared" si="1"/>
        <v/>
      </c>
      <c r="H139" s="83"/>
      <c r="I139" s="86"/>
      <c r="J139" s="133"/>
      <c r="K139" s="133"/>
      <c r="L139" s="133"/>
      <c r="M139" s="130"/>
    </row>
    <row r="140" spans="2:13" x14ac:dyDescent="0.3">
      <c r="B140" s="51"/>
      <c r="C140" s="51"/>
      <c r="D140" s="51"/>
      <c r="E140" s="51"/>
      <c r="F140" s="42" t="str">
        <f t="shared" si="1"/>
        <v/>
      </c>
      <c r="H140" s="83"/>
      <c r="I140" s="86"/>
      <c r="J140" s="133"/>
      <c r="K140" s="133"/>
      <c r="L140" s="133"/>
      <c r="M140" s="130"/>
    </row>
    <row r="141" spans="2:13" x14ac:dyDescent="0.3">
      <c r="B141" s="51"/>
      <c r="C141" s="51"/>
      <c r="D141" s="51"/>
      <c r="E141" s="51"/>
      <c r="F141" s="42" t="str">
        <f t="shared" si="1"/>
        <v/>
      </c>
      <c r="H141" s="83"/>
      <c r="I141" s="86"/>
      <c r="J141" s="133"/>
      <c r="K141" s="133"/>
      <c r="L141" s="133"/>
      <c r="M141" s="130"/>
    </row>
    <row r="142" spans="2:13" x14ac:dyDescent="0.3">
      <c r="B142" s="51"/>
      <c r="C142" s="51"/>
      <c r="D142" s="51"/>
      <c r="E142" s="51"/>
      <c r="F142" s="42" t="str">
        <f t="shared" si="1"/>
        <v/>
      </c>
      <c r="H142" s="83"/>
      <c r="I142" s="86"/>
      <c r="J142" s="133"/>
      <c r="K142" s="133"/>
      <c r="L142" s="133"/>
      <c r="M142" s="130"/>
    </row>
    <row r="143" spans="2:13" x14ac:dyDescent="0.3">
      <c r="B143" s="51"/>
      <c r="C143" s="51"/>
      <c r="D143" s="51"/>
      <c r="E143" s="51"/>
      <c r="F143" s="42" t="str">
        <f t="shared" si="1"/>
        <v/>
      </c>
      <c r="H143" s="83"/>
      <c r="I143" s="86"/>
      <c r="J143" s="133"/>
      <c r="K143" s="133"/>
      <c r="L143" s="133"/>
      <c r="M143" s="130"/>
    </row>
    <row r="144" spans="2:13" x14ac:dyDescent="0.3">
      <c r="B144" s="51"/>
      <c r="C144" s="51"/>
      <c r="D144" s="51"/>
      <c r="E144" s="51"/>
      <c r="F144" s="42" t="str">
        <f t="shared" si="1"/>
        <v/>
      </c>
      <c r="H144" s="83"/>
      <c r="I144" s="86"/>
      <c r="J144" s="133"/>
      <c r="K144" s="133"/>
      <c r="L144" s="133"/>
      <c r="M144" s="130"/>
    </row>
    <row r="145" spans="2:13" x14ac:dyDescent="0.3">
      <c r="B145" s="51"/>
      <c r="C145" s="51"/>
      <c r="D145" s="51"/>
      <c r="E145" s="51"/>
      <c r="F145" s="42" t="str">
        <f t="shared" si="1"/>
        <v/>
      </c>
      <c r="H145" s="83"/>
      <c r="I145" s="86"/>
      <c r="J145" s="133"/>
      <c r="K145" s="133"/>
      <c r="L145" s="133"/>
      <c r="M145" s="130"/>
    </row>
    <row r="146" spans="2:13" x14ac:dyDescent="0.3">
      <c r="B146" s="51"/>
      <c r="C146" s="51"/>
      <c r="D146" s="51"/>
      <c r="E146" s="51"/>
      <c r="F146" s="42" t="str">
        <f t="shared" si="1"/>
        <v/>
      </c>
      <c r="H146" s="83"/>
      <c r="I146" s="86"/>
      <c r="J146" s="133"/>
      <c r="K146" s="133"/>
      <c r="L146" s="133"/>
      <c r="M146" s="130"/>
    </row>
    <row r="147" spans="2:13" x14ac:dyDescent="0.3">
      <c r="B147" s="51"/>
      <c r="C147" s="51"/>
      <c r="D147" s="51"/>
      <c r="E147" s="51"/>
      <c r="F147" s="42" t="str">
        <f t="shared" si="1"/>
        <v/>
      </c>
      <c r="H147" s="83"/>
      <c r="I147" s="86"/>
      <c r="J147" s="133"/>
      <c r="K147" s="133"/>
      <c r="L147" s="133"/>
      <c r="M147" s="130"/>
    </row>
    <row r="148" spans="2:13" x14ac:dyDescent="0.3">
      <c r="B148" s="51"/>
      <c r="C148" s="51"/>
      <c r="D148" s="51"/>
      <c r="E148" s="51"/>
      <c r="F148" s="42" t="str">
        <f t="shared" si="1"/>
        <v/>
      </c>
      <c r="H148" s="83"/>
      <c r="I148" s="86"/>
      <c r="J148" s="133"/>
      <c r="K148" s="133"/>
      <c r="L148" s="133"/>
      <c r="M148" s="130"/>
    </row>
    <row r="149" spans="2:13" x14ac:dyDescent="0.3">
      <c r="B149" s="51"/>
      <c r="C149" s="51"/>
      <c r="D149" s="51"/>
      <c r="E149" s="51"/>
      <c r="F149" s="42" t="str">
        <f t="shared" si="1"/>
        <v/>
      </c>
      <c r="H149" s="83"/>
      <c r="I149" s="86"/>
      <c r="J149" s="133"/>
      <c r="K149" s="133"/>
      <c r="L149" s="133"/>
      <c r="M149" s="130"/>
    </row>
    <row r="150" spans="2:13" x14ac:dyDescent="0.3">
      <c r="B150" s="51"/>
      <c r="C150" s="51"/>
      <c r="D150" s="51"/>
      <c r="E150" s="51"/>
      <c r="F150" s="42" t="str">
        <f t="shared" si="1"/>
        <v/>
      </c>
      <c r="H150" s="83"/>
      <c r="I150" s="86"/>
      <c r="J150" s="133"/>
      <c r="K150" s="133"/>
      <c r="L150" s="133"/>
      <c r="M150" s="130"/>
    </row>
    <row r="151" spans="2:13" x14ac:dyDescent="0.3">
      <c r="B151" s="51"/>
      <c r="C151" s="51"/>
      <c r="D151" s="51"/>
      <c r="E151" s="51"/>
      <c r="F151" s="42" t="str">
        <f t="shared" si="1"/>
        <v/>
      </c>
      <c r="H151" s="83"/>
      <c r="I151" s="86"/>
      <c r="J151" s="133"/>
      <c r="K151" s="133"/>
      <c r="L151" s="133"/>
      <c r="M151" s="130"/>
    </row>
    <row r="152" spans="2:13" x14ac:dyDescent="0.3">
      <c r="B152" s="51"/>
      <c r="C152" s="51"/>
      <c r="D152" s="51"/>
      <c r="E152" s="51"/>
      <c r="F152" s="42" t="str">
        <f t="shared" ref="F152:F215" si="2">IF(C152="","",CONCATENATE(B152," ",C152," ",D152," ",E152))</f>
        <v/>
      </c>
      <c r="H152" s="83"/>
      <c r="I152" s="86"/>
      <c r="J152" s="133"/>
      <c r="K152" s="133"/>
      <c r="L152" s="133"/>
      <c r="M152" s="130"/>
    </row>
    <row r="153" spans="2:13" x14ac:dyDescent="0.3">
      <c r="B153" s="51"/>
      <c r="C153" s="51"/>
      <c r="D153" s="51"/>
      <c r="E153" s="51"/>
      <c r="F153" s="42" t="str">
        <f t="shared" si="2"/>
        <v/>
      </c>
      <c r="H153" s="83"/>
      <c r="I153" s="86"/>
      <c r="J153" s="133"/>
      <c r="K153" s="133"/>
      <c r="L153" s="133"/>
      <c r="M153" s="130"/>
    </row>
    <row r="154" spans="2:13" x14ac:dyDescent="0.3">
      <c r="B154" s="51"/>
      <c r="C154" s="51"/>
      <c r="D154" s="51"/>
      <c r="E154" s="51"/>
      <c r="F154" s="42" t="str">
        <f t="shared" si="2"/>
        <v/>
      </c>
      <c r="H154" s="83"/>
      <c r="I154" s="86"/>
      <c r="J154" s="133"/>
      <c r="K154" s="133"/>
      <c r="L154" s="133"/>
      <c r="M154" s="130"/>
    </row>
    <row r="155" spans="2:13" x14ac:dyDescent="0.3">
      <c r="B155" s="51"/>
      <c r="C155" s="51"/>
      <c r="D155" s="51"/>
      <c r="E155" s="51"/>
      <c r="F155" s="42" t="str">
        <f t="shared" si="2"/>
        <v/>
      </c>
      <c r="H155" s="83"/>
      <c r="I155" s="86"/>
      <c r="J155" s="133"/>
      <c r="K155" s="133"/>
      <c r="L155" s="133"/>
      <c r="M155" s="130"/>
    </row>
    <row r="156" spans="2:13" x14ac:dyDescent="0.3">
      <c r="B156" s="51"/>
      <c r="C156" s="51"/>
      <c r="D156" s="51"/>
      <c r="E156" s="51"/>
      <c r="F156" s="42" t="str">
        <f t="shared" si="2"/>
        <v/>
      </c>
      <c r="H156" s="83"/>
      <c r="I156" s="86"/>
      <c r="J156" s="133"/>
      <c r="K156" s="133"/>
      <c r="L156" s="133"/>
      <c r="M156" s="130"/>
    </row>
    <row r="157" spans="2:13" x14ac:dyDescent="0.3">
      <c r="B157" s="51"/>
      <c r="C157" s="51"/>
      <c r="D157" s="51"/>
      <c r="E157" s="51"/>
      <c r="F157" s="42" t="str">
        <f t="shared" si="2"/>
        <v/>
      </c>
      <c r="H157" s="83"/>
      <c r="I157" s="86"/>
      <c r="J157" s="133"/>
      <c r="K157" s="133"/>
      <c r="L157" s="133"/>
      <c r="M157" s="130"/>
    </row>
    <row r="158" spans="2:13" x14ac:dyDescent="0.3">
      <c r="B158" s="51"/>
      <c r="C158" s="51"/>
      <c r="D158" s="51"/>
      <c r="E158" s="51"/>
      <c r="F158" s="42" t="str">
        <f t="shared" si="2"/>
        <v/>
      </c>
      <c r="H158" s="83"/>
      <c r="I158" s="86"/>
      <c r="J158" s="133"/>
      <c r="K158" s="133"/>
      <c r="L158" s="133"/>
      <c r="M158" s="130"/>
    </row>
    <row r="159" spans="2:13" x14ac:dyDescent="0.3">
      <c r="B159" s="51"/>
      <c r="C159" s="51"/>
      <c r="D159" s="51"/>
      <c r="E159" s="51"/>
      <c r="F159" s="42" t="str">
        <f t="shared" si="2"/>
        <v/>
      </c>
      <c r="H159" s="83"/>
      <c r="I159" s="86"/>
      <c r="J159" s="133"/>
      <c r="K159" s="133"/>
      <c r="L159" s="133"/>
      <c r="M159" s="130"/>
    </row>
    <row r="160" spans="2:13" x14ac:dyDescent="0.3">
      <c r="B160" s="51"/>
      <c r="C160" s="51"/>
      <c r="D160" s="51"/>
      <c r="E160" s="51"/>
      <c r="F160" s="42" t="str">
        <f t="shared" si="2"/>
        <v/>
      </c>
      <c r="H160" s="83"/>
      <c r="I160" s="86"/>
      <c r="J160" s="133"/>
      <c r="K160" s="133"/>
      <c r="L160" s="133"/>
      <c r="M160" s="130"/>
    </row>
    <row r="161" spans="2:13" x14ac:dyDescent="0.3">
      <c r="B161" s="51"/>
      <c r="C161" s="51"/>
      <c r="D161" s="51"/>
      <c r="E161" s="51"/>
      <c r="F161" s="42" t="str">
        <f t="shared" si="2"/>
        <v/>
      </c>
      <c r="H161" s="83"/>
      <c r="I161" s="86"/>
      <c r="J161" s="133"/>
      <c r="K161" s="133"/>
      <c r="L161" s="133"/>
      <c r="M161" s="130"/>
    </row>
    <row r="162" spans="2:13" x14ac:dyDescent="0.3">
      <c r="B162" s="51"/>
      <c r="C162" s="51"/>
      <c r="D162" s="51"/>
      <c r="E162" s="51"/>
      <c r="F162" s="42" t="str">
        <f t="shared" si="2"/>
        <v/>
      </c>
      <c r="H162" s="83"/>
      <c r="I162" s="86"/>
      <c r="J162" s="133"/>
      <c r="K162" s="133"/>
      <c r="L162" s="133"/>
      <c r="M162" s="130"/>
    </row>
    <row r="163" spans="2:13" x14ac:dyDescent="0.3">
      <c r="B163" s="51"/>
      <c r="C163" s="51"/>
      <c r="D163" s="51"/>
      <c r="E163" s="51"/>
      <c r="F163" s="42" t="str">
        <f t="shared" si="2"/>
        <v/>
      </c>
      <c r="H163" s="83"/>
      <c r="I163" s="86"/>
      <c r="J163" s="133"/>
      <c r="K163" s="133"/>
      <c r="L163" s="133"/>
      <c r="M163" s="130"/>
    </row>
    <row r="164" spans="2:13" x14ac:dyDescent="0.3">
      <c r="B164" s="51"/>
      <c r="C164" s="51"/>
      <c r="D164" s="51"/>
      <c r="E164" s="51"/>
      <c r="F164" s="42" t="str">
        <f t="shared" si="2"/>
        <v/>
      </c>
      <c r="H164" s="83"/>
      <c r="I164" s="86"/>
      <c r="J164" s="133"/>
      <c r="K164" s="133"/>
      <c r="L164" s="133"/>
      <c r="M164" s="130"/>
    </row>
    <row r="165" spans="2:13" x14ac:dyDescent="0.3">
      <c r="B165" s="51"/>
      <c r="C165" s="51"/>
      <c r="D165" s="51"/>
      <c r="E165" s="51"/>
      <c r="F165" s="42" t="str">
        <f t="shared" si="2"/>
        <v/>
      </c>
      <c r="H165" s="83"/>
      <c r="I165" s="86"/>
      <c r="J165" s="133"/>
      <c r="K165" s="133"/>
      <c r="L165" s="133"/>
      <c r="M165" s="130"/>
    </row>
    <row r="166" spans="2:13" x14ac:dyDescent="0.3">
      <c r="B166" s="51"/>
      <c r="C166" s="51"/>
      <c r="D166" s="51"/>
      <c r="E166" s="51"/>
      <c r="F166" s="42" t="str">
        <f t="shared" si="2"/>
        <v/>
      </c>
      <c r="H166" s="83"/>
      <c r="I166" s="86"/>
      <c r="J166" s="133"/>
      <c r="K166" s="133"/>
      <c r="L166" s="133"/>
      <c r="M166" s="130"/>
    </row>
    <row r="167" spans="2:13" x14ac:dyDescent="0.3">
      <c r="B167" s="51"/>
      <c r="C167" s="51"/>
      <c r="D167" s="51"/>
      <c r="E167" s="51"/>
      <c r="F167" s="42" t="str">
        <f t="shared" si="2"/>
        <v/>
      </c>
      <c r="H167" s="83"/>
      <c r="I167" s="86"/>
      <c r="J167" s="133"/>
      <c r="K167" s="133"/>
      <c r="L167" s="133"/>
      <c r="M167" s="130"/>
    </row>
    <row r="168" spans="2:13" x14ac:dyDescent="0.3">
      <c r="B168" s="51"/>
      <c r="C168" s="51"/>
      <c r="D168" s="51"/>
      <c r="E168" s="51"/>
      <c r="F168" s="42" t="str">
        <f t="shared" si="2"/>
        <v/>
      </c>
      <c r="H168" s="83"/>
      <c r="I168" s="86"/>
      <c r="J168" s="133"/>
      <c r="K168" s="133"/>
      <c r="L168" s="133"/>
      <c r="M168" s="130"/>
    </row>
    <row r="169" spans="2:13" x14ac:dyDescent="0.3">
      <c r="B169" s="51"/>
      <c r="C169" s="51"/>
      <c r="D169" s="51"/>
      <c r="E169" s="51"/>
      <c r="F169" s="42" t="str">
        <f t="shared" si="2"/>
        <v/>
      </c>
      <c r="H169" s="83"/>
      <c r="I169" s="86"/>
      <c r="J169" s="133"/>
      <c r="K169" s="133"/>
      <c r="L169" s="133"/>
      <c r="M169" s="130"/>
    </row>
    <row r="170" spans="2:13" x14ac:dyDescent="0.3">
      <c r="B170" s="51"/>
      <c r="C170" s="51"/>
      <c r="D170" s="51"/>
      <c r="E170" s="51"/>
      <c r="F170" s="42" t="str">
        <f t="shared" si="2"/>
        <v/>
      </c>
      <c r="H170" s="83"/>
      <c r="I170" s="86"/>
      <c r="J170" s="133"/>
      <c r="K170" s="133"/>
      <c r="L170" s="133"/>
      <c r="M170" s="130"/>
    </row>
    <row r="171" spans="2:13" x14ac:dyDescent="0.3">
      <c r="B171" s="51"/>
      <c r="C171" s="51"/>
      <c r="D171" s="51"/>
      <c r="E171" s="51"/>
      <c r="F171" s="42" t="str">
        <f t="shared" si="2"/>
        <v/>
      </c>
      <c r="H171" s="83"/>
      <c r="I171" s="86"/>
      <c r="J171" s="133"/>
      <c r="K171" s="133"/>
      <c r="L171" s="133"/>
      <c r="M171" s="130"/>
    </row>
    <row r="172" spans="2:13" x14ac:dyDescent="0.3">
      <c r="B172" s="51"/>
      <c r="C172" s="51"/>
      <c r="D172" s="51"/>
      <c r="E172" s="51"/>
      <c r="F172" s="42" t="str">
        <f t="shared" si="2"/>
        <v/>
      </c>
      <c r="H172" s="83"/>
      <c r="I172" s="86"/>
      <c r="J172" s="133"/>
      <c r="K172" s="133"/>
      <c r="L172" s="133"/>
      <c r="M172" s="130"/>
    </row>
    <row r="173" spans="2:13" x14ac:dyDescent="0.3">
      <c r="B173" s="51"/>
      <c r="C173" s="51"/>
      <c r="D173" s="51"/>
      <c r="E173" s="51"/>
      <c r="F173" s="42" t="str">
        <f t="shared" si="2"/>
        <v/>
      </c>
      <c r="H173" s="83"/>
      <c r="I173" s="86"/>
      <c r="J173" s="133"/>
      <c r="K173" s="133"/>
      <c r="L173" s="133"/>
      <c r="M173" s="130"/>
    </row>
    <row r="174" spans="2:13" x14ac:dyDescent="0.3">
      <c r="B174" s="51"/>
      <c r="C174" s="51"/>
      <c r="D174" s="51"/>
      <c r="E174" s="51"/>
      <c r="F174" s="42" t="str">
        <f t="shared" si="2"/>
        <v/>
      </c>
      <c r="H174" s="83"/>
      <c r="I174" s="86"/>
      <c r="J174" s="133"/>
      <c r="K174" s="133"/>
      <c r="L174" s="133"/>
      <c r="M174" s="130"/>
    </row>
    <row r="175" spans="2:13" x14ac:dyDescent="0.3">
      <c r="B175" s="51"/>
      <c r="C175" s="51"/>
      <c r="D175" s="51"/>
      <c r="E175" s="51"/>
      <c r="F175" s="42" t="str">
        <f t="shared" si="2"/>
        <v/>
      </c>
      <c r="H175" s="83"/>
      <c r="I175" s="86"/>
      <c r="J175" s="133"/>
      <c r="K175" s="133"/>
      <c r="L175" s="133"/>
      <c r="M175" s="130"/>
    </row>
    <row r="176" spans="2:13" x14ac:dyDescent="0.3">
      <c r="B176" s="51"/>
      <c r="C176" s="51"/>
      <c r="D176" s="51"/>
      <c r="E176" s="51"/>
      <c r="F176" s="42" t="str">
        <f t="shared" si="2"/>
        <v/>
      </c>
      <c r="H176" s="83"/>
      <c r="I176" s="86"/>
      <c r="J176" s="133"/>
      <c r="K176" s="133"/>
      <c r="L176" s="133"/>
      <c r="M176" s="130"/>
    </row>
    <row r="177" spans="2:13" x14ac:dyDescent="0.3">
      <c r="B177" s="51"/>
      <c r="C177" s="51"/>
      <c r="D177" s="51"/>
      <c r="E177" s="51"/>
      <c r="F177" s="42" t="str">
        <f t="shared" si="2"/>
        <v/>
      </c>
      <c r="H177" s="83"/>
      <c r="I177" s="86"/>
      <c r="J177" s="133"/>
      <c r="K177" s="133"/>
      <c r="L177" s="133"/>
      <c r="M177" s="130"/>
    </row>
    <row r="178" spans="2:13" x14ac:dyDescent="0.3">
      <c r="B178" s="51"/>
      <c r="C178" s="51"/>
      <c r="D178" s="51"/>
      <c r="E178" s="51"/>
      <c r="F178" s="42" t="str">
        <f t="shared" si="2"/>
        <v/>
      </c>
      <c r="H178" s="83"/>
      <c r="I178" s="86"/>
      <c r="J178" s="133"/>
      <c r="K178" s="133"/>
      <c r="L178" s="133"/>
      <c r="M178" s="130"/>
    </row>
    <row r="179" spans="2:13" x14ac:dyDescent="0.3">
      <c r="B179" s="51"/>
      <c r="C179" s="51"/>
      <c r="D179" s="51"/>
      <c r="E179" s="51"/>
      <c r="F179" s="42" t="str">
        <f t="shared" si="2"/>
        <v/>
      </c>
      <c r="H179" s="83"/>
      <c r="I179" s="86"/>
      <c r="J179" s="133"/>
      <c r="K179" s="133"/>
      <c r="L179" s="133"/>
      <c r="M179" s="130"/>
    </row>
    <row r="180" spans="2:13" x14ac:dyDescent="0.3">
      <c r="B180" s="51"/>
      <c r="C180" s="51"/>
      <c r="D180" s="51"/>
      <c r="E180" s="51"/>
      <c r="F180" s="42" t="str">
        <f t="shared" si="2"/>
        <v/>
      </c>
      <c r="H180" s="83"/>
      <c r="I180" s="86"/>
      <c r="J180" s="133"/>
      <c r="K180" s="133"/>
      <c r="L180" s="133"/>
      <c r="M180" s="130"/>
    </row>
    <row r="181" spans="2:13" x14ac:dyDescent="0.3">
      <c r="B181" s="51"/>
      <c r="C181" s="51"/>
      <c r="D181" s="51"/>
      <c r="E181" s="51"/>
      <c r="F181" s="42" t="str">
        <f t="shared" si="2"/>
        <v/>
      </c>
      <c r="H181" s="83"/>
      <c r="I181" s="86"/>
      <c r="J181" s="133"/>
      <c r="K181" s="133"/>
      <c r="L181" s="133"/>
      <c r="M181" s="130"/>
    </row>
    <row r="182" spans="2:13" x14ac:dyDescent="0.3">
      <c r="B182" s="51"/>
      <c r="C182" s="51"/>
      <c r="D182" s="51"/>
      <c r="E182" s="51"/>
      <c r="F182" s="42" t="str">
        <f t="shared" si="2"/>
        <v/>
      </c>
      <c r="H182" s="83"/>
      <c r="I182" s="86"/>
      <c r="J182" s="133"/>
      <c r="K182" s="133"/>
      <c r="L182" s="133"/>
      <c r="M182" s="130"/>
    </row>
    <row r="183" spans="2:13" x14ac:dyDescent="0.3">
      <c r="B183" s="51"/>
      <c r="C183" s="51"/>
      <c r="D183" s="51"/>
      <c r="E183" s="51"/>
      <c r="F183" s="42" t="str">
        <f t="shared" si="2"/>
        <v/>
      </c>
      <c r="H183" s="83"/>
      <c r="I183" s="86"/>
      <c r="J183" s="133"/>
      <c r="K183" s="133"/>
      <c r="L183" s="133"/>
      <c r="M183" s="130"/>
    </row>
    <row r="184" spans="2:13" x14ac:dyDescent="0.3">
      <c r="B184" s="51"/>
      <c r="C184" s="51"/>
      <c r="D184" s="51"/>
      <c r="E184" s="51"/>
      <c r="F184" s="42" t="str">
        <f t="shared" si="2"/>
        <v/>
      </c>
      <c r="H184" s="83"/>
      <c r="I184" s="86"/>
      <c r="J184" s="133"/>
      <c r="K184" s="133"/>
      <c r="L184" s="133"/>
      <c r="M184" s="130"/>
    </row>
    <row r="185" spans="2:13" x14ac:dyDescent="0.3">
      <c r="B185" s="51"/>
      <c r="C185" s="51"/>
      <c r="D185" s="51"/>
      <c r="E185" s="51"/>
      <c r="F185" s="42" t="str">
        <f t="shared" si="2"/>
        <v/>
      </c>
      <c r="H185" s="83"/>
      <c r="I185" s="86"/>
      <c r="J185" s="133"/>
      <c r="K185" s="133"/>
      <c r="L185" s="133"/>
      <c r="M185" s="130"/>
    </row>
    <row r="186" spans="2:13" x14ac:dyDescent="0.3">
      <c r="B186" s="51"/>
      <c r="C186" s="51"/>
      <c r="D186" s="51"/>
      <c r="E186" s="51"/>
      <c r="F186" s="42" t="str">
        <f t="shared" si="2"/>
        <v/>
      </c>
      <c r="H186" s="83"/>
      <c r="I186" s="86"/>
      <c r="J186" s="133"/>
      <c r="K186" s="133"/>
      <c r="L186" s="133"/>
      <c r="M186" s="130"/>
    </row>
    <row r="187" spans="2:13" x14ac:dyDescent="0.3">
      <c r="B187" s="51"/>
      <c r="C187" s="51"/>
      <c r="D187" s="51"/>
      <c r="E187" s="51"/>
      <c r="F187" s="42" t="str">
        <f t="shared" si="2"/>
        <v/>
      </c>
      <c r="H187" s="83"/>
      <c r="I187" s="86"/>
      <c r="J187" s="133"/>
      <c r="K187" s="133"/>
      <c r="L187" s="133"/>
      <c r="M187" s="130"/>
    </row>
    <row r="188" spans="2:13" x14ac:dyDescent="0.3">
      <c r="B188" s="51"/>
      <c r="C188" s="51"/>
      <c r="D188" s="51"/>
      <c r="E188" s="51"/>
      <c r="F188" s="42" t="str">
        <f t="shared" si="2"/>
        <v/>
      </c>
      <c r="H188" s="83"/>
      <c r="I188" s="86"/>
      <c r="J188" s="133"/>
      <c r="K188" s="133"/>
      <c r="L188" s="133"/>
      <c r="M188" s="130"/>
    </row>
    <row r="189" spans="2:13" x14ac:dyDescent="0.3">
      <c r="B189" s="51"/>
      <c r="C189" s="51"/>
      <c r="D189" s="51"/>
      <c r="E189" s="51"/>
      <c r="F189" s="42" t="str">
        <f t="shared" si="2"/>
        <v/>
      </c>
      <c r="H189" s="83"/>
      <c r="I189" s="86"/>
      <c r="J189" s="133"/>
      <c r="K189" s="133"/>
      <c r="L189" s="133"/>
      <c r="M189" s="130"/>
    </row>
    <row r="190" spans="2:13" x14ac:dyDescent="0.3">
      <c r="B190" s="51"/>
      <c r="C190" s="51"/>
      <c r="D190" s="51"/>
      <c r="E190" s="51"/>
      <c r="F190" s="42" t="str">
        <f t="shared" si="2"/>
        <v/>
      </c>
      <c r="H190" s="83"/>
      <c r="I190" s="86"/>
      <c r="J190" s="133"/>
      <c r="K190" s="133"/>
      <c r="L190" s="133"/>
      <c r="M190" s="130"/>
    </row>
    <row r="191" spans="2:13" x14ac:dyDescent="0.3">
      <c r="B191" s="51"/>
      <c r="C191" s="51"/>
      <c r="D191" s="51"/>
      <c r="E191" s="51"/>
      <c r="F191" s="42" t="str">
        <f t="shared" si="2"/>
        <v/>
      </c>
      <c r="H191" s="83"/>
      <c r="I191" s="86"/>
      <c r="J191" s="133"/>
      <c r="K191" s="133"/>
      <c r="L191" s="133"/>
      <c r="M191" s="130"/>
    </row>
    <row r="192" spans="2:13" x14ac:dyDescent="0.3">
      <c r="B192" s="51"/>
      <c r="C192" s="51"/>
      <c r="D192" s="51"/>
      <c r="E192" s="51"/>
      <c r="F192" s="42" t="str">
        <f t="shared" si="2"/>
        <v/>
      </c>
      <c r="H192" s="83"/>
      <c r="I192" s="86"/>
      <c r="J192" s="133"/>
      <c r="K192" s="133"/>
      <c r="L192" s="133"/>
      <c r="M192" s="130"/>
    </row>
    <row r="193" spans="2:13" x14ac:dyDescent="0.3">
      <c r="B193" s="51"/>
      <c r="C193" s="51"/>
      <c r="D193" s="51"/>
      <c r="E193" s="51"/>
      <c r="F193" s="42" t="str">
        <f t="shared" si="2"/>
        <v/>
      </c>
      <c r="H193" s="83"/>
      <c r="I193" s="86"/>
      <c r="J193" s="133"/>
      <c r="K193" s="133"/>
      <c r="L193" s="133"/>
      <c r="M193" s="130"/>
    </row>
    <row r="194" spans="2:13" x14ac:dyDescent="0.3">
      <c r="B194" s="51"/>
      <c r="C194" s="51"/>
      <c r="D194" s="51"/>
      <c r="E194" s="51"/>
      <c r="F194" s="42" t="str">
        <f t="shared" si="2"/>
        <v/>
      </c>
      <c r="H194" s="83"/>
      <c r="I194" s="86"/>
      <c r="J194" s="133"/>
      <c r="K194" s="133"/>
      <c r="L194" s="133"/>
      <c r="M194" s="130"/>
    </row>
    <row r="195" spans="2:13" x14ac:dyDescent="0.3">
      <c r="B195" s="51"/>
      <c r="C195" s="51"/>
      <c r="D195" s="51"/>
      <c r="E195" s="51"/>
      <c r="F195" s="42" t="str">
        <f t="shared" si="2"/>
        <v/>
      </c>
      <c r="H195" s="83"/>
      <c r="I195" s="86"/>
      <c r="J195" s="133"/>
      <c r="K195" s="133"/>
      <c r="L195" s="133"/>
      <c r="M195" s="130"/>
    </row>
    <row r="196" spans="2:13" x14ac:dyDescent="0.3">
      <c r="B196" s="51"/>
      <c r="C196" s="51"/>
      <c r="D196" s="51"/>
      <c r="E196" s="51"/>
      <c r="F196" s="42" t="str">
        <f t="shared" si="2"/>
        <v/>
      </c>
      <c r="H196" s="83"/>
      <c r="I196" s="86"/>
      <c r="J196" s="133"/>
      <c r="K196" s="133"/>
      <c r="L196" s="133"/>
      <c r="M196" s="130"/>
    </row>
    <row r="197" spans="2:13" x14ac:dyDescent="0.3">
      <c r="B197" s="51"/>
      <c r="C197" s="51"/>
      <c r="D197" s="51"/>
      <c r="E197" s="51"/>
      <c r="F197" s="42" t="str">
        <f t="shared" si="2"/>
        <v/>
      </c>
      <c r="H197" s="83"/>
      <c r="I197" s="86"/>
      <c r="J197" s="133"/>
      <c r="K197" s="133"/>
      <c r="L197" s="133"/>
      <c r="M197" s="130"/>
    </row>
    <row r="198" spans="2:13" x14ac:dyDescent="0.3">
      <c r="B198" s="51"/>
      <c r="C198" s="51"/>
      <c r="D198" s="51"/>
      <c r="E198" s="51"/>
      <c r="F198" s="42" t="str">
        <f t="shared" si="2"/>
        <v/>
      </c>
      <c r="H198" s="83"/>
      <c r="I198" s="86"/>
      <c r="J198" s="133"/>
      <c r="K198" s="133"/>
      <c r="L198" s="133"/>
      <c r="M198" s="130"/>
    </row>
    <row r="199" spans="2:13" x14ac:dyDescent="0.3">
      <c r="B199" s="51"/>
      <c r="C199" s="51"/>
      <c r="D199" s="51"/>
      <c r="E199" s="51"/>
      <c r="F199" s="42" t="str">
        <f t="shared" si="2"/>
        <v/>
      </c>
      <c r="H199" s="83"/>
      <c r="I199" s="86"/>
      <c r="J199" s="133"/>
      <c r="K199" s="133"/>
      <c r="L199" s="133"/>
      <c r="M199" s="130"/>
    </row>
    <row r="200" spans="2:13" x14ac:dyDescent="0.3">
      <c r="B200" s="51"/>
      <c r="C200" s="51"/>
      <c r="D200" s="51"/>
      <c r="E200" s="51"/>
      <c r="F200" s="42" t="str">
        <f t="shared" si="2"/>
        <v/>
      </c>
      <c r="H200" s="83"/>
      <c r="I200" s="86"/>
      <c r="J200" s="133"/>
      <c r="K200" s="133"/>
      <c r="L200" s="133"/>
      <c r="M200" s="130"/>
    </row>
    <row r="201" spans="2:13" x14ac:dyDescent="0.3">
      <c r="B201" s="51"/>
      <c r="C201" s="51"/>
      <c r="D201" s="51"/>
      <c r="E201" s="51"/>
      <c r="F201" s="42" t="str">
        <f t="shared" si="2"/>
        <v/>
      </c>
      <c r="H201" s="83"/>
      <c r="I201" s="86"/>
      <c r="J201" s="133"/>
      <c r="K201" s="133"/>
      <c r="L201" s="133"/>
      <c r="M201" s="130"/>
    </row>
    <row r="202" spans="2:13" x14ac:dyDescent="0.3">
      <c r="B202" s="51"/>
      <c r="C202" s="51"/>
      <c r="D202" s="51"/>
      <c r="E202" s="51"/>
      <c r="F202" s="42" t="str">
        <f t="shared" si="2"/>
        <v/>
      </c>
      <c r="H202" s="83"/>
      <c r="I202" s="86"/>
      <c r="J202" s="133"/>
      <c r="K202" s="133"/>
      <c r="L202" s="133"/>
      <c r="M202" s="130"/>
    </row>
    <row r="203" spans="2:13" x14ac:dyDescent="0.3">
      <c r="B203" s="51"/>
      <c r="C203" s="51"/>
      <c r="D203" s="51"/>
      <c r="E203" s="51"/>
      <c r="F203" s="42" t="str">
        <f t="shared" si="2"/>
        <v/>
      </c>
      <c r="H203" s="83"/>
      <c r="I203" s="86"/>
      <c r="J203" s="133"/>
      <c r="K203" s="133"/>
      <c r="L203" s="133"/>
      <c r="M203" s="130"/>
    </row>
    <row r="204" spans="2:13" x14ac:dyDescent="0.3">
      <c r="B204" s="51"/>
      <c r="C204" s="51"/>
      <c r="D204" s="51"/>
      <c r="E204" s="51"/>
      <c r="F204" s="42" t="str">
        <f t="shared" si="2"/>
        <v/>
      </c>
      <c r="H204" s="83"/>
      <c r="I204" s="86"/>
      <c r="J204" s="133"/>
      <c r="K204" s="133"/>
      <c r="L204" s="133"/>
      <c r="M204" s="130"/>
    </row>
    <row r="205" spans="2:13" x14ac:dyDescent="0.3">
      <c r="B205" s="51"/>
      <c r="C205" s="51"/>
      <c r="D205" s="51"/>
      <c r="E205" s="51"/>
      <c r="F205" s="42" t="str">
        <f t="shared" si="2"/>
        <v/>
      </c>
      <c r="H205" s="83"/>
      <c r="I205" s="86"/>
      <c r="J205" s="133"/>
      <c r="K205" s="133"/>
      <c r="L205" s="133"/>
      <c r="M205" s="130"/>
    </row>
    <row r="206" spans="2:13" x14ac:dyDescent="0.3">
      <c r="B206" s="51"/>
      <c r="C206" s="51"/>
      <c r="D206" s="51"/>
      <c r="E206" s="51"/>
      <c r="F206" s="42" t="str">
        <f t="shared" si="2"/>
        <v/>
      </c>
      <c r="H206" s="83"/>
      <c r="I206" s="86"/>
      <c r="J206" s="133"/>
      <c r="K206" s="133"/>
      <c r="L206" s="133"/>
      <c r="M206" s="130"/>
    </row>
    <row r="207" spans="2:13" x14ac:dyDescent="0.3">
      <c r="B207" s="51"/>
      <c r="C207" s="51"/>
      <c r="D207" s="51"/>
      <c r="E207" s="51"/>
      <c r="F207" s="42" t="str">
        <f t="shared" si="2"/>
        <v/>
      </c>
      <c r="H207" s="83"/>
      <c r="I207" s="86"/>
      <c r="J207" s="133"/>
      <c r="K207" s="133"/>
      <c r="L207" s="133"/>
      <c r="M207" s="130"/>
    </row>
    <row r="208" spans="2:13" x14ac:dyDescent="0.3">
      <c r="B208" s="51"/>
      <c r="C208" s="51"/>
      <c r="D208" s="51"/>
      <c r="E208" s="51"/>
      <c r="F208" s="42" t="str">
        <f t="shared" si="2"/>
        <v/>
      </c>
      <c r="H208" s="83"/>
      <c r="I208" s="86"/>
      <c r="J208" s="133"/>
      <c r="K208" s="133"/>
      <c r="L208" s="133"/>
      <c r="M208" s="130"/>
    </row>
    <row r="209" spans="2:13" x14ac:dyDescent="0.3">
      <c r="B209" s="51"/>
      <c r="C209" s="51"/>
      <c r="D209" s="51"/>
      <c r="E209" s="51"/>
      <c r="F209" s="42" t="str">
        <f t="shared" si="2"/>
        <v/>
      </c>
      <c r="H209" s="83"/>
      <c r="I209" s="86"/>
      <c r="J209" s="133"/>
      <c r="K209" s="133"/>
      <c r="L209" s="133"/>
      <c r="M209" s="130"/>
    </row>
    <row r="210" spans="2:13" x14ac:dyDescent="0.3">
      <c r="B210" s="51"/>
      <c r="C210" s="51"/>
      <c r="D210" s="51"/>
      <c r="E210" s="51"/>
      <c r="F210" s="42" t="str">
        <f t="shared" si="2"/>
        <v/>
      </c>
      <c r="H210" s="83"/>
      <c r="I210" s="86"/>
      <c r="J210" s="133"/>
      <c r="K210" s="133"/>
      <c r="L210" s="133"/>
      <c r="M210" s="130"/>
    </row>
    <row r="211" spans="2:13" x14ac:dyDescent="0.3">
      <c r="B211" s="51"/>
      <c r="C211" s="51"/>
      <c r="D211" s="51"/>
      <c r="E211" s="51"/>
      <c r="F211" s="42" t="str">
        <f t="shared" si="2"/>
        <v/>
      </c>
      <c r="H211" s="83"/>
      <c r="I211" s="86"/>
      <c r="J211" s="133"/>
      <c r="K211" s="133"/>
      <c r="L211" s="133"/>
      <c r="M211" s="130"/>
    </row>
    <row r="212" spans="2:13" x14ac:dyDescent="0.3">
      <c r="B212" s="51"/>
      <c r="C212" s="51"/>
      <c r="D212" s="51"/>
      <c r="E212" s="51"/>
      <c r="F212" s="42" t="str">
        <f t="shared" si="2"/>
        <v/>
      </c>
      <c r="H212" s="83"/>
      <c r="I212" s="86"/>
      <c r="J212" s="133"/>
      <c r="K212" s="133"/>
      <c r="L212" s="133"/>
      <c r="M212" s="130"/>
    </row>
    <row r="213" spans="2:13" x14ac:dyDescent="0.3">
      <c r="B213" s="51"/>
      <c r="C213" s="51"/>
      <c r="D213" s="51"/>
      <c r="E213" s="51"/>
      <c r="F213" s="42" t="str">
        <f t="shared" si="2"/>
        <v/>
      </c>
      <c r="H213" s="83"/>
      <c r="I213" s="86"/>
      <c r="J213" s="133"/>
      <c r="K213" s="133"/>
      <c r="L213" s="133"/>
      <c r="M213" s="130"/>
    </row>
    <row r="214" spans="2:13" x14ac:dyDescent="0.3">
      <c r="B214" s="51"/>
      <c r="C214" s="51"/>
      <c r="D214" s="51"/>
      <c r="E214" s="51"/>
      <c r="F214" s="42" t="str">
        <f t="shared" si="2"/>
        <v/>
      </c>
      <c r="H214" s="83"/>
      <c r="I214" s="86"/>
      <c r="J214" s="133"/>
      <c r="K214" s="133"/>
      <c r="L214" s="133"/>
      <c r="M214" s="130"/>
    </row>
    <row r="215" spans="2:13" x14ac:dyDescent="0.3">
      <c r="B215" s="51"/>
      <c r="C215" s="51"/>
      <c r="D215" s="51"/>
      <c r="E215" s="51"/>
      <c r="F215" s="42" t="str">
        <f t="shared" si="2"/>
        <v/>
      </c>
      <c r="H215" s="83"/>
      <c r="I215" s="86"/>
      <c r="J215" s="133"/>
      <c r="K215" s="133"/>
      <c r="L215" s="133"/>
      <c r="M215" s="130"/>
    </row>
    <row r="216" spans="2:13" x14ac:dyDescent="0.3">
      <c r="B216" s="51"/>
      <c r="C216" s="51"/>
      <c r="D216" s="51"/>
      <c r="E216" s="51"/>
      <c r="F216" s="42" t="str">
        <f t="shared" ref="F216:F279" si="3">IF(C216="","",CONCATENATE(B216," ",C216," ",D216," ",E216))</f>
        <v/>
      </c>
      <c r="H216" s="83"/>
      <c r="I216" s="86"/>
      <c r="J216" s="133"/>
      <c r="K216" s="133"/>
      <c r="L216" s="133"/>
      <c r="M216" s="130"/>
    </row>
    <row r="217" spans="2:13" x14ac:dyDescent="0.3">
      <c r="B217" s="51"/>
      <c r="C217" s="51"/>
      <c r="D217" s="51"/>
      <c r="E217" s="51"/>
      <c r="F217" s="42" t="str">
        <f t="shared" si="3"/>
        <v/>
      </c>
      <c r="H217" s="83"/>
      <c r="I217" s="86"/>
      <c r="J217" s="133"/>
      <c r="K217" s="133"/>
      <c r="L217" s="133"/>
      <c r="M217" s="130"/>
    </row>
    <row r="218" spans="2:13" x14ac:dyDescent="0.3">
      <c r="B218" s="51"/>
      <c r="C218" s="51"/>
      <c r="D218" s="51"/>
      <c r="E218" s="51"/>
      <c r="F218" s="42" t="str">
        <f t="shared" si="3"/>
        <v/>
      </c>
      <c r="H218" s="83"/>
      <c r="I218" s="86"/>
      <c r="J218" s="133"/>
      <c r="K218" s="133"/>
      <c r="L218" s="133"/>
      <c r="M218" s="130"/>
    </row>
    <row r="219" spans="2:13" x14ac:dyDescent="0.3">
      <c r="B219" s="51"/>
      <c r="C219" s="51"/>
      <c r="D219" s="51"/>
      <c r="E219" s="51"/>
      <c r="F219" s="42" t="str">
        <f t="shared" si="3"/>
        <v/>
      </c>
      <c r="H219" s="83"/>
      <c r="I219" s="86"/>
      <c r="J219" s="133"/>
      <c r="K219" s="133"/>
      <c r="L219" s="133"/>
      <c r="M219" s="130"/>
    </row>
    <row r="220" spans="2:13" x14ac:dyDescent="0.3">
      <c r="B220" s="51"/>
      <c r="C220" s="51"/>
      <c r="D220" s="51"/>
      <c r="E220" s="51"/>
      <c r="F220" s="42" t="str">
        <f t="shared" si="3"/>
        <v/>
      </c>
      <c r="H220" s="83"/>
      <c r="I220" s="86"/>
      <c r="J220" s="133"/>
      <c r="K220" s="133"/>
      <c r="L220" s="133"/>
      <c r="M220" s="130"/>
    </row>
    <row r="221" spans="2:13" x14ac:dyDescent="0.3">
      <c r="B221" s="51"/>
      <c r="C221" s="51"/>
      <c r="D221" s="51"/>
      <c r="E221" s="51"/>
      <c r="F221" s="42" t="str">
        <f t="shared" si="3"/>
        <v/>
      </c>
      <c r="H221" s="83"/>
      <c r="I221" s="86"/>
      <c r="J221" s="133"/>
      <c r="K221" s="133"/>
      <c r="L221" s="133"/>
      <c r="M221" s="130"/>
    </row>
    <row r="222" spans="2:13" x14ac:dyDescent="0.3">
      <c r="B222" s="51"/>
      <c r="C222" s="51"/>
      <c r="D222" s="51"/>
      <c r="E222" s="51"/>
      <c r="F222" s="42" t="str">
        <f t="shared" si="3"/>
        <v/>
      </c>
      <c r="H222" s="83"/>
      <c r="I222" s="86"/>
      <c r="J222" s="133"/>
      <c r="K222" s="133"/>
      <c r="L222" s="133"/>
      <c r="M222" s="130"/>
    </row>
    <row r="223" spans="2:13" x14ac:dyDescent="0.3">
      <c r="B223" s="51"/>
      <c r="C223" s="51"/>
      <c r="D223" s="51"/>
      <c r="E223" s="51"/>
      <c r="F223" s="42" t="str">
        <f t="shared" si="3"/>
        <v/>
      </c>
      <c r="H223" s="83"/>
      <c r="I223" s="86"/>
      <c r="J223" s="133"/>
      <c r="K223" s="133"/>
      <c r="L223" s="133"/>
      <c r="M223" s="130"/>
    </row>
    <row r="224" spans="2:13" x14ac:dyDescent="0.3">
      <c r="B224" s="51"/>
      <c r="C224" s="51"/>
      <c r="D224" s="51"/>
      <c r="E224" s="51"/>
      <c r="F224" s="42" t="str">
        <f t="shared" si="3"/>
        <v/>
      </c>
      <c r="H224" s="83"/>
      <c r="I224" s="86"/>
      <c r="J224" s="133"/>
      <c r="K224" s="133"/>
      <c r="L224" s="133"/>
      <c r="M224" s="130"/>
    </row>
    <row r="225" spans="2:13" x14ac:dyDescent="0.3">
      <c r="B225" s="51"/>
      <c r="C225" s="51"/>
      <c r="D225" s="51"/>
      <c r="E225" s="51"/>
      <c r="F225" s="42" t="str">
        <f t="shared" si="3"/>
        <v/>
      </c>
      <c r="H225" s="83"/>
      <c r="I225" s="86"/>
      <c r="J225" s="133"/>
      <c r="K225" s="133"/>
      <c r="L225" s="133"/>
      <c r="M225" s="130"/>
    </row>
    <row r="226" spans="2:13" x14ac:dyDescent="0.3">
      <c r="B226" s="51"/>
      <c r="C226" s="51"/>
      <c r="D226" s="51"/>
      <c r="E226" s="51"/>
      <c r="F226" s="42" t="str">
        <f t="shared" si="3"/>
        <v/>
      </c>
      <c r="H226" s="83"/>
      <c r="I226" s="86"/>
      <c r="J226" s="133"/>
      <c r="K226" s="133"/>
      <c r="L226" s="133"/>
      <c r="M226" s="130"/>
    </row>
    <row r="227" spans="2:13" x14ac:dyDescent="0.3">
      <c r="B227" s="51"/>
      <c r="C227" s="51"/>
      <c r="D227" s="51"/>
      <c r="E227" s="51"/>
      <c r="F227" s="42" t="str">
        <f t="shared" si="3"/>
        <v/>
      </c>
      <c r="H227" s="83"/>
      <c r="I227" s="86"/>
      <c r="J227" s="133"/>
      <c r="K227" s="133"/>
      <c r="L227" s="133"/>
      <c r="M227" s="130"/>
    </row>
    <row r="228" spans="2:13" x14ac:dyDescent="0.3">
      <c r="B228" s="51"/>
      <c r="C228" s="51"/>
      <c r="D228" s="51"/>
      <c r="E228" s="51"/>
      <c r="F228" s="42" t="str">
        <f t="shared" si="3"/>
        <v/>
      </c>
      <c r="H228" s="83"/>
      <c r="I228" s="86"/>
      <c r="J228" s="133"/>
      <c r="K228" s="133"/>
      <c r="L228" s="133"/>
      <c r="M228" s="130"/>
    </row>
    <row r="229" spans="2:13" x14ac:dyDescent="0.3">
      <c r="B229" s="51"/>
      <c r="C229" s="51"/>
      <c r="D229" s="51"/>
      <c r="E229" s="51"/>
      <c r="F229" s="42" t="str">
        <f t="shared" si="3"/>
        <v/>
      </c>
      <c r="H229" s="83"/>
      <c r="I229" s="86"/>
      <c r="J229" s="133"/>
      <c r="K229" s="133"/>
      <c r="L229" s="133"/>
      <c r="M229" s="130"/>
    </row>
    <row r="230" spans="2:13" x14ac:dyDescent="0.3">
      <c r="B230" s="51"/>
      <c r="C230" s="51"/>
      <c r="D230" s="51"/>
      <c r="E230" s="51"/>
      <c r="F230" s="42" t="str">
        <f t="shared" si="3"/>
        <v/>
      </c>
      <c r="H230" s="83"/>
      <c r="I230" s="86"/>
      <c r="J230" s="133"/>
      <c r="K230" s="133"/>
      <c r="L230" s="133"/>
      <c r="M230" s="130"/>
    </row>
    <row r="231" spans="2:13" x14ac:dyDescent="0.3">
      <c r="B231" s="51"/>
      <c r="C231" s="51"/>
      <c r="D231" s="51"/>
      <c r="E231" s="51"/>
      <c r="F231" s="42" t="str">
        <f t="shared" si="3"/>
        <v/>
      </c>
      <c r="H231" s="83"/>
      <c r="I231" s="86"/>
      <c r="J231" s="133"/>
      <c r="K231" s="133"/>
      <c r="L231" s="133"/>
      <c r="M231" s="130"/>
    </row>
    <row r="232" spans="2:13" x14ac:dyDescent="0.3">
      <c r="B232" s="51"/>
      <c r="C232" s="51"/>
      <c r="D232" s="51"/>
      <c r="E232" s="51"/>
      <c r="F232" s="42" t="str">
        <f t="shared" si="3"/>
        <v/>
      </c>
      <c r="H232" s="83"/>
      <c r="I232" s="86"/>
      <c r="J232" s="133"/>
      <c r="K232" s="133"/>
      <c r="L232" s="133"/>
      <c r="M232" s="130"/>
    </row>
    <row r="233" spans="2:13" x14ac:dyDescent="0.3">
      <c r="B233" s="51"/>
      <c r="C233" s="51"/>
      <c r="D233" s="51"/>
      <c r="E233" s="51"/>
      <c r="F233" s="42" t="str">
        <f t="shared" si="3"/>
        <v/>
      </c>
      <c r="H233" s="83"/>
      <c r="I233" s="86"/>
      <c r="J233" s="133"/>
      <c r="K233" s="133"/>
      <c r="L233" s="133"/>
      <c r="M233" s="130"/>
    </row>
    <row r="234" spans="2:13" x14ac:dyDescent="0.3">
      <c r="B234" s="51"/>
      <c r="C234" s="51"/>
      <c r="D234" s="51"/>
      <c r="E234" s="51"/>
      <c r="F234" s="42" t="str">
        <f t="shared" si="3"/>
        <v/>
      </c>
      <c r="H234" s="83"/>
      <c r="I234" s="86"/>
      <c r="J234" s="133"/>
      <c r="K234" s="133"/>
      <c r="L234" s="133"/>
      <c r="M234" s="130"/>
    </row>
    <row r="235" spans="2:13" x14ac:dyDescent="0.3">
      <c r="B235" s="51"/>
      <c r="C235" s="51"/>
      <c r="D235" s="51"/>
      <c r="E235" s="51"/>
      <c r="F235" s="42" t="str">
        <f t="shared" si="3"/>
        <v/>
      </c>
      <c r="H235" s="83"/>
      <c r="I235" s="86"/>
      <c r="J235" s="133"/>
      <c r="K235" s="133"/>
      <c r="L235" s="133"/>
      <c r="M235" s="130"/>
    </row>
    <row r="236" spans="2:13" x14ac:dyDescent="0.3">
      <c r="B236" s="51"/>
      <c r="C236" s="51"/>
      <c r="D236" s="51"/>
      <c r="E236" s="51"/>
      <c r="F236" s="42" t="str">
        <f t="shared" si="3"/>
        <v/>
      </c>
      <c r="H236" s="83"/>
      <c r="I236" s="86"/>
      <c r="J236" s="133"/>
      <c r="K236" s="133"/>
      <c r="L236" s="133"/>
      <c r="M236" s="130"/>
    </row>
    <row r="237" spans="2:13" x14ac:dyDescent="0.3">
      <c r="B237" s="51"/>
      <c r="C237" s="51"/>
      <c r="D237" s="51"/>
      <c r="E237" s="51"/>
      <c r="F237" s="42" t="str">
        <f t="shared" si="3"/>
        <v/>
      </c>
      <c r="H237" s="83"/>
      <c r="I237" s="86"/>
      <c r="J237" s="133"/>
      <c r="K237" s="133"/>
      <c r="L237" s="133"/>
      <c r="M237" s="130"/>
    </row>
    <row r="238" spans="2:13" x14ac:dyDescent="0.3">
      <c r="B238" s="51"/>
      <c r="C238" s="51"/>
      <c r="D238" s="51"/>
      <c r="E238" s="51"/>
      <c r="F238" s="42" t="str">
        <f t="shared" si="3"/>
        <v/>
      </c>
      <c r="H238" s="83"/>
      <c r="I238" s="86"/>
      <c r="J238" s="133"/>
      <c r="K238" s="133"/>
      <c r="L238" s="133"/>
      <c r="M238" s="130"/>
    </row>
    <row r="239" spans="2:13" x14ac:dyDescent="0.3">
      <c r="B239" s="51"/>
      <c r="C239" s="51"/>
      <c r="D239" s="51"/>
      <c r="E239" s="51"/>
      <c r="F239" s="42" t="str">
        <f t="shared" si="3"/>
        <v/>
      </c>
      <c r="H239" s="83"/>
      <c r="I239" s="86"/>
      <c r="J239" s="133"/>
      <c r="K239" s="133"/>
      <c r="L239" s="133"/>
      <c r="M239" s="130"/>
    </row>
    <row r="240" spans="2:13" x14ac:dyDescent="0.3">
      <c r="B240" s="51"/>
      <c r="C240" s="51"/>
      <c r="D240" s="51"/>
      <c r="E240" s="51"/>
      <c r="F240" s="42" t="str">
        <f t="shared" si="3"/>
        <v/>
      </c>
      <c r="H240" s="83"/>
      <c r="I240" s="86"/>
      <c r="J240" s="133"/>
      <c r="K240" s="133"/>
      <c r="L240" s="133"/>
      <c r="M240" s="130"/>
    </row>
    <row r="241" spans="2:13" x14ac:dyDescent="0.3">
      <c r="B241" s="51"/>
      <c r="C241" s="51"/>
      <c r="D241" s="51"/>
      <c r="E241" s="51"/>
      <c r="F241" s="42" t="str">
        <f t="shared" si="3"/>
        <v/>
      </c>
      <c r="H241" s="83"/>
      <c r="I241" s="86"/>
      <c r="J241" s="133"/>
      <c r="K241" s="133"/>
      <c r="L241" s="133"/>
      <c r="M241" s="130"/>
    </row>
    <row r="242" spans="2:13" x14ac:dyDescent="0.3">
      <c r="B242" s="51"/>
      <c r="C242" s="51"/>
      <c r="D242" s="51"/>
      <c r="E242" s="51"/>
      <c r="F242" s="42" t="str">
        <f t="shared" si="3"/>
        <v/>
      </c>
      <c r="H242" s="83"/>
      <c r="I242" s="86"/>
      <c r="J242" s="133"/>
      <c r="K242" s="133"/>
      <c r="L242" s="133"/>
      <c r="M242" s="130"/>
    </row>
    <row r="243" spans="2:13" x14ac:dyDescent="0.3">
      <c r="B243" s="51"/>
      <c r="C243" s="51"/>
      <c r="D243" s="51"/>
      <c r="E243" s="51"/>
      <c r="F243" s="42" t="str">
        <f t="shared" si="3"/>
        <v/>
      </c>
      <c r="H243" s="83"/>
      <c r="I243" s="86"/>
      <c r="J243" s="133"/>
      <c r="K243" s="133"/>
      <c r="L243" s="133"/>
      <c r="M243" s="130"/>
    </row>
    <row r="244" spans="2:13" x14ac:dyDescent="0.3">
      <c r="B244" s="51"/>
      <c r="C244" s="51"/>
      <c r="D244" s="51"/>
      <c r="E244" s="51"/>
      <c r="F244" s="42" t="str">
        <f t="shared" si="3"/>
        <v/>
      </c>
      <c r="H244" s="83"/>
      <c r="I244" s="86"/>
      <c r="J244" s="133"/>
      <c r="K244" s="133"/>
      <c r="L244" s="133"/>
      <c r="M244" s="130"/>
    </row>
    <row r="245" spans="2:13" x14ac:dyDescent="0.3">
      <c r="B245" s="51"/>
      <c r="C245" s="51"/>
      <c r="D245" s="51"/>
      <c r="E245" s="51"/>
      <c r="F245" s="42" t="str">
        <f t="shared" si="3"/>
        <v/>
      </c>
      <c r="H245" s="83"/>
      <c r="I245" s="86"/>
      <c r="J245" s="133"/>
      <c r="K245" s="133"/>
      <c r="L245" s="133"/>
      <c r="M245" s="130"/>
    </row>
    <row r="246" spans="2:13" x14ac:dyDescent="0.3">
      <c r="B246" s="51"/>
      <c r="C246" s="51"/>
      <c r="D246" s="51"/>
      <c r="E246" s="51"/>
      <c r="F246" s="42" t="str">
        <f t="shared" si="3"/>
        <v/>
      </c>
      <c r="H246" s="83"/>
      <c r="I246" s="86"/>
      <c r="J246" s="133"/>
      <c r="K246" s="133"/>
      <c r="L246" s="133"/>
      <c r="M246" s="130"/>
    </row>
    <row r="247" spans="2:13" x14ac:dyDescent="0.3">
      <c r="B247" s="51"/>
      <c r="C247" s="51"/>
      <c r="D247" s="51"/>
      <c r="E247" s="51"/>
      <c r="F247" s="42" t="str">
        <f t="shared" si="3"/>
        <v/>
      </c>
      <c r="H247" s="83"/>
      <c r="I247" s="86"/>
      <c r="J247" s="133"/>
      <c r="K247" s="133"/>
      <c r="L247" s="133"/>
      <c r="M247" s="130"/>
    </row>
    <row r="248" spans="2:13" x14ac:dyDescent="0.3">
      <c r="B248" s="51"/>
      <c r="C248" s="51"/>
      <c r="D248" s="51"/>
      <c r="E248" s="51"/>
      <c r="F248" s="42" t="str">
        <f t="shared" si="3"/>
        <v/>
      </c>
      <c r="H248" s="83"/>
      <c r="I248" s="86"/>
      <c r="J248" s="133"/>
      <c r="K248" s="133"/>
      <c r="L248" s="133"/>
      <c r="M248" s="130"/>
    </row>
    <row r="249" spans="2:13" x14ac:dyDescent="0.3">
      <c r="B249" s="51"/>
      <c r="C249" s="51"/>
      <c r="D249" s="51"/>
      <c r="E249" s="51"/>
      <c r="F249" s="42" t="str">
        <f t="shared" si="3"/>
        <v/>
      </c>
      <c r="H249" s="83"/>
      <c r="I249" s="86"/>
      <c r="J249" s="133"/>
      <c r="K249" s="133"/>
      <c r="L249" s="133"/>
      <c r="M249" s="130"/>
    </row>
    <row r="250" spans="2:13" x14ac:dyDescent="0.3">
      <c r="B250" s="51"/>
      <c r="C250" s="51"/>
      <c r="D250" s="51"/>
      <c r="E250" s="51"/>
      <c r="F250" s="42" t="str">
        <f t="shared" si="3"/>
        <v/>
      </c>
      <c r="H250" s="83"/>
      <c r="I250" s="86"/>
      <c r="J250" s="133"/>
      <c r="K250" s="133"/>
      <c r="L250" s="133"/>
      <c r="M250" s="130"/>
    </row>
    <row r="251" spans="2:13" x14ac:dyDescent="0.3">
      <c r="B251" s="51"/>
      <c r="C251" s="51"/>
      <c r="D251" s="51"/>
      <c r="E251" s="51"/>
      <c r="F251" s="42" t="str">
        <f t="shared" si="3"/>
        <v/>
      </c>
      <c r="H251" s="83"/>
      <c r="I251" s="86"/>
      <c r="J251" s="133"/>
      <c r="K251" s="133"/>
      <c r="L251" s="133"/>
      <c r="M251" s="130"/>
    </row>
    <row r="252" spans="2:13" x14ac:dyDescent="0.3">
      <c r="B252" s="51"/>
      <c r="C252" s="51"/>
      <c r="D252" s="51"/>
      <c r="E252" s="51"/>
      <c r="F252" s="42" t="str">
        <f t="shared" si="3"/>
        <v/>
      </c>
      <c r="H252" s="83"/>
      <c r="I252" s="86"/>
      <c r="J252" s="133"/>
      <c r="K252" s="133"/>
      <c r="L252" s="133"/>
      <c r="M252" s="130"/>
    </row>
    <row r="253" spans="2:13" x14ac:dyDescent="0.3">
      <c r="B253" s="51"/>
      <c r="C253" s="51"/>
      <c r="D253" s="51"/>
      <c r="E253" s="51"/>
      <c r="F253" s="42" t="str">
        <f t="shared" si="3"/>
        <v/>
      </c>
      <c r="H253" s="83"/>
      <c r="I253" s="86"/>
      <c r="J253" s="133"/>
      <c r="K253" s="133"/>
      <c r="L253" s="133"/>
      <c r="M253" s="130"/>
    </row>
    <row r="254" spans="2:13" x14ac:dyDescent="0.3">
      <c r="B254" s="51"/>
      <c r="C254" s="51"/>
      <c r="D254" s="51"/>
      <c r="E254" s="51"/>
      <c r="F254" s="42" t="str">
        <f t="shared" si="3"/>
        <v/>
      </c>
      <c r="H254" s="83"/>
      <c r="I254" s="86"/>
      <c r="J254" s="133"/>
      <c r="K254" s="133"/>
      <c r="L254" s="133"/>
      <c r="M254" s="130"/>
    </row>
    <row r="255" spans="2:13" x14ac:dyDescent="0.3">
      <c r="B255" s="51"/>
      <c r="C255" s="51"/>
      <c r="D255" s="51"/>
      <c r="E255" s="51"/>
      <c r="F255" s="42" t="str">
        <f t="shared" si="3"/>
        <v/>
      </c>
      <c r="H255" s="83"/>
      <c r="I255" s="86"/>
      <c r="J255" s="133"/>
      <c r="K255" s="133"/>
      <c r="L255" s="133"/>
      <c r="M255" s="130"/>
    </row>
    <row r="256" spans="2:13" x14ac:dyDescent="0.3">
      <c r="B256" s="51"/>
      <c r="C256" s="51"/>
      <c r="D256" s="51"/>
      <c r="E256" s="51"/>
      <c r="F256" s="42" t="str">
        <f t="shared" si="3"/>
        <v/>
      </c>
      <c r="H256" s="83"/>
      <c r="I256" s="86"/>
      <c r="J256" s="133"/>
      <c r="K256" s="133"/>
      <c r="L256" s="133"/>
      <c r="M256" s="130"/>
    </row>
    <row r="257" spans="2:13" x14ac:dyDescent="0.3">
      <c r="B257" s="51"/>
      <c r="C257" s="51"/>
      <c r="D257" s="51"/>
      <c r="E257" s="51"/>
      <c r="F257" s="42" t="str">
        <f t="shared" si="3"/>
        <v/>
      </c>
      <c r="H257" s="83"/>
      <c r="I257" s="86"/>
      <c r="J257" s="133"/>
      <c r="K257" s="133"/>
      <c r="L257" s="133"/>
      <c r="M257" s="130"/>
    </row>
    <row r="258" spans="2:13" x14ac:dyDescent="0.3">
      <c r="B258" s="51"/>
      <c r="C258" s="51"/>
      <c r="D258" s="51"/>
      <c r="E258" s="51"/>
      <c r="F258" s="42" t="str">
        <f t="shared" si="3"/>
        <v/>
      </c>
      <c r="H258" s="83"/>
      <c r="I258" s="86"/>
      <c r="J258" s="133"/>
      <c r="K258" s="133"/>
      <c r="L258" s="133"/>
      <c r="M258" s="130"/>
    </row>
    <row r="259" spans="2:13" x14ac:dyDescent="0.3">
      <c r="B259" s="51"/>
      <c r="C259" s="51"/>
      <c r="D259" s="51"/>
      <c r="E259" s="51"/>
      <c r="F259" s="42" t="str">
        <f t="shared" si="3"/>
        <v/>
      </c>
      <c r="H259" s="83"/>
      <c r="I259" s="86"/>
      <c r="J259" s="133"/>
      <c r="K259" s="133"/>
      <c r="L259" s="133"/>
      <c r="M259" s="130"/>
    </row>
    <row r="260" spans="2:13" x14ac:dyDescent="0.3">
      <c r="B260" s="51"/>
      <c r="C260" s="51"/>
      <c r="D260" s="51"/>
      <c r="E260" s="51"/>
      <c r="F260" s="42" t="str">
        <f t="shared" si="3"/>
        <v/>
      </c>
      <c r="H260" s="83"/>
      <c r="I260" s="86"/>
      <c r="J260" s="133"/>
      <c r="K260" s="133"/>
      <c r="L260" s="133"/>
      <c r="M260" s="130"/>
    </row>
    <row r="261" spans="2:13" x14ac:dyDescent="0.3">
      <c r="B261" s="51"/>
      <c r="C261" s="51"/>
      <c r="D261" s="51"/>
      <c r="E261" s="51"/>
      <c r="F261" s="42" t="str">
        <f t="shared" si="3"/>
        <v/>
      </c>
      <c r="H261" s="83"/>
      <c r="I261" s="86"/>
      <c r="J261" s="133"/>
      <c r="K261" s="133"/>
      <c r="L261" s="133"/>
      <c r="M261" s="130"/>
    </row>
    <row r="262" spans="2:13" x14ac:dyDescent="0.3">
      <c r="B262" s="51"/>
      <c r="C262" s="51"/>
      <c r="D262" s="51"/>
      <c r="E262" s="51"/>
      <c r="F262" s="42" t="str">
        <f t="shared" si="3"/>
        <v/>
      </c>
      <c r="H262" s="83"/>
      <c r="I262" s="86"/>
      <c r="J262" s="133"/>
      <c r="K262" s="133"/>
      <c r="L262" s="133"/>
      <c r="M262" s="130"/>
    </row>
    <row r="263" spans="2:13" x14ac:dyDescent="0.3">
      <c r="B263" s="51"/>
      <c r="C263" s="51"/>
      <c r="D263" s="51"/>
      <c r="E263" s="51"/>
      <c r="F263" s="42" t="str">
        <f t="shared" si="3"/>
        <v/>
      </c>
      <c r="H263" s="83"/>
      <c r="I263" s="86"/>
      <c r="J263" s="133"/>
      <c r="K263" s="133"/>
      <c r="L263" s="133"/>
      <c r="M263" s="130"/>
    </row>
    <row r="264" spans="2:13" x14ac:dyDescent="0.3">
      <c r="B264" s="51"/>
      <c r="C264" s="51"/>
      <c r="D264" s="51"/>
      <c r="E264" s="51"/>
      <c r="F264" s="42" t="str">
        <f t="shared" si="3"/>
        <v/>
      </c>
      <c r="H264" s="83"/>
      <c r="I264" s="86"/>
      <c r="J264" s="133"/>
      <c r="K264" s="133"/>
      <c r="L264" s="133"/>
      <c r="M264" s="130"/>
    </row>
    <row r="265" spans="2:13" x14ac:dyDescent="0.3">
      <c r="B265" s="51"/>
      <c r="C265" s="51"/>
      <c r="D265" s="51"/>
      <c r="E265" s="51"/>
      <c r="F265" s="42" t="str">
        <f t="shared" si="3"/>
        <v/>
      </c>
      <c r="H265" s="83"/>
      <c r="I265" s="86"/>
      <c r="J265" s="133"/>
      <c r="K265" s="133"/>
      <c r="L265" s="133"/>
      <c r="M265" s="130"/>
    </row>
    <row r="266" spans="2:13" x14ac:dyDescent="0.3">
      <c r="B266" s="51"/>
      <c r="C266" s="51"/>
      <c r="D266" s="51"/>
      <c r="E266" s="51"/>
      <c r="F266" s="42" t="str">
        <f t="shared" si="3"/>
        <v/>
      </c>
      <c r="H266" s="83"/>
      <c r="I266" s="86"/>
      <c r="J266" s="133"/>
      <c r="K266" s="133"/>
      <c r="L266" s="133"/>
      <c r="M266" s="130"/>
    </row>
    <row r="267" spans="2:13" x14ac:dyDescent="0.3">
      <c r="B267" s="51"/>
      <c r="C267" s="51"/>
      <c r="D267" s="51"/>
      <c r="E267" s="51"/>
      <c r="F267" s="42" t="str">
        <f t="shared" si="3"/>
        <v/>
      </c>
      <c r="H267" s="83"/>
      <c r="I267" s="86"/>
      <c r="J267" s="133"/>
      <c r="K267" s="133"/>
      <c r="L267" s="133"/>
      <c r="M267" s="130"/>
    </row>
    <row r="268" spans="2:13" x14ac:dyDescent="0.3">
      <c r="B268" s="51"/>
      <c r="C268" s="51"/>
      <c r="D268" s="51"/>
      <c r="E268" s="51"/>
      <c r="F268" s="42" t="str">
        <f t="shared" si="3"/>
        <v/>
      </c>
      <c r="H268" s="83"/>
      <c r="I268" s="86"/>
      <c r="J268" s="133"/>
      <c r="K268" s="133"/>
      <c r="L268" s="133"/>
      <c r="M268" s="130"/>
    </row>
    <row r="269" spans="2:13" x14ac:dyDescent="0.3">
      <c r="B269" s="51"/>
      <c r="C269" s="51"/>
      <c r="D269" s="51"/>
      <c r="E269" s="51"/>
      <c r="F269" s="42" t="str">
        <f t="shared" si="3"/>
        <v/>
      </c>
      <c r="H269" s="83"/>
      <c r="I269" s="86"/>
      <c r="J269" s="133"/>
      <c r="K269" s="133"/>
      <c r="L269" s="133"/>
      <c r="M269" s="130"/>
    </row>
    <row r="270" spans="2:13" x14ac:dyDescent="0.3">
      <c r="B270" s="51"/>
      <c r="C270" s="51"/>
      <c r="D270" s="51"/>
      <c r="E270" s="51"/>
      <c r="F270" s="42" t="str">
        <f t="shared" si="3"/>
        <v/>
      </c>
      <c r="H270" s="83"/>
      <c r="I270" s="86"/>
      <c r="J270" s="133"/>
      <c r="K270" s="133"/>
      <c r="L270" s="133"/>
      <c r="M270" s="130"/>
    </row>
    <row r="271" spans="2:13" x14ac:dyDescent="0.3">
      <c r="B271" s="51"/>
      <c r="C271" s="51"/>
      <c r="D271" s="51"/>
      <c r="E271" s="51"/>
      <c r="F271" s="42" t="str">
        <f t="shared" si="3"/>
        <v/>
      </c>
      <c r="H271" s="83"/>
      <c r="I271" s="86"/>
      <c r="J271" s="133"/>
      <c r="K271" s="133"/>
      <c r="L271" s="133"/>
      <c r="M271" s="130"/>
    </row>
    <row r="272" spans="2:13" x14ac:dyDescent="0.3">
      <c r="B272" s="51"/>
      <c r="C272" s="51"/>
      <c r="D272" s="51"/>
      <c r="E272" s="51"/>
      <c r="F272" s="42" t="str">
        <f t="shared" si="3"/>
        <v/>
      </c>
      <c r="H272" s="83"/>
      <c r="I272" s="86"/>
      <c r="J272" s="133"/>
      <c r="K272" s="133"/>
      <c r="L272" s="133"/>
      <c r="M272" s="130"/>
    </row>
    <row r="273" spans="2:13" x14ac:dyDescent="0.3">
      <c r="B273" s="51"/>
      <c r="C273" s="51"/>
      <c r="D273" s="51"/>
      <c r="E273" s="51"/>
      <c r="F273" s="42" t="str">
        <f t="shared" si="3"/>
        <v/>
      </c>
      <c r="H273" s="83"/>
      <c r="I273" s="86"/>
      <c r="J273" s="133"/>
      <c r="K273" s="133"/>
      <c r="L273" s="133"/>
      <c r="M273" s="130"/>
    </row>
    <row r="274" spans="2:13" x14ac:dyDescent="0.3">
      <c r="B274" s="51"/>
      <c r="C274" s="51"/>
      <c r="D274" s="51"/>
      <c r="E274" s="51"/>
      <c r="F274" s="42" t="str">
        <f t="shared" si="3"/>
        <v/>
      </c>
      <c r="H274" s="83"/>
      <c r="I274" s="86"/>
      <c r="J274" s="133"/>
      <c r="K274" s="133"/>
      <c r="L274" s="133"/>
      <c r="M274" s="130"/>
    </row>
    <row r="275" spans="2:13" x14ac:dyDescent="0.3">
      <c r="B275" s="51"/>
      <c r="C275" s="51"/>
      <c r="D275" s="51"/>
      <c r="E275" s="51"/>
      <c r="F275" s="42" t="str">
        <f t="shared" si="3"/>
        <v/>
      </c>
      <c r="H275" s="83"/>
      <c r="I275" s="86"/>
      <c r="J275" s="133"/>
      <c r="K275" s="133"/>
      <c r="L275" s="133"/>
      <c r="M275" s="130"/>
    </row>
    <row r="276" spans="2:13" x14ac:dyDescent="0.3">
      <c r="B276" s="51"/>
      <c r="C276" s="51"/>
      <c r="D276" s="51"/>
      <c r="E276" s="51"/>
      <c r="F276" s="42" t="str">
        <f t="shared" si="3"/>
        <v/>
      </c>
      <c r="H276" s="83"/>
      <c r="I276" s="86"/>
      <c r="J276" s="133"/>
      <c r="K276" s="133"/>
      <c r="L276" s="133"/>
      <c r="M276" s="130"/>
    </row>
    <row r="277" spans="2:13" x14ac:dyDescent="0.3">
      <c r="B277" s="51"/>
      <c r="C277" s="51"/>
      <c r="D277" s="51"/>
      <c r="E277" s="51"/>
      <c r="F277" s="42" t="str">
        <f t="shared" si="3"/>
        <v/>
      </c>
      <c r="H277" s="83"/>
      <c r="I277" s="86"/>
      <c r="J277" s="133"/>
      <c r="K277" s="133"/>
      <c r="L277" s="133"/>
      <c r="M277" s="130"/>
    </row>
    <row r="278" spans="2:13" x14ac:dyDescent="0.3">
      <c r="B278" s="51"/>
      <c r="C278" s="51"/>
      <c r="D278" s="51"/>
      <c r="E278" s="51"/>
      <c r="F278" s="42" t="str">
        <f t="shared" si="3"/>
        <v/>
      </c>
      <c r="H278" s="83"/>
      <c r="I278" s="86"/>
      <c r="J278" s="133"/>
      <c r="K278" s="133"/>
      <c r="L278" s="133"/>
      <c r="M278" s="130"/>
    </row>
    <row r="279" spans="2:13" x14ac:dyDescent="0.3">
      <c r="B279" s="51"/>
      <c r="C279" s="51"/>
      <c r="D279" s="51"/>
      <c r="E279" s="51"/>
      <c r="F279" s="42" t="str">
        <f t="shared" si="3"/>
        <v/>
      </c>
      <c r="H279" s="83"/>
      <c r="I279" s="86"/>
      <c r="J279" s="133"/>
      <c r="K279" s="133"/>
      <c r="L279" s="133"/>
      <c r="M279" s="130"/>
    </row>
    <row r="280" spans="2:13" x14ac:dyDescent="0.3">
      <c r="B280" s="51"/>
      <c r="C280" s="51"/>
      <c r="D280" s="51"/>
      <c r="E280" s="51"/>
      <c r="F280" s="42" t="str">
        <f t="shared" ref="F280:F343" si="4">IF(C280="","",CONCATENATE(B280," ",C280," ",D280," ",E280))</f>
        <v/>
      </c>
      <c r="H280" s="83"/>
      <c r="I280" s="86"/>
      <c r="J280" s="133"/>
      <c r="K280" s="133"/>
      <c r="L280" s="133"/>
      <c r="M280" s="130"/>
    </row>
    <row r="281" spans="2:13" x14ac:dyDescent="0.3">
      <c r="B281" s="51"/>
      <c r="C281" s="51"/>
      <c r="D281" s="51"/>
      <c r="E281" s="51"/>
      <c r="F281" s="42" t="str">
        <f t="shared" si="4"/>
        <v/>
      </c>
      <c r="H281" s="83"/>
      <c r="I281" s="86"/>
      <c r="J281" s="133"/>
      <c r="K281" s="133"/>
      <c r="L281" s="133"/>
      <c r="M281" s="130"/>
    </row>
    <row r="282" spans="2:13" x14ac:dyDescent="0.3">
      <c r="B282" s="51"/>
      <c r="C282" s="51"/>
      <c r="D282" s="51"/>
      <c r="E282" s="51"/>
      <c r="F282" s="42" t="str">
        <f t="shared" si="4"/>
        <v/>
      </c>
      <c r="H282" s="83"/>
      <c r="I282" s="86"/>
      <c r="J282" s="133"/>
      <c r="K282" s="133"/>
      <c r="L282" s="133"/>
      <c r="M282" s="130"/>
    </row>
    <row r="283" spans="2:13" x14ac:dyDescent="0.3">
      <c r="B283" s="51"/>
      <c r="C283" s="51"/>
      <c r="D283" s="51"/>
      <c r="E283" s="51"/>
      <c r="F283" s="42" t="str">
        <f t="shared" si="4"/>
        <v/>
      </c>
      <c r="H283" s="83"/>
      <c r="I283" s="86"/>
      <c r="J283" s="133"/>
      <c r="K283" s="133"/>
      <c r="L283" s="133"/>
      <c r="M283" s="130"/>
    </row>
    <row r="284" spans="2:13" x14ac:dyDescent="0.3">
      <c r="B284" s="51"/>
      <c r="C284" s="51"/>
      <c r="D284" s="51"/>
      <c r="E284" s="51"/>
      <c r="F284" s="42" t="str">
        <f t="shared" si="4"/>
        <v/>
      </c>
      <c r="H284" s="83"/>
      <c r="I284" s="86"/>
      <c r="J284" s="133"/>
      <c r="K284" s="133"/>
      <c r="L284" s="133"/>
      <c r="M284" s="130"/>
    </row>
    <row r="285" spans="2:13" x14ac:dyDescent="0.3">
      <c r="B285" s="51"/>
      <c r="C285" s="51"/>
      <c r="D285" s="51"/>
      <c r="E285" s="51"/>
      <c r="F285" s="42" t="str">
        <f t="shared" si="4"/>
        <v/>
      </c>
      <c r="H285" s="83"/>
      <c r="I285" s="86"/>
      <c r="J285" s="133"/>
      <c r="K285" s="133"/>
      <c r="L285" s="133"/>
      <c r="M285" s="130"/>
    </row>
    <row r="286" spans="2:13" x14ac:dyDescent="0.3">
      <c r="B286" s="51"/>
      <c r="C286" s="51"/>
      <c r="D286" s="51"/>
      <c r="E286" s="51"/>
      <c r="F286" s="42" t="str">
        <f t="shared" si="4"/>
        <v/>
      </c>
      <c r="H286" s="83"/>
      <c r="I286" s="86"/>
      <c r="J286" s="133"/>
      <c r="K286" s="133"/>
      <c r="L286" s="133"/>
      <c r="M286" s="130"/>
    </row>
    <row r="287" spans="2:13" x14ac:dyDescent="0.3">
      <c r="B287" s="51"/>
      <c r="C287" s="51"/>
      <c r="D287" s="51"/>
      <c r="E287" s="51"/>
      <c r="F287" s="42" t="str">
        <f t="shared" si="4"/>
        <v/>
      </c>
      <c r="H287" s="83"/>
      <c r="I287" s="86"/>
      <c r="J287" s="133"/>
      <c r="K287" s="133"/>
      <c r="L287" s="133"/>
      <c r="M287" s="130"/>
    </row>
    <row r="288" spans="2:13" x14ac:dyDescent="0.3">
      <c r="B288" s="51"/>
      <c r="C288" s="51"/>
      <c r="D288" s="51"/>
      <c r="E288" s="51"/>
      <c r="F288" s="42" t="str">
        <f t="shared" si="4"/>
        <v/>
      </c>
      <c r="H288" s="83"/>
      <c r="I288" s="86"/>
      <c r="J288" s="133"/>
      <c r="K288" s="133"/>
      <c r="L288" s="133"/>
      <c r="M288" s="130"/>
    </row>
    <row r="289" spans="2:13" x14ac:dyDescent="0.3">
      <c r="B289" s="51"/>
      <c r="C289" s="51"/>
      <c r="D289" s="51"/>
      <c r="E289" s="51"/>
      <c r="F289" s="42" t="str">
        <f t="shared" si="4"/>
        <v/>
      </c>
      <c r="H289" s="83"/>
      <c r="I289" s="86"/>
      <c r="J289" s="133"/>
      <c r="K289" s="133"/>
      <c r="L289" s="133"/>
      <c r="M289" s="130"/>
    </row>
    <row r="290" spans="2:13" x14ac:dyDescent="0.3">
      <c r="B290" s="51"/>
      <c r="C290" s="51"/>
      <c r="D290" s="51"/>
      <c r="E290" s="51"/>
      <c r="F290" s="42" t="str">
        <f t="shared" si="4"/>
        <v/>
      </c>
      <c r="H290" s="83"/>
      <c r="I290" s="86"/>
      <c r="J290" s="133"/>
      <c r="K290" s="133"/>
      <c r="L290" s="133"/>
      <c r="M290" s="130"/>
    </row>
    <row r="291" spans="2:13" x14ac:dyDescent="0.3">
      <c r="B291" s="51"/>
      <c r="C291" s="51"/>
      <c r="D291" s="51"/>
      <c r="E291" s="51"/>
      <c r="F291" s="42" t="str">
        <f t="shared" si="4"/>
        <v/>
      </c>
      <c r="H291" s="83"/>
      <c r="I291" s="86"/>
      <c r="J291" s="133"/>
      <c r="K291" s="133"/>
      <c r="L291" s="133"/>
      <c r="M291" s="130"/>
    </row>
    <row r="292" spans="2:13" x14ac:dyDescent="0.3">
      <c r="B292" s="51"/>
      <c r="C292" s="51"/>
      <c r="D292" s="51"/>
      <c r="E292" s="51"/>
      <c r="F292" s="42" t="str">
        <f t="shared" si="4"/>
        <v/>
      </c>
      <c r="H292" s="83"/>
      <c r="I292" s="86"/>
      <c r="J292" s="133"/>
      <c r="K292" s="133"/>
      <c r="L292" s="133"/>
      <c r="M292" s="130"/>
    </row>
    <row r="293" spans="2:13" x14ac:dyDescent="0.3">
      <c r="B293" s="51"/>
      <c r="C293" s="51"/>
      <c r="D293" s="51"/>
      <c r="E293" s="51"/>
      <c r="F293" s="42" t="str">
        <f t="shared" si="4"/>
        <v/>
      </c>
      <c r="H293" s="83"/>
      <c r="I293" s="86"/>
      <c r="J293" s="133"/>
      <c r="K293" s="133"/>
      <c r="L293" s="133"/>
      <c r="M293" s="130"/>
    </row>
    <row r="294" spans="2:13" x14ac:dyDescent="0.3">
      <c r="B294" s="51"/>
      <c r="C294" s="51"/>
      <c r="D294" s="51"/>
      <c r="E294" s="51"/>
      <c r="F294" s="42" t="str">
        <f t="shared" si="4"/>
        <v/>
      </c>
      <c r="H294" s="83"/>
      <c r="I294" s="86"/>
      <c r="J294" s="133"/>
      <c r="K294" s="133"/>
      <c r="L294" s="133"/>
      <c r="M294" s="130"/>
    </row>
    <row r="295" spans="2:13" x14ac:dyDescent="0.3">
      <c r="B295" s="51"/>
      <c r="C295" s="51"/>
      <c r="D295" s="51"/>
      <c r="E295" s="51"/>
      <c r="F295" s="42" t="str">
        <f t="shared" si="4"/>
        <v/>
      </c>
      <c r="H295" s="83"/>
      <c r="I295" s="86"/>
      <c r="J295" s="133"/>
      <c r="K295" s="133"/>
      <c r="L295" s="133"/>
      <c r="M295" s="130"/>
    </row>
    <row r="296" spans="2:13" x14ac:dyDescent="0.3">
      <c r="B296" s="51"/>
      <c r="C296" s="51"/>
      <c r="D296" s="51"/>
      <c r="E296" s="51"/>
      <c r="F296" s="42" t="str">
        <f t="shared" si="4"/>
        <v/>
      </c>
      <c r="H296" s="83"/>
      <c r="I296" s="86"/>
      <c r="J296" s="133"/>
      <c r="K296" s="133"/>
      <c r="L296" s="133"/>
      <c r="M296" s="130"/>
    </row>
    <row r="297" spans="2:13" x14ac:dyDescent="0.3">
      <c r="B297" s="51"/>
      <c r="C297" s="51"/>
      <c r="D297" s="51"/>
      <c r="E297" s="51"/>
      <c r="F297" s="42" t="str">
        <f t="shared" si="4"/>
        <v/>
      </c>
      <c r="H297" s="83"/>
      <c r="I297" s="86"/>
      <c r="J297" s="133"/>
      <c r="K297" s="133"/>
      <c r="L297" s="133"/>
      <c r="M297" s="130"/>
    </row>
    <row r="298" spans="2:13" x14ac:dyDescent="0.3">
      <c r="B298" s="51"/>
      <c r="C298" s="51"/>
      <c r="D298" s="51"/>
      <c r="E298" s="51"/>
      <c r="F298" s="42" t="str">
        <f t="shared" si="4"/>
        <v/>
      </c>
      <c r="H298" s="83"/>
      <c r="I298" s="86"/>
      <c r="J298" s="133"/>
      <c r="K298" s="133"/>
      <c r="L298" s="133"/>
      <c r="M298" s="130"/>
    </row>
    <row r="299" spans="2:13" x14ac:dyDescent="0.3">
      <c r="B299" s="51"/>
      <c r="C299" s="51"/>
      <c r="D299" s="51"/>
      <c r="E299" s="51"/>
      <c r="F299" s="42" t="str">
        <f t="shared" si="4"/>
        <v/>
      </c>
      <c r="H299" s="83"/>
      <c r="I299" s="86"/>
      <c r="J299" s="133"/>
      <c r="K299" s="133"/>
      <c r="L299" s="133"/>
      <c r="M299" s="130"/>
    </row>
    <row r="300" spans="2:13" x14ac:dyDescent="0.3">
      <c r="B300" s="51"/>
      <c r="C300" s="51"/>
      <c r="D300" s="51"/>
      <c r="E300" s="51"/>
      <c r="F300" s="42" t="str">
        <f t="shared" si="4"/>
        <v/>
      </c>
      <c r="H300" s="83"/>
      <c r="I300" s="86"/>
      <c r="J300" s="133"/>
      <c r="K300" s="133"/>
      <c r="L300" s="133"/>
      <c r="M300" s="130"/>
    </row>
    <row r="301" spans="2:13" x14ac:dyDescent="0.3">
      <c r="B301" s="51"/>
      <c r="C301" s="51"/>
      <c r="D301" s="51"/>
      <c r="E301" s="51"/>
      <c r="F301" s="42" t="str">
        <f t="shared" si="4"/>
        <v/>
      </c>
      <c r="H301" s="83"/>
      <c r="I301" s="86"/>
      <c r="J301" s="133"/>
      <c r="K301" s="133"/>
      <c r="L301" s="133"/>
      <c r="M301" s="130"/>
    </row>
    <row r="302" spans="2:13" x14ac:dyDescent="0.3">
      <c r="B302" s="51"/>
      <c r="C302" s="51"/>
      <c r="D302" s="51"/>
      <c r="E302" s="51"/>
      <c r="F302" s="42" t="str">
        <f t="shared" si="4"/>
        <v/>
      </c>
      <c r="H302" s="83"/>
      <c r="I302" s="86"/>
      <c r="J302" s="133"/>
      <c r="K302" s="133"/>
      <c r="L302" s="133"/>
      <c r="M302" s="130"/>
    </row>
    <row r="303" spans="2:13" x14ac:dyDescent="0.3">
      <c r="B303" s="51"/>
      <c r="C303" s="51"/>
      <c r="D303" s="51"/>
      <c r="E303" s="51"/>
      <c r="F303" s="42" t="str">
        <f t="shared" si="4"/>
        <v/>
      </c>
      <c r="H303" s="83"/>
      <c r="I303" s="86"/>
      <c r="J303" s="133"/>
      <c r="K303" s="133"/>
      <c r="L303" s="133"/>
      <c r="M303" s="130"/>
    </row>
    <row r="304" spans="2:13" x14ac:dyDescent="0.3">
      <c r="B304" s="51"/>
      <c r="C304" s="51"/>
      <c r="D304" s="51"/>
      <c r="E304" s="51"/>
      <c r="F304" s="42" t="str">
        <f t="shared" si="4"/>
        <v/>
      </c>
      <c r="H304" s="83"/>
      <c r="I304" s="86"/>
      <c r="J304" s="133"/>
      <c r="K304" s="133"/>
      <c r="L304" s="133"/>
      <c r="M304" s="130"/>
    </row>
    <row r="305" spans="2:13" x14ac:dyDescent="0.3">
      <c r="B305" s="51"/>
      <c r="C305" s="51"/>
      <c r="D305" s="51"/>
      <c r="E305" s="51"/>
      <c r="F305" s="42" t="str">
        <f t="shared" si="4"/>
        <v/>
      </c>
      <c r="H305" s="83"/>
      <c r="I305" s="86"/>
      <c r="J305" s="133"/>
      <c r="K305" s="133"/>
      <c r="L305" s="133"/>
      <c r="M305" s="130"/>
    </row>
    <row r="306" spans="2:13" x14ac:dyDescent="0.3">
      <c r="B306" s="51"/>
      <c r="C306" s="51"/>
      <c r="D306" s="51"/>
      <c r="E306" s="51"/>
      <c r="F306" s="42" t="str">
        <f t="shared" si="4"/>
        <v/>
      </c>
      <c r="H306" s="83"/>
      <c r="I306" s="86"/>
      <c r="J306" s="133"/>
      <c r="K306" s="133"/>
      <c r="L306" s="133"/>
      <c r="M306" s="130"/>
    </row>
    <row r="307" spans="2:13" x14ac:dyDescent="0.3">
      <c r="B307" s="51"/>
      <c r="C307" s="51"/>
      <c r="D307" s="51"/>
      <c r="E307" s="51"/>
      <c r="F307" s="42" t="str">
        <f t="shared" si="4"/>
        <v/>
      </c>
      <c r="H307" s="83"/>
      <c r="I307" s="86"/>
      <c r="J307" s="133"/>
      <c r="K307" s="133"/>
      <c r="L307" s="133"/>
      <c r="M307" s="130"/>
    </row>
    <row r="308" spans="2:13" x14ac:dyDescent="0.3">
      <c r="B308" s="51"/>
      <c r="C308" s="51"/>
      <c r="D308" s="51"/>
      <c r="E308" s="51"/>
      <c r="F308" s="42" t="str">
        <f t="shared" si="4"/>
        <v/>
      </c>
      <c r="H308" s="83"/>
      <c r="I308" s="86"/>
      <c r="J308" s="133"/>
      <c r="K308" s="133"/>
      <c r="L308" s="133"/>
      <c r="M308" s="130"/>
    </row>
    <row r="309" spans="2:13" x14ac:dyDescent="0.3">
      <c r="B309" s="51"/>
      <c r="C309" s="51"/>
      <c r="D309" s="51"/>
      <c r="E309" s="51"/>
      <c r="F309" s="42" t="str">
        <f t="shared" si="4"/>
        <v/>
      </c>
      <c r="H309" s="83"/>
      <c r="I309" s="86"/>
      <c r="J309" s="133"/>
      <c r="K309" s="133"/>
      <c r="L309" s="133"/>
      <c r="M309" s="130"/>
    </row>
    <row r="310" spans="2:13" x14ac:dyDescent="0.3">
      <c r="B310" s="51"/>
      <c r="C310" s="51"/>
      <c r="D310" s="51"/>
      <c r="E310" s="51"/>
      <c r="F310" s="42" t="str">
        <f t="shared" si="4"/>
        <v/>
      </c>
      <c r="H310" s="83"/>
      <c r="I310" s="86"/>
      <c r="J310" s="133"/>
      <c r="K310" s="133"/>
      <c r="L310" s="133"/>
      <c r="M310" s="130"/>
    </row>
    <row r="311" spans="2:13" x14ac:dyDescent="0.3">
      <c r="B311" s="51"/>
      <c r="C311" s="51"/>
      <c r="D311" s="51"/>
      <c r="E311" s="51"/>
      <c r="F311" s="42" t="str">
        <f t="shared" si="4"/>
        <v/>
      </c>
      <c r="H311" s="83"/>
      <c r="I311" s="86"/>
      <c r="J311" s="133"/>
      <c r="K311" s="133"/>
      <c r="L311" s="133"/>
      <c r="M311" s="130"/>
    </row>
    <row r="312" spans="2:13" x14ac:dyDescent="0.3">
      <c r="B312" s="51"/>
      <c r="C312" s="51"/>
      <c r="D312" s="51"/>
      <c r="E312" s="51"/>
      <c r="F312" s="42" t="str">
        <f t="shared" si="4"/>
        <v/>
      </c>
      <c r="H312" s="83"/>
      <c r="I312" s="86"/>
      <c r="J312" s="133"/>
      <c r="K312" s="133"/>
      <c r="L312" s="133"/>
      <c r="M312" s="130"/>
    </row>
    <row r="313" spans="2:13" x14ac:dyDescent="0.3">
      <c r="B313" s="51"/>
      <c r="C313" s="51"/>
      <c r="D313" s="51"/>
      <c r="E313" s="51"/>
      <c r="F313" s="42" t="str">
        <f t="shared" si="4"/>
        <v/>
      </c>
      <c r="H313" s="83"/>
      <c r="I313" s="86"/>
      <c r="J313" s="133"/>
      <c r="K313" s="133"/>
      <c r="L313" s="133"/>
      <c r="M313" s="130"/>
    </row>
    <row r="314" spans="2:13" x14ac:dyDescent="0.3">
      <c r="B314" s="51"/>
      <c r="C314" s="51"/>
      <c r="D314" s="51"/>
      <c r="E314" s="51"/>
      <c r="F314" s="42" t="str">
        <f t="shared" si="4"/>
        <v/>
      </c>
      <c r="H314" s="83"/>
      <c r="I314" s="86"/>
      <c r="J314" s="133"/>
      <c r="K314" s="133"/>
      <c r="L314" s="133"/>
      <c r="M314" s="130"/>
    </row>
    <row r="315" spans="2:13" x14ac:dyDescent="0.3">
      <c r="B315" s="51"/>
      <c r="C315" s="51"/>
      <c r="D315" s="51"/>
      <c r="E315" s="51"/>
      <c r="F315" s="42" t="str">
        <f t="shared" si="4"/>
        <v/>
      </c>
      <c r="H315" s="83"/>
      <c r="I315" s="86"/>
      <c r="J315" s="133"/>
      <c r="K315" s="133"/>
      <c r="L315" s="133"/>
      <c r="M315" s="130"/>
    </row>
    <row r="316" spans="2:13" x14ac:dyDescent="0.3">
      <c r="B316" s="51"/>
      <c r="C316" s="51"/>
      <c r="D316" s="51"/>
      <c r="E316" s="51"/>
      <c r="F316" s="42" t="str">
        <f t="shared" si="4"/>
        <v/>
      </c>
      <c r="H316" s="83"/>
      <c r="I316" s="86"/>
      <c r="J316" s="133"/>
      <c r="K316" s="133"/>
      <c r="L316" s="133"/>
      <c r="M316" s="130"/>
    </row>
    <row r="317" spans="2:13" x14ac:dyDescent="0.3">
      <c r="B317" s="51"/>
      <c r="C317" s="51"/>
      <c r="D317" s="51"/>
      <c r="E317" s="51"/>
      <c r="F317" s="42" t="str">
        <f t="shared" si="4"/>
        <v/>
      </c>
      <c r="H317" s="83"/>
      <c r="I317" s="86"/>
      <c r="J317" s="133"/>
      <c r="K317" s="133"/>
      <c r="L317" s="133"/>
      <c r="M317" s="130"/>
    </row>
    <row r="318" spans="2:13" x14ac:dyDescent="0.3">
      <c r="B318" s="51"/>
      <c r="C318" s="51"/>
      <c r="D318" s="51"/>
      <c r="E318" s="51"/>
      <c r="F318" s="42" t="str">
        <f t="shared" si="4"/>
        <v/>
      </c>
      <c r="H318" s="83"/>
      <c r="I318" s="86"/>
      <c r="J318" s="133"/>
      <c r="K318" s="133"/>
      <c r="L318" s="133"/>
      <c r="M318" s="130"/>
    </row>
    <row r="319" spans="2:13" x14ac:dyDescent="0.3">
      <c r="B319" s="51"/>
      <c r="C319" s="51"/>
      <c r="D319" s="51"/>
      <c r="E319" s="51"/>
      <c r="F319" s="42" t="str">
        <f t="shared" si="4"/>
        <v/>
      </c>
      <c r="H319" s="83"/>
      <c r="I319" s="86"/>
      <c r="J319" s="133"/>
      <c r="K319" s="133"/>
      <c r="L319" s="133"/>
      <c r="M319" s="130"/>
    </row>
    <row r="320" spans="2:13" x14ac:dyDescent="0.3">
      <c r="B320" s="51"/>
      <c r="C320" s="51"/>
      <c r="D320" s="51"/>
      <c r="E320" s="51"/>
      <c r="F320" s="42" t="str">
        <f t="shared" si="4"/>
        <v/>
      </c>
      <c r="H320" s="83"/>
      <c r="I320" s="86"/>
      <c r="J320" s="133"/>
      <c r="K320" s="133"/>
      <c r="L320" s="133"/>
      <c r="M320" s="130"/>
    </row>
    <row r="321" spans="2:13" x14ac:dyDescent="0.3">
      <c r="B321" s="51"/>
      <c r="C321" s="51"/>
      <c r="D321" s="51"/>
      <c r="E321" s="51"/>
      <c r="F321" s="42" t="str">
        <f t="shared" si="4"/>
        <v/>
      </c>
      <c r="H321" s="83"/>
      <c r="I321" s="86"/>
      <c r="J321" s="133"/>
      <c r="K321" s="133"/>
      <c r="L321" s="133"/>
      <c r="M321" s="130"/>
    </row>
    <row r="322" spans="2:13" x14ac:dyDescent="0.3">
      <c r="B322" s="51"/>
      <c r="C322" s="51"/>
      <c r="D322" s="51"/>
      <c r="E322" s="51"/>
      <c r="F322" s="42" t="str">
        <f t="shared" si="4"/>
        <v/>
      </c>
      <c r="H322" s="83"/>
      <c r="I322" s="86"/>
      <c r="J322" s="133"/>
      <c r="K322" s="133"/>
      <c r="L322" s="133"/>
      <c r="M322" s="130"/>
    </row>
    <row r="323" spans="2:13" x14ac:dyDescent="0.3">
      <c r="B323" s="51"/>
      <c r="C323" s="51"/>
      <c r="D323" s="51"/>
      <c r="E323" s="51"/>
      <c r="F323" s="42" t="str">
        <f t="shared" si="4"/>
        <v/>
      </c>
      <c r="H323" s="83"/>
      <c r="I323" s="86"/>
      <c r="J323" s="133"/>
      <c r="K323" s="133"/>
      <c r="L323" s="133"/>
      <c r="M323" s="130"/>
    </row>
    <row r="324" spans="2:13" x14ac:dyDescent="0.3">
      <c r="B324" s="51"/>
      <c r="C324" s="51"/>
      <c r="D324" s="51"/>
      <c r="E324" s="51"/>
      <c r="F324" s="42" t="str">
        <f t="shared" si="4"/>
        <v/>
      </c>
      <c r="H324" s="83"/>
      <c r="I324" s="86"/>
      <c r="J324" s="133"/>
      <c r="K324" s="133"/>
      <c r="L324" s="133"/>
      <c r="M324" s="130"/>
    </row>
    <row r="325" spans="2:13" x14ac:dyDescent="0.3">
      <c r="B325" s="51"/>
      <c r="C325" s="51"/>
      <c r="D325" s="51"/>
      <c r="E325" s="51"/>
      <c r="F325" s="42" t="str">
        <f t="shared" si="4"/>
        <v/>
      </c>
      <c r="H325" s="83"/>
      <c r="I325" s="86"/>
      <c r="J325" s="133"/>
      <c r="K325" s="133"/>
      <c r="L325" s="133"/>
      <c r="M325" s="130"/>
    </row>
    <row r="326" spans="2:13" x14ac:dyDescent="0.3">
      <c r="B326" s="51"/>
      <c r="C326" s="51"/>
      <c r="D326" s="51"/>
      <c r="E326" s="51"/>
      <c r="F326" s="42" t="str">
        <f t="shared" si="4"/>
        <v/>
      </c>
      <c r="H326" s="83"/>
      <c r="I326" s="86"/>
      <c r="J326" s="133"/>
      <c r="K326" s="133"/>
      <c r="L326" s="133"/>
      <c r="M326" s="130"/>
    </row>
    <row r="327" spans="2:13" x14ac:dyDescent="0.3">
      <c r="B327" s="51"/>
      <c r="C327" s="51"/>
      <c r="D327" s="51"/>
      <c r="E327" s="51"/>
      <c r="F327" s="42" t="str">
        <f t="shared" si="4"/>
        <v/>
      </c>
      <c r="H327" s="83"/>
      <c r="I327" s="86"/>
      <c r="J327" s="133"/>
      <c r="K327" s="133"/>
      <c r="L327" s="133"/>
      <c r="M327" s="130"/>
    </row>
    <row r="328" spans="2:13" x14ac:dyDescent="0.3">
      <c r="B328" s="51"/>
      <c r="C328" s="51"/>
      <c r="D328" s="51"/>
      <c r="E328" s="51"/>
      <c r="F328" s="42" t="str">
        <f t="shared" si="4"/>
        <v/>
      </c>
      <c r="H328" s="83"/>
      <c r="I328" s="86"/>
      <c r="J328" s="133"/>
      <c r="K328" s="133"/>
      <c r="L328" s="133"/>
      <c r="M328" s="130"/>
    </row>
    <row r="329" spans="2:13" x14ac:dyDescent="0.3">
      <c r="B329" s="51"/>
      <c r="C329" s="51"/>
      <c r="D329" s="51"/>
      <c r="E329" s="51"/>
      <c r="F329" s="42" t="str">
        <f t="shared" si="4"/>
        <v/>
      </c>
      <c r="H329" s="83"/>
      <c r="I329" s="86"/>
      <c r="J329" s="133"/>
      <c r="K329" s="133"/>
      <c r="L329" s="133"/>
      <c r="M329" s="130"/>
    </row>
    <row r="330" spans="2:13" x14ac:dyDescent="0.3">
      <c r="B330" s="51"/>
      <c r="C330" s="51"/>
      <c r="D330" s="51"/>
      <c r="E330" s="51"/>
      <c r="F330" s="42" t="str">
        <f t="shared" si="4"/>
        <v/>
      </c>
      <c r="H330" s="83"/>
      <c r="I330" s="86"/>
      <c r="J330" s="133"/>
      <c r="K330" s="133"/>
      <c r="L330" s="133"/>
      <c r="M330" s="130"/>
    </row>
    <row r="331" spans="2:13" x14ac:dyDescent="0.3">
      <c r="B331" s="51"/>
      <c r="C331" s="51"/>
      <c r="D331" s="51"/>
      <c r="E331" s="51"/>
      <c r="F331" s="42" t="str">
        <f t="shared" si="4"/>
        <v/>
      </c>
      <c r="H331" s="83"/>
      <c r="I331" s="86"/>
      <c r="J331" s="133"/>
      <c r="K331" s="133"/>
      <c r="L331" s="133"/>
      <c r="M331" s="130"/>
    </row>
    <row r="332" spans="2:13" x14ac:dyDescent="0.3">
      <c r="B332" s="51"/>
      <c r="C332" s="51"/>
      <c r="D332" s="51"/>
      <c r="E332" s="51"/>
      <c r="F332" s="42" t="str">
        <f t="shared" si="4"/>
        <v/>
      </c>
      <c r="H332" s="83"/>
      <c r="I332" s="86"/>
      <c r="J332" s="133"/>
      <c r="K332" s="133"/>
      <c r="L332" s="133"/>
      <c r="M332" s="130"/>
    </row>
    <row r="333" spans="2:13" x14ac:dyDescent="0.3">
      <c r="B333" s="51"/>
      <c r="C333" s="51"/>
      <c r="D333" s="51"/>
      <c r="E333" s="51"/>
      <c r="F333" s="42" t="str">
        <f t="shared" si="4"/>
        <v/>
      </c>
      <c r="H333" s="83"/>
      <c r="I333" s="86"/>
      <c r="J333" s="133"/>
      <c r="K333" s="133"/>
      <c r="L333" s="133"/>
      <c r="M333" s="130"/>
    </row>
    <row r="334" spans="2:13" x14ac:dyDescent="0.3">
      <c r="B334" s="51"/>
      <c r="C334" s="51"/>
      <c r="D334" s="51"/>
      <c r="E334" s="51"/>
      <c r="F334" s="42" t="str">
        <f t="shared" si="4"/>
        <v/>
      </c>
      <c r="H334" s="83"/>
      <c r="I334" s="86"/>
      <c r="J334" s="133"/>
      <c r="K334" s="133"/>
      <c r="L334" s="133"/>
      <c r="M334" s="130"/>
    </row>
    <row r="335" spans="2:13" x14ac:dyDescent="0.3">
      <c r="B335" s="51"/>
      <c r="C335" s="51"/>
      <c r="D335" s="51"/>
      <c r="E335" s="51"/>
      <c r="F335" s="42" t="str">
        <f t="shared" si="4"/>
        <v/>
      </c>
      <c r="H335" s="83"/>
      <c r="I335" s="86"/>
      <c r="J335" s="133"/>
      <c r="K335" s="133"/>
      <c r="L335" s="133"/>
      <c r="M335" s="130"/>
    </row>
    <row r="336" spans="2:13" x14ac:dyDescent="0.3">
      <c r="B336" s="51"/>
      <c r="C336" s="51"/>
      <c r="D336" s="51"/>
      <c r="E336" s="51"/>
      <c r="F336" s="42" t="str">
        <f t="shared" si="4"/>
        <v/>
      </c>
      <c r="H336" s="83"/>
      <c r="I336" s="86"/>
      <c r="J336" s="133"/>
      <c r="K336" s="133"/>
      <c r="L336" s="133"/>
      <c r="M336" s="130"/>
    </row>
    <row r="337" spans="2:13" x14ac:dyDescent="0.3">
      <c r="B337" s="51"/>
      <c r="C337" s="51"/>
      <c r="D337" s="51"/>
      <c r="E337" s="51"/>
      <c r="F337" s="42" t="str">
        <f t="shared" si="4"/>
        <v/>
      </c>
      <c r="H337" s="83"/>
      <c r="I337" s="86"/>
      <c r="J337" s="133"/>
      <c r="K337" s="133"/>
      <c r="L337" s="133"/>
      <c r="M337" s="130"/>
    </row>
    <row r="338" spans="2:13" x14ac:dyDescent="0.3">
      <c r="B338" s="51"/>
      <c r="C338" s="51"/>
      <c r="D338" s="51"/>
      <c r="E338" s="51"/>
      <c r="F338" s="42" t="str">
        <f t="shared" si="4"/>
        <v/>
      </c>
      <c r="H338" s="83"/>
      <c r="I338" s="86"/>
      <c r="J338" s="133"/>
      <c r="K338" s="133"/>
      <c r="L338" s="133"/>
      <c r="M338" s="130"/>
    </row>
    <row r="339" spans="2:13" x14ac:dyDescent="0.3">
      <c r="B339" s="51"/>
      <c r="C339" s="51"/>
      <c r="D339" s="51"/>
      <c r="E339" s="51"/>
      <c r="F339" s="42" t="str">
        <f t="shared" si="4"/>
        <v/>
      </c>
      <c r="H339" s="83"/>
      <c r="I339" s="86"/>
      <c r="J339" s="133"/>
      <c r="K339" s="133"/>
      <c r="L339" s="133"/>
      <c r="M339" s="130"/>
    </row>
    <row r="340" spans="2:13" x14ac:dyDescent="0.3">
      <c r="B340" s="51"/>
      <c r="C340" s="51"/>
      <c r="D340" s="51"/>
      <c r="E340" s="51"/>
      <c r="F340" s="42" t="str">
        <f t="shared" si="4"/>
        <v/>
      </c>
      <c r="H340" s="83"/>
      <c r="I340" s="86"/>
      <c r="J340" s="133"/>
      <c r="K340" s="133"/>
      <c r="L340" s="133"/>
      <c r="M340" s="130"/>
    </row>
    <row r="341" spans="2:13" x14ac:dyDescent="0.3">
      <c r="B341" s="51"/>
      <c r="C341" s="51"/>
      <c r="D341" s="51"/>
      <c r="E341" s="51"/>
      <c r="F341" s="42" t="str">
        <f t="shared" si="4"/>
        <v/>
      </c>
      <c r="H341" s="83"/>
      <c r="I341" s="86"/>
      <c r="J341" s="133"/>
      <c r="K341" s="133"/>
      <c r="L341" s="133"/>
      <c r="M341" s="130"/>
    </row>
    <row r="342" spans="2:13" x14ac:dyDescent="0.3">
      <c r="B342" s="51"/>
      <c r="C342" s="51"/>
      <c r="D342" s="51"/>
      <c r="E342" s="51"/>
      <c r="F342" s="42" t="str">
        <f t="shared" si="4"/>
        <v/>
      </c>
      <c r="H342" s="83"/>
      <c r="I342" s="86"/>
      <c r="J342" s="133"/>
      <c r="K342" s="133"/>
      <c r="L342" s="133"/>
      <c r="M342" s="130"/>
    </row>
    <row r="343" spans="2:13" x14ac:dyDescent="0.3">
      <c r="B343" s="51"/>
      <c r="C343" s="51"/>
      <c r="D343" s="51"/>
      <c r="E343" s="51"/>
      <c r="F343" s="42" t="str">
        <f t="shared" si="4"/>
        <v/>
      </c>
      <c r="H343" s="83"/>
      <c r="I343" s="86"/>
      <c r="J343" s="133"/>
      <c r="K343" s="133"/>
      <c r="L343" s="133"/>
      <c r="M343" s="130"/>
    </row>
    <row r="344" spans="2:13" x14ac:dyDescent="0.3">
      <c r="B344" s="51"/>
      <c r="C344" s="51"/>
      <c r="D344" s="51"/>
      <c r="E344" s="51"/>
      <c r="F344" s="42" t="str">
        <f t="shared" ref="F344:F407" si="5">IF(C344="","",CONCATENATE(B344," ",C344," ",D344," ",E344))</f>
        <v/>
      </c>
      <c r="H344" s="83"/>
      <c r="I344" s="86"/>
      <c r="J344" s="133"/>
      <c r="K344" s="133"/>
      <c r="L344" s="133"/>
      <c r="M344" s="130"/>
    </row>
    <row r="345" spans="2:13" x14ac:dyDescent="0.3">
      <c r="B345" s="51"/>
      <c r="C345" s="51"/>
      <c r="D345" s="51"/>
      <c r="E345" s="51"/>
      <c r="F345" s="42" t="str">
        <f t="shared" si="5"/>
        <v/>
      </c>
      <c r="H345" s="83"/>
      <c r="I345" s="86"/>
      <c r="J345" s="133"/>
      <c r="K345" s="133"/>
      <c r="L345" s="133"/>
      <c r="M345" s="130"/>
    </row>
    <row r="346" spans="2:13" x14ac:dyDescent="0.3">
      <c r="B346" s="51"/>
      <c r="C346" s="51"/>
      <c r="D346" s="51"/>
      <c r="E346" s="51"/>
      <c r="F346" s="42" t="str">
        <f t="shared" si="5"/>
        <v/>
      </c>
      <c r="H346" s="83"/>
      <c r="I346" s="86"/>
      <c r="J346" s="133"/>
      <c r="K346" s="133"/>
      <c r="L346" s="133"/>
      <c r="M346" s="130"/>
    </row>
    <row r="347" spans="2:13" x14ac:dyDescent="0.3">
      <c r="B347" s="51"/>
      <c r="C347" s="51"/>
      <c r="D347" s="51"/>
      <c r="E347" s="51"/>
      <c r="F347" s="42" t="str">
        <f t="shared" si="5"/>
        <v/>
      </c>
      <c r="H347" s="83"/>
      <c r="I347" s="86"/>
      <c r="J347" s="133"/>
      <c r="K347" s="133"/>
      <c r="L347" s="133"/>
      <c r="M347" s="130"/>
    </row>
    <row r="348" spans="2:13" x14ac:dyDescent="0.3">
      <c r="B348" s="51"/>
      <c r="C348" s="51"/>
      <c r="D348" s="51"/>
      <c r="E348" s="51"/>
      <c r="F348" s="42" t="str">
        <f t="shared" si="5"/>
        <v/>
      </c>
      <c r="H348" s="83"/>
      <c r="I348" s="86"/>
      <c r="J348" s="133"/>
      <c r="K348" s="133"/>
      <c r="L348" s="133"/>
      <c r="M348" s="130"/>
    </row>
    <row r="349" spans="2:13" x14ac:dyDescent="0.3">
      <c r="B349" s="51"/>
      <c r="C349" s="51"/>
      <c r="D349" s="51"/>
      <c r="E349" s="51"/>
      <c r="F349" s="42" t="str">
        <f t="shared" si="5"/>
        <v/>
      </c>
      <c r="H349" s="83"/>
      <c r="I349" s="86"/>
      <c r="J349" s="133"/>
      <c r="K349" s="133"/>
      <c r="L349" s="133"/>
      <c r="M349" s="130"/>
    </row>
    <row r="350" spans="2:13" x14ac:dyDescent="0.3">
      <c r="B350" s="51"/>
      <c r="C350" s="51"/>
      <c r="D350" s="51"/>
      <c r="E350" s="51"/>
      <c r="F350" s="42" t="str">
        <f t="shared" si="5"/>
        <v/>
      </c>
      <c r="H350" s="83"/>
      <c r="I350" s="86"/>
      <c r="J350" s="133"/>
      <c r="K350" s="133"/>
      <c r="L350" s="133"/>
      <c r="M350" s="130"/>
    </row>
    <row r="351" spans="2:13" x14ac:dyDescent="0.3">
      <c r="B351" s="51"/>
      <c r="C351" s="51"/>
      <c r="D351" s="51"/>
      <c r="E351" s="51"/>
      <c r="F351" s="42" t="str">
        <f t="shared" si="5"/>
        <v/>
      </c>
      <c r="H351" s="83"/>
      <c r="I351" s="86"/>
      <c r="J351" s="133"/>
      <c r="K351" s="133"/>
      <c r="L351" s="133"/>
      <c r="M351" s="130"/>
    </row>
    <row r="352" spans="2:13" x14ac:dyDescent="0.3">
      <c r="B352" s="51"/>
      <c r="C352" s="51"/>
      <c r="D352" s="51"/>
      <c r="E352" s="51"/>
      <c r="F352" s="42" t="str">
        <f t="shared" si="5"/>
        <v/>
      </c>
      <c r="H352" s="83"/>
      <c r="I352" s="86"/>
      <c r="J352" s="133"/>
      <c r="K352" s="133"/>
      <c r="L352" s="133"/>
      <c r="M352" s="130"/>
    </row>
    <row r="353" spans="2:13" x14ac:dyDescent="0.3">
      <c r="B353" s="51"/>
      <c r="C353" s="51"/>
      <c r="D353" s="51"/>
      <c r="E353" s="51"/>
      <c r="F353" s="42" t="str">
        <f t="shared" si="5"/>
        <v/>
      </c>
      <c r="H353" s="83"/>
      <c r="I353" s="86"/>
      <c r="J353" s="133"/>
      <c r="K353" s="133"/>
      <c r="L353" s="133"/>
      <c r="M353" s="130"/>
    </row>
    <row r="354" spans="2:13" x14ac:dyDescent="0.3">
      <c r="B354" s="51"/>
      <c r="C354" s="51"/>
      <c r="D354" s="51"/>
      <c r="E354" s="51"/>
      <c r="F354" s="42" t="str">
        <f t="shared" si="5"/>
        <v/>
      </c>
      <c r="H354" s="83"/>
      <c r="I354" s="86"/>
      <c r="J354" s="133"/>
      <c r="K354" s="133"/>
      <c r="L354" s="133"/>
      <c r="M354" s="130"/>
    </row>
    <row r="355" spans="2:13" x14ac:dyDescent="0.3">
      <c r="B355" s="51"/>
      <c r="C355" s="51"/>
      <c r="D355" s="51"/>
      <c r="E355" s="51"/>
      <c r="F355" s="42" t="str">
        <f t="shared" si="5"/>
        <v/>
      </c>
      <c r="H355" s="83"/>
      <c r="I355" s="86"/>
      <c r="J355" s="133"/>
      <c r="K355" s="133"/>
      <c r="L355" s="133"/>
      <c r="M355" s="130"/>
    </row>
    <row r="356" spans="2:13" x14ac:dyDescent="0.3">
      <c r="B356" s="51"/>
      <c r="C356" s="51"/>
      <c r="D356" s="51"/>
      <c r="E356" s="51"/>
      <c r="F356" s="42" t="str">
        <f t="shared" si="5"/>
        <v/>
      </c>
      <c r="H356" s="83"/>
      <c r="I356" s="86"/>
      <c r="J356" s="133"/>
      <c r="K356" s="133"/>
      <c r="L356" s="133"/>
      <c r="M356" s="130"/>
    </row>
    <row r="357" spans="2:13" x14ac:dyDescent="0.3">
      <c r="B357" s="51"/>
      <c r="C357" s="51"/>
      <c r="D357" s="51"/>
      <c r="E357" s="51"/>
      <c r="F357" s="42" t="str">
        <f t="shared" si="5"/>
        <v/>
      </c>
      <c r="H357" s="83"/>
      <c r="I357" s="86"/>
      <c r="J357" s="133"/>
      <c r="K357" s="133"/>
      <c r="L357" s="133"/>
      <c r="M357" s="130"/>
    </row>
    <row r="358" spans="2:13" x14ac:dyDescent="0.3">
      <c r="B358" s="51"/>
      <c r="C358" s="51"/>
      <c r="D358" s="51"/>
      <c r="E358" s="51"/>
      <c r="F358" s="42" t="str">
        <f t="shared" si="5"/>
        <v/>
      </c>
      <c r="H358" s="83"/>
      <c r="I358" s="86"/>
      <c r="J358" s="133"/>
      <c r="K358" s="133"/>
      <c r="L358" s="133"/>
      <c r="M358" s="130"/>
    </row>
    <row r="359" spans="2:13" x14ac:dyDescent="0.3">
      <c r="B359" s="51"/>
      <c r="C359" s="51"/>
      <c r="D359" s="51"/>
      <c r="E359" s="51"/>
      <c r="F359" s="42" t="str">
        <f t="shared" si="5"/>
        <v/>
      </c>
      <c r="H359" s="83"/>
      <c r="I359" s="86"/>
      <c r="J359" s="133"/>
      <c r="K359" s="133"/>
      <c r="L359" s="133"/>
      <c r="M359" s="130"/>
    </row>
    <row r="360" spans="2:13" x14ac:dyDescent="0.3">
      <c r="B360" s="51"/>
      <c r="C360" s="51"/>
      <c r="D360" s="51"/>
      <c r="E360" s="51"/>
      <c r="F360" s="42" t="str">
        <f t="shared" si="5"/>
        <v/>
      </c>
      <c r="H360" s="83"/>
      <c r="I360" s="86"/>
      <c r="J360" s="133"/>
      <c r="K360" s="133"/>
      <c r="L360" s="133"/>
      <c r="M360" s="130"/>
    </row>
    <row r="361" spans="2:13" x14ac:dyDescent="0.3">
      <c r="B361" s="51"/>
      <c r="C361" s="51"/>
      <c r="D361" s="51"/>
      <c r="E361" s="51"/>
      <c r="F361" s="42" t="str">
        <f t="shared" si="5"/>
        <v/>
      </c>
      <c r="H361" s="83"/>
      <c r="I361" s="86"/>
      <c r="J361" s="133"/>
      <c r="K361" s="133"/>
      <c r="L361" s="133"/>
      <c r="M361" s="130"/>
    </row>
    <row r="362" spans="2:13" x14ac:dyDescent="0.3">
      <c r="B362" s="51"/>
      <c r="C362" s="51"/>
      <c r="D362" s="51"/>
      <c r="E362" s="51"/>
      <c r="F362" s="42" t="str">
        <f t="shared" si="5"/>
        <v/>
      </c>
      <c r="H362" s="83"/>
      <c r="I362" s="86"/>
      <c r="J362" s="133"/>
      <c r="K362" s="133"/>
      <c r="L362" s="133"/>
      <c r="M362" s="130"/>
    </row>
    <row r="363" spans="2:13" x14ac:dyDescent="0.3">
      <c r="B363" s="51"/>
      <c r="C363" s="51"/>
      <c r="D363" s="51"/>
      <c r="E363" s="51"/>
      <c r="F363" s="42" t="str">
        <f t="shared" si="5"/>
        <v/>
      </c>
      <c r="H363" s="83"/>
      <c r="I363" s="86"/>
      <c r="J363" s="133"/>
      <c r="K363" s="133"/>
      <c r="L363" s="133"/>
      <c r="M363" s="130"/>
    </row>
    <row r="364" spans="2:13" x14ac:dyDescent="0.3">
      <c r="B364" s="51"/>
      <c r="C364" s="51"/>
      <c r="D364" s="51"/>
      <c r="E364" s="51"/>
      <c r="F364" s="42" t="str">
        <f t="shared" si="5"/>
        <v/>
      </c>
      <c r="H364" s="83"/>
      <c r="I364" s="86"/>
      <c r="J364" s="133"/>
      <c r="K364" s="133"/>
      <c r="L364" s="133"/>
      <c r="M364" s="130"/>
    </row>
    <row r="365" spans="2:13" x14ac:dyDescent="0.3">
      <c r="B365" s="51"/>
      <c r="C365" s="51"/>
      <c r="D365" s="51"/>
      <c r="E365" s="51"/>
      <c r="F365" s="42" t="str">
        <f t="shared" si="5"/>
        <v/>
      </c>
      <c r="H365" s="83"/>
      <c r="I365" s="86"/>
      <c r="J365" s="133"/>
      <c r="K365" s="133"/>
      <c r="L365" s="133"/>
      <c r="M365" s="130"/>
    </row>
    <row r="366" spans="2:13" x14ac:dyDescent="0.3">
      <c r="B366" s="51"/>
      <c r="C366" s="51"/>
      <c r="D366" s="51"/>
      <c r="E366" s="51"/>
      <c r="F366" s="42" t="str">
        <f t="shared" si="5"/>
        <v/>
      </c>
      <c r="H366" s="83"/>
      <c r="I366" s="86"/>
      <c r="J366" s="133"/>
      <c r="K366" s="133"/>
      <c r="L366" s="133"/>
      <c r="M366" s="130"/>
    </row>
    <row r="367" spans="2:13" x14ac:dyDescent="0.3">
      <c r="B367" s="51"/>
      <c r="C367" s="51"/>
      <c r="D367" s="51"/>
      <c r="E367" s="51"/>
      <c r="F367" s="42" t="str">
        <f t="shared" si="5"/>
        <v/>
      </c>
      <c r="H367" s="83"/>
      <c r="I367" s="86"/>
      <c r="J367" s="133"/>
      <c r="K367" s="133"/>
      <c r="L367" s="133"/>
      <c r="M367" s="130"/>
    </row>
    <row r="368" spans="2:13" x14ac:dyDescent="0.3">
      <c r="B368" s="51"/>
      <c r="C368" s="51"/>
      <c r="D368" s="51"/>
      <c r="E368" s="51"/>
      <c r="F368" s="42" t="str">
        <f t="shared" si="5"/>
        <v/>
      </c>
      <c r="H368" s="83"/>
      <c r="I368" s="86"/>
      <c r="J368" s="133"/>
      <c r="K368" s="133"/>
      <c r="L368" s="133"/>
      <c r="M368" s="130"/>
    </row>
    <row r="369" spans="2:13" x14ac:dyDescent="0.3">
      <c r="B369" s="51"/>
      <c r="C369" s="51"/>
      <c r="D369" s="51"/>
      <c r="E369" s="51"/>
      <c r="F369" s="42" t="str">
        <f t="shared" si="5"/>
        <v/>
      </c>
      <c r="H369" s="83"/>
      <c r="I369" s="86"/>
      <c r="J369" s="133"/>
      <c r="K369" s="133"/>
      <c r="L369" s="133"/>
      <c r="M369" s="130"/>
    </row>
    <row r="370" spans="2:13" x14ac:dyDescent="0.3">
      <c r="B370" s="51"/>
      <c r="C370" s="51"/>
      <c r="D370" s="51"/>
      <c r="E370" s="51"/>
      <c r="F370" s="42" t="str">
        <f t="shared" si="5"/>
        <v/>
      </c>
      <c r="H370" s="83"/>
      <c r="I370" s="86"/>
      <c r="J370" s="133"/>
      <c r="K370" s="133"/>
      <c r="L370" s="133"/>
      <c r="M370" s="130"/>
    </row>
    <row r="371" spans="2:13" x14ac:dyDescent="0.3">
      <c r="B371" s="51"/>
      <c r="C371" s="51"/>
      <c r="D371" s="51"/>
      <c r="E371" s="51"/>
      <c r="F371" s="42" t="str">
        <f t="shared" si="5"/>
        <v/>
      </c>
      <c r="H371" s="83"/>
      <c r="I371" s="86"/>
      <c r="J371" s="133"/>
      <c r="K371" s="133"/>
      <c r="L371" s="133"/>
      <c r="M371" s="130"/>
    </row>
    <row r="372" spans="2:13" x14ac:dyDescent="0.3">
      <c r="B372" s="51"/>
      <c r="C372" s="51"/>
      <c r="D372" s="51"/>
      <c r="E372" s="51"/>
      <c r="F372" s="42" t="str">
        <f t="shared" si="5"/>
        <v/>
      </c>
      <c r="H372" s="83"/>
      <c r="I372" s="86"/>
      <c r="J372" s="133"/>
      <c r="K372" s="133"/>
      <c r="L372" s="133"/>
      <c r="M372" s="130"/>
    </row>
    <row r="373" spans="2:13" x14ac:dyDescent="0.3">
      <c r="B373" s="51"/>
      <c r="C373" s="51"/>
      <c r="D373" s="51"/>
      <c r="E373" s="51"/>
      <c r="F373" s="42" t="str">
        <f t="shared" si="5"/>
        <v/>
      </c>
      <c r="H373" s="83"/>
      <c r="I373" s="86"/>
      <c r="J373" s="133"/>
      <c r="K373" s="133"/>
      <c r="L373" s="133"/>
      <c r="M373" s="130"/>
    </row>
    <row r="374" spans="2:13" x14ac:dyDescent="0.3">
      <c r="B374" s="51"/>
      <c r="C374" s="51"/>
      <c r="D374" s="51"/>
      <c r="E374" s="51"/>
      <c r="F374" s="42" t="str">
        <f t="shared" si="5"/>
        <v/>
      </c>
      <c r="H374" s="83"/>
      <c r="I374" s="86"/>
      <c r="J374" s="133"/>
      <c r="K374" s="133"/>
      <c r="L374" s="133"/>
      <c r="M374" s="130"/>
    </row>
    <row r="375" spans="2:13" x14ac:dyDescent="0.3">
      <c r="B375" s="51"/>
      <c r="C375" s="51"/>
      <c r="D375" s="51"/>
      <c r="E375" s="51"/>
      <c r="F375" s="42" t="str">
        <f t="shared" si="5"/>
        <v/>
      </c>
      <c r="H375" s="83"/>
      <c r="I375" s="86"/>
      <c r="J375" s="133"/>
      <c r="K375" s="133"/>
      <c r="L375" s="133"/>
      <c r="M375" s="130"/>
    </row>
    <row r="376" spans="2:13" x14ac:dyDescent="0.3">
      <c r="B376" s="51"/>
      <c r="C376" s="51"/>
      <c r="D376" s="51"/>
      <c r="E376" s="51"/>
      <c r="F376" s="42" t="str">
        <f t="shared" si="5"/>
        <v/>
      </c>
      <c r="H376" s="83"/>
      <c r="I376" s="86"/>
      <c r="J376" s="133"/>
      <c r="K376" s="133"/>
      <c r="L376" s="133"/>
      <c r="M376" s="130"/>
    </row>
    <row r="377" spans="2:13" x14ac:dyDescent="0.3">
      <c r="B377" s="51"/>
      <c r="C377" s="51"/>
      <c r="D377" s="51"/>
      <c r="E377" s="51"/>
      <c r="F377" s="42" t="str">
        <f t="shared" si="5"/>
        <v/>
      </c>
      <c r="H377" s="83"/>
      <c r="I377" s="86"/>
      <c r="J377" s="133"/>
      <c r="K377" s="133"/>
      <c r="L377" s="133"/>
      <c r="M377" s="130"/>
    </row>
    <row r="378" spans="2:13" x14ac:dyDescent="0.3">
      <c r="B378" s="51"/>
      <c r="C378" s="51"/>
      <c r="D378" s="51"/>
      <c r="E378" s="51"/>
      <c r="F378" s="42" t="str">
        <f t="shared" si="5"/>
        <v/>
      </c>
      <c r="H378" s="83"/>
      <c r="I378" s="86"/>
      <c r="J378" s="133"/>
      <c r="K378" s="133"/>
      <c r="L378" s="133"/>
      <c r="M378" s="130"/>
    </row>
    <row r="379" spans="2:13" x14ac:dyDescent="0.3">
      <c r="B379" s="51"/>
      <c r="C379" s="51"/>
      <c r="D379" s="51"/>
      <c r="E379" s="51"/>
      <c r="F379" s="42" t="str">
        <f t="shared" si="5"/>
        <v/>
      </c>
      <c r="H379" s="83"/>
      <c r="I379" s="86"/>
      <c r="J379" s="133"/>
      <c r="K379" s="133"/>
      <c r="L379" s="133"/>
      <c r="M379" s="130"/>
    </row>
    <row r="380" spans="2:13" x14ac:dyDescent="0.3">
      <c r="B380" s="51"/>
      <c r="C380" s="51"/>
      <c r="D380" s="51"/>
      <c r="E380" s="51"/>
      <c r="F380" s="42" t="str">
        <f t="shared" si="5"/>
        <v/>
      </c>
      <c r="H380" s="83"/>
      <c r="I380" s="86"/>
      <c r="J380" s="133"/>
      <c r="K380" s="133"/>
      <c r="L380" s="133"/>
      <c r="M380" s="130"/>
    </row>
    <row r="381" spans="2:13" x14ac:dyDescent="0.3">
      <c r="B381" s="51"/>
      <c r="C381" s="51"/>
      <c r="D381" s="51"/>
      <c r="E381" s="51"/>
      <c r="F381" s="42" t="str">
        <f t="shared" si="5"/>
        <v/>
      </c>
      <c r="H381" s="83"/>
      <c r="I381" s="86"/>
      <c r="J381" s="133"/>
      <c r="K381" s="133"/>
      <c r="L381" s="133"/>
      <c r="M381" s="130"/>
    </row>
    <row r="382" spans="2:13" x14ac:dyDescent="0.3">
      <c r="B382" s="51"/>
      <c r="C382" s="51"/>
      <c r="D382" s="51"/>
      <c r="E382" s="51"/>
      <c r="F382" s="42" t="str">
        <f t="shared" si="5"/>
        <v/>
      </c>
      <c r="H382" s="83"/>
      <c r="I382" s="86"/>
      <c r="J382" s="133"/>
      <c r="K382" s="133"/>
      <c r="L382" s="133"/>
      <c r="M382" s="130"/>
    </row>
    <row r="383" spans="2:13" x14ac:dyDescent="0.3">
      <c r="B383" s="51"/>
      <c r="C383" s="51"/>
      <c r="D383" s="51"/>
      <c r="E383" s="51"/>
      <c r="F383" s="42" t="str">
        <f t="shared" si="5"/>
        <v/>
      </c>
      <c r="H383" s="83"/>
      <c r="I383" s="86"/>
      <c r="J383" s="133"/>
      <c r="K383" s="133"/>
      <c r="L383" s="133"/>
      <c r="M383" s="130"/>
    </row>
    <row r="384" spans="2:13" x14ac:dyDescent="0.3">
      <c r="B384" s="51"/>
      <c r="C384" s="51"/>
      <c r="D384" s="51"/>
      <c r="E384" s="51"/>
      <c r="F384" s="42" t="str">
        <f t="shared" si="5"/>
        <v/>
      </c>
      <c r="H384" s="83"/>
      <c r="I384" s="86"/>
      <c r="J384" s="133"/>
      <c r="K384" s="133"/>
      <c r="L384" s="133"/>
      <c r="M384" s="130"/>
    </row>
    <row r="385" spans="2:13" x14ac:dyDescent="0.3">
      <c r="B385" s="51"/>
      <c r="C385" s="51"/>
      <c r="D385" s="51"/>
      <c r="E385" s="51"/>
      <c r="F385" s="42" t="str">
        <f t="shared" si="5"/>
        <v/>
      </c>
      <c r="H385" s="83"/>
      <c r="I385" s="86"/>
      <c r="J385" s="133"/>
      <c r="K385" s="133"/>
      <c r="L385" s="133"/>
      <c r="M385" s="130"/>
    </row>
    <row r="386" spans="2:13" x14ac:dyDescent="0.3">
      <c r="B386" s="51"/>
      <c r="C386" s="51"/>
      <c r="D386" s="51"/>
      <c r="E386" s="51"/>
      <c r="F386" s="42" t="str">
        <f t="shared" si="5"/>
        <v/>
      </c>
      <c r="H386" s="83"/>
      <c r="I386" s="86"/>
      <c r="J386" s="133"/>
      <c r="K386" s="133"/>
      <c r="L386" s="133"/>
      <c r="M386" s="130"/>
    </row>
    <row r="387" spans="2:13" x14ac:dyDescent="0.3">
      <c r="B387" s="51"/>
      <c r="C387" s="51"/>
      <c r="D387" s="51"/>
      <c r="E387" s="51"/>
      <c r="F387" s="42" t="str">
        <f t="shared" si="5"/>
        <v/>
      </c>
      <c r="H387" s="83"/>
      <c r="I387" s="86"/>
      <c r="J387" s="133"/>
      <c r="K387" s="133"/>
      <c r="L387" s="133"/>
      <c r="M387" s="130"/>
    </row>
    <row r="388" spans="2:13" x14ac:dyDescent="0.3">
      <c r="B388" s="51"/>
      <c r="C388" s="51"/>
      <c r="D388" s="51"/>
      <c r="E388" s="51"/>
      <c r="F388" s="42" t="str">
        <f t="shared" si="5"/>
        <v/>
      </c>
      <c r="H388" s="83"/>
      <c r="I388" s="86"/>
      <c r="J388" s="133"/>
      <c r="K388" s="133"/>
      <c r="L388" s="133"/>
      <c r="M388" s="130"/>
    </row>
    <row r="389" spans="2:13" x14ac:dyDescent="0.3">
      <c r="B389" s="51"/>
      <c r="C389" s="51"/>
      <c r="D389" s="51"/>
      <c r="E389" s="51"/>
      <c r="F389" s="42" t="str">
        <f t="shared" si="5"/>
        <v/>
      </c>
      <c r="H389" s="83"/>
      <c r="I389" s="86"/>
      <c r="J389" s="133"/>
      <c r="K389" s="133"/>
      <c r="L389" s="133"/>
      <c r="M389" s="130"/>
    </row>
    <row r="390" spans="2:13" x14ac:dyDescent="0.3">
      <c r="B390" s="51"/>
      <c r="C390" s="51"/>
      <c r="D390" s="51"/>
      <c r="E390" s="51"/>
      <c r="F390" s="42" t="str">
        <f t="shared" si="5"/>
        <v/>
      </c>
      <c r="H390" s="83"/>
      <c r="I390" s="86"/>
      <c r="J390" s="133"/>
      <c r="K390" s="133"/>
      <c r="L390" s="133"/>
      <c r="M390" s="130"/>
    </row>
    <row r="391" spans="2:13" x14ac:dyDescent="0.3">
      <c r="B391" s="51"/>
      <c r="C391" s="51"/>
      <c r="D391" s="51"/>
      <c r="E391" s="51"/>
      <c r="F391" s="42" t="str">
        <f t="shared" si="5"/>
        <v/>
      </c>
      <c r="H391" s="83"/>
      <c r="I391" s="86"/>
      <c r="J391" s="133"/>
      <c r="K391" s="133"/>
      <c r="L391" s="133"/>
      <c r="M391" s="130"/>
    </row>
    <row r="392" spans="2:13" x14ac:dyDescent="0.3">
      <c r="B392" s="51"/>
      <c r="C392" s="51"/>
      <c r="D392" s="51"/>
      <c r="E392" s="51"/>
      <c r="F392" s="42" t="str">
        <f t="shared" si="5"/>
        <v/>
      </c>
      <c r="H392" s="83"/>
      <c r="I392" s="86"/>
      <c r="J392" s="133"/>
      <c r="K392" s="133"/>
      <c r="L392" s="133"/>
      <c r="M392" s="130"/>
    </row>
    <row r="393" spans="2:13" x14ac:dyDescent="0.3">
      <c r="B393" s="51"/>
      <c r="C393" s="51"/>
      <c r="D393" s="51"/>
      <c r="E393" s="51"/>
      <c r="F393" s="42" t="str">
        <f t="shared" si="5"/>
        <v/>
      </c>
      <c r="H393" s="83"/>
      <c r="I393" s="86"/>
      <c r="J393" s="133"/>
      <c r="K393" s="133"/>
      <c r="L393" s="133"/>
      <c r="M393" s="130"/>
    </row>
    <row r="394" spans="2:13" x14ac:dyDescent="0.3">
      <c r="B394" s="51"/>
      <c r="C394" s="51"/>
      <c r="D394" s="51"/>
      <c r="E394" s="51"/>
      <c r="F394" s="42" t="str">
        <f t="shared" si="5"/>
        <v/>
      </c>
      <c r="H394" s="83"/>
      <c r="I394" s="86"/>
      <c r="J394" s="133"/>
      <c r="K394" s="133"/>
      <c r="L394" s="133"/>
      <c r="M394" s="130"/>
    </row>
    <row r="395" spans="2:13" x14ac:dyDescent="0.3">
      <c r="B395" s="51"/>
      <c r="C395" s="51"/>
      <c r="D395" s="51"/>
      <c r="E395" s="51"/>
      <c r="F395" s="42" t="str">
        <f t="shared" si="5"/>
        <v/>
      </c>
      <c r="H395" s="83"/>
      <c r="I395" s="86"/>
      <c r="J395" s="133"/>
      <c r="K395" s="133"/>
      <c r="L395" s="133"/>
      <c r="M395" s="130"/>
    </row>
    <row r="396" spans="2:13" x14ac:dyDescent="0.3">
      <c r="B396" s="51"/>
      <c r="C396" s="51"/>
      <c r="D396" s="51"/>
      <c r="E396" s="51"/>
      <c r="F396" s="42" t="str">
        <f t="shared" si="5"/>
        <v/>
      </c>
      <c r="H396" s="83"/>
      <c r="I396" s="86"/>
      <c r="J396" s="133"/>
      <c r="K396" s="133"/>
      <c r="L396" s="133"/>
      <c r="M396" s="130"/>
    </row>
    <row r="397" spans="2:13" x14ac:dyDescent="0.3">
      <c r="B397" s="51"/>
      <c r="C397" s="51"/>
      <c r="D397" s="51"/>
      <c r="E397" s="51"/>
      <c r="F397" s="42" t="str">
        <f t="shared" si="5"/>
        <v/>
      </c>
      <c r="H397" s="83"/>
      <c r="I397" s="86"/>
      <c r="J397" s="133"/>
      <c r="K397" s="133"/>
      <c r="L397" s="133"/>
      <c r="M397" s="130"/>
    </row>
    <row r="398" spans="2:13" x14ac:dyDescent="0.3">
      <c r="B398" s="51"/>
      <c r="C398" s="51"/>
      <c r="D398" s="51"/>
      <c r="E398" s="51"/>
      <c r="F398" s="42" t="str">
        <f t="shared" si="5"/>
        <v/>
      </c>
      <c r="H398" s="83"/>
      <c r="I398" s="86"/>
      <c r="J398" s="133"/>
      <c r="K398" s="133"/>
      <c r="L398" s="133"/>
      <c r="M398" s="130"/>
    </row>
    <row r="399" spans="2:13" x14ac:dyDescent="0.3">
      <c r="B399" s="51"/>
      <c r="C399" s="51"/>
      <c r="D399" s="51"/>
      <c r="E399" s="51"/>
      <c r="F399" s="42" t="str">
        <f t="shared" si="5"/>
        <v/>
      </c>
      <c r="H399" s="83"/>
      <c r="I399" s="86"/>
      <c r="J399" s="133"/>
      <c r="K399" s="133"/>
      <c r="L399" s="133"/>
      <c r="M399" s="130"/>
    </row>
    <row r="400" spans="2:13" x14ac:dyDescent="0.3">
      <c r="B400" s="51"/>
      <c r="C400" s="51"/>
      <c r="D400" s="51"/>
      <c r="E400" s="51"/>
      <c r="F400" s="42" t="str">
        <f t="shared" si="5"/>
        <v/>
      </c>
      <c r="H400" s="83"/>
      <c r="I400" s="86"/>
      <c r="J400" s="133"/>
      <c r="K400" s="133"/>
      <c r="L400" s="133"/>
      <c r="M400" s="130"/>
    </row>
    <row r="401" spans="2:13" x14ac:dyDescent="0.3">
      <c r="B401" s="51"/>
      <c r="C401" s="51"/>
      <c r="D401" s="51"/>
      <c r="E401" s="51"/>
      <c r="F401" s="42" t="str">
        <f t="shared" si="5"/>
        <v/>
      </c>
      <c r="H401" s="83"/>
      <c r="I401" s="86"/>
      <c r="J401" s="133"/>
      <c r="K401" s="133"/>
      <c r="L401" s="133"/>
      <c r="M401" s="130"/>
    </row>
    <row r="402" spans="2:13" x14ac:dyDescent="0.3">
      <c r="B402" s="51"/>
      <c r="C402" s="51"/>
      <c r="D402" s="51"/>
      <c r="E402" s="51"/>
      <c r="F402" s="42" t="str">
        <f t="shared" si="5"/>
        <v/>
      </c>
      <c r="H402" s="83"/>
      <c r="I402" s="86"/>
      <c r="J402" s="133"/>
      <c r="K402" s="133"/>
      <c r="L402" s="133"/>
      <c r="M402" s="130"/>
    </row>
    <row r="403" spans="2:13" x14ac:dyDescent="0.3">
      <c r="B403" s="51"/>
      <c r="C403" s="51"/>
      <c r="D403" s="51"/>
      <c r="E403" s="51"/>
      <c r="F403" s="42" t="str">
        <f t="shared" si="5"/>
        <v/>
      </c>
      <c r="H403" s="83"/>
      <c r="I403" s="86"/>
      <c r="J403" s="133"/>
      <c r="K403" s="133"/>
      <c r="L403" s="133"/>
      <c r="M403" s="130"/>
    </row>
    <row r="404" spans="2:13" x14ac:dyDescent="0.3">
      <c r="B404" s="51"/>
      <c r="C404" s="51"/>
      <c r="D404" s="51"/>
      <c r="E404" s="51"/>
      <c r="F404" s="42" t="str">
        <f t="shared" si="5"/>
        <v/>
      </c>
      <c r="H404" s="83"/>
      <c r="I404" s="86"/>
      <c r="J404" s="133"/>
      <c r="K404" s="133"/>
      <c r="L404" s="133"/>
      <c r="M404" s="130"/>
    </row>
    <row r="405" spans="2:13" x14ac:dyDescent="0.3">
      <c r="B405" s="51"/>
      <c r="C405" s="51"/>
      <c r="D405" s="51"/>
      <c r="E405" s="51"/>
      <c r="F405" s="42" t="str">
        <f t="shared" si="5"/>
        <v/>
      </c>
      <c r="H405" s="83"/>
      <c r="I405" s="86"/>
      <c r="J405" s="133"/>
      <c r="K405" s="133"/>
      <c r="L405" s="133"/>
      <c r="M405" s="130"/>
    </row>
    <row r="406" spans="2:13" x14ac:dyDescent="0.3">
      <c r="B406" s="51"/>
      <c r="C406" s="51"/>
      <c r="D406" s="51"/>
      <c r="E406" s="51"/>
      <c r="F406" s="42" t="str">
        <f t="shared" si="5"/>
        <v/>
      </c>
      <c r="H406" s="83"/>
      <c r="I406" s="86"/>
      <c r="J406" s="133"/>
      <c r="K406" s="133"/>
      <c r="L406" s="133"/>
      <c r="M406" s="130"/>
    </row>
    <row r="407" spans="2:13" x14ac:dyDescent="0.3">
      <c r="B407" s="51"/>
      <c r="C407" s="51"/>
      <c r="D407" s="51"/>
      <c r="E407" s="51"/>
      <c r="F407" s="42" t="str">
        <f t="shared" si="5"/>
        <v/>
      </c>
      <c r="H407" s="83"/>
      <c r="I407" s="86"/>
      <c r="J407" s="133"/>
      <c r="K407" s="133"/>
      <c r="L407" s="133"/>
      <c r="M407" s="130"/>
    </row>
    <row r="408" spans="2:13" x14ac:dyDescent="0.3">
      <c r="B408" s="51"/>
      <c r="C408" s="51"/>
      <c r="D408" s="51"/>
      <c r="E408" s="51"/>
      <c r="F408" s="42" t="str">
        <f t="shared" ref="F408:F471" si="6">IF(C408="","",CONCATENATE(B408," ",C408," ",D408," ",E408))</f>
        <v/>
      </c>
      <c r="H408" s="83"/>
      <c r="I408" s="86"/>
      <c r="J408" s="133"/>
      <c r="K408" s="133"/>
      <c r="L408" s="133"/>
      <c r="M408" s="130"/>
    </row>
    <row r="409" spans="2:13" x14ac:dyDescent="0.3">
      <c r="B409" s="51"/>
      <c r="C409" s="51"/>
      <c r="D409" s="51"/>
      <c r="E409" s="51"/>
      <c r="F409" s="42" t="str">
        <f t="shared" si="6"/>
        <v/>
      </c>
      <c r="H409" s="83"/>
      <c r="I409" s="86"/>
      <c r="J409" s="133"/>
      <c r="K409" s="133"/>
      <c r="L409" s="133"/>
      <c r="M409" s="130"/>
    </row>
    <row r="410" spans="2:13" x14ac:dyDescent="0.3">
      <c r="B410" s="51"/>
      <c r="C410" s="51"/>
      <c r="D410" s="51"/>
      <c r="E410" s="51"/>
      <c r="F410" s="42" t="str">
        <f t="shared" si="6"/>
        <v/>
      </c>
      <c r="H410" s="83"/>
      <c r="I410" s="86"/>
      <c r="J410" s="133"/>
      <c r="K410" s="133"/>
      <c r="L410" s="133"/>
      <c r="M410" s="130"/>
    </row>
    <row r="411" spans="2:13" x14ac:dyDescent="0.3">
      <c r="B411" s="51"/>
      <c r="C411" s="51"/>
      <c r="D411" s="51"/>
      <c r="E411" s="51"/>
      <c r="F411" s="42" t="str">
        <f t="shared" si="6"/>
        <v/>
      </c>
      <c r="H411" s="83"/>
      <c r="I411" s="86"/>
      <c r="J411" s="133"/>
      <c r="K411" s="133"/>
      <c r="L411" s="133"/>
      <c r="M411" s="130"/>
    </row>
    <row r="412" spans="2:13" x14ac:dyDescent="0.3">
      <c r="B412" s="51"/>
      <c r="C412" s="51"/>
      <c r="D412" s="51"/>
      <c r="E412" s="51"/>
      <c r="F412" s="42" t="str">
        <f t="shared" si="6"/>
        <v/>
      </c>
      <c r="H412" s="83"/>
      <c r="I412" s="86"/>
      <c r="J412" s="133"/>
      <c r="K412" s="133"/>
      <c r="L412" s="133"/>
      <c r="M412" s="130"/>
    </row>
    <row r="413" spans="2:13" x14ac:dyDescent="0.3">
      <c r="B413" s="51"/>
      <c r="C413" s="51"/>
      <c r="D413" s="51"/>
      <c r="E413" s="51"/>
      <c r="F413" s="42" t="str">
        <f t="shared" si="6"/>
        <v/>
      </c>
      <c r="H413" s="83"/>
      <c r="I413" s="86"/>
      <c r="J413" s="133"/>
      <c r="K413" s="133"/>
      <c r="L413" s="133"/>
      <c r="M413" s="130"/>
    </row>
    <row r="414" spans="2:13" x14ac:dyDescent="0.3">
      <c r="B414" s="51"/>
      <c r="C414" s="51"/>
      <c r="D414" s="51"/>
      <c r="E414" s="51"/>
      <c r="F414" s="42" t="str">
        <f t="shared" si="6"/>
        <v/>
      </c>
      <c r="H414" s="83"/>
      <c r="I414" s="86"/>
      <c r="J414" s="133"/>
      <c r="K414" s="133"/>
      <c r="L414" s="133"/>
      <c r="M414" s="130"/>
    </row>
    <row r="415" spans="2:13" x14ac:dyDescent="0.3">
      <c r="B415" s="51"/>
      <c r="C415" s="51"/>
      <c r="D415" s="51"/>
      <c r="E415" s="51"/>
      <c r="F415" s="42" t="str">
        <f t="shared" si="6"/>
        <v/>
      </c>
      <c r="H415" s="83"/>
      <c r="I415" s="86"/>
      <c r="J415" s="133"/>
      <c r="K415" s="133"/>
      <c r="L415" s="133"/>
      <c r="M415" s="130"/>
    </row>
    <row r="416" spans="2:13" x14ac:dyDescent="0.3">
      <c r="B416" s="51"/>
      <c r="C416" s="51"/>
      <c r="D416" s="51"/>
      <c r="E416" s="51"/>
      <c r="F416" s="42" t="str">
        <f t="shared" si="6"/>
        <v/>
      </c>
      <c r="H416" s="83"/>
      <c r="I416" s="86"/>
      <c r="J416" s="133"/>
      <c r="K416" s="133"/>
      <c r="L416" s="133"/>
      <c r="M416" s="130"/>
    </row>
    <row r="417" spans="2:13" x14ac:dyDescent="0.3">
      <c r="B417" s="51"/>
      <c r="C417" s="51"/>
      <c r="D417" s="51"/>
      <c r="E417" s="51"/>
      <c r="F417" s="42" t="str">
        <f t="shared" si="6"/>
        <v/>
      </c>
      <c r="H417" s="83"/>
      <c r="I417" s="86"/>
      <c r="J417" s="133"/>
      <c r="K417" s="133"/>
      <c r="L417" s="133"/>
      <c r="M417" s="130"/>
    </row>
    <row r="418" spans="2:13" x14ac:dyDescent="0.3">
      <c r="B418" s="51"/>
      <c r="C418" s="51"/>
      <c r="D418" s="51"/>
      <c r="E418" s="51"/>
      <c r="F418" s="42" t="str">
        <f t="shared" si="6"/>
        <v/>
      </c>
      <c r="H418" s="83"/>
      <c r="I418" s="86"/>
      <c r="J418" s="133"/>
      <c r="K418" s="133"/>
      <c r="L418" s="133"/>
      <c r="M418" s="130"/>
    </row>
    <row r="419" spans="2:13" x14ac:dyDescent="0.3">
      <c r="B419" s="51"/>
      <c r="C419" s="51"/>
      <c r="D419" s="51"/>
      <c r="E419" s="51"/>
      <c r="F419" s="42" t="str">
        <f t="shared" si="6"/>
        <v/>
      </c>
      <c r="H419" s="83"/>
      <c r="I419" s="86"/>
      <c r="J419" s="133"/>
      <c r="K419" s="133"/>
      <c r="L419" s="133"/>
      <c r="M419" s="130"/>
    </row>
    <row r="420" spans="2:13" x14ac:dyDescent="0.3">
      <c r="B420" s="51"/>
      <c r="C420" s="51"/>
      <c r="D420" s="51"/>
      <c r="E420" s="51"/>
      <c r="F420" s="42" t="str">
        <f t="shared" si="6"/>
        <v/>
      </c>
      <c r="H420" s="83"/>
      <c r="I420" s="86"/>
      <c r="J420" s="133"/>
      <c r="K420" s="133"/>
      <c r="L420" s="133"/>
      <c r="M420" s="130"/>
    </row>
    <row r="421" spans="2:13" x14ac:dyDescent="0.3">
      <c r="B421" s="51"/>
      <c r="C421" s="51"/>
      <c r="D421" s="51"/>
      <c r="E421" s="51"/>
      <c r="F421" s="42" t="str">
        <f t="shared" si="6"/>
        <v/>
      </c>
      <c r="H421" s="83"/>
      <c r="I421" s="86"/>
      <c r="J421" s="133"/>
      <c r="K421" s="133"/>
      <c r="L421" s="133"/>
      <c r="M421" s="130"/>
    </row>
    <row r="422" spans="2:13" x14ac:dyDescent="0.3">
      <c r="B422" s="51"/>
      <c r="C422" s="51"/>
      <c r="D422" s="51"/>
      <c r="E422" s="51"/>
      <c r="F422" s="42" t="str">
        <f t="shared" si="6"/>
        <v/>
      </c>
      <c r="H422" s="83"/>
      <c r="I422" s="86"/>
      <c r="J422" s="133"/>
      <c r="K422" s="133"/>
      <c r="L422" s="133"/>
      <c r="M422" s="130"/>
    </row>
    <row r="423" spans="2:13" x14ac:dyDescent="0.3">
      <c r="B423" s="51"/>
      <c r="C423" s="51"/>
      <c r="D423" s="51"/>
      <c r="E423" s="51"/>
      <c r="F423" s="42" t="str">
        <f t="shared" si="6"/>
        <v/>
      </c>
      <c r="H423" s="83"/>
      <c r="I423" s="86"/>
      <c r="J423" s="133"/>
      <c r="K423" s="133"/>
      <c r="L423" s="133"/>
      <c r="M423" s="130"/>
    </row>
    <row r="424" spans="2:13" x14ac:dyDescent="0.3">
      <c r="B424" s="51"/>
      <c r="C424" s="51"/>
      <c r="D424" s="51"/>
      <c r="E424" s="51"/>
      <c r="F424" s="42" t="str">
        <f t="shared" si="6"/>
        <v/>
      </c>
      <c r="H424" s="83"/>
      <c r="I424" s="86"/>
      <c r="J424" s="133"/>
      <c r="K424" s="133"/>
      <c r="L424" s="133"/>
      <c r="M424" s="130"/>
    </row>
    <row r="425" spans="2:13" x14ac:dyDescent="0.3">
      <c r="B425" s="51"/>
      <c r="C425" s="51"/>
      <c r="D425" s="51"/>
      <c r="E425" s="51"/>
      <c r="F425" s="42" t="str">
        <f t="shared" si="6"/>
        <v/>
      </c>
      <c r="H425" s="83"/>
      <c r="I425" s="86"/>
      <c r="J425" s="133"/>
      <c r="K425" s="133"/>
      <c r="L425" s="133"/>
      <c r="M425" s="130"/>
    </row>
    <row r="426" spans="2:13" x14ac:dyDescent="0.3">
      <c r="B426" s="51"/>
      <c r="C426" s="51"/>
      <c r="D426" s="51"/>
      <c r="E426" s="51"/>
      <c r="F426" s="42" t="str">
        <f t="shared" si="6"/>
        <v/>
      </c>
      <c r="H426" s="83"/>
      <c r="I426" s="86"/>
      <c r="J426" s="133"/>
      <c r="K426" s="133"/>
      <c r="L426" s="133"/>
      <c r="M426" s="130"/>
    </row>
    <row r="427" spans="2:13" x14ac:dyDescent="0.3">
      <c r="B427" s="51"/>
      <c r="C427" s="51"/>
      <c r="D427" s="51"/>
      <c r="E427" s="51"/>
      <c r="F427" s="42" t="str">
        <f t="shared" si="6"/>
        <v/>
      </c>
      <c r="H427" s="83"/>
      <c r="I427" s="86"/>
      <c r="J427" s="133"/>
      <c r="K427" s="133"/>
      <c r="L427" s="133"/>
      <c r="M427" s="130"/>
    </row>
    <row r="428" spans="2:13" x14ac:dyDescent="0.3">
      <c r="B428" s="51"/>
      <c r="C428" s="51"/>
      <c r="D428" s="51"/>
      <c r="E428" s="51"/>
      <c r="F428" s="42" t="str">
        <f t="shared" si="6"/>
        <v/>
      </c>
      <c r="H428" s="83"/>
      <c r="I428" s="86"/>
      <c r="J428" s="133"/>
      <c r="K428" s="133"/>
      <c r="L428" s="133"/>
      <c r="M428" s="130"/>
    </row>
    <row r="429" spans="2:13" x14ac:dyDescent="0.3">
      <c r="B429" s="51"/>
      <c r="C429" s="51"/>
      <c r="D429" s="51"/>
      <c r="E429" s="51"/>
      <c r="F429" s="42" t="str">
        <f t="shared" si="6"/>
        <v/>
      </c>
      <c r="H429" s="83"/>
      <c r="I429" s="86"/>
      <c r="J429" s="133"/>
      <c r="K429" s="133"/>
      <c r="L429" s="133"/>
      <c r="M429" s="130"/>
    </row>
    <row r="430" spans="2:13" x14ac:dyDescent="0.3">
      <c r="B430" s="51"/>
      <c r="C430" s="51"/>
      <c r="D430" s="51"/>
      <c r="E430" s="51"/>
      <c r="F430" s="42" t="str">
        <f t="shared" si="6"/>
        <v/>
      </c>
      <c r="H430" s="83"/>
      <c r="I430" s="86"/>
      <c r="J430" s="133"/>
      <c r="K430" s="133"/>
      <c r="L430" s="133"/>
      <c r="M430" s="130"/>
    </row>
    <row r="431" spans="2:13" x14ac:dyDescent="0.3">
      <c r="B431" s="51"/>
      <c r="C431" s="51"/>
      <c r="D431" s="51"/>
      <c r="E431" s="51"/>
      <c r="F431" s="42" t="str">
        <f t="shared" si="6"/>
        <v/>
      </c>
      <c r="H431" s="83"/>
      <c r="I431" s="86"/>
      <c r="J431" s="133"/>
      <c r="K431" s="133"/>
      <c r="L431" s="133"/>
      <c r="M431" s="130"/>
    </row>
    <row r="432" spans="2:13" x14ac:dyDescent="0.3">
      <c r="B432" s="51"/>
      <c r="C432" s="51"/>
      <c r="D432" s="51"/>
      <c r="E432" s="51"/>
      <c r="F432" s="42" t="str">
        <f t="shared" si="6"/>
        <v/>
      </c>
      <c r="H432" s="83"/>
      <c r="I432" s="86"/>
      <c r="J432" s="133"/>
      <c r="K432" s="133"/>
      <c r="L432" s="133"/>
      <c r="M432" s="130"/>
    </row>
    <row r="433" spans="2:13" x14ac:dyDescent="0.3">
      <c r="B433" s="51"/>
      <c r="C433" s="51"/>
      <c r="D433" s="51"/>
      <c r="E433" s="51"/>
      <c r="F433" s="42" t="str">
        <f t="shared" si="6"/>
        <v/>
      </c>
      <c r="H433" s="83"/>
      <c r="I433" s="86"/>
      <c r="J433" s="133"/>
      <c r="K433" s="133"/>
      <c r="L433" s="133"/>
      <c r="M433" s="130"/>
    </row>
    <row r="434" spans="2:13" x14ac:dyDescent="0.3">
      <c r="B434" s="51"/>
      <c r="C434" s="51"/>
      <c r="D434" s="51"/>
      <c r="E434" s="51"/>
      <c r="F434" s="42" t="str">
        <f t="shared" si="6"/>
        <v/>
      </c>
      <c r="H434" s="83"/>
      <c r="I434" s="86"/>
      <c r="J434" s="133"/>
      <c r="K434" s="133"/>
      <c r="L434" s="133"/>
      <c r="M434" s="130"/>
    </row>
    <row r="435" spans="2:13" x14ac:dyDescent="0.3">
      <c r="B435" s="51"/>
      <c r="C435" s="51"/>
      <c r="D435" s="51"/>
      <c r="E435" s="51"/>
      <c r="F435" s="42" t="str">
        <f t="shared" si="6"/>
        <v/>
      </c>
      <c r="H435" s="83"/>
      <c r="I435" s="86"/>
      <c r="J435" s="133"/>
      <c r="K435" s="133"/>
      <c r="L435" s="133"/>
      <c r="M435" s="130"/>
    </row>
    <row r="436" spans="2:13" x14ac:dyDescent="0.3">
      <c r="B436" s="51"/>
      <c r="C436" s="51"/>
      <c r="D436" s="51"/>
      <c r="E436" s="51"/>
      <c r="F436" s="42" t="str">
        <f t="shared" si="6"/>
        <v/>
      </c>
      <c r="H436" s="83"/>
      <c r="I436" s="86"/>
      <c r="J436" s="133"/>
      <c r="K436" s="133"/>
      <c r="L436" s="133"/>
      <c r="M436" s="130"/>
    </row>
    <row r="437" spans="2:13" x14ac:dyDescent="0.3">
      <c r="B437" s="51"/>
      <c r="C437" s="51"/>
      <c r="D437" s="51"/>
      <c r="E437" s="51"/>
      <c r="F437" s="42" t="str">
        <f t="shared" si="6"/>
        <v/>
      </c>
      <c r="H437" s="83"/>
      <c r="I437" s="86"/>
      <c r="J437" s="133"/>
      <c r="K437" s="133"/>
      <c r="L437" s="133"/>
      <c r="M437" s="130"/>
    </row>
    <row r="438" spans="2:13" x14ac:dyDescent="0.3">
      <c r="B438" s="51"/>
      <c r="C438" s="51"/>
      <c r="D438" s="51"/>
      <c r="E438" s="51"/>
      <c r="F438" s="42" t="str">
        <f t="shared" si="6"/>
        <v/>
      </c>
      <c r="H438" s="83"/>
      <c r="I438" s="86"/>
      <c r="J438" s="133"/>
      <c r="K438" s="133"/>
      <c r="L438" s="133"/>
      <c r="M438" s="130"/>
    </row>
    <row r="439" spans="2:13" x14ac:dyDescent="0.3">
      <c r="B439" s="51"/>
      <c r="C439" s="51"/>
      <c r="D439" s="51"/>
      <c r="E439" s="51"/>
      <c r="F439" s="42" t="str">
        <f t="shared" si="6"/>
        <v/>
      </c>
      <c r="H439" s="83"/>
      <c r="I439" s="86"/>
      <c r="J439" s="133"/>
      <c r="K439" s="133"/>
      <c r="L439" s="133"/>
      <c r="M439" s="130"/>
    </row>
    <row r="440" spans="2:13" x14ac:dyDescent="0.3">
      <c r="B440" s="51"/>
      <c r="C440" s="51"/>
      <c r="D440" s="51"/>
      <c r="E440" s="51"/>
      <c r="F440" s="42" t="str">
        <f t="shared" si="6"/>
        <v/>
      </c>
      <c r="H440" s="83"/>
      <c r="I440" s="86"/>
      <c r="J440" s="133"/>
      <c r="K440" s="133"/>
      <c r="L440" s="133"/>
      <c r="M440" s="130"/>
    </row>
    <row r="441" spans="2:13" x14ac:dyDescent="0.3">
      <c r="B441" s="51"/>
      <c r="C441" s="51"/>
      <c r="D441" s="51"/>
      <c r="E441" s="51"/>
      <c r="F441" s="42" t="str">
        <f t="shared" si="6"/>
        <v/>
      </c>
      <c r="H441" s="83"/>
      <c r="I441" s="86"/>
      <c r="J441" s="133"/>
      <c r="K441" s="133"/>
      <c r="L441" s="133"/>
      <c r="M441" s="130"/>
    </row>
    <row r="442" spans="2:13" x14ac:dyDescent="0.3">
      <c r="B442" s="51"/>
      <c r="C442" s="51"/>
      <c r="D442" s="51"/>
      <c r="E442" s="51"/>
      <c r="F442" s="42" t="str">
        <f t="shared" si="6"/>
        <v/>
      </c>
      <c r="H442" s="83"/>
      <c r="I442" s="86"/>
      <c r="J442" s="133"/>
      <c r="K442" s="133"/>
      <c r="L442" s="133"/>
      <c r="M442" s="130"/>
    </row>
    <row r="443" spans="2:13" x14ac:dyDescent="0.3">
      <c r="B443" s="51"/>
      <c r="C443" s="51"/>
      <c r="D443" s="51"/>
      <c r="E443" s="51"/>
      <c r="F443" s="42" t="str">
        <f t="shared" si="6"/>
        <v/>
      </c>
      <c r="H443" s="83"/>
      <c r="I443" s="86"/>
      <c r="J443" s="133"/>
      <c r="K443" s="133"/>
      <c r="L443" s="133"/>
      <c r="M443" s="130"/>
    </row>
    <row r="444" spans="2:13" x14ac:dyDescent="0.3">
      <c r="B444" s="51"/>
      <c r="C444" s="51"/>
      <c r="D444" s="51"/>
      <c r="E444" s="51"/>
      <c r="F444" s="42" t="str">
        <f t="shared" si="6"/>
        <v/>
      </c>
      <c r="H444" s="83"/>
      <c r="I444" s="86"/>
      <c r="J444" s="133"/>
      <c r="K444" s="133"/>
      <c r="L444" s="133"/>
      <c r="M444" s="130"/>
    </row>
    <row r="445" spans="2:13" x14ac:dyDescent="0.3">
      <c r="B445" s="51"/>
      <c r="C445" s="51"/>
      <c r="D445" s="51"/>
      <c r="E445" s="51"/>
      <c r="F445" s="42" t="str">
        <f t="shared" si="6"/>
        <v/>
      </c>
      <c r="H445" s="83"/>
      <c r="I445" s="86"/>
      <c r="J445" s="133"/>
      <c r="K445" s="133"/>
      <c r="L445" s="133"/>
      <c r="M445" s="130"/>
    </row>
    <row r="446" spans="2:13" x14ac:dyDescent="0.3">
      <c r="B446" s="51"/>
      <c r="C446" s="51"/>
      <c r="D446" s="51"/>
      <c r="E446" s="51"/>
      <c r="F446" s="42" t="str">
        <f t="shared" si="6"/>
        <v/>
      </c>
      <c r="H446" s="83"/>
      <c r="I446" s="86"/>
      <c r="J446" s="133"/>
      <c r="K446" s="133"/>
      <c r="L446" s="133"/>
      <c r="M446" s="130"/>
    </row>
    <row r="447" spans="2:13" x14ac:dyDescent="0.3">
      <c r="B447" s="51"/>
      <c r="C447" s="51"/>
      <c r="D447" s="51"/>
      <c r="E447" s="51"/>
      <c r="F447" s="42" t="str">
        <f t="shared" si="6"/>
        <v/>
      </c>
      <c r="H447" s="83"/>
      <c r="I447" s="86"/>
      <c r="J447" s="133"/>
      <c r="K447" s="133"/>
      <c r="L447" s="133"/>
      <c r="M447" s="130"/>
    </row>
    <row r="448" spans="2:13" x14ac:dyDescent="0.3">
      <c r="B448" s="51"/>
      <c r="C448" s="51"/>
      <c r="D448" s="51"/>
      <c r="E448" s="51"/>
      <c r="F448" s="42" t="str">
        <f t="shared" si="6"/>
        <v/>
      </c>
      <c r="H448" s="83"/>
      <c r="I448" s="86"/>
      <c r="J448" s="133"/>
      <c r="K448" s="133"/>
      <c r="L448" s="133"/>
      <c r="M448" s="130"/>
    </row>
    <row r="449" spans="2:13" x14ac:dyDescent="0.3">
      <c r="B449" s="51"/>
      <c r="C449" s="51"/>
      <c r="D449" s="51"/>
      <c r="E449" s="51"/>
      <c r="F449" s="42" t="str">
        <f t="shared" si="6"/>
        <v/>
      </c>
      <c r="H449" s="83"/>
      <c r="I449" s="86"/>
      <c r="J449" s="133"/>
      <c r="K449" s="133"/>
      <c r="L449" s="133"/>
      <c r="M449" s="130"/>
    </row>
    <row r="450" spans="2:13" x14ac:dyDescent="0.3">
      <c r="B450" s="51"/>
      <c r="C450" s="51"/>
      <c r="D450" s="51"/>
      <c r="E450" s="51"/>
      <c r="F450" s="42" t="str">
        <f t="shared" si="6"/>
        <v/>
      </c>
      <c r="H450" s="83"/>
      <c r="I450" s="86"/>
      <c r="J450" s="133"/>
      <c r="K450" s="133"/>
      <c r="L450" s="133"/>
      <c r="M450" s="130"/>
    </row>
    <row r="451" spans="2:13" x14ac:dyDescent="0.3">
      <c r="B451" s="51"/>
      <c r="C451" s="51"/>
      <c r="D451" s="51"/>
      <c r="E451" s="51"/>
      <c r="F451" s="42" t="str">
        <f t="shared" si="6"/>
        <v/>
      </c>
      <c r="H451" s="83"/>
      <c r="I451" s="86"/>
      <c r="J451" s="133"/>
      <c r="K451" s="133"/>
      <c r="L451" s="133"/>
      <c r="M451" s="130"/>
    </row>
    <row r="452" spans="2:13" x14ac:dyDescent="0.3">
      <c r="B452" s="51"/>
      <c r="C452" s="51"/>
      <c r="D452" s="51"/>
      <c r="E452" s="51"/>
      <c r="F452" s="42" t="str">
        <f t="shared" si="6"/>
        <v/>
      </c>
      <c r="H452" s="83"/>
      <c r="I452" s="86"/>
      <c r="J452" s="133"/>
      <c r="K452" s="133"/>
      <c r="L452" s="133"/>
      <c r="M452" s="130"/>
    </row>
    <row r="453" spans="2:13" x14ac:dyDescent="0.3">
      <c r="B453" s="51"/>
      <c r="C453" s="51"/>
      <c r="D453" s="51"/>
      <c r="E453" s="51"/>
      <c r="F453" s="42" t="str">
        <f t="shared" si="6"/>
        <v/>
      </c>
      <c r="H453" s="83"/>
      <c r="I453" s="86"/>
      <c r="J453" s="133"/>
      <c r="K453" s="133"/>
      <c r="L453" s="133"/>
      <c r="M453" s="130"/>
    </row>
    <row r="454" spans="2:13" x14ac:dyDescent="0.3">
      <c r="B454" s="51"/>
      <c r="C454" s="51"/>
      <c r="D454" s="51"/>
      <c r="E454" s="51"/>
      <c r="F454" s="42" t="str">
        <f t="shared" si="6"/>
        <v/>
      </c>
      <c r="H454" s="83"/>
      <c r="I454" s="86"/>
      <c r="J454" s="133"/>
      <c r="K454" s="133"/>
      <c r="L454" s="133"/>
      <c r="M454" s="130"/>
    </row>
    <row r="455" spans="2:13" x14ac:dyDescent="0.3">
      <c r="B455" s="51"/>
      <c r="C455" s="51"/>
      <c r="D455" s="51"/>
      <c r="E455" s="51"/>
      <c r="F455" s="42" t="str">
        <f t="shared" si="6"/>
        <v/>
      </c>
      <c r="H455" s="83"/>
      <c r="I455" s="86"/>
      <c r="J455" s="133"/>
      <c r="K455" s="133"/>
      <c r="L455" s="133"/>
      <c r="M455" s="130"/>
    </row>
    <row r="456" spans="2:13" x14ac:dyDescent="0.3">
      <c r="B456" s="51"/>
      <c r="C456" s="51"/>
      <c r="D456" s="51"/>
      <c r="E456" s="51"/>
      <c r="F456" s="42" t="str">
        <f t="shared" si="6"/>
        <v/>
      </c>
      <c r="H456" s="83"/>
      <c r="I456" s="86"/>
      <c r="J456" s="133"/>
      <c r="K456" s="133"/>
      <c r="L456" s="133"/>
      <c r="M456" s="130"/>
    </row>
    <row r="457" spans="2:13" x14ac:dyDescent="0.3">
      <c r="B457" s="51"/>
      <c r="C457" s="51"/>
      <c r="D457" s="51"/>
      <c r="E457" s="51"/>
      <c r="F457" s="42" t="str">
        <f t="shared" si="6"/>
        <v/>
      </c>
      <c r="H457" s="83"/>
      <c r="I457" s="86"/>
      <c r="J457" s="133"/>
      <c r="K457" s="133"/>
      <c r="L457" s="133"/>
      <c r="M457" s="130"/>
    </row>
    <row r="458" spans="2:13" x14ac:dyDescent="0.3">
      <c r="B458" s="51"/>
      <c r="C458" s="51"/>
      <c r="D458" s="51"/>
      <c r="E458" s="51"/>
      <c r="F458" s="42" t="str">
        <f t="shared" si="6"/>
        <v/>
      </c>
      <c r="H458" s="83"/>
      <c r="I458" s="86"/>
      <c r="J458" s="133"/>
      <c r="K458" s="133"/>
      <c r="L458" s="133"/>
      <c r="M458" s="130"/>
    </row>
    <row r="459" spans="2:13" x14ac:dyDescent="0.3">
      <c r="B459" s="51"/>
      <c r="C459" s="51"/>
      <c r="D459" s="51"/>
      <c r="E459" s="51"/>
      <c r="F459" s="42" t="str">
        <f t="shared" si="6"/>
        <v/>
      </c>
      <c r="H459" s="83"/>
      <c r="I459" s="86"/>
      <c r="J459" s="133"/>
      <c r="K459" s="133"/>
      <c r="L459" s="133"/>
      <c r="M459" s="130"/>
    </row>
    <row r="460" spans="2:13" x14ac:dyDescent="0.3">
      <c r="B460" s="51"/>
      <c r="C460" s="51"/>
      <c r="D460" s="51"/>
      <c r="E460" s="51"/>
      <c r="F460" s="42" t="str">
        <f t="shared" si="6"/>
        <v/>
      </c>
      <c r="H460" s="83"/>
      <c r="I460" s="86"/>
      <c r="J460" s="133"/>
      <c r="K460" s="133"/>
      <c r="L460" s="133"/>
      <c r="M460" s="130"/>
    </row>
    <row r="461" spans="2:13" x14ac:dyDescent="0.3">
      <c r="B461" s="51"/>
      <c r="C461" s="51"/>
      <c r="D461" s="51"/>
      <c r="E461" s="51"/>
      <c r="F461" s="42" t="str">
        <f t="shared" si="6"/>
        <v/>
      </c>
      <c r="H461" s="83"/>
      <c r="I461" s="86"/>
      <c r="J461" s="133"/>
      <c r="K461" s="133"/>
      <c r="L461" s="133"/>
      <c r="M461" s="130"/>
    </row>
    <row r="462" spans="2:13" x14ac:dyDescent="0.3">
      <c r="B462" s="51"/>
      <c r="C462" s="51"/>
      <c r="D462" s="51"/>
      <c r="E462" s="51"/>
      <c r="F462" s="42" t="str">
        <f t="shared" si="6"/>
        <v/>
      </c>
      <c r="H462" s="83"/>
      <c r="I462" s="86"/>
      <c r="J462" s="133"/>
      <c r="K462" s="133"/>
      <c r="L462" s="133"/>
      <c r="M462" s="130"/>
    </row>
    <row r="463" spans="2:13" x14ac:dyDescent="0.3">
      <c r="B463" s="51"/>
      <c r="C463" s="51"/>
      <c r="D463" s="51"/>
      <c r="E463" s="51"/>
      <c r="F463" s="42" t="str">
        <f t="shared" si="6"/>
        <v/>
      </c>
      <c r="H463" s="83"/>
      <c r="I463" s="86"/>
      <c r="J463" s="133"/>
      <c r="K463" s="133"/>
      <c r="L463" s="133"/>
      <c r="M463" s="130"/>
    </row>
    <row r="464" spans="2:13" x14ac:dyDescent="0.3">
      <c r="B464" s="51"/>
      <c r="C464" s="51"/>
      <c r="D464" s="51"/>
      <c r="E464" s="51"/>
      <c r="F464" s="42" t="str">
        <f t="shared" si="6"/>
        <v/>
      </c>
      <c r="H464" s="83"/>
      <c r="I464" s="86"/>
      <c r="J464" s="133"/>
      <c r="K464" s="133"/>
      <c r="L464" s="133"/>
      <c r="M464" s="130"/>
    </row>
    <row r="465" spans="2:13" x14ac:dyDescent="0.3">
      <c r="B465" s="51"/>
      <c r="C465" s="51"/>
      <c r="D465" s="51"/>
      <c r="E465" s="51"/>
      <c r="F465" s="42" t="str">
        <f t="shared" si="6"/>
        <v/>
      </c>
      <c r="H465" s="83"/>
      <c r="I465" s="86"/>
      <c r="J465" s="133"/>
      <c r="K465" s="133"/>
      <c r="L465" s="133"/>
      <c r="M465" s="130"/>
    </row>
    <row r="466" spans="2:13" x14ac:dyDescent="0.3">
      <c r="B466" s="51"/>
      <c r="C466" s="51"/>
      <c r="D466" s="51"/>
      <c r="E466" s="51"/>
      <c r="F466" s="42" t="str">
        <f t="shared" si="6"/>
        <v/>
      </c>
      <c r="H466" s="83"/>
      <c r="I466" s="86"/>
      <c r="J466" s="133"/>
      <c r="K466" s="133"/>
      <c r="L466" s="133"/>
      <c r="M466" s="130"/>
    </row>
    <row r="467" spans="2:13" x14ac:dyDescent="0.3">
      <c r="B467" s="51"/>
      <c r="C467" s="51"/>
      <c r="D467" s="51"/>
      <c r="E467" s="51"/>
      <c r="F467" s="42" t="str">
        <f t="shared" si="6"/>
        <v/>
      </c>
      <c r="H467" s="83"/>
      <c r="I467" s="86"/>
      <c r="J467" s="133"/>
      <c r="K467" s="133"/>
      <c r="L467" s="133"/>
      <c r="M467" s="130"/>
    </row>
    <row r="468" spans="2:13" x14ac:dyDescent="0.3">
      <c r="B468" s="51"/>
      <c r="C468" s="51"/>
      <c r="D468" s="51"/>
      <c r="E468" s="51"/>
      <c r="F468" s="42" t="str">
        <f t="shared" si="6"/>
        <v/>
      </c>
      <c r="H468" s="83"/>
      <c r="I468" s="86"/>
      <c r="J468" s="133"/>
      <c r="K468" s="133"/>
      <c r="L468" s="133"/>
      <c r="M468" s="130"/>
    </row>
    <row r="469" spans="2:13" x14ac:dyDescent="0.3">
      <c r="B469" s="51"/>
      <c r="C469" s="51"/>
      <c r="D469" s="51"/>
      <c r="E469" s="51"/>
      <c r="F469" s="42" t="str">
        <f t="shared" si="6"/>
        <v/>
      </c>
      <c r="H469" s="83"/>
      <c r="I469" s="86"/>
      <c r="J469" s="133"/>
      <c r="K469" s="133"/>
      <c r="L469" s="133"/>
      <c r="M469" s="130"/>
    </row>
    <row r="470" spans="2:13" x14ac:dyDescent="0.3">
      <c r="B470" s="51"/>
      <c r="C470" s="51"/>
      <c r="D470" s="51"/>
      <c r="E470" s="51"/>
      <c r="F470" s="42" t="str">
        <f t="shared" si="6"/>
        <v/>
      </c>
      <c r="H470" s="83"/>
      <c r="I470" s="86"/>
      <c r="J470" s="133"/>
      <c r="K470" s="133"/>
      <c r="L470" s="133"/>
      <c r="M470" s="130"/>
    </row>
    <row r="471" spans="2:13" x14ac:dyDescent="0.3">
      <c r="B471" s="51"/>
      <c r="C471" s="51"/>
      <c r="D471" s="51"/>
      <c r="E471" s="51"/>
      <c r="F471" s="42" t="str">
        <f t="shared" si="6"/>
        <v/>
      </c>
      <c r="H471" s="83"/>
      <c r="I471" s="86"/>
      <c r="J471" s="133"/>
      <c r="K471" s="133"/>
      <c r="L471" s="133"/>
      <c r="M471" s="130"/>
    </row>
    <row r="472" spans="2:13" x14ac:dyDescent="0.3">
      <c r="B472" s="51"/>
      <c r="C472" s="51"/>
      <c r="D472" s="51"/>
      <c r="E472" s="51"/>
      <c r="F472" s="42" t="str">
        <f t="shared" ref="F472:F523" si="7">IF(C472="","",CONCATENATE(B472," ",C472," ",D472," ",E472))</f>
        <v/>
      </c>
      <c r="H472" s="83"/>
      <c r="I472" s="86"/>
      <c r="J472" s="133"/>
      <c r="K472" s="133"/>
      <c r="L472" s="133"/>
      <c r="M472" s="130"/>
    </row>
    <row r="473" spans="2:13" x14ac:dyDescent="0.3">
      <c r="B473" s="51"/>
      <c r="C473" s="51"/>
      <c r="D473" s="51"/>
      <c r="E473" s="51"/>
      <c r="F473" s="42" t="str">
        <f t="shared" si="7"/>
        <v/>
      </c>
      <c r="H473" s="83"/>
      <c r="I473" s="86"/>
      <c r="J473" s="133"/>
      <c r="K473" s="133"/>
      <c r="L473" s="133"/>
      <c r="M473" s="130"/>
    </row>
    <row r="474" spans="2:13" x14ac:dyDescent="0.3">
      <c r="B474" s="51"/>
      <c r="C474" s="51"/>
      <c r="D474" s="51"/>
      <c r="E474" s="51"/>
      <c r="F474" s="42" t="str">
        <f t="shared" si="7"/>
        <v/>
      </c>
      <c r="H474" s="83"/>
      <c r="I474" s="86"/>
      <c r="J474" s="133"/>
      <c r="K474" s="133"/>
      <c r="L474" s="133"/>
      <c r="M474" s="130"/>
    </row>
    <row r="475" spans="2:13" x14ac:dyDescent="0.3">
      <c r="B475" s="51"/>
      <c r="C475" s="51"/>
      <c r="D475" s="51"/>
      <c r="E475" s="51"/>
      <c r="F475" s="42" t="str">
        <f t="shared" si="7"/>
        <v/>
      </c>
      <c r="H475" s="83"/>
      <c r="I475" s="86"/>
      <c r="J475" s="133"/>
      <c r="K475" s="133"/>
      <c r="L475" s="133"/>
      <c r="M475" s="130"/>
    </row>
    <row r="476" spans="2:13" x14ac:dyDescent="0.3">
      <c r="B476" s="51"/>
      <c r="C476" s="51"/>
      <c r="D476" s="51"/>
      <c r="E476" s="51"/>
      <c r="F476" s="42" t="str">
        <f t="shared" si="7"/>
        <v/>
      </c>
      <c r="H476" s="83"/>
      <c r="I476" s="86"/>
      <c r="J476" s="133"/>
      <c r="K476" s="133"/>
      <c r="L476" s="133"/>
      <c r="M476" s="130"/>
    </row>
    <row r="477" spans="2:13" x14ac:dyDescent="0.3">
      <c r="B477" s="51"/>
      <c r="C477" s="51"/>
      <c r="D477" s="51"/>
      <c r="E477" s="51"/>
      <c r="F477" s="42" t="str">
        <f t="shared" si="7"/>
        <v/>
      </c>
      <c r="H477" s="83"/>
      <c r="I477" s="86"/>
      <c r="J477" s="133"/>
      <c r="K477" s="133"/>
      <c r="L477" s="133"/>
      <c r="M477" s="130"/>
    </row>
    <row r="478" spans="2:13" x14ac:dyDescent="0.3">
      <c r="B478" s="51"/>
      <c r="C478" s="51"/>
      <c r="D478" s="51"/>
      <c r="E478" s="51"/>
      <c r="F478" s="42" t="str">
        <f t="shared" si="7"/>
        <v/>
      </c>
      <c r="H478" s="83"/>
      <c r="I478" s="86"/>
      <c r="J478" s="133"/>
      <c r="K478" s="133"/>
      <c r="L478" s="133"/>
      <c r="M478" s="130"/>
    </row>
    <row r="479" spans="2:13" x14ac:dyDescent="0.3">
      <c r="B479" s="51"/>
      <c r="C479" s="51"/>
      <c r="D479" s="51"/>
      <c r="E479" s="51"/>
      <c r="F479" s="42" t="str">
        <f t="shared" si="7"/>
        <v/>
      </c>
      <c r="H479" s="83"/>
      <c r="I479" s="86"/>
      <c r="J479" s="133"/>
      <c r="K479" s="133"/>
      <c r="L479" s="133"/>
      <c r="M479" s="130"/>
    </row>
    <row r="480" spans="2:13" x14ac:dyDescent="0.3">
      <c r="B480" s="51"/>
      <c r="C480" s="51"/>
      <c r="D480" s="51"/>
      <c r="E480" s="51"/>
      <c r="F480" s="42" t="str">
        <f t="shared" si="7"/>
        <v/>
      </c>
      <c r="H480" s="83"/>
      <c r="I480" s="86"/>
      <c r="J480" s="133"/>
      <c r="K480" s="133"/>
      <c r="L480" s="133"/>
      <c r="M480" s="130"/>
    </row>
    <row r="481" spans="2:13" x14ac:dyDescent="0.3">
      <c r="B481" s="51"/>
      <c r="C481" s="51"/>
      <c r="D481" s="51"/>
      <c r="E481" s="51"/>
      <c r="F481" s="42" t="str">
        <f t="shared" si="7"/>
        <v/>
      </c>
      <c r="H481" s="83"/>
      <c r="I481" s="86"/>
      <c r="J481" s="133"/>
      <c r="K481" s="133"/>
      <c r="L481" s="133"/>
      <c r="M481" s="130"/>
    </row>
    <row r="482" spans="2:13" x14ac:dyDescent="0.3">
      <c r="B482" s="51"/>
      <c r="C482" s="51"/>
      <c r="D482" s="51"/>
      <c r="E482" s="51"/>
      <c r="F482" s="42" t="str">
        <f t="shared" si="7"/>
        <v/>
      </c>
      <c r="H482" s="83"/>
      <c r="I482" s="86"/>
      <c r="J482" s="133"/>
      <c r="K482" s="133"/>
      <c r="L482" s="133"/>
      <c r="M482" s="130"/>
    </row>
    <row r="483" spans="2:13" x14ac:dyDescent="0.3">
      <c r="B483" s="51"/>
      <c r="C483" s="51"/>
      <c r="D483" s="51"/>
      <c r="E483" s="51"/>
      <c r="F483" s="42" t="str">
        <f t="shared" si="7"/>
        <v/>
      </c>
      <c r="H483" s="83"/>
      <c r="I483" s="86"/>
      <c r="J483" s="133"/>
      <c r="K483" s="133"/>
      <c r="L483" s="133"/>
      <c r="M483" s="130"/>
    </row>
    <row r="484" spans="2:13" x14ac:dyDescent="0.3">
      <c r="B484" s="51"/>
      <c r="C484" s="51"/>
      <c r="D484" s="51"/>
      <c r="E484" s="51"/>
      <c r="F484" s="42" t="str">
        <f t="shared" si="7"/>
        <v/>
      </c>
      <c r="H484" s="83"/>
      <c r="I484" s="86"/>
      <c r="J484" s="133"/>
      <c r="K484" s="133"/>
      <c r="L484" s="133"/>
      <c r="M484" s="130"/>
    </row>
    <row r="485" spans="2:13" x14ac:dyDescent="0.3">
      <c r="B485" s="51"/>
      <c r="C485" s="51"/>
      <c r="D485" s="51"/>
      <c r="E485" s="51"/>
      <c r="F485" s="42" t="str">
        <f t="shared" si="7"/>
        <v/>
      </c>
      <c r="H485" s="83"/>
      <c r="I485" s="86"/>
      <c r="J485" s="133"/>
      <c r="K485" s="133"/>
      <c r="L485" s="133"/>
      <c r="M485" s="130"/>
    </row>
    <row r="486" spans="2:13" x14ac:dyDescent="0.3">
      <c r="B486" s="51"/>
      <c r="C486" s="51"/>
      <c r="D486" s="51"/>
      <c r="E486" s="51"/>
      <c r="F486" s="42" t="str">
        <f t="shared" si="7"/>
        <v/>
      </c>
      <c r="H486" s="83"/>
      <c r="I486" s="86"/>
      <c r="J486" s="133"/>
      <c r="K486" s="133"/>
      <c r="L486" s="133"/>
      <c r="M486" s="130"/>
    </row>
    <row r="487" spans="2:13" x14ac:dyDescent="0.3">
      <c r="B487" s="51"/>
      <c r="C487" s="51"/>
      <c r="D487" s="51"/>
      <c r="E487" s="51"/>
      <c r="F487" s="42" t="str">
        <f t="shared" si="7"/>
        <v/>
      </c>
      <c r="H487" s="83"/>
      <c r="I487" s="86"/>
      <c r="J487" s="133"/>
      <c r="K487" s="133"/>
      <c r="L487" s="133"/>
      <c r="M487" s="130"/>
    </row>
    <row r="488" spans="2:13" x14ac:dyDescent="0.3">
      <c r="B488" s="51"/>
      <c r="C488" s="51"/>
      <c r="D488" s="51"/>
      <c r="E488" s="51"/>
      <c r="F488" s="42" t="str">
        <f t="shared" si="7"/>
        <v/>
      </c>
      <c r="H488" s="83"/>
      <c r="I488" s="86"/>
      <c r="J488" s="133"/>
      <c r="K488" s="133"/>
      <c r="L488" s="133"/>
      <c r="M488" s="130"/>
    </row>
    <row r="489" spans="2:13" x14ac:dyDescent="0.3">
      <c r="B489" s="51"/>
      <c r="C489" s="51"/>
      <c r="D489" s="51"/>
      <c r="E489" s="51"/>
      <c r="F489" s="42" t="str">
        <f t="shared" si="7"/>
        <v/>
      </c>
      <c r="H489" s="83"/>
      <c r="I489" s="86"/>
      <c r="J489" s="133"/>
      <c r="K489" s="133"/>
      <c r="L489" s="133"/>
      <c r="M489" s="130"/>
    </row>
    <row r="490" spans="2:13" x14ac:dyDescent="0.3">
      <c r="B490" s="51"/>
      <c r="C490" s="51"/>
      <c r="D490" s="51"/>
      <c r="E490" s="51"/>
      <c r="F490" s="42" t="str">
        <f t="shared" si="7"/>
        <v/>
      </c>
      <c r="H490" s="83"/>
      <c r="I490" s="86"/>
      <c r="J490" s="133"/>
      <c r="K490" s="133"/>
      <c r="L490" s="133"/>
      <c r="M490" s="130"/>
    </row>
    <row r="491" spans="2:13" x14ac:dyDescent="0.3">
      <c r="B491" s="51"/>
      <c r="C491" s="51"/>
      <c r="D491" s="51"/>
      <c r="E491" s="51"/>
      <c r="F491" s="42" t="str">
        <f t="shared" si="7"/>
        <v/>
      </c>
      <c r="H491" s="83"/>
      <c r="I491" s="86"/>
      <c r="J491" s="133"/>
      <c r="K491" s="133"/>
      <c r="L491" s="133"/>
      <c r="M491" s="130"/>
    </row>
    <row r="492" spans="2:13" x14ac:dyDescent="0.3">
      <c r="B492" s="51"/>
      <c r="C492" s="51"/>
      <c r="D492" s="51"/>
      <c r="E492" s="51"/>
      <c r="F492" s="42" t="str">
        <f t="shared" si="7"/>
        <v/>
      </c>
      <c r="H492" s="83"/>
      <c r="I492" s="86"/>
      <c r="J492" s="133"/>
      <c r="K492" s="133"/>
      <c r="L492" s="133"/>
      <c r="M492" s="130"/>
    </row>
    <row r="493" spans="2:13" x14ac:dyDescent="0.3">
      <c r="B493" s="51"/>
      <c r="C493" s="51"/>
      <c r="D493" s="51"/>
      <c r="E493" s="51"/>
      <c r="F493" s="42" t="str">
        <f t="shared" si="7"/>
        <v/>
      </c>
      <c r="H493" s="83"/>
      <c r="I493" s="86"/>
      <c r="J493" s="133"/>
      <c r="K493" s="133"/>
      <c r="L493" s="133"/>
      <c r="M493" s="130"/>
    </row>
    <row r="494" spans="2:13" x14ac:dyDescent="0.3">
      <c r="B494" s="51"/>
      <c r="C494" s="51"/>
      <c r="D494" s="51"/>
      <c r="E494" s="51"/>
      <c r="F494" s="42" t="str">
        <f t="shared" si="7"/>
        <v/>
      </c>
      <c r="H494" s="83"/>
      <c r="I494" s="86"/>
      <c r="J494" s="133"/>
      <c r="K494" s="133"/>
      <c r="L494" s="133"/>
      <c r="M494" s="130"/>
    </row>
    <row r="495" spans="2:13" x14ac:dyDescent="0.3">
      <c r="B495" s="51"/>
      <c r="C495" s="51"/>
      <c r="D495" s="51"/>
      <c r="E495" s="51"/>
      <c r="F495" s="42" t="str">
        <f t="shared" si="7"/>
        <v/>
      </c>
      <c r="H495" s="83"/>
      <c r="I495" s="86"/>
      <c r="J495" s="133"/>
      <c r="K495" s="133"/>
      <c r="L495" s="133"/>
      <c r="M495" s="130"/>
    </row>
    <row r="496" spans="2:13" x14ac:dyDescent="0.3">
      <c r="B496" s="51"/>
      <c r="C496" s="51"/>
      <c r="D496" s="51"/>
      <c r="E496" s="51"/>
      <c r="F496" s="42" t="str">
        <f t="shared" si="7"/>
        <v/>
      </c>
      <c r="H496" s="83"/>
      <c r="I496" s="86"/>
      <c r="J496" s="133"/>
      <c r="K496" s="133"/>
      <c r="L496" s="133"/>
      <c r="M496" s="130"/>
    </row>
    <row r="497" spans="2:13" x14ac:dyDescent="0.3">
      <c r="B497" s="51"/>
      <c r="C497" s="51"/>
      <c r="D497" s="51"/>
      <c r="E497" s="51"/>
      <c r="F497" s="42" t="str">
        <f t="shared" si="7"/>
        <v/>
      </c>
      <c r="H497" s="83"/>
      <c r="I497" s="86"/>
      <c r="J497" s="133"/>
      <c r="K497" s="133"/>
      <c r="L497" s="133"/>
      <c r="M497" s="130"/>
    </row>
    <row r="498" spans="2:13" x14ac:dyDescent="0.3">
      <c r="B498" s="51"/>
      <c r="C498" s="51"/>
      <c r="D498" s="51"/>
      <c r="E498" s="51"/>
      <c r="F498" s="42" t="str">
        <f t="shared" si="7"/>
        <v/>
      </c>
      <c r="H498" s="83"/>
      <c r="I498" s="86"/>
      <c r="J498" s="133"/>
      <c r="K498" s="133"/>
      <c r="L498" s="133"/>
      <c r="M498" s="130"/>
    </row>
    <row r="499" spans="2:13" x14ac:dyDescent="0.3">
      <c r="B499" s="51"/>
      <c r="C499" s="51"/>
      <c r="D499" s="51"/>
      <c r="E499" s="51"/>
      <c r="F499" s="42" t="str">
        <f t="shared" si="7"/>
        <v/>
      </c>
      <c r="H499" s="83"/>
      <c r="I499" s="86"/>
      <c r="J499" s="133"/>
      <c r="K499" s="133"/>
      <c r="L499" s="133"/>
      <c r="M499" s="130"/>
    </row>
    <row r="500" spans="2:13" x14ac:dyDescent="0.3">
      <c r="B500" s="51"/>
      <c r="C500" s="51"/>
      <c r="D500" s="51"/>
      <c r="E500" s="51"/>
      <c r="F500" s="42" t="str">
        <f t="shared" si="7"/>
        <v/>
      </c>
      <c r="H500" s="84"/>
      <c r="I500" s="86"/>
      <c r="J500" s="133"/>
      <c r="K500" s="133"/>
      <c r="L500" s="133"/>
      <c r="M500" s="130"/>
    </row>
    <row r="501" spans="2:13" x14ac:dyDescent="0.3">
      <c r="B501" s="51"/>
      <c r="C501" s="51"/>
      <c r="D501" s="51"/>
      <c r="E501" s="51"/>
      <c r="F501" s="42" t="str">
        <f t="shared" si="7"/>
        <v/>
      </c>
      <c r="H501" s="85"/>
      <c r="I501" s="86"/>
      <c r="J501" s="133"/>
      <c r="K501" s="133"/>
      <c r="L501" s="133"/>
      <c r="M501" s="130"/>
    </row>
    <row r="502" spans="2:13" x14ac:dyDescent="0.3">
      <c r="B502" s="51"/>
      <c r="C502" s="51"/>
      <c r="D502" s="51"/>
      <c r="E502" s="51"/>
      <c r="F502" s="42" t="str">
        <f t="shared" si="7"/>
        <v/>
      </c>
      <c r="H502" s="86"/>
      <c r="I502" s="86"/>
      <c r="J502" s="133"/>
      <c r="K502" s="133"/>
      <c r="L502" s="133"/>
      <c r="M502" s="130"/>
    </row>
    <row r="503" spans="2:13" x14ac:dyDescent="0.3">
      <c r="B503" s="51"/>
      <c r="C503" s="51"/>
      <c r="D503" s="51"/>
      <c r="E503" s="51"/>
      <c r="F503" s="42" t="str">
        <f t="shared" si="7"/>
        <v/>
      </c>
      <c r="H503" s="86"/>
      <c r="I503" s="86"/>
      <c r="J503" s="133"/>
      <c r="K503" s="133"/>
      <c r="L503" s="133"/>
      <c r="M503" s="130"/>
    </row>
    <row r="504" spans="2:13" x14ac:dyDescent="0.3">
      <c r="B504" s="51"/>
      <c r="C504" s="51"/>
      <c r="D504" s="51"/>
      <c r="E504" s="51"/>
      <c r="F504" s="42" t="str">
        <f t="shared" si="7"/>
        <v/>
      </c>
      <c r="H504" s="86"/>
      <c r="I504" s="86"/>
      <c r="J504" s="133"/>
      <c r="K504" s="133"/>
      <c r="L504" s="133"/>
      <c r="M504" s="130"/>
    </row>
    <row r="505" spans="2:13" x14ac:dyDescent="0.3">
      <c r="B505" s="51"/>
      <c r="C505" s="51"/>
      <c r="D505" s="51"/>
      <c r="E505" s="51"/>
      <c r="F505" s="42" t="str">
        <f t="shared" si="7"/>
        <v/>
      </c>
      <c r="H505" s="86"/>
      <c r="I505" s="86"/>
      <c r="J505" s="133"/>
      <c r="K505" s="133"/>
      <c r="L505" s="133"/>
      <c r="M505" s="130"/>
    </row>
    <row r="506" spans="2:13" x14ac:dyDescent="0.3">
      <c r="B506" s="51"/>
      <c r="C506" s="51"/>
      <c r="D506" s="51"/>
      <c r="E506" s="51"/>
      <c r="F506" s="42" t="str">
        <f t="shared" si="7"/>
        <v/>
      </c>
      <c r="H506" s="86"/>
      <c r="I506" s="86"/>
      <c r="J506" s="133"/>
      <c r="K506" s="133"/>
      <c r="L506" s="133"/>
      <c r="M506" s="130"/>
    </row>
    <row r="507" spans="2:13" x14ac:dyDescent="0.3">
      <c r="B507" s="51"/>
      <c r="C507" s="51"/>
      <c r="D507" s="51"/>
      <c r="E507" s="51"/>
      <c r="F507" s="42" t="str">
        <f t="shared" si="7"/>
        <v/>
      </c>
      <c r="H507" s="86"/>
      <c r="I507" s="86"/>
      <c r="J507" s="133"/>
      <c r="K507" s="133"/>
      <c r="L507" s="133"/>
      <c r="M507" s="130"/>
    </row>
    <row r="508" spans="2:13" x14ac:dyDescent="0.3">
      <c r="B508" s="51"/>
      <c r="C508" s="51"/>
      <c r="D508" s="51"/>
      <c r="E508" s="51"/>
      <c r="F508" s="42" t="str">
        <f t="shared" si="7"/>
        <v/>
      </c>
      <c r="H508" s="86"/>
      <c r="I508" s="86"/>
      <c r="J508" s="133"/>
      <c r="K508" s="133"/>
      <c r="L508" s="133"/>
      <c r="M508" s="130"/>
    </row>
    <row r="509" spans="2:13" x14ac:dyDescent="0.3">
      <c r="B509" s="51"/>
      <c r="C509" s="51"/>
      <c r="D509" s="51"/>
      <c r="E509" s="51"/>
      <c r="F509" s="42" t="str">
        <f t="shared" si="7"/>
        <v/>
      </c>
      <c r="H509" s="86"/>
      <c r="I509" s="86"/>
      <c r="J509" s="133"/>
      <c r="K509" s="133"/>
      <c r="L509" s="133"/>
      <c r="M509" s="130"/>
    </row>
    <row r="510" spans="2:13" x14ac:dyDescent="0.3">
      <c r="B510" s="51"/>
      <c r="C510" s="51"/>
      <c r="D510" s="51"/>
      <c r="E510" s="51"/>
      <c r="F510" s="42" t="str">
        <f t="shared" si="7"/>
        <v/>
      </c>
      <c r="H510" s="86"/>
      <c r="I510" s="86"/>
      <c r="J510" s="133"/>
      <c r="K510" s="133"/>
      <c r="L510" s="133"/>
      <c r="M510" s="130"/>
    </row>
    <row r="511" spans="2:13" x14ac:dyDescent="0.3">
      <c r="B511" s="51"/>
      <c r="C511" s="51"/>
      <c r="D511" s="51"/>
      <c r="E511" s="51"/>
      <c r="F511" s="42" t="str">
        <f t="shared" si="7"/>
        <v/>
      </c>
      <c r="H511" s="86"/>
      <c r="I511" s="86"/>
      <c r="J511" s="133"/>
      <c r="K511" s="133"/>
      <c r="L511" s="133"/>
      <c r="M511" s="130"/>
    </row>
    <row r="512" spans="2:13" x14ac:dyDescent="0.3">
      <c r="B512" s="51"/>
      <c r="C512" s="51"/>
      <c r="D512" s="51"/>
      <c r="E512" s="51"/>
      <c r="F512" s="42" t="str">
        <f t="shared" si="7"/>
        <v/>
      </c>
      <c r="H512" s="86"/>
      <c r="I512" s="86"/>
      <c r="J512" s="133"/>
      <c r="K512" s="133"/>
      <c r="L512" s="133"/>
      <c r="M512" s="130"/>
    </row>
    <row r="513" spans="2:13" x14ac:dyDescent="0.3">
      <c r="B513" s="51"/>
      <c r="C513" s="51"/>
      <c r="D513" s="51"/>
      <c r="E513" s="51"/>
      <c r="F513" s="42" t="str">
        <f t="shared" si="7"/>
        <v/>
      </c>
      <c r="H513" s="86"/>
      <c r="I513" s="86"/>
      <c r="J513" s="133"/>
      <c r="K513" s="133"/>
      <c r="L513" s="133"/>
      <c r="M513" s="130"/>
    </row>
    <row r="514" spans="2:13" x14ac:dyDescent="0.3">
      <c r="B514" s="51"/>
      <c r="C514" s="51"/>
      <c r="D514" s="51"/>
      <c r="E514" s="51"/>
      <c r="F514" s="42" t="str">
        <f t="shared" si="7"/>
        <v/>
      </c>
      <c r="H514" s="86"/>
      <c r="I514" s="86"/>
      <c r="J514" s="133"/>
      <c r="K514" s="133"/>
      <c r="L514" s="133"/>
      <c r="M514" s="130"/>
    </row>
    <row r="515" spans="2:13" x14ac:dyDescent="0.3">
      <c r="B515" s="51"/>
      <c r="C515" s="51"/>
      <c r="D515" s="51"/>
      <c r="E515" s="51"/>
      <c r="F515" s="42" t="str">
        <f t="shared" si="7"/>
        <v/>
      </c>
      <c r="H515" s="86"/>
      <c r="I515" s="86"/>
      <c r="J515" s="133"/>
      <c r="K515" s="133"/>
      <c r="L515" s="133"/>
      <c r="M515" s="130"/>
    </row>
    <row r="516" spans="2:13" x14ac:dyDescent="0.3">
      <c r="B516" s="51"/>
      <c r="C516" s="51"/>
      <c r="D516" s="51"/>
      <c r="E516" s="51"/>
      <c r="F516" s="42" t="str">
        <f t="shared" si="7"/>
        <v/>
      </c>
      <c r="H516" s="86"/>
      <c r="I516" s="86"/>
      <c r="J516" s="133"/>
      <c r="K516" s="133"/>
      <c r="L516" s="133"/>
      <c r="M516" s="130"/>
    </row>
    <row r="517" spans="2:13" x14ac:dyDescent="0.3">
      <c r="B517" s="51"/>
      <c r="C517" s="51"/>
      <c r="D517" s="51"/>
      <c r="E517" s="51"/>
      <c r="F517" s="42" t="str">
        <f t="shared" si="7"/>
        <v/>
      </c>
      <c r="H517" s="86"/>
      <c r="I517" s="86"/>
      <c r="J517" s="133"/>
      <c r="K517" s="133"/>
      <c r="L517" s="133"/>
      <c r="M517" s="130"/>
    </row>
    <row r="518" spans="2:13" x14ac:dyDescent="0.3">
      <c r="B518" s="51"/>
      <c r="C518" s="51"/>
      <c r="D518" s="51"/>
      <c r="E518" s="51"/>
      <c r="F518" s="42" t="str">
        <f t="shared" si="7"/>
        <v/>
      </c>
      <c r="H518" s="86"/>
      <c r="I518" s="86"/>
      <c r="J518" s="133"/>
      <c r="K518" s="133"/>
      <c r="L518" s="133"/>
      <c r="M518" s="130"/>
    </row>
    <row r="519" spans="2:13" x14ac:dyDescent="0.3">
      <c r="B519" s="51"/>
      <c r="C519" s="51"/>
      <c r="D519" s="51"/>
      <c r="E519" s="51"/>
      <c r="F519" s="42" t="str">
        <f t="shared" si="7"/>
        <v/>
      </c>
      <c r="H519" s="86"/>
      <c r="I519" s="86"/>
      <c r="J519" s="133"/>
      <c r="K519" s="133"/>
      <c r="L519" s="133"/>
      <c r="M519" s="130"/>
    </row>
    <row r="520" spans="2:13" x14ac:dyDescent="0.3">
      <c r="B520" s="51"/>
      <c r="C520" s="51"/>
      <c r="D520" s="51"/>
      <c r="E520" s="51"/>
      <c r="F520" s="42" t="str">
        <f t="shared" si="7"/>
        <v/>
      </c>
      <c r="H520" s="86"/>
      <c r="I520" s="86"/>
      <c r="J520" s="133"/>
      <c r="K520" s="133"/>
      <c r="L520" s="133"/>
      <c r="M520" s="130"/>
    </row>
    <row r="521" spans="2:13" x14ac:dyDescent="0.3">
      <c r="B521" s="51"/>
      <c r="C521" s="51"/>
      <c r="D521" s="51"/>
      <c r="E521" s="51"/>
      <c r="F521" s="42" t="str">
        <f t="shared" si="7"/>
        <v/>
      </c>
      <c r="H521" s="86"/>
      <c r="I521" s="86"/>
      <c r="J521" s="133"/>
      <c r="K521" s="133"/>
      <c r="L521" s="133"/>
      <c r="M521" s="130"/>
    </row>
    <row r="522" spans="2:13" x14ac:dyDescent="0.3">
      <c r="B522" s="51"/>
      <c r="C522" s="51"/>
      <c r="D522" s="51"/>
      <c r="E522" s="51"/>
      <c r="F522" s="42" t="str">
        <f t="shared" si="7"/>
        <v/>
      </c>
      <c r="H522" s="86"/>
      <c r="I522" s="86"/>
      <c r="J522" s="133"/>
      <c r="K522" s="133"/>
      <c r="L522" s="133"/>
      <c r="M522" s="130"/>
    </row>
    <row r="523" spans="2:13" x14ac:dyDescent="0.3">
      <c r="B523" s="51"/>
      <c r="C523" s="51"/>
      <c r="D523" s="51"/>
      <c r="E523" s="51"/>
      <c r="F523" s="42" t="str">
        <f t="shared" si="7"/>
        <v/>
      </c>
      <c r="H523" s="86"/>
      <c r="I523" s="86"/>
      <c r="J523" s="133"/>
      <c r="K523" s="133"/>
      <c r="L523" s="133"/>
      <c r="M523" s="130"/>
    </row>
    <row r="524" spans="2:13" hidden="1" x14ac:dyDescent="0.3">
      <c r="B524" s="51"/>
      <c r="C524" s="51"/>
      <c r="H524" s="86"/>
      <c r="I524" s="86"/>
    </row>
    <row r="525" spans="2:13" hidden="1" x14ac:dyDescent="0.3">
      <c r="B525" s="51"/>
      <c r="C525" s="51"/>
      <c r="H525" s="86"/>
      <c r="I525" s="86"/>
    </row>
    <row r="526" spans="2:13" hidden="1" x14ac:dyDescent="0.3">
      <c r="B526" s="51"/>
      <c r="C526" s="51"/>
      <c r="H526" s="86"/>
      <c r="I526" s="86"/>
    </row>
    <row r="527" spans="2:13" hidden="1" x14ac:dyDescent="0.3">
      <c r="B527" s="51"/>
      <c r="C527" s="51"/>
      <c r="H527" s="86"/>
      <c r="I527" s="86"/>
    </row>
    <row r="528" spans="2:13" hidden="1" x14ac:dyDescent="0.3">
      <c r="B528" s="51"/>
      <c r="C528" s="51"/>
      <c r="H528" s="86"/>
      <c r="I528" s="86"/>
    </row>
    <row r="529" spans="2:9" hidden="1" x14ac:dyDescent="0.3">
      <c r="B529" s="51"/>
      <c r="C529" s="51"/>
      <c r="H529" s="86"/>
      <c r="I529" s="86"/>
    </row>
    <row r="530" spans="2:9" hidden="1" x14ac:dyDescent="0.3">
      <c r="B530" s="51"/>
      <c r="C530" s="51"/>
      <c r="H530" s="86"/>
      <c r="I530" s="86"/>
    </row>
    <row r="531" spans="2:9" hidden="1" x14ac:dyDescent="0.3">
      <c r="B531" s="51"/>
      <c r="C531" s="51"/>
      <c r="H531" s="86"/>
      <c r="I531" s="86"/>
    </row>
    <row r="532" spans="2:9" hidden="1" x14ac:dyDescent="0.3">
      <c r="B532" s="51"/>
      <c r="C532" s="51"/>
      <c r="H532" s="86"/>
      <c r="I532" s="86"/>
    </row>
    <row r="533" spans="2:9" hidden="1" x14ac:dyDescent="0.3">
      <c r="B533" s="51"/>
      <c r="C533" s="51"/>
      <c r="H533" s="86"/>
      <c r="I533" s="86"/>
    </row>
    <row r="534" spans="2:9" hidden="1" x14ac:dyDescent="0.3">
      <c r="B534" s="51"/>
      <c r="C534" s="51"/>
      <c r="H534" s="86"/>
      <c r="I534" s="86"/>
    </row>
    <row r="535" spans="2:9" hidden="1" x14ac:dyDescent="0.3">
      <c r="B535" s="51"/>
      <c r="C535" s="51"/>
      <c r="H535" s="86"/>
      <c r="I535" s="86"/>
    </row>
    <row r="536" spans="2:9" hidden="1" x14ac:dyDescent="0.3">
      <c r="B536" s="51"/>
      <c r="C536" s="51"/>
      <c r="H536" s="86"/>
      <c r="I536" s="86"/>
    </row>
    <row r="537" spans="2:9" hidden="1" x14ac:dyDescent="0.3">
      <c r="B537" s="51"/>
      <c r="C537" s="51"/>
      <c r="H537" s="86"/>
      <c r="I537" s="86"/>
    </row>
    <row r="538" spans="2:9" hidden="1" x14ac:dyDescent="0.3">
      <c r="B538" s="51"/>
      <c r="C538" s="51"/>
      <c r="H538" s="86"/>
      <c r="I538" s="86"/>
    </row>
    <row r="539" spans="2:9" hidden="1" x14ac:dyDescent="0.3">
      <c r="B539" s="51"/>
      <c r="C539" s="51"/>
      <c r="H539" s="86"/>
      <c r="I539" s="86"/>
    </row>
    <row r="540" spans="2:9" hidden="1" x14ac:dyDescent="0.3">
      <c r="B540" s="51"/>
      <c r="C540" s="51"/>
      <c r="H540" s="86"/>
      <c r="I540" s="86"/>
    </row>
    <row r="541" spans="2:9" hidden="1" x14ac:dyDescent="0.3">
      <c r="B541" s="51"/>
      <c r="C541" s="51"/>
      <c r="H541" s="86"/>
      <c r="I541" s="86"/>
    </row>
    <row r="542" spans="2:9" hidden="1" x14ac:dyDescent="0.3">
      <c r="B542" s="51"/>
      <c r="C542" s="51"/>
      <c r="H542" s="86"/>
      <c r="I542" s="86"/>
    </row>
    <row r="543" spans="2:9" hidden="1" x14ac:dyDescent="0.3">
      <c r="B543" s="51"/>
      <c r="C543" s="51"/>
      <c r="H543" s="86"/>
      <c r="I543" s="86"/>
    </row>
    <row r="544" spans="2:9" hidden="1" x14ac:dyDescent="0.3">
      <c r="B544" s="51"/>
      <c r="C544" s="51"/>
      <c r="H544" s="86"/>
      <c r="I544" s="86"/>
    </row>
    <row r="545" spans="2:9" hidden="1" x14ac:dyDescent="0.3">
      <c r="B545" s="51"/>
      <c r="C545" s="51"/>
      <c r="H545" s="86"/>
      <c r="I545" s="86"/>
    </row>
    <row r="546" spans="2:9" hidden="1" x14ac:dyDescent="0.3">
      <c r="B546" s="51"/>
      <c r="C546" s="51"/>
      <c r="H546" s="86"/>
      <c r="I546" s="86"/>
    </row>
    <row r="547" spans="2:9" hidden="1" x14ac:dyDescent="0.3">
      <c r="B547" s="51"/>
      <c r="C547" s="51"/>
      <c r="H547" s="86"/>
      <c r="I547" s="86"/>
    </row>
    <row r="548" spans="2:9" hidden="1" x14ac:dyDescent="0.3">
      <c r="B548" s="51"/>
      <c r="C548" s="51"/>
      <c r="H548" s="86"/>
      <c r="I548" s="86"/>
    </row>
    <row r="549" spans="2:9" hidden="1" x14ac:dyDescent="0.3">
      <c r="B549" s="51"/>
      <c r="C549" s="51"/>
      <c r="H549" s="86"/>
      <c r="I549" s="86"/>
    </row>
    <row r="550" spans="2:9" hidden="1" x14ac:dyDescent="0.3">
      <c r="B550" s="51"/>
      <c r="C550" s="51"/>
      <c r="H550" s="86"/>
      <c r="I550" s="86"/>
    </row>
    <row r="551" spans="2:9" hidden="1" x14ac:dyDescent="0.3">
      <c r="B551" s="51"/>
      <c r="C551" s="51"/>
      <c r="H551" s="86"/>
      <c r="I551" s="86"/>
    </row>
    <row r="552" spans="2:9" hidden="1" x14ac:dyDescent="0.3">
      <c r="B552" s="51"/>
      <c r="C552" s="51"/>
      <c r="H552" s="86"/>
      <c r="I552" s="86"/>
    </row>
    <row r="553" spans="2:9" hidden="1" x14ac:dyDescent="0.3">
      <c r="B553" s="51"/>
      <c r="C553" s="51"/>
      <c r="H553" s="86"/>
      <c r="I553" s="86"/>
    </row>
    <row r="554" spans="2:9" hidden="1" x14ac:dyDescent="0.3">
      <c r="B554" s="51"/>
      <c r="C554" s="51"/>
      <c r="H554" s="86"/>
      <c r="I554" s="86"/>
    </row>
    <row r="555" spans="2:9" hidden="1" x14ac:dyDescent="0.3">
      <c r="B555" s="51"/>
      <c r="C555" s="51"/>
      <c r="H555" s="86"/>
      <c r="I555" s="86"/>
    </row>
    <row r="556" spans="2:9" hidden="1" x14ac:dyDescent="0.3">
      <c r="B556" s="51"/>
      <c r="C556" s="51"/>
      <c r="H556" s="86"/>
      <c r="I556" s="86"/>
    </row>
    <row r="557" spans="2:9" hidden="1" x14ac:dyDescent="0.3">
      <c r="B557" s="51"/>
      <c r="C557" s="51"/>
      <c r="H557" s="86"/>
      <c r="I557" s="86"/>
    </row>
    <row r="558" spans="2:9" hidden="1" x14ac:dyDescent="0.3">
      <c r="B558" s="51"/>
      <c r="C558" s="51"/>
      <c r="H558" s="86"/>
      <c r="I558" s="86"/>
    </row>
    <row r="559" spans="2:9" hidden="1" x14ac:dyDescent="0.3">
      <c r="B559" s="51"/>
      <c r="C559" s="51"/>
      <c r="H559" s="86"/>
      <c r="I559" s="86"/>
    </row>
    <row r="560" spans="2:9" hidden="1" x14ac:dyDescent="0.3">
      <c r="B560" s="51"/>
      <c r="C560" s="51"/>
      <c r="H560" s="86"/>
      <c r="I560" s="86"/>
    </row>
    <row r="561" spans="2:9" hidden="1" x14ac:dyDescent="0.3">
      <c r="B561" s="51"/>
      <c r="C561" s="51"/>
      <c r="H561" s="86"/>
      <c r="I561" s="86"/>
    </row>
    <row r="562" spans="2:9" hidden="1" x14ac:dyDescent="0.3">
      <c r="B562" s="51"/>
      <c r="C562" s="51"/>
      <c r="H562" s="86"/>
      <c r="I562" s="86"/>
    </row>
    <row r="563" spans="2:9" hidden="1" x14ac:dyDescent="0.3">
      <c r="B563" s="51"/>
      <c r="C563" s="51"/>
      <c r="H563" s="86"/>
      <c r="I563" s="86"/>
    </row>
    <row r="564" spans="2:9" hidden="1" x14ac:dyDescent="0.3">
      <c r="B564" s="51"/>
      <c r="C564" s="51"/>
      <c r="H564" s="86"/>
      <c r="I564" s="86"/>
    </row>
    <row r="565" spans="2:9" hidden="1" x14ac:dyDescent="0.3">
      <c r="B565" s="51"/>
      <c r="C565" s="51"/>
      <c r="H565" s="86"/>
      <c r="I565" s="86"/>
    </row>
    <row r="566" spans="2:9" hidden="1" x14ac:dyDescent="0.3">
      <c r="B566" s="51"/>
      <c r="C566" s="51"/>
      <c r="H566" s="86"/>
      <c r="I566" s="86"/>
    </row>
    <row r="567" spans="2:9" hidden="1" x14ac:dyDescent="0.3">
      <c r="B567" s="51"/>
      <c r="C567" s="51"/>
      <c r="H567" s="86"/>
      <c r="I567" s="86"/>
    </row>
    <row r="568" spans="2:9" hidden="1" x14ac:dyDescent="0.3">
      <c r="B568" s="51"/>
      <c r="C568" s="51"/>
      <c r="H568" s="86"/>
      <c r="I568" s="86"/>
    </row>
    <row r="569" spans="2:9" hidden="1" x14ac:dyDescent="0.3">
      <c r="B569" s="51"/>
      <c r="C569" s="51"/>
      <c r="H569" s="86"/>
      <c r="I569" s="86"/>
    </row>
    <row r="570" spans="2:9" hidden="1" x14ac:dyDescent="0.3">
      <c r="B570" s="51"/>
      <c r="C570" s="51"/>
      <c r="H570" s="86"/>
      <c r="I570" s="86"/>
    </row>
    <row r="571" spans="2:9" hidden="1" x14ac:dyDescent="0.3">
      <c r="B571" s="51"/>
      <c r="C571" s="51"/>
      <c r="H571" s="86"/>
      <c r="I571" s="86"/>
    </row>
    <row r="572" spans="2:9" hidden="1" x14ac:dyDescent="0.3">
      <c r="B572" s="51"/>
      <c r="C572" s="51"/>
      <c r="H572" s="86"/>
      <c r="I572" s="86"/>
    </row>
    <row r="573" spans="2:9" hidden="1" x14ac:dyDescent="0.3">
      <c r="B573" s="51"/>
      <c r="C573" s="51"/>
      <c r="H573" s="86"/>
      <c r="I573" s="86"/>
    </row>
    <row r="574" spans="2:9" hidden="1" x14ac:dyDescent="0.3">
      <c r="B574" s="51"/>
      <c r="C574" s="51"/>
      <c r="H574" s="86"/>
      <c r="I574" s="86"/>
    </row>
    <row r="575" spans="2:9" hidden="1" x14ac:dyDescent="0.3">
      <c r="B575" s="51"/>
      <c r="C575" s="51"/>
      <c r="H575" s="86"/>
      <c r="I575" s="86"/>
    </row>
    <row r="576" spans="2:9" hidden="1" x14ac:dyDescent="0.3">
      <c r="B576" s="51"/>
      <c r="C576" s="51"/>
      <c r="H576" s="86"/>
      <c r="I576" s="86"/>
    </row>
    <row r="577" spans="2:9" hidden="1" x14ac:dyDescent="0.3">
      <c r="B577" s="51"/>
      <c r="C577" s="51"/>
      <c r="H577" s="86"/>
      <c r="I577" s="86"/>
    </row>
    <row r="578" spans="2:9" hidden="1" x14ac:dyDescent="0.3">
      <c r="B578" s="51"/>
      <c r="C578" s="51"/>
      <c r="H578" s="86"/>
      <c r="I578" s="86"/>
    </row>
    <row r="579" spans="2:9" hidden="1" x14ac:dyDescent="0.3">
      <c r="B579" s="51"/>
      <c r="C579" s="51"/>
      <c r="H579" s="86"/>
      <c r="I579" s="86"/>
    </row>
    <row r="580" spans="2:9" hidden="1" x14ac:dyDescent="0.3">
      <c r="B580" s="51"/>
      <c r="C580" s="51"/>
      <c r="H580" s="86"/>
      <c r="I580" s="86"/>
    </row>
    <row r="581" spans="2:9" hidden="1" x14ac:dyDescent="0.3">
      <c r="B581" s="51"/>
      <c r="C581" s="51"/>
      <c r="H581" s="86"/>
      <c r="I581" s="86"/>
    </row>
    <row r="582" spans="2:9" hidden="1" x14ac:dyDescent="0.3">
      <c r="B582" s="51"/>
      <c r="C582" s="51"/>
      <c r="H582" s="86"/>
      <c r="I582" s="86"/>
    </row>
    <row r="583" spans="2:9" hidden="1" x14ac:dyDescent="0.3">
      <c r="B583" s="51"/>
      <c r="C583" s="51"/>
      <c r="H583" s="86"/>
      <c r="I583" s="86"/>
    </row>
    <row r="584" spans="2:9" hidden="1" x14ac:dyDescent="0.3">
      <c r="B584" s="51"/>
      <c r="C584" s="51"/>
      <c r="H584" s="86"/>
      <c r="I584" s="86"/>
    </row>
    <row r="585" spans="2:9" hidden="1" x14ac:dyDescent="0.3">
      <c r="B585" s="51"/>
      <c r="C585" s="51"/>
      <c r="H585" s="86"/>
      <c r="I585" s="86"/>
    </row>
    <row r="586" spans="2:9" hidden="1" x14ac:dyDescent="0.3">
      <c r="B586" s="51"/>
      <c r="C586" s="51"/>
      <c r="H586" s="86"/>
      <c r="I586" s="86"/>
    </row>
    <row r="587" spans="2:9" hidden="1" x14ac:dyDescent="0.3">
      <c r="B587" s="51"/>
      <c r="C587" s="51"/>
      <c r="H587" s="86"/>
      <c r="I587" s="86"/>
    </row>
    <row r="588" spans="2:9" hidden="1" x14ac:dyDescent="0.3">
      <c r="B588" s="51"/>
      <c r="C588" s="51"/>
      <c r="H588" s="86"/>
      <c r="I588" s="86"/>
    </row>
    <row r="589" spans="2:9" hidden="1" x14ac:dyDescent="0.3">
      <c r="B589" s="51"/>
      <c r="C589" s="51"/>
      <c r="H589" s="86"/>
      <c r="I589" s="86"/>
    </row>
    <row r="590" spans="2:9" hidden="1" x14ac:dyDescent="0.3">
      <c r="B590" s="51"/>
      <c r="C590" s="51"/>
      <c r="H590" s="86"/>
      <c r="I590" s="86"/>
    </row>
    <row r="591" spans="2:9" hidden="1" x14ac:dyDescent="0.3">
      <c r="B591" s="51"/>
      <c r="C591" s="51"/>
      <c r="H591" s="86"/>
      <c r="I591" s="86"/>
    </row>
    <row r="592" spans="2:9" hidden="1" x14ac:dyDescent="0.3">
      <c r="B592" s="51"/>
      <c r="C592" s="51"/>
      <c r="H592" s="86"/>
      <c r="I592" s="86"/>
    </row>
    <row r="593" spans="2:9" hidden="1" x14ac:dyDescent="0.3">
      <c r="B593" s="51"/>
      <c r="C593" s="51"/>
      <c r="H593" s="86"/>
      <c r="I593" s="86"/>
    </row>
    <row r="594" spans="2:9" hidden="1" x14ac:dyDescent="0.3">
      <c r="B594" s="51"/>
      <c r="C594" s="51"/>
      <c r="H594" s="86"/>
      <c r="I594" s="86"/>
    </row>
    <row r="595" spans="2:9" hidden="1" x14ac:dyDescent="0.3">
      <c r="B595" s="51"/>
      <c r="C595" s="51"/>
      <c r="H595" s="86"/>
      <c r="I595" s="86"/>
    </row>
    <row r="596" spans="2:9" hidden="1" x14ac:dyDescent="0.3">
      <c r="B596" s="51"/>
      <c r="C596" s="51"/>
      <c r="H596" s="86"/>
      <c r="I596" s="86"/>
    </row>
    <row r="597" spans="2:9" hidden="1" x14ac:dyDescent="0.3">
      <c r="B597" s="51"/>
      <c r="C597" s="51"/>
      <c r="H597" s="86"/>
      <c r="I597" s="86"/>
    </row>
    <row r="598" spans="2:9" hidden="1" x14ac:dyDescent="0.3">
      <c r="B598" s="51"/>
      <c r="C598" s="51"/>
      <c r="H598" s="86"/>
      <c r="I598" s="86"/>
    </row>
    <row r="599" spans="2:9" hidden="1" x14ac:dyDescent="0.3">
      <c r="B599" s="51"/>
      <c r="C599" s="51"/>
      <c r="H599" s="86"/>
      <c r="I599" s="86"/>
    </row>
    <row r="600" spans="2:9" hidden="1" x14ac:dyDescent="0.3">
      <c r="B600" s="51"/>
      <c r="C600" s="51"/>
      <c r="H600" s="86"/>
      <c r="I600" s="86"/>
    </row>
    <row r="601" spans="2:9" hidden="1" x14ac:dyDescent="0.3">
      <c r="B601" s="51"/>
      <c r="C601" s="51"/>
      <c r="H601" s="86"/>
      <c r="I601" s="86"/>
    </row>
    <row r="602" spans="2:9" hidden="1" x14ac:dyDescent="0.3">
      <c r="B602" s="51"/>
      <c r="C602" s="51"/>
      <c r="H602" s="86"/>
      <c r="I602" s="86"/>
    </row>
    <row r="603" spans="2:9" hidden="1" x14ac:dyDescent="0.3">
      <c r="B603" s="51"/>
      <c r="C603" s="51"/>
      <c r="H603" s="86"/>
      <c r="I603" s="86"/>
    </row>
    <row r="604" spans="2:9" hidden="1" x14ac:dyDescent="0.3">
      <c r="B604" s="51"/>
      <c r="C604" s="51"/>
      <c r="H604" s="86"/>
      <c r="I604" s="86"/>
    </row>
    <row r="605" spans="2:9" hidden="1" x14ac:dyDescent="0.3">
      <c r="B605" s="51"/>
      <c r="C605" s="51"/>
      <c r="H605" s="86"/>
      <c r="I605" s="86"/>
    </row>
    <row r="606" spans="2:9" hidden="1" x14ac:dyDescent="0.3">
      <c r="B606" s="51"/>
      <c r="C606" s="51"/>
      <c r="H606" s="86"/>
      <c r="I606" s="86"/>
    </row>
    <row r="607" spans="2:9" hidden="1" x14ac:dyDescent="0.3">
      <c r="B607" s="51"/>
      <c r="C607" s="51"/>
      <c r="H607" s="86"/>
      <c r="I607" s="86"/>
    </row>
    <row r="608" spans="2:9" hidden="1" x14ac:dyDescent="0.3">
      <c r="B608" s="51"/>
      <c r="C608" s="51"/>
      <c r="H608" s="86"/>
      <c r="I608" s="86"/>
    </row>
    <row r="609" spans="2:9" hidden="1" x14ac:dyDescent="0.3">
      <c r="B609" s="51"/>
      <c r="C609" s="51"/>
      <c r="H609" s="86"/>
      <c r="I609" s="86"/>
    </row>
    <row r="610" spans="2:9" hidden="1" x14ac:dyDescent="0.3">
      <c r="B610" s="51"/>
      <c r="C610" s="51"/>
      <c r="H610" s="86"/>
      <c r="I610" s="86"/>
    </row>
    <row r="611" spans="2:9" hidden="1" x14ac:dyDescent="0.3">
      <c r="B611" s="51"/>
      <c r="C611" s="51"/>
      <c r="H611" s="86"/>
      <c r="I611" s="86"/>
    </row>
    <row r="612" spans="2:9" hidden="1" x14ac:dyDescent="0.3">
      <c r="B612" s="51"/>
      <c r="C612" s="51"/>
      <c r="H612" s="86"/>
      <c r="I612" s="86"/>
    </row>
    <row r="613" spans="2:9" hidden="1" x14ac:dyDescent="0.3">
      <c r="B613" s="51"/>
      <c r="C613" s="51"/>
      <c r="H613" s="86"/>
      <c r="I613" s="86"/>
    </row>
    <row r="614" spans="2:9" hidden="1" x14ac:dyDescent="0.3">
      <c r="B614" s="51"/>
      <c r="C614" s="51"/>
      <c r="H614" s="86"/>
      <c r="I614" s="86"/>
    </row>
    <row r="615" spans="2:9" hidden="1" x14ac:dyDescent="0.3">
      <c r="B615" s="51"/>
      <c r="C615" s="51"/>
      <c r="H615" s="86"/>
      <c r="I615" s="86"/>
    </row>
    <row r="616" spans="2:9" hidden="1" x14ac:dyDescent="0.3">
      <c r="B616" s="51"/>
      <c r="C616" s="51"/>
      <c r="H616" s="86"/>
      <c r="I616" s="86"/>
    </row>
    <row r="617" spans="2:9" hidden="1" x14ac:dyDescent="0.3">
      <c r="B617" s="51"/>
      <c r="C617" s="51"/>
      <c r="H617" s="86"/>
      <c r="I617" s="86"/>
    </row>
    <row r="618" spans="2:9" hidden="1" x14ac:dyDescent="0.3">
      <c r="B618" s="51"/>
      <c r="C618" s="51"/>
      <c r="H618" s="86"/>
      <c r="I618" s="86"/>
    </row>
    <row r="619" spans="2:9" hidden="1" x14ac:dyDescent="0.3">
      <c r="B619" s="51"/>
      <c r="C619" s="51"/>
      <c r="H619" s="86"/>
      <c r="I619" s="86"/>
    </row>
    <row r="620" spans="2:9" hidden="1" x14ac:dyDescent="0.3">
      <c r="B620" s="51"/>
      <c r="C620" s="51"/>
      <c r="H620" s="86"/>
      <c r="I620" s="86"/>
    </row>
    <row r="621" spans="2:9" hidden="1" x14ac:dyDescent="0.3">
      <c r="B621" s="51"/>
      <c r="C621" s="51"/>
      <c r="H621" s="86"/>
      <c r="I621" s="86"/>
    </row>
    <row r="622" spans="2:9" hidden="1" x14ac:dyDescent="0.3">
      <c r="B622" s="51"/>
      <c r="C622" s="51"/>
      <c r="H622" s="86"/>
      <c r="I622" s="86"/>
    </row>
    <row r="623" spans="2:9" hidden="1" x14ac:dyDescent="0.3">
      <c r="B623" s="51"/>
      <c r="C623" s="51"/>
      <c r="H623" s="86"/>
      <c r="I623" s="86"/>
    </row>
    <row r="624" spans="2:9" hidden="1" x14ac:dyDescent="0.3">
      <c r="B624" s="51"/>
      <c r="C624" s="51"/>
      <c r="H624" s="86"/>
      <c r="I624" s="86"/>
    </row>
    <row r="625" spans="2:9" hidden="1" x14ac:dyDescent="0.3">
      <c r="B625" s="51"/>
      <c r="C625" s="51"/>
      <c r="H625" s="86"/>
      <c r="I625" s="86"/>
    </row>
    <row r="626" spans="2:9" hidden="1" x14ac:dyDescent="0.3">
      <c r="B626" s="51"/>
      <c r="C626" s="51"/>
      <c r="H626" s="86"/>
      <c r="I626" s="86"/>
    </row>
    <row r="627" spans="2:9" hidden="1" x14ac:dyDescent="0.3">
      <c r="B627" s="51"/>
      <c r="C627" s="51"/>
      <c r="H627" s="86"/>
      <c r="I627" s="86"/>
    </row>
    <row r="628" spans="2:9" hidden="1" x14ac:dyDescent="0.3">
      <c r="B628" s="51"/>
      <c r="C628" s="51"/>
      <c r="H628" s="86"/>
      <c r="I628" s="86"/>
    </row>
    <row r="629" spans="2:9" hidden="1" x14ac:dyDescent="0.3">
      <c r="B629" s="51"/>
      <c r="C629" s="51"/>
      <c r="H629" s="86"/>
      <c r="I629" s="86"/>
    </row>
    <row r="630" spans="2:9" hidden="1" x14ac:dyDescent="0.3">
      <c r="B630" s="51"/>
      <c r="C630" s="51"/>
      <c r="H630" s="86"/>
      <c r="I630" s="86"/>
    </row>
    <row r="631" spans="2:9" hidden="1" x14ac:dyDescent="0.3">
      <c r="B631" s="51"/>
      <c r="C631" s="51"/>
      <c r="H631" s="86"/>
      <c r="I631" s="86"/>
    </row>
    <row r="632" spans="2:9" hidden="1" x14ac:dyDescent="0.3">
      <c r="B632" s="51"/>
      <c r="C632" s="51"/>
      <c r="H632" s="86"/>
      <c r="I632" s="86"/>
    </row>
    <row r="633" spans="2:9" hidden="1" x14ac:dyDescent="0.3">
      <c r="B633" s="51"/>
      <c r="C633" s="51"/>
      <c r="H633" s="86"/>
      <c r="I633" s="86"/>
    </row>
    <row r="634" spans="2:9" hidden="1" x14ac:dyDescent="0.3">
      <c r="B634" s="51"/>
      <c r="C634" s="51"/>
      <c r="H634" s="86"/>
      <c r="I634" s="86"/>
    </row>
    <row r="635" spans="2:9" hidden="1" x14ac:dyDescent="0.3">
      <c r="B635" s="51"/>
      <c r="C635" s="51"/>
      <c r="H635" s="86"/>
      <c r="I635" s="86"/>
    </row>
    <row r="636" spans="2:9" hidden="1" x14ac:dyDescent="0.3">
      <c r="B636" s="51"/>
      <c r="C636" s="51"/>
      <c r="H636" s="86"/>
      <c r="I636" s="86"/>
    </row>
    <row r="637" spans="2:9" hidden="1" x14ac:dyDescent="0.3">
      <c r="B637" s="51"/>
      <c r="C637" s="51"/>
      <c r="H637" s="86"/>
      <c r="I637" s="86"/>
    </row>
    <row r="638" spans="2:9" hidden="1" x14ac:dyDescent="0.3">
      <c r="B638" s="51"/>
      <c r="C638" s="51"/>
      <c r="H638" s="86"/>
      <c r="I638" s="86"/>
    </row>
    <row r="639" spans="2:9" hidden="1" x14ac:dyDescent="0.3">
      <c r="B639" s="51"/>
      <c r="C639" s="51"/>
      <c r="H639" s="86"/>
      <c r="I639" s="86"/>
    </row>
    <row r="640" spans="2:9" hidden="1" x14ac:dyDescent="0.3">
      <c r="B640" s="51"/>
      <c r="C640" s="51"/>
      <c r="H640" s="86"/>
      <c r="I640" s="86"/>
    </row>
    <row r="641" spans="2:9" hidden="1" x14ac:dyDescent="0.3">
      <c r="B641" s="51"/>
      <c r="C641" s="51"/>
      <c r="H641" s="86"/>
      <c r="I641" s="86"/>
    </row>
    <row r="642" spans="2:9" hidden="1" x14ac:dyDescent="0.3">
      <c r="B642" s="51"/>
      <c r="C642" s="51"/>
      <c r="H642" s="86"/>
      <c r="I642" s="86"/>
    </row>
    <row r="643" spans="2:9" hidden="1" x14ac:dyDescent="0.3">
      <c r="B643" s="51"/>
      <c r="C643" s="51"/>
      <c r="H643" s="86"/>
      <c r="I643" s="86"/>
    </row>
    <row r="644" spans="2:9" hidden="1" x14ac:dyDescent="0.3">
      <c r="B644" s="51"/>
      <c r="C644" s="51"/>
      <c r="H644" s="86"/>
      <c r="I644" s="86"/>
    </row>
    <row r="645" spans="2:9" hidden="1" x14ac:dyDescent="0.3">
      <c r="B645" s="51"/>
      <c r="C645" s="51"/>
      <c r="H645" s="86"/>
      <c r="I645" s="86"/>
    </row>
    <row r="646" spans="2:9" hidden="1" x14ac:dyDescent="0.3">
      <c r="B646" s="51"/>
      <c r="C646" s="51"/>
      <c r="H646" s="86"/>
      <c r="I646" s="86"/>
    </row>
    <row r="647" spans="2:9" hidden="1" x14ac:dyDescent="0.3">
      <c r="B647" s="51"/>
      <c r="C647" s="51"/>
      <c r="H647" s="86"/>
      <c r="I647" s="86"/>
    </row>
    <row r="648" spans="2:9" hidden="1" x14ac:dyDescent="0.3">
      <c r="B648" s="51"/>
      <c r="C648" s="51"/>
      <c r="H648" s="86"/>
      <c r="I648" s="86"/>
    </row>
    <row r="649" spans="2:9" hidden="1" x14ac:dyDescent="0.3">
      <c r="B649" s="51"/>
      <c r="C649" s="51"/>
      <c r="H649" s="86"/>
      <c r="I649" s="86"/>
    </row>
    <row r="650" spans="2:9" hidden="1" x14ac:dyDescent="0.3">
      <c r="B650" s="51"/>
      <c r="C650" s="51"/>
      <c r="H650" s="86"/>
      <c r="I650" s="86"/>
    </row>
    <row r="651" spans="2:9" hidden="1" x14ac:dyDescent="0.3">
      <c r="B651" s="51"/>
      <c r="C651" s="51"/>
      <c r="H651" s="86"/>
      <c r="I651" s="86"/>
    </row>
    <row r="652" spans="2:9" hidden="1" x14ac:dyDescent="0.3">
      <c r="B652" s="51"/>
      <c r="C652" s="51"/>
      <c r="H652" s="86"/>
      <c r="I652" s="86"/>
    </row>
    <row r="653" spans="2:9" hidden="1" x14ac:dyDescent="0.3">
      <c r="B653" s="51"/>
      <c r="C653" s="51"/>
      <c r="H653" s="86"/>
      <c r="I653" s="86"/>
    </row>
    <row r="654" spans="2:9" hidden="1" x14ac:dyDescent="0.3">
      <c r="B654" s="51"/>
      <c r="C654" s="51"/>
      <c r="H654" s="86"/>
      <c r="I654" s="86"/>
    </row>
    <row r="655" spans="2:9" hidden="1" x14ac:dyDescent="0.3">
      <c r="B655" s="51"/>
      <c r="C655" s="51"/>
      <c r="H655" s="86"/>
      <c r="I655" s="86"/>
    </row>
    <row r="656" spans="2:9" hidden="1" x14ac:dyDescent="0.3">
      <c r="B656" s="51"/>
      <c r="C656" s="51"/>
      <c r="H656" s="86"/>
      <c r="I656" s="86"/>
    </row>
    <row r="657" spans="2:9" hidden="1" x14ac:dyDescent="0.3">
      <c r="B657" s="51"/>
      <c r="C657" s="51"/>
      <c r="H657" s="86"/>
      <c r="I657" s="86"/>
    </row>
    <row r="658" spans="2:9" hidden="1" x14ac:dyDescent="0.3">
      <c r="B658" s="51"/>
      <c r="C658" s="51"/>
      <c r="H658" s="86"/>
      <c r="I658" s="86"/>
    </row>
    <row r="659" spans="2:9" hidden="1" x14ac:dyDescent="0.3">
      <c r="B659" s="51"/>
      <c r="C659" s="51"/>
      <c r="H659" s="86"/>
      <c r="I659" s="86"/>
    </row>
    <row r="660" spans="2:9" hidden="1" x14ac:dyDescent="0.3">
      <c r="B660" s="51"/>
      <c r="C660" s="51"/>
      <c r="H660" s="86"/>
      <c r="I660" s="86"/>
    </row>
    <row r="661" spans="2:9" hidden="1" x14ac:dyDescent="0.3">
      <c r="B661" s="51"/>
      <c r="C661" s="51"/>
      <c r="H661" s="86"/>
      <c r="I661" s="86"/>
    </row>
    <row r="662" spans="2:9" hidden="1" x14ac:dyDescent="0.3">
      <c r="B662" s="51"/>
      <c r="C662" s="51"/>
      <c r="H662" s="86"/>
      <c r="I662" s="86"/>
    </row>
    <row r="663" spans="2:9" hidden="1" x14ac:dyDescent="0.3">
      <c r="B663" s="51"/>
      <c r="C663" s="51"/>
      <c r="H663" s="86"/>
      <c r="I663" s="86"/>
    </row>
    <row r="664" spans="2:9" hidden="1" x14ac:dyDescent="0.3">
      <c r="B664" s="51"/>
      <c r="C664" s="51"/>
      <c r="H664" s="86"/>
      <c r="I664" s="86"/>
    </row>
    <row r="665" spans="2:9" hidden="1" x14ac:dyDescent="0.3">
      <c r="B665" s="51"/>
      <c r="C665" s="51"/>
      <c r="H665" s="86"/>
      <c r="I665" s="86"/>
    </row>
    <row r="666" spans="2:9" hidden="1" x14ac:dyDescent="0.3">
      <c r="B666" s="51"/>
      <c r="C666" s="51"/>
      <c r="H666" s="86"/>
      <c r="I666" s="86"/>
    </row>
    <row r="667" spans="2:9" hidden="1" x14ac:dyDescent="0.3">
      <c r="B667" s="51"/>
      <c r="C667" s="51"/>
      <c r="H667" s="86"/>
      <c r="I667" s="86"/>
    </row>
    <row r="668" spans="2:9" hidden="1" x14ac:dyDescent="0.3">
      <c r="B668" s="51"/>
      <c r="C668" s="51"/>
      <c r="H668" s="86"/>
      <c r="I668" s="86"/>
    </row>
    <row r="669" spans="2:9" hidden="1" x14ac:dyDescent="0.3">
      <c r="B669" s="51"/>
      <c r="C669" s="51"/>
      <c r="H669" s="86"/>
      <c r="I669" s="86"/>
    </row>
    <row r="670" spans="2:9" hidden="1" x14ac:dyDescent="0.3">
      <c r="B670" s="51"/>
      <c r="C670" s="51"/>
      <c r="H670" s="86"/>
      <c r="I670" s="86"/>
    </row>
    <row r="671" spans="2:9" hidden="1" x14ac:dyDescent="0.3">
      <c r="B671" s="51"/>
      <c r="C671" s="51"/>
      <c r="H671" s="86"/>
      <c r="I671" s="86"/>
    </row>
    <row r="672" spans="2:9" hidden="1" x14ac:dyDescent="0.3">
      <c r="B672" s="51"/>
      <c r="C672" s="51"/>
      <c r="H672" s="86"/>
      <c r="I672" s="86"/>
    </row>
    <row r="673" spans="2:9" hidden="1" x14ac:dyDescent="0.3">
      <c r="B673" s="51"/>
      <c r="C673" s="51"/>
      <c r="H673" s="86"/>
      <c r="I673" s="86"/>
    </row>
    <row r="674" spans="2:9" hidden="1" x14ac:dyDescent="0.3">
      <c r="B674" s="51"/>
      <c r="C674" s="51"/>
      <c r="H674" s="86"/>
      <c r="I674" s="86"/>
    </row>
    <row r="675" spans="2:9" hidden="1" x14ac:dyDescent="0.3">
      <c r="B675" s="51"/>
      <c r="C675" s="51"/>
      <c r="H675" s="86"/>
      <c r="I675" s="86"/>
    </row>
    <row r="676" spans="2:9" hidden="1" x14ac:dyDescent="0.3">
      <c r="B676" s="51"/>
      <c r="C676" s="51"/>
      <c r="H676" s="86"/>
      <c r="I676" s="86"/>
    </row>
    <row r="677" spans="2:9" hidden="1" x14ac:dyDescent="0.3">
      <c r="B677" s="51"/>
      <c r="C677" s="51"/>
      <c r="H677" s="86"/>
      <c r="I677" s="86"/>
    </row>
    <row r="678" spans="2:9" hidden="1" x14ac:dyDescent="0.3">
      <c r="B678" s="51"/>
      <c r="C678" s="51"/>
      <c r="H678" s="86"/>
      <c r="I678" s="86"/>
    </row>
    <row r="679" spans="2:9" hidden="1" x14ac:dyDescent="0.3">
      <c r="B679" s="51"/>
      <c r="C679" s="51"/>
      <c r="H679" s="86"/>
      <c r="I679" s="86"/>
    </row>
    <row r="680" spans="2:9" hidden="1" x14ac:dyDescent="0.3">
      <c r="B680" s="51"/>
      <c r="C680" s="51"/>
      <c r="H680" s="86"/>
      <c r="I680" s="86"/>
    </row>
    <row r="681" spans="2:9" hidden="1" x14ac:dyDescent="0.3">
      <c r="B681" s="51"/>
      <c r="C681" s="51"/>
      <c r="H681" s="86"/>
      <c r="I681" s="86"/>
    </row>
    <row r="682" spans="2:9" hidden="1" x14ac:dyDescent="0.3">
      <c r="B682" s="51"/>
      <c r="C682" s="51"/>
      <c r="H682" s="86"/>
      <c r="I682" s="86"/>
    </row>
    <row r="683" spans="2:9" hidden="1" x14ac:dyDescent="0.3">
      <c r="B683" s="51"/>
      <c r="C683" s="51"/>
      <c r="H683" s="86"/>
      <c r="I683" s="86"/>
    </row>
    <row r="684" spans="2:9" hidden="1" x14ac:dyDescent="0.3">
      <c r="B684" s="51"/>
      <c r="C684" s="51"/>
      <c r="H684" s="86"/>
      <c r="I684" s="86"/>
    </row>
    <row r="685" spans="2:9" hidden="1" x14ac:dyDescent="0.3">
      <c r="B685" s="51"/>
      <c r="C685" s="51"/>
      <c r="H685" s="86"/>
      <c r="I685" s="86"/>
    </row>
    <row r="686" spans="2:9" hidden="1" x14ac:dyDescent="0.3">
      <c r="B686" s="51"/>
      <c r="C686" s="51"/>
      <c r="H686" s="86"/>
      <c r="I686" s="86"/>
    </row>
    <row r="687" spans="2:9" hidden="1" x14ac:dyDescent="0.3">
      <c r="B687" s="51"/>
      <c r="C687" s="51"/>
      <c r="H687" s="86"/>
      <c r="I687" s="86"/>
    </row>
    <row r="688" spans="2:9" hidden="1" x14ac:dyDescent="0.3">
      <c r="B688" s="51"/>
      <c r="C688" s="51"/>
      <c r="H688" s="86"/>
      <c r="I688" s="86"/>
    </row>
    <row r="689" spans="2:9" hidden="1" x14ac:dyDescent="0.3">
      <c r="B689" s="51"/>
      <c r="C689" s="51"/>
      <c r="H689" s="86"/>
      <c r="I689" s="86"/>
    </row>
    <row r="690" spans="2:9" hidden="1" x14ac:dyDescent="0.3">
      <c r="B690" s="51"/>
      <c r="C690" s="51"/>
      <c r="H690" s="86"/>
      <c r="I690" s="86"/>
    </row>
    <row r="691" spans="2:9" hidden="1" x14ac:dyDescent="0.3">
      <c r="B691" s="51"/>
      <c r="C691" s="51"/>
      <c r="H691" s="86"/>
      <c r="I691" s="86"/>
    </row>
    <row r="692" spans="2:9" hidden="1" x14ac:dyDescent="0.3">
      <c r="B692" s="51"/>
      <c r="C692" s="51"/>
      <c r="H692" s="86"/>
      <c r="I692" s="86"/>
    </row>
    <row r="693" spans="2:9" hidden="1" x14ac:dyDescent="0.3">
      <c r="B693" s="51"/>
      <c r="C693" s="51"/>
      <c r="H693" s="86"/>
      <c r="I693" s="86"/>
    </row>
    <row r="694" spans="2:9" hidden="1" x14ac:dyDescent="0.3">
      <c r="B694" s="51"/>
      <c r="C694" s="51"/>
      <c r="H694" s="86"/>
      <c r="I694" s="86"/>
    </row>
    <row r="695" spans="2:9" hidden="1" x14ac:dyDescent="0.3">
      <c r="B695" s="51"/>
      <c r="C695" s="51"/>
      <c r="H695" s="86"/>
      <c r="I695" s="86"/>
    </row>
    <row r="696" spans="2:9" hidden="1" x14ac:dyDescent="0.3">
      <c r="B696" s="51"/>
      <c r="C696" s="51"/>
      <c r="H696" s="86"/>
      <c r="I696" s="86"/>
    </row>
    <row r="697" spans="2:9" hidden="1" x14ac:dyDescent="0.3">
      <c r="B697" s="51"/>
      <c r="C697" s="51"/>
      <c r="H697" s="86"/>
      <c r="I697" s="86"/>
    </row>
    <row r="698" spans="2:9" hidden="1" x14ac:dyDescent="0.3">
      <c r="B698" s="51"/>
      <c r="C698" s="51"/>
      <c r="H698" s="86"/>
      <c r="I698" s="86"/>
    </row>
    <row r="699" spans="2:9" hidden="1" x14ac:dyDescent="0.3">
      <c r="B699" s="51"/>
      <c r="C699" s="51"/>
      <c r="H699" s="86"/>
      <c r="I699" s="86"/>
    </row>
    <row r="700" spans="2:9" hidden="1" x14ac:dyDescent="0.3">
      <c r="B700" s="51"/>
      <c r="C700" s="51"/>
      <c r="H700" s="86"/>
      <c r="I700" s="86"/>
    </row>
    <row r="701" spans="2:9" hidden="1" x14ac:dyDescent="0.3">
      <c r="B701" s="51"/>
      <c r="C701" s="51"/>
      <c r="H701" s="86"/>
      <c r="I701" s="86"/>
    </row>
    <row r="702" spans="2:9" hidden="1" x14ac:dyDescent="0.3">
      <c r="B702" s="51"/>
      <c r="C702" s="51"/>
      <c r="H702" s="86"/>
      <c r="I702" s="86"/>
    </row>
    <row r="703" spans="2:9" hidden="1" x14ac:dyDescent="0.3">
      <c r="B703" s="51"/>
      <c r="C703" s="51"/>
      <c r="H703" s="86"/>
      <c r="I703" s="86"/>
    </row>
    <row r="704" spans="2:9" hidden="1" x14ac:dyDescent="0.3">
      <c r="B704" s="51"/>
      <c r="C704" s="51"/>
      <c r="H704" s="86"/>
      <c r="I704" s="86"/>
    </row>
    <row r="705" spans="2:9" hidden="1" x14ac:dyDescent="0.3">
      <c r="B705" s="51"/>
      <c r="C705" s="51"/>
      <c r="H705" s="86"/>
      <c r="I705" s="86"/>
    </row>
    <row r="706" spans="2:9" hidden="1" x14ac:dyDescent="0.3">
      <c r="B706" s="51"/>
      <c r="C706" s="51"/>
      <c r="H706" s="86"/>
      <c r="I706" s="86"/>
    </row>
    <row r="707" spans="2:9" hidden="1" x14ac:dyDescent="0.3">
      <c r="B707" s="51"/>
      <c r="C707" s="51"/>
      <c r="H707" s="86"/>
      <c r="I707" s="86"/>
    </row>
    <row r="708" spans="2:9" hidden="1" x14ac:dyDescent="0.3">
      <c r="B708" s="51"/>
      <c r="C708" s="51"/>
      <c r="H708" s="86"/>
      <c r="I708" s="86"/>
    </row>
    <row r="709" spans="2:9" hidden="1" x14ac:dyDescent="0.3">
      <c r="H709" s="86"/>
      <c r="I709" s="86"/>
    </row>
    <row r="710" spans="2:9" hidden="1" x14ac:dyDescent="0.3">
      <c r="H710" s="86"/>
      <c r="I710" s="86"/>
    </row>
    <row r="711" spans="2:9" hidden="1" x14ac:dyDescent="0.3">
      <c r="H711" s="86"/>
      <c r="I711" s="86"/>
    </row>
    <row r="712" spans="2:9" hidden="1" x14ac:dyDescent="0.3">
      <c r="H712" s="86"/>
      <c r="I712" s="86"/>
    </row>
    <row r="713" spans="2:9" hidden="1" x14ac:dyDescent="0.3">
      <c r="H713" s="86"/>
      <c r="I713" s="86"/>
    </row>
    <row r="714" spans="2:9" hidden="1" x14ac:dyDescent="0.3">
      <c r="H714" s="86"/>
      <c r="I714" s="86"/>
    </row>
    <row r="715" spans="2:9" hidden="1" x14ac:dyDescent="0.3">
      <c r="H715" s="86"/>
      <c r="I715" s="86"/>
    </row>
    <row r="716" spans="2:9" hidden="1" x14ac:dyDescent="0.3">
      <c r="H716" s="86"/>
      <c r="I716" s="86"/>
    </row>
    <row r="717" spans="2:9" hidden="1" x14ac:dyDescent="0.3">
      <c r="H717" s="86"/>
      <c r="I717" s="86"/>
    </row>
    <row r="718" spans="2:9" hidden="1" x14ac:dyDescent="0.3">
      <c r="H718" s="86"/>
      <c r="I718" s="86"/>
    </row>
    <row r="719" spans="2:9" hidden="1" x14ac:dyDescent="0.3">
      <c r="H719" s="86"/>
      <c r="I719" s="86"/>
    </row>
    <row r="720" spans="2:9" hidden="1" x14ac:dyDescent="0.3">
      <c r="H720" s="86"/>
      <c r="I720" s="86"/>
    </row>
    <row r="721" spans="8:9" hidden="1" x14ac:dyDescent="0.3">
      <c r="H721" s="86"/>
      <c r="I721" s="86"/>
    </row>
    <row r="722" spans="8:9" hidden="1" x14ac:dyDescent="0.3">
      <c r="H722" s="86"/>
      <c r="I722" s="86"/>
    </row>
    <row r="723" spans="8:9" hidden="1" x14ac:dyDescent="0.3">
      <c r="H723" s="86"/>
      <c r="I723" s="86"/>
    </row>
    <row r="724" spans="8:9" hidden="1" x14ac:dyDescent="0.3">
      <c r="H724" s="86"/>
      <c r="I724" s="86"/>
    </row>
    <row r="725" spans="8:9" hidden="1" x14ac:dyDescent="0.3">
      <c r="H725" s="86"/>
      <c r="I725" s="86"/>
    </row>
    <row r="726" spans="8:9" hidden="1" x14ac:dyDescent="0.3">
      <c r="H726" s="86"/>
      <c r="I726" s="86"/>
    </row>
    <row r="727" spans="8:9" hidden="1" x14ac:dyDescent="0.3">
      <c r="H727" s="86"/>
      <c r="I727" s="86"/>
    </row>
    <row r="728" spans="8:9" hidden="1" x14ac:dyDescent="0.3">
      <c r="H728" s="86"/>
      <c r="I728" s="86"/>
    </row>
    <row r="729" spans="8:9" hidden="1" x14ac:dyDescent="0.3">
      <c r="H729" s="86"/>
      <c r="I729" s="86"/>
    </row>
    <row r="730" spans="8:9" hidden="1" x14ac:dyDescent="0.3">
      <c r="H730" s="86"/>
      <c r="I730" s="86"/>
    </row>
    <row r="731" spans="8:9" hidden="1" x14ac:dyDescent="0.3">
      <c r="H731" s="86"/>
      <c r="I731" s="86"/>
    </row>
    <row r="732" spans="8:9" hidden="1" x14ac:dyDescent="0.3">
      <c r="H732" s="86"/>
      <c r="I732" s="86"/>
    </row>
    <row r="733" spans="8:9" hidden="1" x14ac:dyDescent="0.3">
      <c r="H733" s="86"/>
      <c r="I733" s="86"/>
    </row>
    <row r="734" spans="8:9" hidden="1" x14ac:dyDescent="0.3">
      <c r="H734" s="86"/>
      <c r="I734" s="86"/>
    </row>
    <row r="735" spans="8:9" hidden="1" x14ac:dyDescent="0.3">
      <c r="H735" s="86"/>
      <c r="I735" s="86"/>
    </row>
    <row r="736" spans="8:9" hidden="1" x14ac:dyDescent="0.3">
      <c r="H736" s="86"/>
      <c r="I736" s="86"/>
    </row>
    <row r="737" spans="8:9" hidden="1" x14ac:dyDescent="0.3">
      <c r="H737" s="86"/>
      <c r="I737" s="86"/>
    </row>
    <row r="738" spans="8:9" hidden="1" x14ac:dyDescent="0.3">
      <c r="H738" s="86"/>
      <c r="I738" s="86"/>
    </row>
    <row r="739" spans="8:9" hidden="1" x14ac:dyDescent="0.3">
      <c r="H739" s="86"/>
      <c r="I739" s="86"/>
    </row>
    <row r="740" spans="8:9" hidden="1" x14ac:dyDescent="0.3">
      <c r="H740" s="86"/>
      <c r="I740" s="86"/>
    </row>
    <row r="741" spans="8:9" hidden="1" x14ac:dyDescent="0.3">
      <c r="H741" s="86"/>
      <c r="I741" s="86"/>
    </row>
    <row r="742" spans="8:9" hidden="1" x14ac:dyDescent="0.3">
      <c r="H742" s="86"/>
      <c r="I742" s="86"/>
    </row>
    <row r="743" spans="8:9" hidden="1" x14ac:dyDescent="0.3">
      <c r="H743" s="86"/>
      <c r="I743" s="86"/>
    </row>
    <row r="744" spans="8:9" hidden="1" x14ac:dyDescent="0.3">
      <c r="H744" s="86"/>
      <c r="I744" s="86"/>
    </row>
    <row r="745" spans="8:9" hidden="1" x14ac:dyDescent="0.3">
      <c r="H745" s="86"/>
      <c r="I745" s="86"/>
    </row>
    <row r="746" spans="8:9" hidden="1" x14ac:dyDescent="0.3">
      <c r="H746" s="86"/>
      <c r="I746" s="86"/>
    </row>
    <row r="747" spans="8:9" hidden="1" x14ac:dyDescent="0.3">
      <c r="H747" s="86"/>
      <c r="I747" s="86"/>
    </row>
    <row r="748" spans="8:9" hidden="1" x14ac:dyDescent="0.3">
      <c r="H748" s="86"/>
      <c r="I748" s="86"/>
    </row>
    <row r="749" spans="8:9" hidden="1" x14ac:dyDescent="0.3">
      <c r="H749" s="86"/>
      <c r="I749" s="86"/>
    </row>
    <row r="750" spans="8:9" hidden="1" x14ac:dyDescent="0.3">
      <c r="H750" s="86"/>
      <c r="I750" s="86"/>
    </row>
    <row r="751" spans="8:9" hidden="1" x14ac:dyDescent="0.3">
      <c r="H751" s="86"/>
      <c r="I751" s="86"/>
    </row>
    <row r="752" spans="8:9" hidden="1" x14ac:dyDescent="0.3">
      <c r="H752" s="86"/>
      <c r="I752" s="86"/>
    </row>
    <row r="753" spans="8:9" hidden="1" x14ac:dyDescent="0.3">
      <c r="H753" s="86"/>
      <c r="I753" s="86"/>
    </row>
    <row r="754" spans="8:9" hidden="1" x14ac:dyDescent="0.3">
      <c r="H754" s="86"/>
      <c r="I754" s="86"/>
    </row>
    <row r="755" spans="8:9" hidden="1" x14ac:dyDescent="0.3">
      <c r="H755" s="86"/>
      <c r="I755" s="86"/>
    </row>
    <row r="756" spans="8:9" hidden="1" x14ac:dyDescent="0.3">
      <c r="H756" s="86"/>
      <c r="I756" s="86"/>
    </row>
    <row r="757" spans="8:9" hidden="1" x14ac:dyDescent="0.3">
      <c r="H757" s="86"/>
      <c r="I757" s="86"/>
    </row>
    <row r="758" spans="8:9" hidden="1" x14ac:dyDescent="0.3">
      <c r="H758" s="86"/>
      <c r="I758" s="86"/>
    </row>
    <row r="759" spans="8:9" hidden="1" x14ac:dyDescent="0.3">
      <c r="H759" s="86"/>
      <c r="I759" s="86"/>
    </row>
    <row r="760" spans="8:9" hidden="1" x14ac:dyDescent="0.3">
      <c r="H760" s="86"/>
      <c r="I760" s="86"/>
    </row>
    <row r="761" spans="8:9" hidden="1" x14ac:dyDescent="0.3">
      <c r="H761" s="86"/>
      <c r="I761" s="86"/>
    </row>
    <row r="762" spans="8:9" hidden="1" x14ac:dyDescent="0.3">
      <c r="H762" s="86"/>
      <c r="I762" s="86"/>
    </row>
    <row r="763" spans="8:9" hidden="1" x14ac:dyDescent="0.3">
      <c r="H763" s="86"/>
      <c r="I763" s="86"/>
    </row>
    <row r="764" spans="8:9" hidden="1" x14ac:dyDescent="0.3">
      <c r="H764" s="86"/>
      <c r="I764" s="86"/>
    </row>
    <row r="765" spans="8:9" hidden="1" x14ac:dyDescent="0.3">
      <c r="H765" s="86"/>
      <c r="I765" s="86"/>
    </row>
    <row r="766" spans="8:9" hidden="1" x14ac:dyDescent="0.3">
      <c r="H766" s="86"/>
      <c r="I766" s="86"/>
    </row>
    <row r="767" spans="8:9" hidden="1" x14ac:dyDescent="0.3">
      <c r="H767" s="86"/>
      <c r="I767" s="86"/>
    </row>
    <row r="768" spans="8:9" hidden="1" x14ac:dyDescent="0.3">
      <c r="H768" s="86"/>
      <c r="I768" s="86"/>
    </row>
    <row r="769" spans="8:9" hidden="1" x14ac:dyDescent="0.3">
      <c r="H769" s="86"/>
      <c r="I769" s="86"/>
    </row>
    <row r="770" spans="8:9" hidden="1" x14ac:dyDescent="0.3">
      <c r="H770" s="86"/>
      <c r="I770" s="86"/>
    </row>
    <row r="771" spans="8:9" hidden="1" x14ac:dyDescent="0.3">
      <c r="H771" s="86"/>
      <c r="I771" s="86"/>
    </row>
    <row r="772" spans="8:9" hidden="1" x14ac:dyDescent="0.3">
      <c r="H772" s="86"/>
      <c r="I772" s="86"/>
    </row>
    <row r="773" spans="8:9" hidden="1" x14ac:dyDescent="0.3">
      <c r="H773" s="86"/>
      <c r="I773" s="86"/>
    </row>
    <row r="774" spans="8:9" hidden="1" x14ac:dyDescent="0.3">
      <c r="H774" s="86"/>
      <c r="I774" s="86"/>
    </row>
    <row r="775" spans="8:9" hidden="1" x14ac:dyDescent="0.3">
      <c r="H775" s="86"/>
      <c r="I775" s="86"/>
    </row>
    <row r="776" spans="8:9" hidden="1" x14ac:dyDescent="0.3">
      <c r="H776" s="86"/>
      <c r="I776" s="86"/>
    </row>
    <row r="777" spans="8:9" hidden="1" x14ac:dyDescent="0.3">
      <c r="H777" s="86"/>
      <c r="I777" s="86"/>
    </row>
    <row r="778" spans="8:9" hidden="1" x14ac:dyDescent="0.3">
      <c r="H778" s="86"/>
      <c r="I778" s="86"/>
    </row>
    <row r="779" spans="8:9" hidden="1" x14ac:dyDescent="0.3">
      <c r="H779" s="86"/>
      <c r="I779" s="86"/>
    </row>
    <row r="780" spans="8:9" hidden="1" x14ac:dyDescent="0.3">
      <c r="H780" s="86"/>
      <c r="I780" s="86"/>
    </row>
    <row r="781" spans="8:9" hidden="1" x14ac:dyDescent="0.3">
      <c r="H781" s="86"/>
      <c r="I781" s="86"/>
    </row>
    <row r="782" spans="8:9" hidden="1" x14ac:dyDescent="0.3">
      <c r="H782" s="86"/>
      <c r="I782" s="86"/>
    </row>
    <row r="783" spans="8:9" hidden="1" x14ac:dyDescent="0.3">
      <c r="H783" s="86"/>
      <c r="I783" s="86"/>
    </row>
    <row r="784" spans="8:9" hidden="1" x14ac:dyDescent="0.3">
      <c r="H784" s="86"/>
      <c r="I784" s="86"/>
    </row>
    <row r="785" spans="8:9" hidden="1" x14ac:dyDescent="0.3">
      <c r="H785" s="86"/>
      <c r="I785" s="86"/>
    </row>
    <row r="786" spans="8:9" hidden="1" x14ac:dyDescent="0.3">
      <c r="H786" s="86"/>
      <c r="I786" s="86"/>
    </row>
    <row r="787" spans="8:9" hidden="1" x14ac:dyDescent="0.3">
      <c r="H787" s="86"/>
      <c r="I787" s="86"/>
    </row>
    <row r="788" spans="8:9" hidden="1" x14ac:dyDescent="0.3">
      <c r="H788" s="86"/>
      <c r="I788" s="86"/>
    </row>
    <row r="789" spans="8:9" hidden="1" x14ac:dyDescent="0.3">
      <c r="H789" s="86"/>
      <c r="I789" s="86"/>
    </row>
    <row r="790" spans="8:9" hidden="1" x14ac:dyDescent="0.3">
      <c r="H790" s="86"/>
      <c r="I790" s="86"/>
    </row>
    <row r="791" spans="8:9" hidden="1" x14ac:dyDescent="0.3">
      <c r="H791" s="86"/>
      <c r="I791" s="86"/>
    </row>
    <row r="792" spans="8:9" hidden="1" x14ac:dyDescent="0.3">
      <c r="H792" s="86"/>
      <c r="I792" s="86"/>
    </row>
    <row r="793" spans="8:9" hidden="1" x14ac:dyDescent="0.3">
      <c r="H793" s="86"/>
      <c r="I793" s="86"/>
    </row>
    <row r="794" spans="8:9" hidden="1" x14ac:dyDescent="0.3">
      <c r="H794" s="86"/>
      <c r="I794" s="86"/>
    </row>
    <row r="795" spans="8:9" hidden="1" x14ac:dyDescent="0.3">
      <c r="H795" s="86"/>
      <c r="I795" s="86"/>
    </row>
    <row r="796" spans="8:9" hidden="1" x14ac:dyDescent="0.3">
      <c r="H796" s="86"/>
      <c r="I796" s="86"/>
    </row>
    <row r="797" spans="8:9" hidden="1" x14ac:dyDescent="0.3">
      <c r="H797" s="86"/>
      <c r="I797" s="86"/>
    </row>
    <row r="798" spans="8:9" hidden="1" x14ac:dyDescent="0.3">
      <c r="H798" s="86"/>
      <c r="I798" s="86"/>
    </row>
    <row r="799" spans="8:9" hidden="1" x14ac:dyDescent="0.3">
      <c r="H799" s="86"/>
      <c r="I799" s="86"/>
    </row>
    <row r="800" spans="8:9" hidden="1" x14ac:dyDescent="0.3">
      <c r="H800" s="86"/>
      <c r="I800" s="86"/>
    </row>
    <row r="801" spans="8:9" hidden="1" x14ac:dyDescent="0.3">
      <c r="H801" s="86"/>
      <c r="I801" s="86"/>
    </row>
    <row r="802" spans="8:9" hidden="1" x14ac:dyDescent="0.3">
      <c r="H802" s="86"/>
      <c r="I802" s="86"/>
    </row>
    <row r="803" spans="8:9" hidden="1" x14ac:dyDescent="0.3">
      <c r="H803" s="86"/>
      <c r="I803" s="86"/>
    </row>
    <row r="804" spans="8:9" hidden="1" x14ac:dyDescent="0.3">
      <c r="H804" s="86"/>
      <c r="I804" s="86"/>
    </row>
    <row r="805" spans="8:9" hidden="1" x14ac:dyDescent="0.3">
      <c r="H805" s="86"/>
      <c r="I805" s="86"/>
    </row>
    <row r="806" spans="8:9" hidden="1" x14ac:dyDescent="0.3">
      <c r="H806" s="86"/>
      <c r="I806" s="86"/>
    </row>
    <row r="807" spans="8:9" hidden="1" x14ac:dyDescent="0.3">
      <c r="H807" s="86"/>
      <c r="I807" s="86"/>
    </row>
    <row r="808" spans="8:9" hidden="1" x14ac:dyDescent="0.3">
      <c r="H808" s="86"/>
      <c r="I808" s="86"/>
    </row>
    <row r="809" spans="8:9" hidden="1" x14ac:dyDescent="0.3">
      <c r="H809" s="86"/>
      <c r="I809" s="86"/>
    </row>
    <row r="810" spans="8:9" hidden="1" x14ac:dyDescent="0.3">
      <c r="H810" s="86"/>
      <c r="I810" s="86"/>
    </row>
    <row r="811" spans="8:9" hidden="1" x14ac:dyDescent="0.3">
      <c r="H811" s="86"/>
      <c r="I811" s="86"/>
    </row>
    <row r="812" spans="8:9" hidden="1" x14ac:dyDescent="0.3">
      <c r="H812" s="86"/>
      <c r="I812" s="86"/>
    </row>
    <row r="813" spans="8:9" hidden="1" x14ac:dyDescent="0.3">
      <c r="H813" s="86"/>
      <c r="I813" s="86"/>
    </row>
    <row r="814" spans="8:9" hidden="1" x14ac:dyDescent="0.3">
      <c r="H814" s="86"/>
      <c r="I814" s="86"/>
    </row>
    <row r="815" spans="8:9" hidden="1" x14ac:dyDescent="0.3">
      <c r="H815" s="86"/>
      <c r="I815" s="86"/>
    </row>
    <row r="816" spans="8:9" hidden="1" x14ac:dyDescent="0.3">
      <c r="H816" s="86"/>
      <c r="I816" s="86"/>
    </row>
    <row r="817" spans="8:9" hidden="1" x14ac:dyDescent="0.3">
      <c r="H817" s="86"/>
      <c r="I817" s="86"/>
    </row>
    <row r="818" spans="8:9" hidden="1" x14ac:dyDescent="0.3">
      <c r="H818" s="86"/>
      <c r="I818" s="86"/>
    </row>
    <row r="819" spans="8:9" hidden="1" x14ac:dyDescent="0.3">
      <c r="H819" s="86"/>
      <c r="I819" s="86"/>
    </row>
    <row r="820" spans="8:9" hidden="1" x14ac:dyDescent="0.3">
      <c r="H820" s="86"/>
      <c r="I820" s="86"/>
    </row>
    <row r="821" spans="8:9" hidden="1" x14ac:dyDescent="0.3">
      <c r="H821" s="86"/>
      <c r="I821" s="86"/>
    </row>
    <row r="822" spans="8:9" hidden="1" x14ac:dyDescent="0.3">
      <c r="H822" s="86"/>
      <c r="I822" s="86"/>
    </row>
    <row r="823" spans="8:9" hidden="1" x14ac:dyDescent="0.3">
      <c r="H823" s="86"/>
      <c r="I823" s="86"/>
    </row>
    <row r="824" spans="8:9" hidden="1" x14ac:dyDescent="0.3">
      <c r="H824" s="86"/>
      <c r="I824" s="86"/>
    </row>
    <row r="825" spans="8:9" hidden="1" x14ac:dyDescent="0.3">
      <c r="H825" s="86"/>
      <c r="I825" s="86"/>
    </row>
    <row r="826" spans="8:9" hidden="1" x14ac:dyDescent="0.3">
      <c r="H826" s="86"/>
      <c r="I826" s="86"/>
    </row>
    <row r="827" spans="8:9" hidden="1" x14ac:dyDescent="0.3">
      <c r="H827" s="86"/>
      <c r="I827" s="86"/>
    </row>
    <row r="828" spans="8:9" hidden="1" x14ac:dyDescent="0.3">
      <c r="H828" s="86"/>
      <c r="I828" s="86"/>
    </row>
    <row r="829" spans="8:9" hidden="1" x14ac:dyDescent="0.3">
      <c r="H829" s="86"/>
      <c r="I829" s="86"/>
    </row>
    <row r="830" spans="8:9" hidden="1" x14ac:dyDescent="0.3">
      <c r="H830" s="86"/>
      <c r="I830" s="86"/>
    </row>
    <row r="831" spans="8:9" hidden="1" x14ac:dyDescent="0.3">
      <c r="H831" s="86"/>
      <c r="I831" s="86"/>
    </row>
    <row r="832" spans="8:9" hidden="1" x14ac:dyDescent="0.3">
      <c r="H832" s="86"/>
      <c r="I832" s="86"/>
    </row>
    <row r="833" spans="8:9" hidden="1" x14ac:dyDescent="0.3">
      <c r="H833" s="86"/>
      <c r="I833" s="86"/>
    </row>
    <row r="834" spans="8:9" hidden="1" x14ac:dyDescent="0.3">
      <c r="H834" s="86"/>
      <c r="I834" s="86"/>
    </row>
    <row r="835" spans="8:9" hidden="1" x14ac:dyDescent="0.3">
      <c r="H835" s="86"/>
      <c r="I835" s="86"/>
    </row>
    <row r="836" spans="8:9" hidden="1" x14ac:dyDescent="0.3">
      <c r="H836" s="86"/>
      <c r="I836" s="86"/>
    </row>
    <row r="837" spans="8:9" hidden="1" x14ac:dyDescent="0.3">
      <c r="H837" s="86"/>
      <c r="I837" s="86"/>
    </row>
    <row r="838" spans="8:9" hidden="1" x14ac:dyDescent="0.3">
      <c r="H838" s="86"/>
      <c r="I838" s="86"/>
    </row>
    <row r="839" spans="8:9" hidden="1" x14ac:dyDescent="0.3">
      <c r="H839" s="86"/>
      <c r="I839" s="86"/>
    </row>
    <row r="840" spans="8:9" hidden="1" x14ac:dyDescent="0.3">
      <c r="H840" s="86"/>
      <c r="I840" s="86"/>
    </row>
    <row r="841" spans="8:9" hidden="1" x14ac:dyDescent="0.3">
      <c r="H841" s="86"/>
      <c r="I841" s="86"/>
    </row>
    <row r="842" spans="8:9" hidden="1" x14ac:dyDescent="0.3">
      <c r="H842" s="86"/>
      <c r="I842" s="86"/>
    </row>
    <row r="843" spans="8:9" hidden="1" x14ac:dyDescent="0.3">
      <c r="H843" s="86"/>
      <c r="I843" s="86"/>
    </row>
    <row r="844" spans="8:9" hidden="1" x14ac:dyDescent="0.3">
      <c r="H844" s="86"/>
      <c r="I844" s="86"/>
    </row>
    <row r="845" spans="8:9" hidden="1" x14ac:dyDescent="0.3">
      <c r="H845" s="86"/>
      <c r="I845" s="86"/>
    </row>
    <row r="846" spans="8:9" hidden="1" x14ac:dyDescent="0.3">
      <c r="H846" s="86"/>
      <c r="I846" s="86"/>
    </row>
    <row r="847" spans="8:9" hidden="1" x14ac:dyDescent="0.3">
      <c r="H847" s="86"/>
      <c r="I847" s="86"/>
    </row>
    <row r="848" spans="8:9" hidden="1" x14ac:dyDescent="0.3">
      <c r="H848" s="86"/>
      <c r="I848" s="86"/>
    </row>
    <row r="849" spans="8:9" hidden="1" x14ac:dyDescent="0.3">
      <c r="H849" s="86"/>
      <c r="I849" s="86"/>
    </row>
    <row r="850" spans="8:9" hidden="1" x14ac:dyDescent="0.3">
      <c r="H850" s="86"/>
      <c r="I850" s="86"/>
    </row>
    <row r="851" spans="8:9" hidden="1" x14ac:dyDescent="0.3">
      <c r="H851" s="86"/>
      <c r="I851" s="86"/>
    </row>
    <row r="852" spans="8:9" hidden="1" x14ac:dyDescent="0.3">
      <c r="H852" s="86"/>
      <c r="I852" s="86"/>
    </row>
    <row r="853" spans="8:9" hidden="1" x14ac:dyDescent="0.3">
      <c r="H853" s="86"/>
      <c r="I853" s="86"/>
    </row>
    <row r="854" spans="8:9" hidden="1" x14ac:dyDescent="0.3">
      <c r="H854" s="86"/>
      <c r="I854" s="86"/>
    </row>
    <row r="855" spans="8:9" hidden="1" x14ac:dyDescent="0.3">
      <c r="H855" s="86"/>
      <c r="I855" s="86"/>
    </row>
    <row r="856" spans="8:9" hidden="1" x14ac:dyDescent="0.3">
      <c r="H856" s="86"/>
      <c r="I856" s="86"/>
    </row>
    <row r="857" spans="8:9" hidden="1" x14ac:dyDescent="0.3">
      <c r="H857" s="86"/>
      <c r="I857" s="86"/>
    </row>
    <row r="858" spans="8:9" hidden="1" x14ac:dyDescent="0.3">
      <c r="H858" s="86"/>
      <c r="I858" s="86"/>
    </row>
    <row r="859" spans="8:9" hidden="1" x14ac:dyDescent="0.3">
      <c r="H859" s="86"/>
      <c r="I859" s="86"/>
    </row>
    <row r="860" spans="8:9" hidden="1" x14ac:dyDescent="0.3">
      <c r="H860" s="86"/>
      <c r="I860" s="86"/>
    </row>
    <row r="861" spans="8:9" hidden="1" x14ac:dyDescent="0.3">
      <c r="H861" s="86"/>
      <c r="I861" s="86"/>
    </row>
    <row r="862" spans="8:9" hidden="1" x14ac:dyDescent="0.3">
      <c r="H862" s="86"/>
      <c r="I862" s="86"/>
    </row>
    <row r="863" spans="8:9" hidden="1" x14ac:dyDescent="0.3">
      <c r="H863" s="86"/>
      <c r="I863" s="86"/>
    </row>
    <row r="864" spans="8:9" hidden="1" x14ac:dyDescent="0.3">
      <c r="H864" s="86"/>
      <c r="I864" s="86"/>
    </row>
    <row r="865" spans="8:9" hidden="1" x14ac:dyDescent="0.3">
      <c r="H865" s="86"/>
      <c r="I865" s="86"/>
    </row>
    <row r="866" spans="8:9" hidden="1" x14ac:dyDescent="0.3">
      <c r="H866" s="86"/>
      <c r="I866" s="86"/>
    </row>
    <row r="867" spans="8:9" hidden="1" x14ac:dyDescent="0.3">
      <c r="H867" s="86"/>
      <c r="I867" s="86"/>
    </row>
    <row r="868" spans="8:9" hidden="1" x14ac:dyDescent="0.3">
      <c r="H868" s="86"/>
      <c r="I868" s="86"/>
    </row>
    <row r="869" spans="8:9" hidden="1" x14ac:dyDescent="0.3">
      <c r="H869" s="86"/>
      <c r="I869" s="86"/>
    </row>
    <row r="870" spans="8:9" hidden="1" x14ac:dyDescent="0.3">
      <c r="H870" s="86"/>
      <c r="I870" s="86"/>
    </row>
    <row r="871" spans="8:9" hidden="1" x14ac:dyDescent="0.3">
      <c r="H871" s="86"/>
      <c r="I871" s="86"/>
    </row>
    <row r="872" spans="8:9" hidden="1" x14ac:dyDescent="0.3">
      <c r="H872" s="86"/>
      <c r="I872" s="86"/>
    </row>
    <row r="873" spans="8:9" hidden="1" x14ac:dyDescent="0.3">
      <c r="H873" s="86"/>
      <c r="I873" s="86"/>
    </row>
    <row r="874" spans="8:9" hidden="1" x14ac:dyDescent="0.3">
      <c r="H874" s="86"/>
      <c r="I874" s="86"/>
    </row>
    <row r="875" spans="8:9" hidden="1" x14ac:dyDescent="0.3">
      <c r="H875" s="86"/>
      <c r="I875" s="86"/>
    </row>
    <row r="876" spans="8:9" hidden="1" x14ac:dyDescent="0.3">
      <c r="H876" s="86"/>
      <c r="I876" s="86"/>
    </row>
    <row r="877" spans="8:9" hidden="1" x14ac:dyDescent="0.3">
      <c r="H877" s="86"/>
      <c r="I877" s="86"/>
    </row>
    <row r="878" spans="8:9" hidden="1" x14ac:dyDescent="0.3">
      <c r="H878" s="86"/>
      <c r="I878" s="86"/>
    </row>
    <row r="879" spans="8:9" hidden="1" x14ac:dyDescent="0.3">
      <c r="H879" s="86"/>
      <c r="I879" s="86"/>
    </row>
    <row r="880" spans="8:9" hidden="1" x14ac:dyDescent="0.3">
      <c r="H880" s="86"/>
      <c r="I880" s="86"/>
    </row>
    <row r="881" spans="8:9" hidden="1" x14ac:dyDescent="0.3">
      <c r="H881" s="86"/>
      <c r="I881" s="86"/>
    </row>
    <row r="882" spans="8:9" hidden="1" x14ac:dyDescent="0.3">
      <c r="H882" s="86"/>
      <c r="I882" s="86"/>
    </row>
    <row r="883" spans="8:9" hidden="1" x14ac:dyDescent="0.3">
      <c r="H883" s="86"/>
      <c r="I883" s="86"/>
    </row>
    <row r="884" spans="8:9" hidden="1" x14ac:dyDescent="0.3">
      <c r="H884" s="86"/>
      <c r="I884" s="86"/>
    </row>
    <row r="885" spans="8:9" hidden="1" x14ac:dyDescent="0.3">
      <c r="H885" s="86"/>
      <c r="I885" s="86"/>
    </row>
    <row r="886" spans="8:9" hidden="1" x14ac:dyDescent="0.3">
      <c r="H886" s="86"/>
      <c r="I886" s="86"/>
    </row>
    <row r="887" spans="8:9" hidden="1" x14ac:dyDescent="0.3">
      <c r="H887" s="86"/>
      <c r="I887" s="86"/>
    </row>
    <row r="888" spans="8:9" hidden="1" x14ac:dyDescent="0.3">
      <c r="H888" s="86"/>
      <c r="I888" s="86"/>
    </row>
    <row r="889" spans="8:9" hidden="1" x14ac:dyDescent="0.3">
      <c r="H889" s="86"/>
      <c r="I889" s="86"/>
    </row>
    <row r="890" spans="8:9" hidden="1" x14ac:dyDescent="0.3">
      <c r="H890" s="86"/>
      <c r="I890" s="86"/>
    </row>
    <row r="891" spans="8:9" hidden="1" x14ac:dyDescent="0.3">
      <c r="H891" s="86"/>
      <c r="I891" s="86"/>
    </row>
    <row r="892" spans="8:9" hidden="1" x14ac:dyDescent="0.3">
      <c r="H892" s="86"/>
      <c r="I892" s="86"/>
    </row>
    <row r="893" spans="8:9" hidden="1" x14ac:dyDescent="0.3">
      <c r="H893" s="86"/>
      <c r="I893" s="86"/>
    </row>
    <row r="894" spans="8:9" hidden="1" x14ac:dyDescent="0.3">
      <c r="H894" s="86"/>
      <c r="I894" s="86"/>
    </row>
    <row r="895" spans="8:9" hidden="1" x14ac:dyDescent="0.3">
      <c r="H895" s="86"/>
      <c r="I895" s="86"/>
    </row>
    <row r="896" spans="8:9" hidden="1" x14ac:dyDescent="0.3">
      <c r="H896" s="86"/>
      <c r="I896" s="86"/>
    </row>
    <row r="897" spans="8:9" hidden="1" x14ac:dyDescent="0.3">
      <c r="H897" s="86"/>
      <c r="I897" s="86"/>
    </row>
    <row r="898" spans="8:9" hidden="1" x14ac:dyDescent="0.3">
      <c r="H898" s="86"/>
      <c r="I898" s="86"/>
    </row>
    <row r="899" spans="8:9" hidden="1" x14ac:dyDescent="0.3">
      <c r="H899" s="86"/>
      <c r="I899" s="86"/>
    </row>
    <row r="900" spans="8:9" hidden="1" x14ac:dyDescent="0.3">
      <c r="H900" s="86"/>
      <c r="I900" s="86"/>
    </row>
    <row r="901" spans="8:9" hidden="1" x14ac:dyDescent="0.3">
      <c r="H901" s="87"/>
      <c r="I901" s="87"/>
    </row>
    <row r="902" spans="8:9" hidden="1" x14ac:dyDescent="0.3">
      <c r="H902" s="87"/>
      <c r="I902" s="87"/>
    </row>
    <row r="903" spans="8:9" hidden="1" x14ac:dyDescent="0.3">
      <c r="H903" s="87"/>
      <c r="I903" s="87"/>
    </row>
    <row r="904" spans="8:9" hidden="1" x14ac:dyDescent="0.3">
      <c r="H904" s="87"/>
      <c r="I904" s="87"/>
    </row>
    <row r="905" spans="8:9" hidden="1" x14ac:dyDescent="0.3">
      <c r="H905" s="87"/>
      <c r="I905" s="87"/>
    </row>
    <row r="906" spans="8:9" hidden="1" x14ac:dyDescent="0.3">
      <c r="H906" s="87"/>
      <c r="I906" s="87"/>
    </row>
    <row r="907" spans="8:9" hidden="1" x14ac:dyDescent="0.3">
      <c r="H907" s="87"/>
      <c r="I907" s="87"/>
    </row>
    <row r="908" spans="8:9" hidden="1" x14ac:dyDescent="0.3">
      <c r="H908" s="87"/>
      <c r="I908" s="87"/>
    </row>
    <row r="909" spans="8:9" hidden="1" x14ac:dyDescent="0.3">
      <c r="H909" s="87"/>
      <c r="I909" s="87"/>
    </row>
    <row r="910" spans="8:9" hidden="1" x14ac:dyDescent="0.3">
      <c r="H910" s="87"/>
      <c r="I910" s="87"/>
    </row>
    <row r="911" spans="8:9" hidden="1" x14ac:dyDescent="0.3">
      <c r="H911" s="87"/>
      <c r="I911" s="87"/>
    </row>
    <row r="912" spans="8:9" hidden="1" x14ac:dyDescent="0.3">
      <c r="H912" s="87"/>
      <c r="I912" s="87"/>
    </row>
    <row r="913" spans="8:9" hidden="1" x14ac:dyDescent="0.3">
      <c r="H913" s="87"/>
      <c r="I913" s="87"/>
    </row>
    <row r="914" spans="8:9" hidden="1" x14ac:dyDescent="0.3">
      <c r="H914" s="87"/>
      <c r="I914" s="87"/>
    </row>
    <row r="915" spans="8:9" hidden="1" x14ac:dyDescent="0.3">
      <c r="H915" s="87"/>
      <c r="I915" s="87"/>
    </row>
    <row r="916" spans="8:9" hidden="1" x14ac:dyDescent="0.3">
      <c r="H916" s="87"/>
      <c r="I916" s="87"/>
    </row>
    <row r="917" spans="8:9" hidden="1" x14ac:dyDescent="0.3">
      <c r="H917" s="87"/>
      <c r="I917" s="87"/>
    </row>
    <row r="918" spans="8:9" hidden="1" x14ac:dyDescent="0.3">
      <c r="H918" s="87"/>
      <c r="I918" s="87"/>
    </row>
    <row r="919" spans="8:9" hidden="1" x14ac:dyDescent="0.3">
      <c r="H919" s="87"/>
      <c r="I919" s="87"/>
    </row>
    <row r="920" spans="8:9" hidden="1" x14ac:dyDescent="0.3">
      <c r="H920" s="87"/>
      <c r="I920" s="87"/>
    </row>
    <row r="921" spans="8:9" hidden="1" x14ac:dyDescent="0.3">
      <c r="H921" s="87"/>
      <c r="I921" s="87"/>
    </row>
    <row r="922" spans="8:9" hidden="1" x14ac:dyDescent="0.3">
      <c r="H922" s="87"/>
      <c r="I922" s="87"/>
    </row>
    <row r="923" spans="8:9" hidden="1" x14ac:dyDescent="0.3">
      <c r="H923" s="87"/>
      <c r="I923" s="87"/>
    </row>
    <row r="924" spans="8:9" hidden="1" x14ac:dyDescent="0.3">
      <c r="H924" s="87"/>
      <c r="I924" s="87"/>
    </row>
    <row r="925" spans="8:9" hidden="1" x14ac:dyDescent="0.3">
      <c r="H925" s="87"/>
      <c r="I925" s="87"/>
    </row>
    <row r="926" spans="8:9" hidden="1" x14ac:dyDescent="0.3">
      <c r="H926" s="87"/>
      <c r="I926" s="87"/>
    </row>
    <row r="927" spans="8:9" hidden="1" x14ac:dyDescent="0.3">
      <c r="H927" s="87"/>
      <c r="I927" s="87"/>
    </row>
    <row r="928" spans="8:9" hidden="1" x14ac:dyDescent="0.3">
      <c r="H928" s="87"/>
      <c r="I928" s="87"/>
    </row>
    <row r="929" spans="8:9" hidden="1" x14ac:dyDescent="0.3">
      <c r="H929" s="87"/>
      <c r="I929" s="87"/>
    </row>
    <row r="930" spans="8:9" hidden="1" x14ac:dyDescent="0.3">
      <c r="H930" s="87"/>
      <c r="I930" s="87"/>
    </row>
    <row r="931" spans="8:9" hidden="1" x14ac:dyDescent="0.3">
      <c r="H931" s="87"/>
      <c r="I931" s="87"/>
    </row>
    <row r="932" spans="8:9" hidden="1" x14ac:dyDescent="0.3">
      <c r="H932" s="87"/>
      <c r="I932" s="87"/>
    </row>
    <row r="933" spans="8:9" hidden="1" x14ac:dyDescent="0.3">
      <c r="H933" s="87"/>
      <c r="I933" s="87"/>
    </row>
    <row r="934" spans="8:9" hidden="1" x14ac:dyDescent="0.3">
      <c r="H934" s="87"/>
      <c r="I934" s="87"/>
    </row>
    <row r="935" spans="8:9" hidden="1" x14ac:dyDescent="0.3">
      <c r="H935" s="87"/>
      <c r="I935" s="87"/>
    </row>
    <row r="936" spans="8:9" hidden="1" x14ac:dyDescent="0.3">
      <c r="H936" s="87"/>
      <c r="I936" s="87"/>
    </row>
    <row r="937" spans="8:9" hidden="1" x14ac:dyDescent="0.3">
      <c r="H937" s="87"/>
      <c r="I937" s="87"/>
    </row>
    <row r="938" spans="8:9" hidden="1" x14ac:dyDescent="0.3">
      <c r="H938" s="87"/>
      <c r="I938" s="87"/>
    </row>
    <row r="939" spans="8:9" hidden="1" x14ac:dyDescent="0.3">
      <c r="H939" s="87"/>
      <c r="I939" s="87"/>
    </row>
    <row r="940" spans="8:9" hidden="1" x14ac:dyDescent="0.3">
      <c r="H940" s="87"/>
      <c r="I940" s="87"/>
    </row>
    <row r="941" spans="8:9" hidden="1" x14ac:dyDescent="0.3">
      <c r="H941" s="87"/>
      <c r="I941" s="87"/>
    </row>
    <row r="942" spans="8:9" hidden="1" x14ac:dyDescent="0.3">
      <c r="H942" s="87"/>
      <c r="I942" s="87"/>
    </row>
    <row r="943" spans="8:9" hidden="1" x14ac:dyDescent="0.3">
      <c r="H943" s="87"/>
      <c r="I943" s="87"/>
    </row>
    <row r="944" spans="8:9" hidden="1" x14ac:dyDescent="0.3">
      <c r="H944" s="87"/>
      <c r="I944" s="87"/>
    </row>
    <row r="945" spans="8:9" hidden="1" x14ac:dyDescent="0.3">
      <c r="H945" s="87"/>
      <c r="I945" s="87"/>
    </row>
    <row r="946" spans="8:9" hidden="1" x14ac:dyDescent="0.3">
      <c r="H946" s="87"/>
      <c r="I946" s="87"/>
    </row>
    <row r="947" spans="8:9" hidden="1" x14ac:dyDescent="0.3">
      <c r="H947" s="87"/>
      <c r="I947" s="87"/>
    </row>
    <row r="948" spans="8:9" hidden="1" x14ac:dyDescent="0.3">
      <c r="H948" s="87"/>
      <c r="I948" s="87"/>
    </row>
    <row r="949" spans="8:9" hidden="1" x14ac:dyDescent="0.3">
      <c r="H949" s="87"/>
      <c r="I949" s="87"/>
    </row>
    <row r="950" spans="8:9" hidden="1" x14ac:dyDescent="0.3">
      <c r="H950" s="87"/>
      <c r="I950" s="87"/>
    </row>
    <row r="951" spans="8:9" hidden="1" x14ac:dyDescent="0.3">
      <c r="H951" s="87"/>
      <c r="I951" s="87"/>
    </row>
    <row r="952" spans="8:9" hidden="1" x14ac:dyDescent="0.3">
      <c r="H952" s="87"/>
      <c r="I952" s="87"/>
    </row>
    <row r="953" spans="8:9" hidden="1" x14ac:dyDescent="0.3">
      <c r="H953" s="87"/>
      <c r="I953" s="87"/>
    </row>
    <row r="954" spans="8:9" hidden="1" x14ac:dyDescent="0.3">
      <c r="H954" s="87"/>
      <c r="I954" s="87"/>
    </row>
    <row r="955" spans="8:9" hidden="1" x14ac:dyDescent="0.3">
      <c r="H955" s="87"/>
      <c r="I955" s="87"/>
    </row>
    <row r="956" spans="8:9" hidden="1" x14ac:dyDescent="0.3">
      <c r="H956" s="87"/>
      <c r="I956" s="87"/>
    </row>
    <row r="957" spans="8:9" hidden="1" x14ac:dyDescent="0.3">
      <c r="H957" s="87"/>
      <c r="I957" s="87"/>
    </row>
    <row r="958" spans="8:9" hidden="1" x14ac:dyDescent="0.3">
      <c r="H958" s="87"/>
      <c r="I958" s="87"/>
    </row>
    <row r="959" spans="8:9" hidden="1" x14ac:dyDescent="0.3">
      <c r="H959" s="87"/>
      <c r="I959" s="87"/>
    </row>
    <row r="960" spans="8:9" hidden="1" x14ac:dyDescent="0.3">
      <c r="H960" s="87"/>
      <c r="I960" s="87"/>
    </row>
    <row r="961" spans="8:9" hidden="1" x14ac:dyDescent="0.3">
      <c r="H961" s="87"/>
      <c r="I961" s="87"/>
    </row>
    <row r="962" spans="8:9" hidden="1" x14ac:dyDescent="0.3">
      <c r="H962" s="87"/>
      <c r="I962" s="87"/>
    </row>
    <row r="963" spans="8:9" hidden="1" x14ac:dyDescent="0.3">
      <c r="H963" s="87"/>
      <c r="I963" s="87"/>
    </row>
    <row r="964" spans="8:9" hidden="1" x14ac:dyDescent="0.3">
      <c r="H964" s="87"/>
      <c r="I964" s="87"/>
    </row>
    <row r="965" spans="8:9" hidden="1" x14ac:dyDescent="0.3">
      <c r="H965" s="87"/>
      <c r="I965" s="87"/>
    </row>
    <row r="966" spans="8:9" hidden="1" x14ac:dyDescent="0.3">
      <c r="H966" s="87"/>
      <c r="I966" s="87"/>
    </row>
    <row r="967" spans="8:9" hidden="1" x14ac:dyDescent="0.3">
      <c r="H967" s="87"/>
      <c r="I967" s="87"/>
    </row>
    <row r="968" spans="8:9" hidden="1" x14ac:dyDescent="0.3">
      <c r="H968" s="87"/>
      <c r="I968" s="87"/>
    </row>
    <row r="969" spans="8:9" hidden="1" x14ac:dyDescent="0.3">
      <c r="H969" s="87"/>
      <c r="I969" s="87"/>
    </row>
    <row r="970" spans="8:9" hidden="1" x14ac:dyDescent="0.3">
      <c r="H970" s="87"/>
      <c r="I970" s="87"/>
    </row>
    <row r="971" spans="8:9" hidden="1" x14ac:dyDescent="0.3">
      <c r="H971" s="87"/>
      <c r="I971" s="87"/>
    </row>
    <row r="972" spans="8:9" hidden="1" x14ac:dyDescent="0.3">
      <c r="H972" s="87"/>
      <c r="I972" s="87"/>
    </row>
    <row r="973" spans="8:9" hidden="1" x14ac:dyDescent="0.3">
      <c r="H973" s="87"/>
      <c r="I973" s="87"/>
    </row>
    <row r="974" spans="8:9" hidden="1" x14ac:dyDescent="0.3">
      <c r="H974" s="87"/>
      <c r="I974" s="87"/>
    </row>
    <row r="975" spans="8:9" hidden="1" x14ac:dyDescent="0.3">
      <c r="H975" s="87"/>
      <c r="I975" s="87"/>
    </row>
    <row r="976" spans="8:9" hidden="1" x14ac:dyDescent="0.3">
      <c r="H976" s="87"/>
      <c r="I976" s="87"/>
    </row>
    <row r="977" spans="8:9" hidden="1" x14ac:dyDescent="0.3">
      <c r="H977" s="87"/>
      <c r="I977" s="87"/>
    </row>
    <row r="978" spans="8:9" hidden="1" x14ac:dyDescent="0.3">
      <c r="H978" s="87"/>
      <c r="I978" s="87"/>
    </row>
    <row r="979" spans="8:9" hidden="1" x14ac:dyDescent="0.3">
      <c r="H979" s="87"/>
      <c r="I979" s="87"/>
    </row>
    <row r="980" spans="8:9" hidden="1" x14ac:dyDescent="0.3">
      <c r="H980" s="87"/>
      <c r="I980" s="87"/>
    </row>
    <row r="981" spans="8:9" hidden="1" x14ac:dyDescent="0.3">
      <c r="H981" s="87"/>
      <c r="I981" s="87"/>
    </row>
    <row r="982" spans="8:9" hidden="1" x14ac:dyDescent="0.3">
      <c r="H982" s="87"/>
      <c r="I982" s="87"/>
    </row>
    <row r="983" spans="8:9" hidden="1" x14ac:dyDescent="0.3">
      <c r="H983" s="87"/>
      <c r="I983" s="87"/>
    </row>
    <row r="984" spans="8:9" hidden="1" x14ac:dyDescent="0.3">
      <c r="H984" s="87"/>
      <c r="I984" s="87"/>
    </row>
    <row r="985" spans="8:9" hidden="1" x14ac:dyDescent="0.3">
      <c r="H985" s="87"/>
      <c r="I985" s="87"/>
    </row>
    <row r="986" spans="8:9" hidden="1" x14ac:dyDescent="0.3">
      <c r="H986" s="87"/>
      <c r="I986" s="87"/>
    </row>
    <row r="987" spans="8:9" hidden="1" x14ac:dyDescent="0.3">
      <c r="H987" s="87"/>
      <c r="I987" s="87"/>
    </row>
    <row r="988" spans="8:9" hidden="1" x14ac:dyDescent="0.3">
      <c r="H988" s="87"/>
      <c r="I988" s="87"/>
    </row>
    <row r="989" spans="8:9" hidden="1" x14ac:dyDescent="0.3">
      <c r="H989" s="87"/>
      <c r="I989" s="87"/>
    </row>
    <row r="990" spans="8:9" hidden="1" x14ac:dyDescent="0.3">
      <c r="H990" s="87"/>
      <c r="I990" s="87"/>
    </row>
    <row r="991" spans="8:9" hidden="1" x14ac:dyDescent="0.3">
      <c r="H991" s="87"/>
      <c r="I991" s="87"/>
    </row>
    <row r="992" spans="8:9" hidden="1" x14ac:dyDescent="0.3">
      <c r="H992" s="87"/>
      <c r="I992" s="87"/>
    </row>
    <row r="993" spans="8:9" hidden="1" x14ac:dyDescent="0.3">
      <c r="H993" s="87"/>
      <c r="I993" s="87"/>
    </row>
    <row r="994" spans="8:9" hidden="1" x14ac:dyDescent="0.3">
      <c r="H994" s="87"/>
      <c r="I994" s="87"/>
    </row>
    <row r="995" spans="8:9" hidden="1" x14ac:dyDescent="0.3">
      <c r="H995" s="87"/>
      <c r="I995" s="87"/>
    </row>
    <row r="996" spans="8:9" hidden="1" x14ac:dyDescent="0.3">
      <c r="H996" s="87"/>
      <c r="I996" s="87"/>
    </row>
    <row r="997" spans="8:9" hidden="1" x14ac:dyDescent="0.3">
      <c r="H997" s="87"/>
      <c r="I997" s="87"/>
    </row>
    <row r="998" spans="8:9" hidden="1" x14ac:dyDescent="0.3">
      <c r="H998" s="87"/>
      <c r="I998" s="87"/>
    </row>
    <row r="999" spans="8:9" hidden="1" x14ac:dyDescent="0.3">
      <c r="H999" s="87"/>
      <c r="I999" s="87"/>
    </row>
    <row r="1000" spans="8:9" hidden="1" x14ac:dyDescent="0.3">
      <c r="H1000" s="87"/>
      <c r="I1000" s="87"/>
    </row>
    <row r="1001" spans="8:9" hidden="1" x14ac:dyDescent="0.3">
      <c r="H1001" s="87"/>
      <c r="I1001" s="87"/>
    </row>
    <row r="1002" spans="8:9" hidden="1" x14ac:dyDescent="0.3">
      <c r="H1002" s="87"/>
      <c r="I1002" s="87"/>
    </row>
    <row r="1003" spans="8:9" hidden="1" x14ac:dyDescent="0.3">
      <c r="H1003" s="87"/>
      <c r="I1003" s="87"/>
    </row>
    <row r="1004" spans="8:9" hidden="1" x14ac:dyDescent="0.3">
      <c r="H1004" s="87"/>
      <c r="I1004" s="87"/>
    </row>
    <row r="1005" spans="8:9" hidden="1" x14ac:dyDescent="0.3">
      <c r="H1005" s="87"/>
      <c r="I1005" s="87"/>
    </row>
    <row r="1006" spans="8:9" hidden="1" x14ac:dyDescent="0.3">
      <c r="H1006" s="87"/>
      <c r="I1006" s="87"/>
    </row>
    <row r="1007" spans="8:9" hidden="1" x14ac:dyDescent="0.3">
      <c r="H1007" s="87"/>
      <c r="I1007" s="87"/>
    </row>
    <row r="1008" spans="8:9" hidden="1" x14ac:dyDescent="0.3">
      <c r="H1008" s="87"/>
      <c r="I1008" s="87"/>
    </row>
    <row r="1009" spans="8:9" hidden="1" x14ac:dyDescent="0.3">
      <c r="H1009" s="87"/>
      <c r="I1009" s="87"/>
    </row>
    <row r="1010" spans="8:9" hidden="1" x14ac:dyDescent="0.3">
      <c r="H1010" s="87"/>
      <c r="I1010" s="87"/>
    </row>
    <row r="1011" spans="8:9" hidden="1" x14ac:dyDescent="0.3">
      <c r="H1011" s="87"/>
      <c r="I1011" s="87"/>
    </row>
    <row r="1012" spans="8:9" hidden="1" x14ac:dyDescent="0.3">
      <c r="H1012" s="87"/>
      <c r="I1012" s="87"/>
    </row>
    <row r="1013" spans="8:9" hidden="1" x14ac:dyDescent="0.3">
      <c r="H1013" s="87"/>
      <c r="I1013" s="87"/>
    </row>
    <row r="1014" spans="8:9" hidden="1" x14ac:dyDescent="0.3">
      <c r="H1014" s="87"/>
      <c r="I1014" s="87"/>
    </row>
    <row r="1015" spans="8:9" hidden="1" x14ac:dyDescent="0.3">
      <c r="H1015" s="87"/>
      <c r="I1015" s="87"/>
    </row>
    <row r="1016" spans="8:9" hidden="1" x14ac:dyDescent="0.3">
      <c r="H1016" s="87"/>
      <c r="I1016" s="87"/>
    </row>
    <row r="1017" spans="8:9" hidden="1" x14ac:dyDescent="0.3">
      <c r="H1017" s="87"/>
      <c r="I1017" s="87"/>
    </row>
    <row r="1018" spans="8:9" hidden="1" x14ac:dyDescent="0.3">
      <c r="H1018" s="87"/>
      <c r="I1018" s="87"/>
    </row>
    <row r="1019" spans="8:9" hidden="1" x14ac:dyDescent="0.3">
      <c r="H1019" s="87"/>
      <c r="I1019" s="87"/>
    </row>
    <row r="1020" spans="8:9" hidden="1" x14ac:dyDescent="0.3">
      <c r="H1020" s="87"/>
      <c r="I1020" s="87"/>
    </row>
    <row r="1021" spans="8:9" hidden="1" x14ac:dyDescent="0.3">
      <c r="H1021" s="87"/>
      <c r="I1021" s="87"/>
    </row>
    <row r="1022" spans="8:9" hidden="1" x14ac:dyDescent="0.3">
      <c r="H1022" s="87"/>
      <c r="I1022" s="87"/>
    </row>
    <row r="1023" spans="8:9" hidden="1" x14ac:dyDescent="0.3">
      <c r="H1023" s="87"/>
      <c r="I1023" s="87"/>
    </row>
    <row r="1024" spans="8:9" hidden="1" x14ac:dyDescent="0.3">
      <c r="H1024" s="87"/>
      <c r="I1024" s="87"/>
    </row>
    <row r="1025" spans="8:9" hidden="1" x14ac:dyDescent="0.3">
      <c r="H1025" s="87"/>
      <c r="I1025" s="87"/>
    </row>
    <row r="1026" spans="8:9" hidden="1" x14ac:dyDescent="0.3">
      <c r="H1026" s="87"/>
      <c r="I1026" s="87"/>
    </row>
    <row r="1027" spans="8:9" hidden="1" x14ac:dyDescent="0.3">
      <c r="H1027" s="87"/>
      <c r="I1027" s="87"/>
    </row>
    <row r="1028" spans="8:9" hidden="1" x14ac:dyDescent="0.3">
      <c r="H1028" s="87"/>
      <c r="I1028" s="87"/>
    </row>
    <row r="1029" spans="8:9" hidden="1" x14ac:dyDescent="0.3">
      <c r="H1029" s="87"/>
      <c r="I1029" s="87"/>
    </row>
    <row r="1030" spans="8:9" hidden="1" x14ac:dyDescent="0.3">
      <c r="H1030" s="87"/>
      <c r="I1030" s="87"/>
    </row>
    <row r="1031" spans="8:9" hidden="1" x14ac:dyDescent="0.3">
      <c r="H1031" s="87"/>
      <c r="I1031" s="87"/>
    </row>
    <row r="1032" spans="8:9" hidden="1" x14ac:dyDescent="0.3">
      <c r="H1032" s="87"/>
      <c r="I1032" s="87"/>
    </row>
    <row r="1033" spans="8:9" hidden="1" x14ac:dyDescent="0.3">
      <c r="H1033" s="87"/>
      <c r="I1033" s="87"/>
    </row>
    <row r="1034" spans="8:9" hidden="1" x14ac:dyDescent="0.3">
      <c r="H1034" s="87"/>
      <c r="I1034" s="87"/>
    </row>
    <row r="1035" spans="8:9" hidden="1" x14ac:dyDescent="0.3">
      <c r="H1035" s="87"/>
      <c r="I1035" s="87"/>
    </row>
    <row r="1036" spans="8:9" hidden="1" x14ac:dyDescent="0.3">
      <c r="H1036" s="87"/>
      <c r="I1036" s="87"/>
    </row>
    <row r="1037" spans="8:9" hidden="1" x14ac:dyDescent="0.3">
      <c r="H1037" s="87"/>
      <c r="I1037" s="87"/>
    </row>
    <row r="1038" spans="8:9" hidden="1" x14ac:dyDescent="0.3">
      <c r="H1038" s="87"/>
      <c r="I1038" s="87"/>
    </row>
    <row r="1039" spans="8:9" hidden="1" x14ac:dyDescent="0.3">
      <c r="H1039" s="87"/>
      <c r="I1039" s="87"/>
    </row>
    <row r="1040" spans="8:9" hidden="1" x14ac:dyDescent="0.3">
      <c r="H1040" s="87"/>
      <c r="I1040" s="87"/>
    </row>
    <row r="1041" spans="8:9" hidden="1" x14ac:dyDescent="0.3">
      <c r="H1041" s="87"/>
      <c r="I1041" s="87"/>
    </row>
    <row r="1042" spans="8:9" hidden="1" x14ac:dyDescent="0.3">
      <c r="H1042" s="87"/>
      <c r="I1042" s="87"/>
    </row>
    <row r="1043" spans="8:9" hidden="1" x14ac:dyDescent="0.3">
      <c r="H1043" s="87"/>
      <c r="I1043" s="87"/>
    </row>
    <row r="1044" spans="8:9" hidden="1" x14ac:dyDescent="0.3">
      <c r="H1044" s="87"/>
      <c r="I1044" s="87"/>
    </row>
    <row r="1045" spans="8:9" hidden="1" x14ac:dyDescent="0.3">
      <c r="H1045" s="87"/>
      <c r="I1045" s="87"/>
    </row>
    <row r="1046" spans="8:9" hidden="1" x14ac:dyDescent="0.3">
      <c r="H1046" s="87"/>
      <c r="I1046" s="87"/>
    </row>
    <row r="1047" spans="8:9" hidden="1" x14ac:dyDescent="0.3">
      <c r="H1047" s="87"/>
      <c r="I1047" s="87"/>
    </row>
    <row r="1048" spans="8:9" hidden="1" x14ac:dyDescent="0.3">
      <c r="H1048" s="87"/>
      <c r="I1048" s="87"/>
    </row>
    <row r="1049" spans="8:9" hidden="1" x14ac:dyDescent="0.3">
      <c r="H1049" s="87"/>
      <c r="I1049" s="87"/>
    </row>
    <row r="1050" spans="8:9" hidden="1" x14ac:dyDescent="0.3">
      <c r="H1050" s="87"/>
      <c r="I1050" s="87"/>
    </row>
    <row r="1051" spans="8:9" hidden="1" x14ac:dyDescent="0.3">
      <c r="H1051" s="87"/>
      <c r="I1051" s="87"/>
    </row>
    <row r="1052" spans="8:9" hidden="1" x14ac:dyDescent="0.3">
      <c r="H1052" s="87"/>
      <c r="I1052" s="87"/>
    </row>
    <row r="1053" spans="8:9" hidden="1" x14ac:dyDescent="0.3">
      <c r="H1053" s="87"/>
      <c r="I1053" s="87"/>
    </row>
    <row r="1054" spans="8:9" hidden="1" x14ac:dyDescent="0.3">
      <c r="H1054" s="87"/>
      <c r="I1054" s="87"/>
    </row>
    <row r="1055" spans="8:9" hidden="1" x14ac:dyDescent="0.3">
      <c r="H1055" s="87"/>
      <c r="I1055" s="87"/>
    </row>
    <row r="1056" spans="8:9" hidden="1" x14ac:dyDescent="0.3">
      <c r="H1056" s="87"/>
      <c r="I1056" s="87"/>
    </row>
    <row r="1057" spans="8:9" hidden="1" x14ac:dyDescent="0.3">
      <c r="H1057" s="87"/>
      <c r="I1057" s="87"/>
    </row>
    <row r="1058" spans="8:9" hidden="1" x14ac:dyDescent="0.3">
      <c r="H1058" s="87"/>
      <c r="I1058" s="87"/>
    </row>
    <row r="1059" spans="8:9" hidden="1" x14ac:dyDescent="0.3">
      <c r="H1059" s="87"/>
      <c r="I1059" s="87"/>
    </row>
    <row r="1060" spans="8:9" hidden="1" x14ac:dyDescent="0.3">
      <c r="H1060" s="87"/>
      <c r="I1060" s="87"/>
    </row>
    <row r="1061" spans="8:9" hidden="1" x14ac:dyDescent="0.3">
      <c r="H1061" s="87"/>
      <c r="I1061" s="87"/>
    </row>
    <row r="1062" spans="8:9" hidden="1" x14ac:dyDescent="0.3">
      <c r="H1062" s="87"/>
      <c r="I1062" s="87"/>
    </row>
    <row r="1063" spans="8:9" hidden="1" x14ac:dyDescent="0.3">
      <c r="H1063" s="87"/>
      <c r="I1063" s="87"/>
    </row>
    <row r="1064" spans="8:9" hidden="1" x14ac:dyDescent="0.3">
      <c r="H1064" s="87"/>
      <c r="I1064" s="87"/>
    </row>
    <row r="1065" spans="8:9" hidden="1" x14ac:dyDescent="0.3">
      <c r="H1065" s="87"/>
      <c r="I1065" s="87"/>
    </row>
    <row r="1066" spans="8:9" hidden="1" x14ac:dyDescent="0.3">
      <c r="H1066" s="87"/>
      <c r="I1066" s="87"/>
    </row>
    <row r="1067" spans="8:9" hidden="1" x14ac:dyDescent="0.3">
      <c r="H1067" s="87"/>
      <c r="I1067" s="87"/>
    </row>
    <row r="1068" spans="8:9" hidden="1" x14ac:dyDescent="0.3">
      <c r="H1068" s="87"/>
      <c r="I1068" s="87"/>
    </row>
    <row r="1069" spans="8:9" hidden="1" x14ac:dyDescent="0.3">
      <c r="H1069" s="87"/>
      <c r="I1069" s="87"/>
    </row>
    <row r="1070" spans="8:9" hidden="1" x14ac:dyDescent="0.3">
      <c r="H1070" s="87"/>
      <c r="I1070" s="87"/>
    </row>
    <row r="1071" spans="8:9" hidden="1" x14ac:dyDescent="0.3">
      <c r="H1071" s="87"/>
      <c r="I1071" s="87"/>
    </row>
    <row r="1072" spans="8:9" hidden="1" x14ac:dyDescent="0.3">
      <c r="H1072" s="87"/>
      <c r="I1072" s="87"/>
    </row>
    <row r="1073" spans="8:9" hidden="1" x14ac:dyDescent="0.3">
      <c r="H1073" s="87"/>
      <c r="I1073" s="87"/>
    </row>
    <row r="1074" spans="8:9" hidden="1" x14ac:dyDescent="0.3">
      <c r="H1074" s="87"/>
      <c r="I1074" s="87"/>
    </row>
    <row r="1075" spans="8:9" hidden="1" x14ac:dyDescent="0.3">
      <c r="H1075" s="87"/>
      <c r="I1075" s="87"/>
    </row>
    <row r="1076" spans="8:9" hidden="1" x14ac:dyDescent="0.3">
      <c r="H1076" s="87"/>
      <c r="I1076" s="87"/>
    </row>
    <row r="1077" spans="8:9" hidden="1" x14ac:dyDescent="0.3">
      <c r="H1077" s="87"/>
      <c r="I1077" s="87"/>
    </row>
    <row r="1078" spans="8:9" hidden="1" x14ac:dyDescent="0.3">
      <c r="H1078" s="87"/>
      <c r="I1078" s="87"/>
    </row>
    <row r="1079" spans="8:9" hidden="1" x14ac:dyDescent="0.3">
      <c r="H1079" s="87"/>
      <c r="I1079" s="87"/>
    </row>
    <row r="1080" spans="8:9" hidden="1" x14ac:dyDescent="0.3">
      <c r="H1080" s="87"/>
      <c r="I1080" s="87"/>
    </row>
    <row r="1081" spans="8:9" hidden="1" x14ac:dyDescent="0.3">
      <c r="H1081" s="87"/>
      <c r="I1081" s="87"/>
    </row>
    <row r="1082" spans="8:9" hidden="1" x14ac:dyDescent="0.3">
      <c r="H1082" s="87"/>
      <c r="I1082" s="87"/>
    </row>
    <row r="1083" spans="8:9" hidden="1" x14ac:dyDescent="0.3">
      <c r="H1083" s="87"/>
      <c r="I1083" s="87"/>
    </row>
    <row r="1084" spans="8:9" hidden="1" x14ac:dyDescent="0.3">
      <c r="H1084" s="87"/>
      <c r="I1084" s="87"/>
    </row>
    <row r="1085" spans="8:9" hidden="1" x14ac:dyDescent="0.3">
      <c r="H1085" s="87"/>
      <c r="I1085" s="87"/>
    </row>
    <row r="1086" spans="8:9" hidden="1" x14ac:dyDescent="0.3">
      <c r="H1086" s="87"/>
      <c r="I1086" s="87"/>
    </row>
    <row r="1087" spans="8:9" hidden="1" x14ac:dyDescent="0.3">
      <c r="H1087" s="87"/>
      <c r="I1087" s="87"/>
    </row>
    <row r="1088" spans="8:9" hidden="1" x14ac:dyDescent="0.3">
      <c r="H1088" s="87"/>
      <c r="I1088" s="87"/>
    </row>
    <row r="1089" spans="8:9" hidden="1" x14ac:dyDescent="0.3">
      <c r="H1089" s="87"/>
      <c r="I1089" s="87"/>
    </row>
    <row r="1090" spans="8:9" hidden="1" x14ac:dyDescent="0.3">
      <c r="H1090" s="87"/>
      <c r="I1090" s="87"/>
    </row>
    <row r="1091" spans="8:9" hidden="1" x14ac:dyDescent="0.3">
      <c r="H1091" s="87"/>
      <c r="I1091" s="87"/>
    </row>
    <row r="1092" spans="8:9" hidden="1" x14ac:dyDescent="0.3">
      <c r="H1092" s="87"/>
      <c r="I1092" s="87"/>
    </row>
    <row r="1093" spans="8:9" hidden="1" x14ac:dyDescent="0.3">
      <c r="H1093" s="87"/>
      <c r="I1093" s="87"/>
    </row>
    <row r="1094" spans="8:9" hidden="1" x14ac:dyDescent="0.3">
      <c r="H1094" s="87"/>
      <c r="I1094" s="87"/>
    </row>
    <row r="1095" spans="8:9" hidden="1" x14ac:dyDescent="0.3">
      <c r="H1095" s="87"/>
      <c r="I1095" s="87"/>
    </row>
    <row r="1096" spans="8:9" hidden="1" x14ac:dyDescent="0.3">
      <c r="H1096" s="87"/>
      <c r="I1096" s="87"/>
    </row>
    <row r="1097" spans="8:9" hidden="1" x14ac:dyDescent="0.3">
      <c r="H1097" s="87"/>
      <c r="I1097" s="87"/>
    </row>
    <row r="1098" spans="8:9" hidden="1" x14ac:dyDescent="0.3">
      <c r="H1098" s="87"/>
      <c r="I1098" s="87"/>
    </row>
    <row r="1099" spans="8:9" hidden="1" x14ac:dyDescent="0.3">
      <c r="H1099" s="87"/>
      <c r="I1099" s="87"/>
    </row>
    <row r="1100" spans="8:9" hidden="1" x14ac:dyDescent="0.3">
      <c r="H1100" s="87"/>
      <c r="I1100" s="87"/>
    </row>
    <row r="1101" spans="8:9" hidden="1" x14ac:dyDescent="0.3">
      <c r="H1101" s="87"/>
      <c r="I1101" s="87"/>
    </row>
    <row r="1102" spans="8:9" hidden="1" x14ac:dyDescent="0.3">
      <c r="H1102" s="87"/>
      <c r="I1102" s="87"/>
    </row>
    <row r="1103" spans="8:9" hidden="1" x14ac:dyDescent="0.3">
      <c r="H1103" s="87"/>
      <c r="I1103" s="87"/>
    </row>
    <row r="1104" spans="8:9" hidden="1" x14ac:dyDescent="0.3">
      <c r="H1104" s="87"/>
      <c r="I1104" s="87"/>
    </row>
    <row r="1105" spans="8:9" hidden="1" x14ac:dyDescent="0.3">
      <c r="H1105" s="87"/>
      <c r="I1105" s="87"/>
    </row>
    <row r="1106" spans="8:9" hidden="1" x14ac:dyDescent="0.3">
      <c r="H1106" s="87"/>
      <c r="I1106" s="87"/>
    </row>
    <row r="1107" spans="8:9" hidden="1" x14ac:dyDescent="0.3">
      <c r="H1107" s="87"/>
      <c r="I1107" s="87"/>
    </row>
    <row r="1108" spans="8:9" hidden="1" x14ac:dyDescent="0.3">
      <c r="H1108" s="87"/>
      <c r="I1108" s="87"/>
    </row>
    <row r="1109" spans="8:9" hidden="1" x14ac:dyDescent="0.3">
      <c r="H1109" s="87"/>
      <c r="I1109" s="87"/>
    </row>
    <row r="1110" spans="8:9" hidden="1" x14ac:dyDescent="0.3">
      <c r="H1110" s="87"/>
      <c r="I1110" s="87"/>
    </row>
    <row r="1111" spans="8:9" hidden="1" x14ac:dyDescent="0.3">
      <c r="H1111" s="87"/>
      <c r="I1111" s="87"/>
    </row>
    <row r="1112" spans="8:9" hidden="1" x14ac:dyDescent="0.3">
      <c r="H1112" s="87"/>
      <c r="I1112" s="87"/>
    </row>
    <row r="1113" spans="8:9" hidden="1" x14ac:dyDescent="0.3">
      <c r="H1113" s="87"/>
      <c r="I1113" s="87"/>
    </row>
    <row r="1114" spans="8:9" hidden="1" x14ac:dyDescent="0.3">
      <c r="H1114" s="87"/>
      <c r="I1114" s="87"/>
    </row>
    <row r="1115" spans="8:9" hidden="1" x14ac:dyDescent="0.3">
      <c r="H1115" s="87"/>
      <c r="I1115" s="87"/>
    </row>
    <row r="1116" spans="8:9" hidden="1" x14ac:dyDescent="0.3">
      <c r="H1116" s="87"/>
      <c r="I1116" s="87"/>
    </row>
    <row r="1117" spans="8:9" hidden="1" x14ac:dyDescent="0.3">
      <c r="H1117" s="87"/>
      <c r="I1117" s="87"/>
    </row>
    <row r="1118" spans="8:9" hidden="1" x14ac:dyDescent="0.3">
      <c r="H1118" s="87"/>
      <c r="I1118" s="87"/>
    </row>
    <row r="1119" spans="8:9" hidden="1" x14ac:dyDescent="0.3">
      <c r="H1119" s="87"/>
      <c r="I1119" s="87"/>
    </row>
    <row r="1120" spans="8:9" hidden="1" x14ac:dyDescent="0.3">
      <c r="H1120" s="87"/>
      <c r="I1120" s="87"/>
    </row>
    <row r="1121" spans="8:9" hidden="1" x14ac:dyDescent="0.3">
      <c r="H1121" s="87"/>
      <c r="I1121" s="87"/>
    </row>
    <row r="1122" spans="8:9" hidden="1" x14ac:dyDescent="0.3">
      <c r="H1122" s="87"/>
      <c r="I1122" s="87"/>
    </row>
    <row r="1123" spans="8:9" hidden="1" x14ac:dyDescent="0.3">
      <c r="H1123" s="87"/>
      <c r="I1123" s="87"/>
    </row>
    <row r="1124" spans="8:9" hidden="1" x14ac:dyDescent="0.3">
      <c r="H1124" s="87"/>
      <c r="I1124" s="87"/>
    </row>
    <row r="1125" spans="8:9" hidden="1" x14ac:dyDescent="0.3">
      <c r="H1125" s="87"/>
      <c r="I1125" s="87"/>
    </row>
    <row r="1126" spans="8:9" hidden="1" x14ac:dyDescent="0.3">
      <c r="H1126" s="87"/>
      <c r="I1126" s="87"/>
    </row>
    <row r="1127" spans="8:9" hidden="1" x14ac:dyDescent="0.3">
      <c r="H1127" s="87"/>
      <c r="I1127" s="87"/>
    </row>
    <row r="1128" spans="8:9" hidden="1" x14ac:dyDescent="0.3">
      <c r="H1128" s="87"/>
      <c r="I1128" s="87"/>
    </row>
    <row r="1129" spans="8:9" hidden="1" x14ac:dyDescent="0.3">
      <c r="H1129" s="87"/>
      <c r="I1129" s="87"/>
    </row>
    <row r="1130" spans="8:9" hidden="1" x14ac:dyDescent="0.3">
      <c r="H1130" s="87"/>
      <c r="I1130" s="87"/>
    </row>
    <row r="1131" spans="8:9" hidden="1" x14ac:dyDescent="0.3">
      <c r="H1131" s="87"/>
      <c r="I1131" s="87"/>
    </row>
    <row r="1132" spans="8:9" hidden="1" x14ac:dyDescent="0.3">
      <c r="H1132" s="87"/>
      <c r="I1132" s="87"/>
    </row>
    <row r="1133" spans="8:9" hidden="1" x14ac:dyDescent="0.3">
      <c r="H1133" s="87"/>
      <c r="I1133" s="87"/>
    </row>
    <row r="1134" spans="8:9" hidden="1" x14ac:dyDescent="0.3">
      <c r="H1134" s="87"/>
      <c r="I1134" s="87"/>
    </row>
    <row r="1135" spans="8:9" hidden="1" x14ac:dyDescent="0.3">
      <c r="H1135" s="87"/>
      <c r="I1135" s="87"/>
    </row>
    <row r="1136" spans="8:9" hidden="1" x14ac:dyDescent="0.3">
      <c r="H1136" s="87"/>
      <c r="I1136" s="87"/>
    </row>
    <row r="1137" spans="8:9" hidden="1" x14ac:dyDescent="0.3">
      <c r="H1137" s="87"/>
      <c r="I1137" s="87"/>
    </row>
    <row r="1138" spans="8:9" hidden="1" x14ac:dyDescent="0.3">
      <c r="H1138" s="87"/>
      <c r="I1138" s="87"/>
    </row>
    <row r="1139" spans="8:9" hidden="1" x14ac:dyDescent="0.3">
      <c r="H1139" s="87"/>
      <c r="I1139" s="87"/>
    </row>
    <row r="1140" spans="8:9" hidden="1" x14ac:dyDescent="0.3">
      <c r="H1140" s="87"/>
      <c r="I1140" s="87"/>
    </row>
    <row r="1141" spans="8:9" hidden="1" x14ac:dyDescent="0.3">
      <c r="H1141" s="87"/>
      <c r="I1141" s="87"/>
    </row>
    <row r="1142" spans="8:9" hidden="1" x14ac:dyDescent="0.3">
      <c r="H1142" s="87"/>
      <c r="I1142" s="87"/>
    </row>
    <row r="1143" spans="8:9" hidden="1" x14ac:dyDescent="0.3">
      <c r="H1143" s="87"/>
      <c r="I1143" s="87"/>
    </row>
    <row r="1144" spans="8:9" hidden="1" x14ac:dyDescent="0.3">
      <c r="H1144" s="87"/>
      <c r="I1144" s="87"/>
    </row>
    <row r="1145" spans="8:9" hidden="1" x14ac:dyDescent="0.3">
      <c r="H1145" s="87"/>
      <c r="I1145" s="87"/>
    </row>
    <row r="1146" spans="8:9" hidden="1" x14ac:dyDescent="0.3">
      <c r="H1146" s="87"/>
      <c r="I1146" s="87"/>
    </row>
    <row r="1147" spans="8:9" hidden="1" x14ac:dyDescent="0.3">
      <c r="H1147" s="87"/>
      <c r="I1147" s="87"/>
    </row>
    <row r="1148" spans="8:9" hidden="1" x14ac:dyDescent="0.3">
      <c r="H1148" s="87"/>
      <c r="I1148" s="87"/>
    </row>
    <row r="1149" spans="8:9" hidden="1" x14ac:dyDescent="0.3">
      <c r="H1149" s="87"/>
      <c r="I1149" s="87"/>
    </row>
    <row r="1150" spans="8:9" hidden="1" x14ac:dyDescent="0.3">
      <c r="H1150" s="87"/>
      <c r="I1150" s="87"/>
    </row>
    <row r="1151" spans="8:9" hidden="1" x14ac:dyDescent="0.3">
      <c r="H1151" s="87"/>
      <c r="I1151" s="87"/>
    </row>
    <row r="1152" spans="8:9" hidden="1" x14ac:dyDescent="0.3">
      <c r="H1152" s="87"/>
      <c r="I1152" s="87"/>
    </row>
    <row r="1153" spans="8:9" hidden="1" x14ac:dyDescent="0.3">
      <c r="H1153" s="87"/>
      <c r="I1153" s="87"/>
    </row>
    <row r="1154" spans="8:9" hidden="1" x14ac:dyDescent="0.3">
      <c r="H1154" s="87"/>
      <c r="I1154" s="87"/>
    </row>
    <row r="1155" spans="8:9" hidden="1" x14ac:dyDescent="0.3">
      <c r="H1155" s="87"/>
      <c r="I1155" s="87"/>
    </row>
    <row r="1156" spans="8:9" hidden="1" x14ac:dyDescent="0.3">
      <c r="H1156" s="87"/>
      <c r="I1156" s="87"/>
    </row>
    <row r="1157" spans="8:9" hidden="1" x14ac:dyDescent="0.3">
      <c r="H1157" s="87"/>
      <c r="I1157" s="87"/>
    </row>
    <row r="1158" spans="8:9" hidden="1" x14ac:dyDescent="0.3">
      <c r="H1158" s="87"/>
      <c r="I1158" s="87"/>
    </row>
    <row r="1159" spans="8:9" hidden="1" x14ac:dyDescent="0.3">
      <c r="H1159" s="87"/>
      <c r="I1159" s="87"/>
    </row>
    <row r="1160" spans="8:9" hidden="1" x14ac:dyDescent="0.3">
      <c r="H1160" s="87"/>
      <c r="I1160" s="87"/>
    </row>
    <row r="1161" spans="8:9" hidden="1" x14ac:dyDescent="0.3">
      <c r="H1161" s="87"/>
      <c r="I1161" s="87"/>
    </row>
    <row r="1162" spans="8:9" hidden="1" x14ac:dyDescent="0.3">
      <c r="H1162" s="87"/>
      <c r="I1162" s="87"/>
    </row>
    <row r="1163" spans="8:9" hidden="1" x14ac:dyDescent="0.3">
      <c r="H1163" s="87"/>
      <c r="I1163" s="87"/>
    </row>
    <row r="1164" spans="8:9" hidden="1" x14ac:dyDescent="0.3">
      <c r="H1164" s="87"/>
      <c r="I1164" s="87"/>
    </row>
    <row r="1165" spans="8:9" hidden="1" x14ac:dyDescent="0.3">
      <c r="H1165" s="87"/>
      <c r="I1165" s="87"/>
    </row>
    <row r="1166" spans="8:9" hidden="1" x14ac:dyDescent="0.3">
      <c r="H1166" s="87"/>
      <c r="I1166" s="87"/>
    </row>
    <row r="1167" spans="8:9" hidden="1" x14ac:dyDescent="0.3">
      <c r="H1167" s="87"/>
      <c r="I1167" s="87"/>
    </row>
    <row r="1168" spans="8:9" hidden="1" x14ac:dyDescent="0.3">
      <c r="H1168" s="87"/>
      <c r="I1168" s="87"/>
    </row>
    <row r="1169" spans="8:9" hidden="1" x14ac:dyDescent="0.3">
      <c r="H1169" s="87"/>
      <c r="I1169" s="87"/>
    </row>
    <row r="1170" spans="8:9" hidden="1" x14ac:dyDescent="0.3">
      <c r="H1170" s="87"/>
      <c r="I1170" s="87"/>
    </row>
    <row r="1171" spans="8:9" hidden="1" x14ac:dyDescent="0.3">
      <c r="H1171" s="87"/>
      <c r="I1171" s="87"/>
    </row>
    <row r="1172" spans="8:9" hidden="1" x14ac:dyDescent="0.3">
      <c r="H1172" s="87"/>
      <c r="I1172" s="87"/>
    </row>
    <row r="1173" spans="8:9" hidden="1" x14ac:dyDescent="0.3">
      <c r="H1173" s="87"/>
      <c r="I1173" s="87"/>
    </row>
    <row r="1174" spans="8:9" hidden="1" x14ac:dyDescent="0.3">
      <c r="H1174" s="87"/>
      <c r="I1174" s="87"/>
    </row>
    <row r="1175" spans="8:9" hidden="1" x14ac:dyDescent="0.3">
      <c r="H1175" s="87"/>
      <c r="I1175" s="87"/>
    </row>
    <row r="1176" spans="8:9" hidden="1" x14ac:dyDescent="0.3">
      <c r="H1176" s="87"/>
      <c r="I1176" s="87"/>
    </row>
    <row r="1177" spans="8:9" hidden="1" x14ac:dyDescent="0.3">
      <c r="H1177" s="87"/>
      <c r="I1177" s="87"/>
    </row>
    <row r="1178" spans="8:9" hidden="1" x14ac:dyDescent="0.3">
      <c r="H1178" s="87"/>
      <c r="I1178" s="87"/>
    </row>
    <row r="1179" spans="8:9" hidden="1" x14ac:dyDescent="0.3">
      <c r="H1179" s="87"/>
      <c r="I1179" s="87"/>
    </row>
    <row r="1180" spans="8:9" hidden="1" x14ac:dyDescent="0.3">
      <c r="H1180" s="87"/>
      <c r="I1180" s="87"/>
    </row>
    <row r="1181" spans="8:9" hidden="1" x14ac:dyDescent="0.3">
      <c r="H1181" s="87"/>
      <c r="I1181" s="87"/>
    </row>
    <row r="1182" spans="8:9" hidden="1" x14ac:dyDescent="0.3">
      <c r="H1182" s="87"/>
      <c r="I1182" s="87"/>
    </row>
    <row r="1183" spans="8:9" hidden="1" x14ac:dyDescent="0.3">
      <c r="H1183" s="87"/>
      <c r="I1183" s="87"/>
    </row>
    <row r="1184" spans="8:9" hidden="1" x14ac:dyDescent="0.3">
      <c r="H1184" s="87"/>
      <c r="I1184" s="87"/>
    </row>
    <row r="1185" spans="8:9" hidden="1" x14ac:dyDescent="0.3">
      <c r="H1185" s="87"/>
      <c r="I1185" s="87"/>
    </row>
    <row r="1186" spans="8:9" hidden="1" x14ac:dyDescent="0.3">
      <c r="H1186" s="87"/>
      <c r="I1186" s="87"/>
    </row>
    <row r="1187" spans="8:9" hidden="1" x14ac:dyDescent="0.3">
      <c r="H1187" s="87"/>
      <c r="I1187" s="87"/>
    </row>
    <row r="1188" spans="8:9" hidden="1" x14ac:dyDescent="0.3">
      <c r="H1188" s="87"/>
      <c r="I1188" s="87"/>
    </row>
    <row r="1189" spans="8:9" hidden="1" x14ac:dyDescent="0.3">
      <c r="H1189" s="87"/>
      <c r="I1189" s="87"/>
    </row>
    <row r="1190" spans="8:9" hidden="1" x14ac:dyDescent="0.3">
      <c r="H1190" s="87"/>
      <c r="I1190" s="87"/>
    </row>
    <row r="1191" spans="8:9" hidden="1" x14ac:dyDescent="0.3">
      <c r="H1191" s="87"/>
      <c r="I1191" s="87"/>
    </row>
    <row r="1192" spans="8:9" hidden="1" x14ac:dyDescent="0.3">
      <c r="H1192" s="87"/>
      <c r="I1192" s="87"/>
    </row>
    <row r="1193" spans="8:9" hidden="1" x14ac:dyDescent="0.3">
      <c r="H1193" s="87"/>
      <c r="I1193" s="87"/>
    </row>
    <row r="1194" spans="8:9" hidden="1" x14ac:dyDescent="0.3">
      <c r="H1194" s="87"/>
      <c r="I1194" s="87"/>
    </row>
    <row r="1195" spans="8:9" hidden="1" x14ac:dyDescent="0.3">
      <c r="H1195" s="87"/>
      <c r="I1195" s="87"/>
    </row>
    <row r="1196" spans="8:9" hidden="1" x14ac:dyDescent="0.3">
      <c r="H1196" s="87"/>
      <c r="I1196" s="87"/>
    </row>
    <row r="1197" spans="8:9" hidden="1" x14ac:dyDescent="0.3">
      <c r="H1197" s="87"/>
      <c r="I1197" s="87"/>
    </row>
    <row r="1198" spans="8:9" hidden="1" x14ac:dyDescent="0.3">
      <c r="H1198" s="87"/>
      <c r="I1198" s="87"/>
    </row>
    <row r="1199" spans="8:9" hidden="1" x14ac:dyDescent="0.3">
      <c r="H1199" s="87"/>
      <c r="I1199" s="87"/>
    </row>
    <row r="1200" spans="8:9" hidden="1" x14ac:dyDescent="0.3">
      <c r="H1200" s="87"/>
      <c r="I1200" s="87"/>
    </row>
    <row r="1201" spans="8:9" hidden="1" x14ac:dyDescent="0.3">
      <c r="H1201" s="87"/>
      <c r="I1201" s="87"/>
    </row>
    <row r="1202" spans="8:9" hidden="1" x14ac:dyDescent="0.3">
      <c r="H1202" s="87"/>
      <c r="I1202" s="87"/>
    </row>
    <row r="1203" spans="8:9" hidden="1" x14ac:dyDescent="0.3">
      <c r="H1203" s="87"/>
      <c r="I1203" s="87"/>
    </row>
    <row r="1204" spans="8:9" hidden="1" x14ac:dyDescent="0.3">
      <c r="H1204" s="87"/>
      <c r="I1204" s="87"/>
    </row>
    <row r="1205" spans="8:9" hidden="1" x14ac:dyDescent="0.3">
      <c r="H1205" s="87"/>
      <c r="I1205" s="87"/>
    </row>
    <row r="1206" spans="8:9" hidden="1" x14ac:dyDescent="0.3">
      <c r="H1206" s="87"/>
      <c r="I1206" s="87"/>
    </row>
    <row r="1207" spans="8:9" hidden="1" x14ac:dyDescent="0.3">
      <c r="H1207" s="87"/>
      <c r="I1207" s="87"/>
    </row>
    <row r="1208" spans="8:9" hidden="1" x14ac:dyDescent="0.3">
      <c r="H1208" s="87"/>
      <c r="I1208" s="87"/>
    </row>
    <row r="1209" spans="8:9" hidden="1" x14ac:dyDescent="0.3">
      <c r="H1209" s="87"/>
      <c r="I1209" s="87"/>
    </row>
    <row r="1210" spans="8:9" hidden="1" x14ac:dyDescent="0.3">
      <c r="H1210" s="87"/>
      <c r="I1210" s="87"/>
    </row>
    <row r="1211" spans="8:9" hidden="1" x14ac:dyDescent="0.3">
      <c r="H1211" s="87"/>
      <c r="I1211" s="87"/>
    </row>
    <row r="1212" spans="8:9" hidden="1" x14ac:dyDescent="0.3">
      <c r="H1212" s="87"/>
      <c r="I1212" s="87"/>
    </row>
    <row r="1213" spans="8:9" hidden="1" x14ac:dyDescent="0.3">
      <c r="H1213" s="87"/>
      <c r="I1213" s="87"/>
    </row>
    <row r="1214" spans="8:9" hidden="1" x14ac:dyDescent="0.3">
      <c r="H1214" s="87"/>
      <c r="I1214" s="87"/>
    </row>
    <row r="1215" spans="8:9" hidden="1" x14ac:dyDescent="0.3">
      <c r="H1215" s="87"/>
      <c r="I1215" s="87"/>
    </row>
    <row r="1216" spans="8:9" hidden="1" x14ac:dyDescent="0.3">
      <c r="H1216" s="87"/>
      <c r="I1216" s="87"/>
    </row>
    <row r="1217" spans="8:9" hidden="1" x14ac:dyDescent="0.3">
      <c r="H1217" s="87"/>
      <c r="I1217" s="87"/>
    </row>
    <row r="1218" spans="8:9" hidden="1" x14ac:dyDescent="0.3">
      <c r="H1218" s="87"/>
      <c r="I1218" s="87"/>
    </row>
    <row r="1219" spans="8:9" hidden="1" x14ac:dyDescent="0.3">
      <c r="H1219" s="87"/>
      <c r="I1219" s="87"/>
    </row>
    <row r="1220" spans="8:9" hidden="1" x14ac:dyDescent="0.3">
      <c r="H1220" s="87"/>
      <c r="I1220" s="87"/>
    </row>
    <row r="1221" spans="8:9" hidden="1" x14ac:dyDescent="0.3">
      <c r="H1221" s="87"/>
      <c r="I1221" s="87"/>
    </row>
    <row r="1222" spans="8:9" hidden="1" x14ac:dyDescent="0.3">
      <c r="H1222" s="87"/>
      <c r="I1222" s="87"/>
    </row>
    <row r="1223" spans="8:9" hidden="1" x14ac:dyDescent="0.3">
      <c r="H1223" s="87"/>
      <c r="I1223" s="87"/>
    </row>
    <row r="1224" spans="8:9" hidden="1" x14ac:dyDescent="0.3">
      <c r="H1224" s="87"/>
      <c r="I1224" s="87"/>
    </row>
    <row r="1225" spans="8:9" hidden="1" x14ac:dyDescent="0.3">
      <c r="H1225" s="87"/>
      <c r="I1225" s="87"/>
    </row>
    <row r="1226" spans="8:9" hidden="1" x14ac:dyDescent="0.3">
      <c r="H1226" s="87"/>
      <c r="I1226" s="87"/>
    </row>
    <row r="1227" spans="8:9" hidden="1" x14ac:dyDescent="0.3">
      <c r="H1227" s="87"/>
      <c r="I1227" s="87"/>
    </row>
    <row r="1228" spans="8:9" hidden="1" x14ac:dyDescent="0.3">
      <c r="H1228" s="87"/>
      <c r="I1228" s="87"/>
    </row>
    <row r="1229" spans="8:9" hidden="1" x14ac:dyDescent="0.3">
      <c r="H1229" s="87"/>
      <c r="I1229" s="87"/>
    </row>
    <row r="1230" spans="8:9" hidden="1" x14ac:dyDescent="0.3">
      <c r="H1230" s="87"/>
      <c r="I1230" s="87"/>
    </row>
    <row r="1231" spans="8:9" hidden="1" x14ac:dyDescent="0.3">
      <c r="H1231" s="87"/>
      <c r="I1231" s="87"/>
    </row>
    <row r="1232" spans="8:9" hidden="1" x14ac:dyDescent="0.3">
      <c r="H1232" s="87"/>
      <c r="I1232" s="87"/>
    </row>
    <row r="1233" spans="8:9" hidden="1" x14ac:dyDescent="0.3">
      <c r="H1233" s="87"/>
      <c r="I1233" s="87"/>
    </row>
    <row r="1234" spans="8:9" hidden="1" x14ac:dyDescent="0.3">
      <c r="H1234" s="87"/>
      <c r="I1234" s="87"/>
    </row>
    <row r="1235" spans="8:9" hidden="1" x14ac:dyDescent="0.3">
      <c r="H1235" s="87"/>
      <c r="I1235" s="87"/>
    </row>
    <row r="1236" spans="8:9" hidden="1" x14ac:dyDescent="0.3">
      <c r="H1236" s="87"/>
      <c r="I1236" s="87"/>
    </row>
    <row r="1237" spans="8:9" hidden="1" x14ac:dyDescent="0.3">
      <c r="H1237" s="87"/>
      <c r="I1237" s="87"/>
    </row>
    <row r="1238" spans="8:9" hidden="1" x14ac:dyDescent="0.3">
      <c r="H1238" s="87"/>
      <c r="I1238" s="87"/>
    </row>
    <row r="1239" spans="8:9" hidden="1" x14ac:dyDescent="0.3">
      <c r="H1239" s="87"/>
      <c r="I1239" s="87"/>
    </row>
    <row r="1240" spans="8:9" hidden="1" x14ac:dyDescent="0.3">
      <c r="H1240" s="87"/>
      <c r="I1240" s="87"/>
    </row>
    <row r="1241" spans="8:9" hidden="1" x14ac:dyDescent="0.3">
      <c r="H1241" s="87"/>
      <c r="I1241" s="87"/>
    </row>
    <row r="1242" spans="8:9" hidden="1" x14ac:dyDescent="0.3">
      <c r="H1242" s="87"/>
      <c r="I1242" s="87"/>
    </row>
    <row r="1243" spans="8:9" hidden="1" x14ac:dyDescent="0.3">
      <c r="H1243" s="87"/>
      <c r="I1243" s="87"/>
    </row>
    <row r="1244" spans="8:9" hidden="1" x14ac:dyDescent="0.3">
      <c r="H1244" s="87"/>
      <c r="I1244" s="87"/>
    </row>
    <row r="1245" spans="8:9" hidden="1" x14ac:dyDescent="0.3">
      <c r="H1245" s="87"/>
      <c r="I1245" s="87"/>
    </row>
    <row r="1246" spans="8:9" hidden="1" x14ac:dyDescent="0.3">
      <c r="H1246" s="87"/>
      <c r="I1246" s="87"/>
    </row>
    <row r="1247" spans="8:9" hidden="1" x14ac:dyDescent="0.3">
      <c r="H1247" s="87"/>
      <c r="I1247" s="87"/>
    </row>
    <row r="1248" spans="8:9" hidden="1" x14ac:dyDescent="0.3">
      <c r="H1248" s="87"/>
      <c r="I1248" s="87"/>
    </row>
    <row r="1249" spans="8:9" hidden="1" x14ac:dyDescent="0.3">
      <c r="H1249" s="87"/>
      <c r="I1249" s="87"/>
    </row>
    <row r="1250" spans="8:9" hidden="1" x14ac:dyDescent="0.3">
      <c r="H1250" s="87"/>
      <c r="I1250" s="87"/>
    </row>
    <row r="1251" spans="8:9" hidden="1" x14ac:dyDescent="0.3">
      <c r="H1251" s="87"/>
      <c r="I1251" s="87"/>
    </row>
    <row r="1252" spans="8:9" hidden="1" x14ac:dyDescent="0.3">
      <c r="H1252" s="87"/>
      <c r="I1252" s="87"/>
    </row>
    <row r="1253" spans="8:9" hidden="1" x14ac:dyDescent="0.3">
      <c r="H1253" s="87"/>
      <c r="I1253" s="87"/>
    </row>
    <row r="1254" spans="8:9" hidden="1" x14ac:dyDescent="0.3">
      <c r="H1254" s="87"/>
      <c r="I1254" s="87"/>
    </row>
    <row r="1255" spans="8:9" hidden="1" x14ac:dyDescent="0.3">
      <c r="H1255" s="87"/>
      <c r="I1255" s="87"/>
    </row>
    <row r="1256" spans="8:9" hidden="1" x14ac:dyDescent="0.3">
      <c r="H1256" s="87"/>
      <c r="I1256" s="87"/>
    </row>
    <row r="1257" spans="8:9" hidden="1" x14ac:dyDescent="0.3">
      <c r="H1257" s="87"/>
      <c r="I1257" s="87"/>
    </row>
    <row r="1258" spans="8:9" hidden="1" x14ac:dyDescent="0.3">
      <c r="H1258" s="87"/>
      <c r="I1258" s="87"/>
    </row>
    <row r="1259" spans="8:9" hidden="1" x14ac:dyDescent="0.3">
      <c r="H1259" s="87"/>
      <c r="I1259" s="87"/>
    </row>
    <row r="1260" spans="8:9" hidden="1" x14ac:dyDescent="0.3">
      <c r="H1260" s="87"/>
      <c r="I1260" s="87"/>
    </row>
    <row r="1261" spans="8:9" hidden="1" x14ac:dyDescent="0.3">
      <c r="H1261" s="87"/>
      <c r="I1261" s="87"/>
    </row>
    <row r="1262" spans="8:9" hidden="1" x14ac:dyDescent="0.3">
      <c r="H1262" s="87"/>
      <c r="I1262" s="87"/>
    </row>
    <row r="1263" spans="8:9" hidden="1" x14ac:dyDescent="0.3">
      <c r="H1263" s="87"/>
      <c r="I1263" s="87"/>
    </row>
    <row r="1264" spans="8:9" hidden="1" x14ac:dyDescent="0.3">
      <c r="H1264" s="87"/>
      <c r="I1264" s="87"/>
    </row>
    <row r="1265" spans="8:9" hidden="1" x14ac:dyDescent="0.3">
      <c r="H1265" s="87"/>
      <c r="I1265" s="87"/>
    </row>
    <row r="1266" spans="8:9" hidden="1" x14ac:dyDescent="0.3">
      <c r="H1266" s="87"/>
      <c r="I1266" s="87"/>
    </row>
    <row r="1267" spans="8:9" hidden="1" x14ac:dyDescent="0.3">
      <c r="H1267" s="87"/>
      <c r="I1267" s="87"/>
    </row>
    <row r="1268" spans="8:9" hidden="1" x14ac:dyDescent="0.3">
      <c r="H1268" s="87"/>
      <c r="I1268" s="87"/>
    </row>
    <row r="1269" spans="8:9" hidden="1" x14ac:dyDescent="0.3">
      <c r="H1269" s="87"/>
      <c r="I1269" s="87"/>
    </row>
    <row r="1270" spans="8:9" hidden="1" x14ac:dyDescent="0.3">
      <c r="H1270" s="87"/>
      <c r="I1270" s="87"/>
    </row>
    <row r="1271" spans="8:9" hidden="1" x14ac:dyDescent="0.3">
      <c r="H1271" s="87"/>
      <c r="I1271" s="87"/>
    </row>
    <row r="1272" spans="8:9" hidden="1" x14ac:dyDescent="0.3">
      <c r="H1272" s="87"/>
      <c r="I1272" s="87"/>
    </row>
    <row r="1273" spans="8:9" hidden="1" x14ac:dyDescent="0.3">
      <c r="H1273" s="87"/>
      <c r="I1273" s="87"/>
    </row>
    <row r="1274" spans="8:9" hidden="1" x14ac:dyDescent="0.3">
      <c r="H1274" s="87"/>
      <c r="I1274" s="87"/>
    </row>
    <row r="1275" spans="8:9" hidden="1" x14ac:dyDescent="0.3">
      <c r="H1275" s="87"/>
      <c r="I1275" s="87"/>
    </row>
    <row r="1276" spans="8:9" hidden="1" x14ac:dyDescent="0.3">
      <c r="H1276" s="87"/>
      <c r="I1276" s="87"/>
    </row>
    <row r="1277" spans="8:9" hidden="1" x14ac:dyDescent="0.3">
      <c r="H1277" s="87"/>
      <c r="I1277" s="87"/>
    </row>
    <row r="1278" spans="8:9" hidden="1" x14ac:dyDescent="0.3">
      <c r="H1278" s="87"/>
      <c r="I1278" s="87"/>
    </row>
    <row r="1279" spans="8:9" hidden="1" x14ac:dyDescent="0.3">
      <c r="H1279" s="87"/>
      <c r="I1279" s="87"/>
    </row>
    <row r="1280" spans="8:9" hidden="1" x14ac:dyDescent="0.3">
      <c r="H1280" s="87"/>
      <c r="I1280" s="87"/>
    </row>
    <row r="1281" spans="8:9" hidden="1" x14ac:dyDescent="0.3">
      <c r="H1281" s="87"/>
      <c r="I1281" s="87"/>
    </row>
    <row r="1282" spans="8:9" hidden="1" x14ac:dyDescent="0.3">
      <c r="H1282" s="87"/>
      <c r="I1282" s="87"/>
    </row>
    <row r="1283" spans="8:9" hidden="1" x14ac:dyDescent="0.3">
      <c r="H1283" s="87"/>
      <c r="I1283" s="87"/>
    </row>
    <row r="1284" spans="8:9" hidden="1" x14ac:dyDescent="0.3">
      <c r="H1284" s="87"/>
      <c r="I1284" s="87"/>
    </row>
    <row r="1285" spans="8:9" hidden="1" x14ac:dyDescent="0.3">
      <c r="H1285" s="87"/>
      <c r="I1285" s="87"/>
    </row>
    <row r="1286" spans="8:9" hidden="1" x14ac:dyDescent="0.3">
      <c r="H1286" s="87"/>
      <c r="I1286" s="87"/>
    </row>
    <row r="1287" spans="8:9" hidden="1" x14ac:dyDescent="0.3">
      <c r="H1287" s="87"/>
      <c r="I1287" s="87"/>
    </row>
    <row r="1288" spans="8:9" hidden="1" x14ac:dyDescent="0.3">
      <c r="H1288" s="87"/>
      <c r="I1288" s="87"/>
    </row>
    <row r="1289" spans="8:9" hidden="1" x14ac:dyDescent="0.3">
      <c r="H1289" s="87"/>
      <c r="I1289" s="87"/>
    </row>
    <row r="1290" spans="8:9" hidden="1" x14ac:dyDescent="0.3">
      <c r="H1290" s="87"/>
      <c r="I1290" s="87"/>
    </row>
    <row r="1291" spans="8:9" hidden="1" x14ac:dyDescent="0.3">
      <c r="H1291" s="87"/>
      <c r="I1291" s="87"/>
    </row>
    <row r="1292" spans="8:9" hidden="1" x14ac:dyDescent="0.3">
      <c r="H1292" s="87"/>
      <c r="I1292" s="87"/>
    </row>
    <row r="1293" spans="8:9" hidden="1" x14ac:dyDescent="0.3">
      <c r="H1293" s="87"/>
      <c r="I1293" s="87"/>
    </row>
    <row r="1294" spans="8:9" hidden="1" x14ac:dyDescent="0.3">
      <c r="H1294" s="87"/>
      <c r="I1294" s="87"/>
    </row>
    <row r="1295" spans="8:9" hidden="1" x14ac:dyDescent="0.3">
      <c r="H1295" s="87"/>
      <c r="I1295" s="87"/>
    </row>
    <row r="1296" spans="8:9" hidden="1" x14ac:dyDescent="0.3">
      <c r="H1296" s="87"/>
      <c r="I1296" s="87"/>
    </row>
    <row r="1297" spans="8:9" hidden="1" x14ac:dyDescent="0.3">
      <c r="H1297" s="87"/>
      <c r="I1297" s="87"/>
    </row>
    <row r="1298" spans="8:9" hidden="1" x14ac:dyDescent="0.3">
      <c r="H1298" s="87"/>
      <c r="I1298" s="87"/>
    </row>
    <row r="1299" spans="8:9" hidden="1" x14ac:dyDescent="0.3">
      <c r="H1299" s="87"/>
      <c r="I1299" s="87"/>
    </row>
    <row r="1300" spans="8:9" hidden="1" x14ac:dyDescent="0.3">
      <c r="H1300" s="87"/>
      <c r="I1300" s="87"/>
    </row>
    <row r="1301" spans="8:9" hidden="1" x14ac:dyDescent="0.3">
      <c r="H1301" s="87"/>
      <c r="I1301" s="87"/>
    </row>
    <row r="1302" spans="8:9" hidden="1" x14ac:dyDescent="0.3">
      <c r="H1302" s="87"/>
      <c r="I1302" s="87"/>
    </row>
    <row r="1303" spans="8:9" hidden="1" x14ac:dyDescent="0.3">
      <c r="H1303" s="87"/>
      <c r="I1303" s="87"/>
    </row>
    <row r="1304" spans="8:9" hidden="1" x14ac:dyDescent="0.3">
      <c r="H1304" s="87"/>
      <c r="I1304" s="87"/>
    </row>
    <row r="1305" spans="8:9" hidden="1" x14ac:dyDescent="0.3">
      <c r="H1305" s="87"/>
      <c r="I1305" s="87"/>
    </row>
    <row r="1306" spans="8:9" hidden="1" x14ac:dyDescent="0.3">
      <c r="H1306" s="87"/>
      <c r="I1306" s="87"/>
    </row>
    <row r="1307" spans="8:9" hidden="1" x14ac:dyDescent="0.3">
      <c r="H1307" s="87"/>
      <c r="I1307" s="87"/>
    </row>
    <row r="1308" spans="8:9" hidden="1" x14ac:dyDescent="0.3">
      <c r="H1308" s="87"/>
      <c r="I1308" s="87"/>
    </row>
    <row r="1309" spans="8:9" hidden="1" x14ac:dyDescent="0.3">
      <c r="H1309" s="87"/>
      <c r="I1309" s="87"/>
    </row>
    <row r="1310" spans="8:9" hidden="1" x14ac:dyDescent="0.3">
      <c r="H1310" s="87"/>
      <c r="I1310" s="87"/>
    </row>
    <row r="1311" spans="8:9" hidden="1" x14ac:dyDescent="0.3">
      <c r="H1311" s="87"/>
      <c r="I1311" s="87"/>
    </row>
    <row r="1312" spans="8:9" hidden="1" x14ac:dyDescent="0.3">
      <c r="H1312" s="87"/>
      <c r="I1312" s="87"/>
    </row>
    <row r="1313" spans="8:9" hidden="1" x14ac:dyDescent="0.3">
      <c r="H1313" s="87"/>
      <c r="I1313" s="87"/>
    </row>
    <row r="1314" spans="8:9" hidden="1" x14ac:dyDescent="0.3">
      <c r="H1314" s="87"/>
      <c r="I1314" s="87"/>
    </row>
    <row r="1315" spans="8:9" hidden="1" x14ac:dyDescent="0.3">
      <c r="H1315" s="87"/>
      <c r="I1315" s="87"/>
    </row>
    <row r="1316" spans="8:9" hidden="1" x14ac:dyDescent="0.3">
      <c r="H1316" s="87"/>
      <c r="I1316" s="87"/>
    </row>
    <row r="1317" spans="8:9" hidden="1" x14ac:dyDescent="0.3">
      <c r="H1317" s="87"/>
      <c r="I1317" s="87"/>
    </row>
    <row r="1318" spans="8:9" hidden="1" x14ac:dyDescent="0.3">
      <c r="H1318" s="87"/>
      <c r="I1318" s="87"/>
    </row>
    <row r="1319" spans="8:9" hidden="1" x14ac:dyDescent="0.3">
      <c r="H1319" s="87"/>
      <c r="I1319" s="87"/>
    </row>
    <row r="1320" spans="8:9" hidden="1" x14ac:dyDescent="0.3">
      <c r="H1320" s="87"/>
      <c r="I1320" s="87"/>
    </row>
    <row r="1321" spans="8:9" hidden="1" x14ac:dyDescent="0.3">
      <c r="H1321" s="87"/>
      <c r="I1321" s="87"/>
    </row>
    <row r="1322" spans="8:9" hidden="1" x14ac:dyDescent="0.3">
      <c r="H1322" s="87"/>
      <c r="I1322" s="87"/>
    </row>
    <row r="1323" spans="8:9" hidden="1" x14ac:dyDescent="0.3">
      <c r="H1323" s="87"/>
      <c r="I1323" s="87"/>
    </row>
    <row r="1324" spans="8:9" hidden="1" x14ac:dyDescent="0.3">
      <c r="H1324" s="87"/>
      <c r="I1324" s="87"/>
    </row>
    <row r="1325" spans="8:9" hidden="1" x14ac:dyDescent="0.3">
      <c r="H1325" s="87"/>
      <c r="I1325" s="87"/>
    </row>
    <row r="1326" spans="8:9" hidden="1" x14ac:dyDescent="0.3">
      <c r="H1326" s="87"/>
      <c r="I1326" s="87"/>
    </row>
    <row r="1327" spans="8:9" hidden="1" x14ac:dyDescent="0.3">
      <c r="H1327" s="87"/>
      <c r="I1327" s="87"/>
    </row>
    <row r="1328" spans="8:9" hidden="1" x14ac:dyDescent="0.3">
      <c r="H1328" s="87"/>
      <c r="I1328" s="87"/>
    </row>
    <row r="1329" spans="8:9" hidden="1" x14ac:dyDescent="0.3">
      <c r="H1329" s="87"/>
      <c r="I1329" s="87"/>
    </row>
    <row r="1330" spans="8:9" hidden="1" x14ac:dyDescent="0.3">
      <c r="H1330" s="87"/>
      <c r="I1330" s="87"/>
    </row>
    <row r="1331" spans="8:9" hidden="1" x14ac:dyDescent="0.3">
      <c r="H1331" s="87"/>
      <c r="I1331" s="87"/>
    </row>
    <row r="1332" spans="8:9" hidden="1" x14ac:dyDescent="0.3">
      <c r="H1332" s="87"/>
      <c r="I1332" s="87"/>
    </row>
    <row r="1333" spans="8:9" hidden="1" x14ac:dyDescent="0.3">
      <c r="H1333" s="87"/>
      <c r="I1333" s="87"/>
    </row>
    <row r="1334" spans="8:9" hidden="1" x14ac:dyDescent="0.3">
      <c r="H1334" s="87"/>
      <c r="I1334" s="87"/>
    </row>
    <row r="1335" spans="8:9" hidden="1" x14ac:dyDescent="0.3">
      <c r="H1335" s="87"/>
      <c r="I1335" s="87"/>
    </row>
    <row r="1336" spans="8:9" hidden="1" x14ac:dyDescent="0.3">
      <c r="H1336" s="87"/>
      <c r="I1336" s="87"/>
    </row>
    <row r="1337" spans="8:9" hidden="1" x14ac:dyDescent="0.3">
      <c r="H1337" s="87"/>
      <c r="I1337" s="87"/>
    </row>
    <row r="1338" spans="8:9" hidden="1" x14ac:dyDescent="0.3">
      <c r="H1338" s="87"/>
      <c r="I1338" s="87"/>
    </row>
    <row r="1339" spans="8:9" hidden="1" x14ac:dyDescent="0.3">
      <c r="H1339" s="87"/>
      <c r="I1339" s="87"/>
    </row>
    <row r="1340" spans="8:9" hidden="1" x14ac:dyDescent="0.3">
      <c r="H1340" s="87"/>
      <c r="I1340" s="87"/>
    </row>
    <row r="1341" spans="8:9" hidden="1" x14ac:dyDescent="0.3">
      <c r="H1341" s="87"/>
      <c r="I1341" s="87"/>
    </row>
    <row r="1342" spans="8:9" hidden="1" x14ac:dyDescent="0.3">
      <c r="H1342" s="87"/>
      <c r="I1342" s="87"/>
    </row>
    <row r="1343" spans="8:9" hidden="1" x14ac:dyDescent="0.3">
      <c r="H1343" s="87"/>
      <c r="I1343" s="87"/>
    </row>
    <row r="1344" spans="8:9" hidden="1" x14ac:dyDescent="0.3">
      <c r="H1344" s="87"/>
      <c r="I1344" s="87"/>
    </row>
    <row r="1345" spans="8:9" hidden="1" x14ac:dyDescent="0.3">
      <c r="H1345" s="87"/>
      <c r="I1345" s="87"/>
    </row>
    <row r="1346" spans="8:9" hidden="1" x14ac:dyDescent="0.3">
      <c r="H1346" s="87"/>
      <c r="I1346" s="87"/>
    </row>
    <row r="1347" spans="8:9" hidden="1" x14ac:dyDescent="0.3">
      <c r="H1347" s="87"/>
      <c r="I1347" s="87"/>
    </row>
    <row r="1348" spans="8:9" hidden="1" x14ac:dyDescent="0.3">
      <c r="H1348" s="87"/>
      <c r="I1348" s="87"/>
    </row>
    <row r="1349" spans="8:9" hidden="1" x14ac:dyDescent="0.3">
      <c r="H1349" s="87"/>
      <c r="I1349" s="87"/>
    </row>
    <row r="1350" spans="8:9" hidden="1" x14ac:dyDescent="0.3">
      <c r="H1350" s="87"/>
      <c r="I1350" s="87"/>
    </row>
    <row r="1351" spans="8:9" hidden="1" x14ac:dyDescent="0.3">
      <c r="H1351" s="87"/>
      <c r="I1351" s="87"/>
    </row>
    <row r="1352" spans="8:9" hidden="1" x14ac:dyDescent="0.3">
      <c r="H1352" s="87"/>
      <c r="I1352" s="87"/>
    </row>
    <row r="1353" spans="8:9" hidden="1" x14ac:dyDescent="0.3">
      <c r="H1353" s="87"/>
      <c r="I1353" s="87"/>
    </row>
    <row r="1354" spans="8:9" hidden="1" x14ac:dyDescent="0.3">
      <c r="H1354" s="87"/>
      <c r="I1354" s="87"/>
    </row>
    <row r="1355" spans="8:9" hidden="1" x14ac:dyDescent="0.3">
      <c r="H1355" s="87"/>
      <c r="I1355" s="87"/>
    </row>
    <row r="1356" spans="8:9" hidden="1" x14ac:dyDescent="0.3">
      <c r="H1356" s="87"/>
      <c r="I1356" s="87"/>
    </row>
    <row r="1357" spans="8:9" hidden="1" x14ac:dyDescent="0.3">
      <c r="H1357" s="87"/>
      <c r="I1357" s="87"/>
    </row>
    <row r="1358" spans="8:9" hidden="1" x14ac:dyDescent="0.3">
      <c r="H1358" s="87"/>
      <c r="I1358" s="87"/>
    </row>
    <row r="1359" spans="8:9" hidden="1" x14ac:dyDescent="0.3">
      <c r="H1359" s="87"/>
      <c r="I1359" s="87"/>
    </row>
    <row r="1360" spans="8:9" hidden="1" x14ac:dyDescent="0.3">
      <c r="H1360" s="87"/>
      <c r="I1360" s="87"/>
    </row>
    <row r="1361" spans="8:9" hidden="1" x14ac:dyDescent="0.3">
      <c r="H1361" s="87"/>
      <c r="I1361" s="87"/>
    </row>
    <row r="1362" spans="8:9" hidden="1" x14ac:dyDescent="0.3">
      <c r="H1362" s="87"/>
      <c r="I1362" s="87"/>
    </row>
    <row r="1363" spans="8:9" hidden="1" x14ac:dyDescent="0.3">
      <c r="H1363" s="87"/>
      <c r="I1363" s="87"/>
    </row>
    <row r="1364" spans="8:9" hidden="1" x14ac:dyDescent="0.3">
      <c r="H1364" s="87"/>
      <c r="I1364" s="87"/>
    </row>
    <row r="1365" spans="8:9" hidden="1" x14ac:dyDescent="0.3">
      <c r="H1365" s="87"/>
      <c r="I1365" s="87"/>
    </row>
    <row r="1366" spans="8:9" hidden="1" x14ac:dyDescent="0.3">
      <c r="H1366" s="87"/>
      <c r="I1366" s="87"/>
    </row>
    <row r="1367" spans="8:9" hidden="1" x14ac:dyDescent="0.3">
      <c r="H1367" s="87"/>
      <c r="I1367" s="87"/>
    </row>
    <row r="1368" spans="8:9" hidden="1" x14ac:dyDescent="0.3">
      <c r="H1368" s="87"/>
      <c r="I1368" s="87"/>
    </row>
    <row r="1369" spans="8:9" hidden="1" x14ac:dyDescent="0.3">
      <c r="H1369" s="87"/>
      <c r="I1369" s="87"/>
    </row>
    <row r="1370" spans="8:9" hidden="1" x14ac:dyDescent="0.3">
      <c r="H1370" s="87"/>
      <c r="I1370" s="87"/>
    </row>
    <row r="1371" spans="8:9" hidden="1" x14ac:dyDescent="0.3">
      <c r="H1371" s="87"/>
      <c r="I1371" s="87"/>
    </row>
    <row r="1372" spans="8:9" hidden="1" x14ac:dyDescent="0.3">
      <c r="H1372" s="87"/>
      <c r="I1372" s="87"/>
    </row>
    <row r="1373" spans="8:9" hidden="1" x14ac:dyDescent="0.3">
      <c r="H1373" s="87"/>
      <c r="I1373" s="87"/>
    </row>
    <row r="1374" spans="8:9" hidden="1" x14ac:dyDescent="0.3">
      <c r="H1374" s="87"/>
      <c r="I1374" s="87"/>
    </row>
    <row r="1375" spans="8:9" hidden="1" x14ac:dyDescent="0.3">
      <c r="H1375" s="87"/>
      <c r="I1375" s="87"/>
    </row>
    <row r="1376" spans="8:9" hidden="1" x14ac:dyDescent="0.3">
      <c r="H1376" s="87"/>
      <c r="I1376" s="87"/>
    </row>
    <row r="1377" spans="8:9" hidden="1" x14ac:dyDescent="0.3">
      <c r="H1377" s="87"/>
      <c r="I1377" s="87"/>
    </row>
    <row r="1378" spans="8:9" hidden="1" x14ac:dyDescent="0.3">
      <c r="H1378" s="87"/>
      <c r="I1378" s="87"/>
    </row>
    <row r="1379" spans="8:9" hidden="1" x14ac:dyDescent="0.3">
      <c r="H1379" s="87"/>
      <c r="I1379" s="87"/>
    </row>
    <row r="1380" spans="8:9" hidden="1" x14ac:dyDescent="0.3">
      <c r="H1380" s="87"/>
      <c r="I1380" s="87"/>
    </row>
    <row r="1381" spans="8:9" hidden="1" x14ac:dyDescent="0.3">
      <c r="H1381" s="87"/>
      <c r="I1381" s="87"/>
    </row>
    <row r="1382" spans="8:9" hidden="1" x14ac:dyDescent="0.3">
      <c r="H1382" s="87"/>
      <c r="I1382" s="87"/>
    </row>
    <row r="1383" spans="8:9" hidden="1" x14ac:dyDescent="0.3">
      <c r="H1383" s="87"/>
      <c r="I1383" s="87"/>
    </row>
    <row r="1384" spans="8:9" hidden="1" x14ac:dyDescent="0.3">
      <c r="H1384" s="87"/>
      <c r="I1384" s="87"/>
    </row>
    <row r="1385" spans="8:9" hidden="1" x14ac:dyDescent="0.3">
      <c r="H1385" s="87"/>
      <c r="I1385" s="87"/>
    </row>
    <row r="1386" spans="8:9" hidden="1" x14ac:dyDescent="0.3">
      <c r="H1386" s="87"/>
      <c r="I1386" s="87"/>
    </row>
    <row r="1387" spans="8:9" hidden="1" x14ac:dyDescent="0.3">
      <c r="H1387" s="87"/>
      <c r="I1387" s="87"/>
    </row>
    <row r="1388" spans="8:9" hidden="1" x14ac:dyDescent="0.3">
      <c r="H1388" s="87"/>
      <c r="I1388" s="87"/>
    </row>
    <row r="1389" spans="8:9" hidden="1" x14ac:dyDescent="0.3">
      <c r="H1389" s="87"/>
      <c r="I1389" s="87"/>
    </row>
    <row r="1390" spans="8:9" hidden="1" x14ac:dyDescent="0.3">
      <c r="H1390" s="87"/>
      <c r="I1390" s="87"/>
    </row>
    <row r="1391" spans="8:9" hidden="1" x14ac:dyDescent="0.3">
      <c r="H1391" s="87"/>
      <c r="I1391" s="87"/>
    </row>
    <row r="1392" spans="8:9" hidden="1" x14ac:dyDescent="0.3">
      <c r="H1392" s="87"/>
      <c r="I1392" s="87"/>
    </row>
    <row r="1393" spans="8:9" hidden="1" x14ac:dyDescent="0.3">
      <c r="H1393" s="87"/>
      <c r="I1393" s="87"/>
    </row>
    <row r="1394" spans="8:9" hidden="1" x14ac:dyDescent="0.3">
      <c r="H1394" s="87"/>
      <c r="I1394" s="87"/>
    </row>
    <row r="1395" spans="8:9" hidden="1" x14ac:dyDescent="0.3">
      <c r="H1395" s="87"/>
      <c r="I1395" s="87"/>
    </row>
    <row r="1396" spans="8:9" hidden="1" x14ac:dyDescent="0.3">
      <c r="H1396" s="87"/>
      <c r="I1396" s="87"/>
    </row>
    <row r="1397" spans="8:9" hidden="1" x14ac:dyDescent="0.3">
      <c r="H1397" s="87"/>
      <c r="I1397" s="87"/>
    </row>
    <row r="1398" spans="8:9" hidden="1" x14ac:dyDescent="0.3">
      <c r="H1398" s="87"/>
      <c r="I1398" s="87"/>
    </row>
    <row r="1399" spans="8:9" hidden="1" x14ac:dyDescent="0.3">
      <c r="H1399" s="87"/>
      <c r="I1399" s="87"/>
    </row>
    <row r="1400" spans="8:9" hidden="1" x14ac:dyDescent="0.3">
      <c r="H1400" s="87"/>
      <c r="I1400" s="87"/>
    </row>
    <row r="1401" spans="8:9" hidden="1" x14ac:dyDescent="0.3">
      <c r="H1401" s="87"/>
      <c r="I1401" s="87"/>
    </row>
    <row r="1402" spans="8:9" hidden="1" x14ac:dyDescent="0.3">
      <c r="H1402" s="87"/>
      <c r="I1402" s="87"/>
    </row>
    <row r="1403" spans="8:9" hidden="1" x14ac:dyDescent="0.3">
      <c r="H1403" s="87"/>
      <c r="I1403" s="87"/>
    </row>
    <row r="1404" spans="8:9" hidden="1" x14ac:dyDescent="0.3">
      <c r="H1404" s="87"/>
      <c r="I1404" s="87"/>
    </row>
    <row r="1405" spans="8:9" hidden="1" x14ac:dyDescent="0.3">
      <c r="H1405" s="87"/>
      <c r="I1405" s="87"/>
    </row>
    <row r="1406" spans="8:9" hidden="1" x14ac:dyDescent="0.3">
      <c r="H1406" s="87"/>
      <c r="I1406" s="87"/>
    </row>
    <row r="1407" spans="8:9" hidden="1" x14ac:dyDescent="0.3">
      <c r="H1407" s="87"/>
      <c r="I1407" s="87"/>
    </row>
    <row r="1408" spans="8:9" hidden="1" x14ac:dyDescent="0.3">
      <c r="H1408" s="87"/>
      <c r="I1408" s="87"/>
    </row>
    <row r="1409" spans="8:9" hidden="1" x14ac:dyDescent="0.3">
      <c r="H1409" s="87"/>
      <c r="I1409" s="87"/>
    </row>
    <row r="1410" spans="8:9" hidden="1" x14ac:dyDescent="0.3">
      <c r="H1410" s="87"/>
      <c r="I1410" s="87"/>
    </row>
    <row r="1411" spans="8:9" hidden="1" x14ac:dyDescent="0.3">
      <c r="H1411" s="87"/>
      <c r="I1411" s="87"/>
    </row>
    <row r="1412" spans="8:9" hidden="1" x14ac:dyDescent="0.3">
      <c r="H1412" s="87"/>
      <c r="I1412" s="87"/>
    </row>
    <row r="1413" spans="8:9" hidden="1" x14ac:dyDescent="0.3">
      <c r="H1413" s="87"/>
      <c r="I1413" s="87"/>
    </row>
    <row r="1414" spans="8:9" hidden="1" x14ac:dyDescent="0.3">
      <c r="H1414" s="87"/>
      <c r="I1414" s="87"/>
    </row>
    <row r="1415" spans="8:9" hidden="1" x14ac:dyDescent="0.3">
      <c r="H1415" s="87"/>
      <c r="I1415" s="87"/>
    </row>
    <row r="1416" spans="8:9" hidden="1" x14ac:dyDescent="0.3">
      <c r="H1416" s="87"/>
      <c r="I1416" s="87"/>
    </row>
    <row r="1417" spans="8:9" hidden="1" x14ac:dyDescent="0.3">
      <c r="H1417" s="87"/>
      <c r="I1417" s="87"/>
    </row>
    <row r="1418" spans="8:9" hidden="1" x14ac:dyDescent="0.3">
      <c r="H1418" s="87"/>
      <c r="I1418" s="87"/>
    </row>
    <row r="1419" spans="8:9" hidden="1" x14ac:dyDescent="0.3">
      <c r="H1419" s="87"/>
      <c r="I1419" s="87"/>
    </row>
    <row r="1420" spans="8:9" hidden="1" x14ac:dyDescent="0.3">
      <c r="H1420" s="87"/>
      <c r="I1420" s="87"/>
    </row>
    <row r="1421" spans="8:9" hidden="1" x14ac:dyDescent="0.3">
      <c r="H1421" s="87"/>
      <c r="I1421" s="87"/>
    </row>
    <row r="1422" spans="8:9" hidden="1" x14ac:dyDescent="0.3">
      <c r="H1422" s="87"/>
      <c r="I1422" s="87"/>
    </row>
    <row r="1423" spans="8:9" hidden="1" x14ac:dyDescent="0.3">
      <c r="H1423" s="87"/>
      <c r="I1423" s="87"/>
    </row>
    <row r="1424" spans="8:9" hidden="1" x14ac:dyDescent="0.3">
      <c r="H1424" s="87"/>
      <c r="I1424" s="87"/>
    </row>
    <row r="1425" spans="8:9" hidden="1" x14ac:dyDescent="0.3">
      <c r="H1425" s="87"/>
      <c r="I1425" s="87"/>
    </row>
    <row r="1426" spans="8:9" hidden="1" x14ac:dyDescent="0.3">
      <c r="H1426" s="87"/>
      <c r="I1426" s="87"/>
    </row>
    <row r="1427" spans="8:9" hidden="1" x14ac:dyDescent="0.3">
      <c r="H1427" s="87"/>
      <c r="I1427" s="87"/>
    </row>
    <row r="1428" spans="8:9" hidden="1" x14ac:dyDescent="0.3">
      <c r="H1428" s="87"/>
      <c r="I1428" s="87"/>
    </row>
    <row r="1429" spans="8:9" hidden="1" x14ac:dyDescent="0.3">
      <c r="H1429" s="87"/>
      <c r="I1429" s="87"/>
    </row>
    <row r="1430" spans="8:9" hidden="1" x14ac:dyDescent="0.3">
      <c r="H1430" s="87"/>
      <c r="I1430" s="87"/>
    </row>
    <row r="1431" spans="8:9" hidden="1" x14ac:dyDescent="0.3">
      <c r="H1431" s="87"/>
      <c r="I1431" s="87"/>
    </row>
    <row r="1432" spans="8:9" hidden="1" x14ac:dyDescent="0.3">
      <c r="H1432" s="87"/>
      <c r="I1432" s="87"/>
    </row>
    <row r="1433" spans="8:9" hidden="1" x14ac:dyDescent="0.3">
      <c r="H1433" s="87"/>
      <c r="I1433" s="87"/>
    </row>
    <row r="1434" spans="8:9" hidden="1" x14ac:dyDescent="0.3">
      <c r="H1434" s="87"/>
      <c r="I1434" s="87"/>
    </row>
    <row r="1435" spans="8:9" hidden="1" x14ac:dyDescent="0.3">
      <c r="H1435" s="87"/>
      <c r="I1435" s="87"/>
    </row>
    <row r="1436" spans="8:9" hidden="1" x14ac:dyDescent="0.3">
      <c r="H1436" s="87"/>
      <c r="I1436" s="87"/>
    </row>
    <row r="1437" spans="8:9" hidden="1" x14ac:dyDescent="0.3">
      <c r="H1437" s="87"/>
      <c r="I1437" s="87"/>
    </row>
    <row r="1438" spans="8:9" hidden="1" x14ac:dyDescent="0.3">
      <c r="H1438" s="87"/>
      <c r="I1438" s="87"/>
    </row>
    <row r="1439" spans="8:9" hidden="1" x14ac:dyDescent="0.3">
      <c r="H1439" s="87"/>
      <c r="I1439" s="87"/>
    </row>
    <row r="1440" spans="8:9" hidden="1" x14ac:dyDescent="0.3">
      <c r="H1440" s="87"/>
      <c r="I1440" s="87"/>
    </row>
    <row r="1441" spans="8:9" hidden="1" x14ac:dyDescent="0.3">
      <c r="H1441" s="87"/>
      <c r="I1441" s="87"/>
    </row>
    <row r="1442" spans="8:9" hidden="1" x14ac:dyDescent="0.3">
      <c r="H1442" s="87"/>
      <c r="I1442" s="87"/>
    </row>
    <row r="1443" spans="8:9" hidden="1" x14ac:dyDescent="0.3">
      <c r="H1443" s="87"/>
      <c r="I1443" s="87"/>
    </row>
    <row r="1444" spans="8:9" hidden="1" x14ac:dyDescent="0.3">
      <c r="H1444" s="87"/>
      <c r="I1444" s="87"/>
    </row>
    <row r="1445" spans="8:9" hidden="1" x14ac:dyDescent="0.3">
      <c r="H1445" s="87"/>
      <c r="I1445" s="87"/>
    </row>
    <row r="1446" spans="8:9" hidden="1" x14ac:dyDescent="0.3">
      <c r="H1446" s="87"/>
      <c r="I1446" s="87"/>
    </row>
    <row r="1447" spans="8:9" hidden="1" x14ac:dyDescent="0.3">
      <c r="H1447" s="87"/>
      <c r="I1447" s="87"/>
    </row>
    <row r="1448" spans="8:9" hidden="1" x14ac:dyDescent="0.3">
      <c r="H1448" s="87"/>
      <c r="I1448" s="87"/>
    </row>
    <row r="1449" spans="8:9" hidden="1" x14ac:dyDescent="0.3">
      <c r="H1449" s="87"/>
      <c r="I1449" s="87"/>
    </row>
    <row r="1450" spans="8:9" hidden="1" x14ac:dyDescent="0.3">
      <c r="H1450" s="87"/>
      <c r="I1450" s="87"/>
    </row>
    <row r="1451" spans="8:9" hidden="1" x14ac:dyDescent="0.3">
      <c r="H1451" s="87"/>
      <c r="I1451" s="87"/>
    </row>
    <row r="1452" spans="8:9" hidden="1" x14ac:dyDescent="0.3">
      <c r="H1452" s="87"/>
      <c r="I1452" s="87"/>
    </row>
    <row r="1453" spans="8:9" hidden="1" x14ac:dyDescent="0.3">
      <c r="H1453" s="87"/>
      <c r="I1453" s="87"/>
    </row>
    <row r="1454" spans="8:9" hidden="1" x14ac:dyDescent="0.3">
      <c r="H1454" s="87"/>
      <c r="I1454" s="87"/>
    </row>
    <row r="1455" spans="8:9" hidden="1" x14ac:dyDescent="0.3">
      <c r="H1455" s="87"/>
      <c r="I1455" s="87"/>
    </row>
    <row r="1456" spans="8:9" hidden="1" x14ac:dyDescent="0.3">
      <c r="H1456" s="87"/>
      <c r="I1456" s="87"/>
    </row>
    <row r="1457" spans="8:9" hidden="1" x14ac:dyDescent="0.3">
      <c r="H1457" s="87"/>
      <c r="I1457" s="87"/>
    </row>
    <row r="1458" spans="8:9" hidden="1" x14ac:dyDescent="0.3">
      <c r="H1458" s="87"/>
      <c r="I1458" s="87"/>
    </row>
    <row r="1459" spans="8:9" hidden="1" x14ac:dyDescent="0.3">
      <c r="H1459" s="87"/>
      <c r="I1459" s="87"/>
    </row>
    <row r="1460" spans="8:9" hidden="1" x14ac:dyDescent="0.3">
      <c r="H1460" s="87"/>
      <c r="I1460" s="87"/>
    </row>
    <row r="1461" spans="8:9" hidden="1" x14ac:dyDescent="0.3">
      <c r="H1461" s="87"/>
      <c r="I1461" s="87"/>
    </row>
    <row r="1462" spans="8:9" hidden="1" x14ac:dyDescent="0.3">
      <c r="H1462" s="87"/>
      <c r="I1462" s="87"/>
    </row>
    <row r="1463" spans="8:9" hidden="1" x14ac:dyDescent="0.3">
      <c r="H1463" s="87"/>
      <c r="I1463" s="87"/>
    </row>
    <row r="1464" spans="8:9" hidden="1" x14ac:dyDescent="0.3">
      <c r="H1464" s="87"/>
      <c r="I1464" s="87"/>
    </row>
    <row r="1465" spans="8:9" hidden="1" x14ac:dyDescent="0.3">
      <c r="H1465" s="87"/>
      <c r="I1465" s="87"/>
    </row>
    <row r="1466" spans="8:9" hidden="1" x14ac:dyDescent="0.3">
      <c r="H1466" s="87"/>
      <c r="I1466" s="87"/>
    </row>
    <row r="1467" spans="8:9" hidden="1" x14ac:dyDescent="0.3">
      <c r="H1467" s="87"/>
      <c r="I1467" s="87"/>
    </row>
    <row r="1468" spans="8:9" hidden="1" x14ac:dyDescent="0.3">
      <c r="H1468" s="87"/>
      <c r="I1468" s="87"/>
    </row>
    <row r="1469" spans="8:9" hidden="1" x14ac:dyDescent="0.3">
      <c r="H1469" s="87"/>
      <c r="I1469" s="87"/>
    </row>
    <row r="1470" spans="8:9" hidden="1" x14ac:dyDescent="0.3">
      <c r="H1470" s="87"/>
      <c r="I1470" s="87"/>
    </row>
    <row r="1471" spans="8:9" hidden="1" x14ac:dyDescent="0.3">
      <c r="H1471" s="87"/>
      <c r="I1471" s="87"/>
    </row>
    <row r="1472" spans="8:9" hidden="1" x14ac:dyDescent="0.3">
      <c r="H1472" s="87"/>
      <c r="I1472" s="87"/>
    </row>
    <row r="1473" spans="8:9" hidden="1" x14ac:dyDescent="0.3">
      <c r="H1473" s="87"/>
      <c r="I1473" s="87"/>
    </row>
    <row r="1474" spans="8:9" hidden="1" x14ac:dyDescent="0.3">
      <c r="H1474" s="87"/>
      <c r="I1474" s="87"/>
    </row>
    <row r="1475" spans="8:9" hidden="1" x14ac:dyDescent="0.3">
      <c r="H1475" s="87"/>
      <c r="I1475" s="87"/>
    </row>
    <row r="1476" spans="8:9" hidden="1" x14ac:dyDescent="0.3">
      <c r="H1476" s="87"/>
      <c r="I1476" s="87"/>
    </row>
    <row r="1477" spans="8:9" hidden="1" x14ac:dyDescent="0.3">
      <c r="H1477" s="87"/>
      <c r="I1477" s="87"/>
    </row>
    <row r="1478" spans="8:9" hidden="1" x14ac:dyDescent="0.3">
      <c r="H1478" s="87"/>
      <c r="I1478" s="87"/>
    </row>
    <row r="1479" spans="8:9" hidden="1" x14ac:dyDescent="0.3">
      <c r="H1479" s="87"/>
      <c r="I1479" s="87"/>
    </row>
    <row r="1480" spans="8:9" hidden="1" x14ac:dyDescent="0.3">
      <c r="H1480" s="87"/>
      <c r="I1480" s="87"/>
    </row>
    <row r="1481" spans="8:9" hidden="1" x14ac:dyDescent="0.3">
      <c r="H1481" s="87"/>
      <c r="I1481" s="87"/>
    </row>
    <row r="1482" spans="8:9" hidden="1" x14ac:dyDescent="0.3">
      <c r="H1482" s="87"/>
      <c r="I1482" s="87"/>
    </row>
    <row r="1483" spans="8:9" hidden="1" x14ac:dyDescent="0.3">
      <c r="H1483" s="87"/>
      <c r="I1483" s="87"/>
    </row>
    <row r="1484" spans="8:9" hidden="1" x14ac:dyDescent="0.3">
      <c r="H1484" s="87"/>
      <c r="I1484" s="87"/>
    </row>
    <row r="1485" spans="8:9" hidden="1" x14ac:dyDescent="0.3">
      <c r="H1485" s="87"/>
      <c r="I1485" s="87"/>
    </row>
    <row r="1486" spans="8:9" hidden="1" x14ac:dyDescent="0.3">
      <c r="H1486" s="87"/>
      <c r="I1486" s="87"/>
    </row>
    <row r="1487" spans="8:9" hidden="1" x14ac:dyDescent="0.3">
      <c r="H1487" s="87"/>
      <c r="I1487" s="87"/>
    </row>
    <row r="1488" spans="8:9" hidden="1" x14ac:dyDescent="0.3">
      <c r="H1488" s="87"/>
      <c r="I1488" s="87"/>
    </row>
    <row r="1489" spans="8:9" hidden="1" x14ac:dyDescent="0.3">
      <c r="H1489" s="87"/>
      <c r="I1489" s="87"/>
    </row>
    <row r="1490" spans="8:9" hidden="1" x14ac:dyDescent="0.3">
      <c r="H1490" s="87"/>
      <c r="I1490" s="87"/>
    </row>
    <row r="1491" spans="8:9" hidden="1" x14ac:dyDescent="0.3">
      <c r="H1491" s="87"/>
      <c r="I1491" s="87"/>
    </row>
    <row r="1492" spans="8:9" hidden="1" x14ac:dyDescent="0.3">
      <c r="H1492" s="87"/>
      <c r="I1492" s="87"/>
    </row>
    <row r="1493" spans="8:9" hidden="1" x14ac:dyDescent="0.3">
      <c r="H1493" s="87"/>
      <c r="I1493" s="87"/>
    </row>
    <row r="1494" spans="8:9" hidden="1" x14ac:dyDescent="0.3">
      <c r="H1494" s="87"/>
      <c r="I1494" s="87"/>
    </row>
    <row r="1495" spans="8:9" hidden="1" x14ac:dyDescent="0.3">
      <c r="H1495" s="87"/>
      <c r="I1495" s="87"/>
    </row>
    <row r="1496" spans="8:9" hidden="1" x14ac:dyDescent="0.3">
      <c r="H1496" s="87"/>
      <c r="I1496" s="87"/>
    </row>
    <row r="1497" spans="8:9" hidden="1" x14ac:dyDescent="0.3">
      <c r="H1497" s="87"/>
      <c r="I1497" s="87"/>
    </row>
    <row r="1498" spans="8:9" hidden="1" x14ac:dyDescent="0.3">
      <c r="H1498" s="87"/>
      <c r="I1498" s="87"/>
    </row>
    <row r="1499" spans="8:9" hidden="1" x14ac:dyDescent="0.3">
      <c r="H1499" s="87"/>
      <c r="I1499" s="87"/>
    </row>
    <row r="1500" spans="8:9" hidden="1" x14ac:dyDescent="0.3">
      <c r="H1500" s="87"/>
      <c r="I1500" s="87"/>
    </row>
    <row r="1501" spans="8:9" hidden="1" x14ac:dyDescent="0.3">
      <c r="H1501" s="87"/>
      <c r="I1501" s="87"/>
    </row>
    <row r="1502" spans="8:9" hidden="1" x14ac:dyDescent="0.3">
      <c r="H1502" s="87"/>
      <c r="I1502" s="87"/>
    </row>
    <row r="1503" spans="8:9" hidden="1" x14ac:dyDescent="0.3">
      <c r="H1503" s="87"/>
      <c r="I1503" s="87"/>
    </row>
    <row r="1504" spans="8:9" hidden="1" x14ac:dyDescent="0.3">
      <c r="H1504" s="87"/>
      <c r="I1504" s="87"/>
    </row>
    <row r="1505" spans="8:9" hidden="1" x14ac:dyDescent="0.3">
      <c r="H1505" s="87"/>
      <c r="I1505" s="87"/>
    </row>
    <row r="1506" spans="8:9" hidden="1" x14ac:dyDescent="0.3">
      <c r="H1506" s="87"/>
      <c r="I1506" s="87"/>
    </row>
    <row r="1507" spans="8:9" hidden="1" x14ac:dyDescent="0.3">
      <c r="H1507" s="87"/>
      <c r="I1507" s="87"/>
    </row>
    <row r="1508" spans="8:9" hidden="1" x14ac:dyDescent="0.3">
      <c r="H1508" s="87"/>
      <c r="I1508" s="87"/>
    </row>
  </sheetData>
  <sheetProtection sort="0" autoFilter="0"/>
  <dataValidations count="2">
    <dataValidation type="list" allowBlank="1" showInputMessage="1" showErrorMessage="1" sqref="B24:B523" xr:uid="{8154722E-BD03-4124-BE7F-F04164B6D0E3}">
      <formula1>Sites</formula1>
    </dataValidation>
    <dataValidation type="date" allowBlank="1" showInputMessage="1" showErrorMessage="1" sqref="G24:G523" xr:uid="{B5BE1C63-55F3-4287-83A2-9D0C34626A89}">
      <formula1>1</formula1>
      <formula2>73415</formula2>
    </dataValidation>
  </dataValidations>
  <pageMargins left="0.25" right="0.25" top="0.75" bottom="0.75" header="0.3" footer="0.3"/>
  <pageSetup scale="88" fitToWidth="2" fitToHeight="0" pageOrder="overThenDown" orientation="landscape" r:id="rId1"/>
  <headerFooter>
    <oddHeader>&amp;C&amp;10 40 CFR Part 63, Subpart EEEE National Emission Standards for Hazardous Air Pollutants: Organic Liquids Distribution (Non-Gasoline) - Compliance Report</oddHeader>
    <oddFooter>&amp;L&amp;10&amp;A&amp;R&amp;10Page &amp;P</oddFooter>
  </headerFooter>
  <legacy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errorTitle="Invalid Entry!" error="Please select an answer from the list." promptTitle="Excess Emissions and Exceedances" prompt="Please select an answer from the list." xr:uid="{78121CD0-D6CF-4EAE-A58A-4237BCDDFB78}">
          <x14:formula1>
            <xm:f>Lists!$B$29:$B$30</xm:f>
          </x14:formula1>
          <xm:sqref>K24:K523</xm:sqref>
        </x14:dataValidation>
        <x14:dataValidation type="list" allowBlank="1" showInputMessage="1" showErrorMessage="1" errorTitle="Invalid Entry!" error="Please select an answer from the dropdown." promptTitle="InoperativeFlag" prompt="Please select an answer from the dropdown." xr:uid="{00531A51-3049-431D-BE67-735990421169}">
          <x14:formula1>
            <xm:f>Lists!$B$32:$B$33</xm:f>
          </x14:formula1>
          <xm:sqref>L24:L523</xm:sqref>
        </x14:dataValidation>
        <x14:dataValidation type="list" allowBlank="1" showInputMessage="1" showErrorMessage="1" errorTitle="Invalid Entry!" error="Please select a pollutant or parameter from the dropdown list." promptTitle="Pollutant/Parameter Monitored" prompt="Please select a pollutant or parameter from the dropdown list." xr:uid="{F0DAA9FD-BB6E-428E-8EF6-84F2A1DBA5B3}">
          <x14:formula1>
            <xm:f>Lists!$G$33:$G$38</xm:f>
          </x14:formula1>
          <xm:sqref>H24:H523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A0326-3087-4F7D-BB23-F821E47D43E8}">
  <sheetPr codeName="Sheet8">
    <tabColor theme="9" tint="0.59999389629810485"/>
  </sheetPr>
  <dimension ref="A1:R1023"/>
  <sheetViews>
    <sheetView showGridLines="0" topLeftCell="B7" zoomScaleNormal="100" workbookViewId="0">
      <selection activeCell="C11" sqref="C11"/>
    </sheetView>
  </sheetViews>
  <sheetFormatPr defaultColWidth="0" defaultRowHeight="14.4" zeroHeight="1" x14ac:dyDescent="0.3"/>
  <cols>
    <col min="1" max="1" width="9.109375" style="79" hidden="1" customWidth="1"/>
    <col min="2" max="2" width="15" style="79" customWidth="1"/>
    <col min="3" max="3" width="55.6640625" style="51" customWidth="1"/>
    <col min="4" max="4" width="24.6640625" style="51" bestFit="1" customWidth="1"/>
    <col min="5" max="5" width="25" style="51" bestFit="1" customWidth="1"/>
    <col min="6" max="6" width="24.109375" style="147" bestFit="1" customWidth="1"/>
    <col min="7" max="7" width="24.109375" style="147" customWidth="1"/>
    <col min="8" max="9" width="48" style="51" customWidth="1"/>
    <col min="10" max="10" width="45" style="51" customWidth="1"/>
    <col min="11" max="18" width="0" style="51" hidden="1" customWidth="1"/>
    <col min="19" max="16384" width="9.109375" style="51" hidden="1"/>
  </cols>
  <sheetData>
    <row r="1" spans="1:10" s="79" customFormat="1" ht="27.6" hidden="1" x14ac:dyDescent="0.3">
      <c r="B1" s="269" t="s">
        <v>0</v>
      </c>
      <c r="C1" s="270"/>
      <c r="D1" s="270"/>
      <c r="E1" s="270"/>
      <c r="F1" s="270"/>
      <c r="G1" s="270"/>
      <c r="H1" s="270"/>
      <c r="I1" s="270"/>
      <c r="J1" s="270"/>
    </row>
    <row r="2" spans="1:10" s="217" customFormat="1" hidden="1" x14ac:dyDescent="0.3">
      <c r="B2" s="234" t="s">
        <v>1</v>
      </c>
      <c r="C2" s="234" t="s">
        <v>304</v>
      </c>
      <c r="D2" s="271"/>
      <c r="E2" s="271"/>
      <c r="F2" s="271"/>
      <c r="G2" s="271"/>
      <c r="H2" s="271"/>
      <c r="I2" s="271"/>
      <c r="J2" s="271"/>
    </row>
    <row r="3" spans="1:10" s="217" customFormat="1" hidden="1" x14ac:dyDescent="0.3">
      <c r="B3" s="234" t="s">
        <v>2</v>
      </c>
      <c r="C3" s="234" t="s">
        <v>305</v>
      </c>
      <c r="D3" s="271"/>
      <c r="E3" s="271"/>
      <c r="F3" s="271"/>
      <c r="G3" s="271"/>
      <c r="H3" s="271"/>
      <c r="I3" s="271"/>
      <c r="J3" s="271"/>
    </row>
    <row r="4" spans="1:10" s="217" customFormat="1" hidden="1" x14ac:dyDescent="0.3">
      <c r="B4" s="234" t="s">
        <v>3</v>
      </c>
      <c r="C4" s="234" t="s">
        <v>306</v>
      </c>
      <c r="D4" s="271"/>
      <c r="E4" s="271"/>
      <c r="F4" s="271"/>
      <c r="G4" s="271"/>
      <c r="H4" s="271"/>
      <c r="I4" s="271"/>
      <c r="J4" s="271"/>
    </row>
    <row r="5" spans="1:10" s="217" customFormat="1" hidden="1" x14ac:dyDescent="0.3">
      <c r="B5" s="234" t="s">
        <v>4</v>
      </c>
      <c r="C5" s="233">
        <v>45391</v>
      </c>
      <c r="D5" s="271"/>
      <c r="E5" s="271"/>
      <c r="F5" s="271"/>
      <c r="G5" s="271"/>
      <c r="H5" s="271"/>
      <c r="I5" s="271"/>
      <c r="J5" s="271"/>
    </row>
    <row r="6" spans="1:10" s="217" customFormat="1" hidden="1" x14ac:dyDescent="0.3"/>
    <row r="7" spans="1:10" s="217" customFormat="1" x14ac:dyDescent="0.3">
      <c r="B7" s="10" t="str">
        <f>Company_Information!B7</f>
        <v>40 CFR Part 63, Subpart Y National Emission Standards for Hazardous Air Pollutants: Marine Tank Vessel Loading Operations</v>
      </c>
    </row>
    <row r="8" spans="1:10" s="217" customFormat="1" x14ac:dyDescent="0.3">
      <c r="B8" s="10" t="str">
        <f>Company_Information!B8</f>
        <v>§63.567(o) Periodic Report Spreadsheet Template</v>
      </c>
    </row>
    <row r="9" spans="1:10" s="217" customFormat="1" ht="30.75" customHeight="1" x14ac:dyDescent="0.3">
      <c r="B9" s="229" t="s">
        <v>158</v>
      </c>
    </row>
    <row r="10" spans="1:10" s="217" customFormat="1" x14ac:dyDescent="0.3">
      <c r="B10" s="230" t="s">
        <v>146</v>
      </c>
    </row>
    <row r="11" spans="1:10" s="217" customFormat="1" ht="15" thickBot="1" x14ac:dyDescent="0.35"/>
    <row r="12" spans="1:10" s="220" customFormat="1" ht="72.599999999999994" thickBot="1" x14ac:dyDescent="0.35">
      <c r="A12" s="225"/>
      <c r="B12" s="17" t="s">
        <v>159</v>
      </c>
      <c r="C12" s="27" t="s">
        <v>422</v>
      </c>
      <c r="D12" s="27" t="s">
        <v>423</v>
      </c>
      <c r="E12" s="27" t="s">
        <v>424</v>
      </c>
      <c r="F12" s="27" t="s">
        <v>425</v>
      </c>
      <c r="G12" s="27" t="s">
        <v>426</v>
      </c>
      <c r="H12" s="27" t="s">
        <v>427</v>
      </c>
      <c r="I12" s="27" t="s">
        <v>428</v>
      </c>
      <c r="J12" s="27" t="s">
        <v>118</v>
      </c>
    </row>
    <row r="13" spans="1:10" s="217" customFormat="1" x14ac:dyDescent="0.3">
      <c r="B13" s="219" t="s">
        <v>190</v>
      </c>
      <c r="C13" s="219" t="s">
        <v>143</v>
      </c>
      <c r="D13" s="272" t="s">
        <v>361</v>
      </c>
      <c r="E13" s="272" t="s">
        <v>362</v>
      </c>
      <c r="F13" s="273" t="s">
        <v>363</v>
      </c>
      <c r="G13" s="273" t="s">
        <v>368</v>
      </c>
      <c r="H13" s="272" t="s">
        <v>157</v>
      </c>
      <c r="I13" s="272" t="s">
        <v>364</v>
      </c>
      <c r="J13" s="218" t="s">
        <v>365</v>
      </c>
    </row>
    <row r="14" spans="1:10" s="79" customFormat="1" x14ac:dyDescent="0.3">
      <c r="B14" s="71" t="s">
        <v>5</v>
      </c>
      <c r="C14" s="72" t="s">
        <v>113</v>
      </c>
      <c r="D14" s="274" t="s">
        <v>148</v>
      </c>
      <c r="E14" s="274" t="s">
        <v>149</v>
      </c>
      <c r="F14" s="275" t="s">
        <v>366</v>
      </c>
      <c r="G14" s="279" t="s">
        <v>369</v>
      </c>
      <c r="H14" s="276" t="s">
        <v>244</v>
      </c>
      <c r="I14" s="276" t="s">
        <v>367</v>
      </c>
      <c r="J14" s="216" t="s">
        <v>107</v>
      </c>
    </row>
    <row r="15" spans="1:10" s="79" customFormat="1" hidden="1" x14ac:dyDescent="0.3">
      <c r="B15" s="71"/>
      <c r="C15" s="72" t="s">
        <v>188</v>
      </c>
      <c r="D15" s="72" t="s">
        <v>188</v>
      </c>
      <c r="E15" s="72" t="s">
        <v>188</v>
      </c>
      <c r="F15" s="72" t="s">
        <v>188</v>
      </c>
      <c r="G15" s="72"/>
      <c r="H15" s="72" t="s">
        <v>188</v>
      </c>
      <c r="I15" s="72" t="s">
        <v>188</v>
      </c>
      <c r="J15" s="72" t="s">
        <v>188</v>
      </c>
    </row>
    <row r="16" spans="1:10" s="79" customFormat="1" hidden="1" x14ac:dyDescent="0.3">
      <c r="B16" s="71"/>
      <c r="C16" s="72" t="s">
        <v>188</v>
      </c>
      <c r="D16" s="72" t="s">
        <v>188</v>
      </c>
      <c r="E16" s="72" t="s">
        <v>188</v>
      </c>
      <c r="F16" s="72" t="s">
        <v>188</v>
      </c>
      <c r="G16" s="72"/>
      <c r="H16" s="72" t="s">
        <v>188</v>
      </c>
      <c r="I16" s="72" t="s">
        <v>188</v>
      </c>
      <c r="J16" s="72" t="s">
        <v>188</v>
      </c>
    </row>
    <row r="17" spans="2:10" s="79" customFormat="1" hidden="1" x14ac:dyDescent="0.3">
      <c r="B17" s="71"/>
      <c r="C17" s="72" t="s">
        <v>188</v>
      </c>
      <c r="D17" s="72" t="s">
        <v>188</v>
      </c>
      <c r="E17" s="72" t="s">
        <v>188</v>
      </c>
      <c r="F17" s="72" t="s">
        <v>188</v>
      </c>
      <c r="G17" s="72"/>
      <c r="H17" s="72" t="s">
        <v>188</v>
      </c>
      <c r="I17" s="72" t="s">
        <v>188</v>
      </c>
      <c r="J17" s="72" t="s">
        <v>188</v>
      </c>
    </row>
    <row r="18" spans="2:10" s="79" customFormat="1" hidden="1" x14ac:dyDescent="0.3">
      <c r="B18" s="71"/>
      <c r="C18" s="72" t="s">
        <v>188</v>
      </c>
      <c r="D18" s="72" t="s">
        <v>188</v>
      </c>
      <c r="E18" s="72" t="s">
        <v>188</v>
      </c>
      <c r="F18" s="72" t="s">
        <v>188</v>
      </c>
      <c r="G18" s="72"/>
      <c r="H18" s="72" t="s">
        <v>188</v>
      </c>
      <c r="I18" s="72" t="s">
        <v>188</v>
      </c>
      <c r="J18" s="72" t="s">
        <v>188</v>
      </c>
    </row>
    <row r="19" spans="2:10" s="79" customFormat="1" hidden="1" x14ac:dyDescent="0.3">
      <c r="B19" s="71"/>
      <c r="C19" s="72" t="s">
        <v>188</v>
      </c>
      <c r="D19" s="72" t="s">
        <v>188</v>
      </c>
      <c r="E19" s="72" t="s">
        <v>188</v>
      </c>
      <c r="F19" s="72" t="s">
        <v>188</v>
      </c>
      <c r="G19" s="72"/>
      <c r="H19" s="72" t="s">
        <v>188</v>
      </c>
      <c r="I19" s="72" t="s">
        <v>188</v>
      </c>
      <c r="J19" s="72" t="s">
        <v>188</v>
      </c>
    </row>
    <row r="20" spans="2:10" s="79" customFormat="1" hidden="1" x14ac:dyDescent="0.3">
      <c r="B20" s="71"/>
      <c r="C20" s="72" t="s">
        <v>188</v>
      </c>
      <c r="D20" s="72" t="s">
        <v>188</v>
      </c>
      <c r="E20" s="72" t="s">
        <v>188</v>
      </c>
      <c r="F20" s="72" t="s">
        <v>188</v>
      </c>
      <c r="G20" s="72"/>
      <c r="H20" s="72" t="s">
        <v>188</v>
      </c>
      <c r="I20" s="72" t="s">
        <v>188</v>
      </c>
      <c r="J20" s="72" t="s">
        <v>188</v>
      </c>
    </row>
    <row r="21" spans="2:10" s="79" customFormat="1" hidden="1" x14ac:dyDescent="0.3">
      <c r="B21" s="71"/>
      <c r="C21" s="72" t="s">
        <v>188</v>
      </c>
      <c r="D21" s="72" t="s">
        <v>188</v>
      </c>
      <c r="E21" s="72" t="s">
        <v>188</v>
      </c>
      <c r="F21" s="72" t="s">
        <v>188</v>
      </c>
      <c r="G21" s="72"/>
      <c r="H21" s="72" t="s">
        <v>188</v>
      </c>
      <c r="I21" s="72" t="s">
        <v>188</v>
      </c>
      <c r="J21" s="72" t="s">
        <v>188</v>
      </c>
    </row>
    <row r="22" spans="2:10" s="79" customFormat="1" hidden="1" x14ac:dyDescent="0.3">
      <c r="B22" s="71"/>
      <c r="C22" s="72" t="s">
        <v>188</v>
      </c>
      <c r="D22" s="72" t="s">
        <v>188</v>
      </c>
      <c r="E22" s="72" t="s">
        <v>188</v>
      </c>
      <c r="F22" s="72" t="s">
        <v>188</v>
      </c>
      <c r="G22" s="72"/>
      <c r="H22" s="72" t="s">
        <v>188</v>
      </c>
      <c r="I22" s="72" t="s">
        <v>188</v>
      </c>
      <c r="J22" s="72" t="s">
        <v>188</v>
      </c>
    </row>
    <row r="23" spans="2:10" s="79" customFormat="1" hidden="1" x14ac:dyDescent="0.3">
      <c r="B23" s="277"/>
      <c r="C23" s="72" t="s">
        <v>188</v>
      </c>
      <c r="D23" s="72" t="s">
        <v>188</v>
      </c>
      <c r="E23" s="72" t="s">
        <v>188</v>
      </c>
      <c r="F23" s="72" t="s">
        <v>188</v>
      </c>
      <c r="G23" s="72"/>
      <c r="H23" s="72" t="s">
        <v>188</v>
      </c>
      <c r="I23" s="72" t="s">
        <v>188</v>
      </c>
      <c r="J23" s="72" t="s">
        <v>188</v>
      </c>
    </row>
    <row r="24" spans="2:10" x14ac:dyDescent="0.3">
      <c r="B24" s="278" t="str">
        <f>IF(Table255[[#This Row],[Affected CMS
(§63.567(o)(3)(viii))
(Select from dropdown)]]="","",VLOOKUP(Table255[[#This Row],[Affected CMS
(§63.567(o)(3)(viii))
(Select from dropdown)]],Table22[#Data],2,FALSE))</f>
        <v/>
      </c>
      <c r="D24" s="132"/>
      <c r="E24" s="140"/>
    </row>
    <row r="25" spans="2:10" x14ac:dyDescent="0.3">
      <c r="B25" s="278" t="str">
        <f>IF(Table255[[#This Row],[Affected CMS
(§63.567(o)(3)(viii))
(Select from dropdown)]]="","",VLOOKUP(Table255[[#This Row],[Affected CMS
(§63.567(o)(3)(viii))
(Select from dropdown)]],Table22[#Data],2,FALSE))</f>
        <v/>
      </c>
      <c r="D25" s="132"/>
      <c r="E25" s="140"/>
    </row>
    <row r="26" spans="2:10" x14ac:dyDescent="0.3">
      <c r="B26" s="278" t="str">
        <f>IF(Table255[[#This Row],[Affected CMS
(§63.567(o)(3)(viii))
(Select from dropdown)]]="","",VLOOKUP(Table255[[#This Row],[Affected CMS
(§63.567(o)(3)(viii))
(Select from dropdown)]],Table22[#Data],2,FALSE))</f>
        <v/>
      </c>
      <c r="D26" s="132"/>
      <c r="E26" s="140"/>
    </row>
    <row r="27" spans="2:10" x14ac:dyDescent="0.3">
      <c r="B27" s="278" t="str">
        <f>IF(Table255[[#This Row],[Affected CMS
(§63.567(o)(3)(viii))
(Select from dropdown)]]="","",VLOOKUP(Table255[[#This Row],[Affected CMS
(§63.567(o)(3)(viii))
(Select from dropdown)]],Table22[#Data],2,FALSE))</f>
        <v/>
      </c>
      <c r="D27" s="132"/>
      <c r="E27" s="140"/>
    </row>
    <row r="28" spans="2:10" x14ac:dyDescent="0.3">
      <c r="B28" s="278" t="str">
        <f>IF(Table255[[#This Row],[Affected CMS
(§63.567(o)(3)(viii))
(Select from dropdown)]]="","",VLOOKUP(Table255[[#This Row],[Affected CMS
(§63.567(o)(3)(viii))
(Select from dropdown)]],Table22[#Data],2,FALSE))</f>
        <v/>
      </c>
      <c r="D28" s="132"/>
      <c r="E28" s="140"/>
    </row>
    <row r="29" spans="2:10" x14ac:dyDescent="0.3">
      <c r="B29" s="278" t="str">
        <f>IF(Table255[[#This Row],[Affected CMS
(§63.567(o)(3)(viii))
(Select from dropdown)]]="","",VLOOKUP(Table255[[#This Row],[Affected CMS
(§63.567(o)(3)(viii))
(Select from dropdown)]],Table22[#Data],2,FALSE))</f>
        <v/>
      </c>
      <c r="D29" s="132"/>
      <c r="E29" s="140"/>
    </row>
    <row r="30" spans="2:10" x14ac:dyDescent="0.3">
      <c r="B30" s="278" t="str">
        <f>IF(Table255[[#This Row],[Affected CMS
(§63.567(o)(3)(viii))
(Select from dropdown)]]="","",VLOOKUP(Table255[[#This Row],[Affected CMS
(§63.567(o)(3)(viii))
(Select from dropdown)]],Table22[#Data],2,FALSE))</f>
        <v/>
      </c>
      <c r="D30" s="132"/>
      <c r="E30" s="140"/>
    </row>
    <row r="31" spans="2:10" x14ac:dyDescent="0.3">
      <c r="B31" s="278" t="str">
        <f>IF(Table255[[#This Row],[Affected CMS
(§63.567(o)(3)(viii))
(Select from dropdown)]]="","",VLOOKUP(Table255[[#This Row],[Affected CMS
(§63.567(o)(3)(viii))
(Select from dropdown)]],Table22[#Data],2,FALSE))</f>
        <v/>
      </c>
      <c r="D31" s="132"/>
      <c r="E31" s="140"/>
    </row>
    <row r="32" spans="2:10" x14ac:dyDescent="0.3">
      <c r="B32" s="278" t="str">
        <f>IF(Table255[[#This Row],[Affected CMS
(§63.567(o)(3)(viii))
(Select from dropdown)]]="","",VLOOKUP(Table255[[#This Row],[Affected CMS
(§63.567(o)(3)(viii))
(Select from dropdown)]],Table22[#Data],2,FALSE))</f>
        <v/>
      </c>
      <c r="D32" s="132"/>
      <c r="E32" s="140"/>
    </row>
    <row r="33" spans="2:5" x14ac:dyDescent="0.3">
      <c r="B33" s="278" t="str">
        <f>IF(Table255[[#This Row],[Affected CMS
(§63.567(o)(3)(viii))
(Select from dropdown)]]="","",VLOOKUP(Table255[[#This Row],[Affected CMS
(§63.567(o)(3)(viii))
(Select from dropdown)]],Table22[#Data],2,FALSE))</f>
        <v/>
      </c>
      <c r="D33" s="132"/>
      <c r="E33" s="140"/>
    </row>
    <row r="34" spans="2:5" x14ac:dyDescent="0.3">
      <c r="B34" s="278" t="str">
        <f>IF(Table255[[#This Row],[Affected CMS
(§63.567(o)(3)(viii))
(Select from dropdown)]]="","",VLOOKUP(Table255[[#This Row],[Affected CMS
(§63.567(o)(3)(viii))
(Select from dropdown)]],Table22[#Data],2,FALSE))</f>
        <v/>
      </c>
      <c r="D34" s="132"/>
      <c r="E34" s="140"/>
    </row>
    <row r="35" spans="2:5" x14ac:dyDescent="0.3">
      <c r="B35" s="278" t="str">
        <f>IF(Table255[[#This Row],[Affected CMS
(§63.567(o)(3)(viii))
(Select from dropdown)]]="","",VLOOKUP(Table255[[#This Row],[Affected CMS
(§63.567(o)(3)(viii))
(Select from dropdown)]],Table22[#Data],2,FALSE))</f>
        <v/>
      </c>
      <c r="D35" s="132"/>
      <c r="E35" s="140"/>
    </row>
    <row r="36" spans="2:5" x14ac:dyDescent="0.3">
      <c r="B36" s="278" t="str">
        <f>IF(Table255[[#This Row],[Affected CMS
(§63.567(o)(3)(viii))
(Select from dropdown)]]="","",VLOOKUP(Table255[[#This Row],[Affected CMS
(§63.567(o)(3)(viii))
(Select from dropdown)]],Table22[#Data],2,FALSE))</f>
        <v/>
      </c>
      <c r="D36" s="132"/>
      <c r="E36" s="140"/>
    </row>
    <row r="37" spans="2:5" x14ac:dyDescent="0.3">
      <c r="B37" s="278" t="str">
        <f>IF(Table255[[#This Row],[Affected CMS
(§63.567(o)(3)(viii))
(Select from dropdown)]]="","",VLOOKUP(Table255[[#This Row],[Affected CMS
(§63.567(o)(3)(viii))
(Select from dropdown)]],Table22[#Data],2,FALSE))</f>
        <v/>
      </c>
      <c r="D37" s="132"/>
      <c r="E37" s="140"/>
    </row>
    <row r="38" spans="2:5" x14ac:dyDescent="0.3">
      <c r="B38" s="278" t="str">
        <f>IF(Table255[[#This Row],[Affected CMS
(§63.567(o)(3)(viii))
(Select from dropdown)]]="","",VLOOKUP(Table255[[#This Row],[Affected CMS
(§63.567(o)(3)(viii))
(Select from dropdown)]],Table22[#Data],2,FALSE))</f>
        <v/>
      </c>
      <c r="D38" s="132"/>
      <c r="E38" s="140"/>
    </row>
    <row r="39" spans="2:5" x14ac:dyDescent="0.3">
      <c r="B39" s="278" t="str">
        <f>IF(Table255[[#This Row],[Affected CMS
(§63.567(o)(3)(viii))
(Select from dropdown)]]="","",VLOOKUP(Table255[[#This Row],[Affected CMS
(§63.567(o)(3)(viii))
(Select from dropdown)]],Table22[#Data],2,FALSE))</f>
        <v/>
      </c>
      <c r="D39" s="132"/>
      <c r="E39" s="140"/>
    </row>
    <row r="40" spans="2:5" x14ac:dyDescent="0.3">
      <c r="B40" s="278" t="str">
        <f>IF(Table255[[#This Row],[Affected CMS
(§63.567(o)(3)(viii))
(Select from dropdown)]]="","",VLOOKUP(Table255[[#This Row],[Affected CMS
(§63.567(o)(3)(viii))
(Select from dropdown)]],Table22[#Data],2,FALSE))</f>
        <v/>
      </c>
      <c r="D40" s="132"/>
      <c r="E40" s="140"/>
    </row>
    <row r="41" spans="2:5" x14ac:dyDescent="0.3">
      <c r="B41" s="278" t="str">
        <f>IF(Table255[[#This Row],[Affected CMS
(§63.567(o)(3)(viii))
(Select from dropdown)]]="","",VLOOKUP(Table255[[#This Row],[Affected CMS
(§63.567(o)(3)(viii))
(Select from dropdown)]],Table22[#Data],2,FALSE))</f>
        <v/>
      </c>
      <c r="D41" s="132"/>
      <c r="E41" s="140"/>
    </row>
    <row r="42" spans="2:5" x14ac:dyDescent="0.3">
      <c r="B42" s="278" t="str">
        <f>IF(Table255[[#This Row],[Affected CMS
(§63.567(o)(3)(viii))
(Select from dropdown)]]="","",VLOOKUP(Table255[[#This Row],[Affected CMS
(§63.567(o)(3)(viii))
(Select from dropdown)]],Table22[#Data],2,FALSE))</f>
        <v/>
      </c>
      <c r="D42" s="132"/>
      <c r="E42" s="140"/>
    </row>
    <row r="43" spans="2:5" x14ac:dyDescent="0.3">
      <c r="B43" s="278" t="str">
        <f>IF(Table255[[#This Row],[Affected CMS
(§63.567(o)(3)(viii))
(Select from dropdown)]]="","",VLOOKUP(Table255[[#This Row],[Affected CMS
(§63.567(o)(3)(viii))
(Select from dropdown)]],Table22[#Data],2,FALSE))</f>
        <v/>
      </c>
      <c r="D43" s="132"/>
      <c r="E43" s="140"/>
    </row>
    <row r="44" spans="2:5" x14ac:dyDescent="0.3">
      <c r="B44" s="278" t="str">
        <f>IF(Table255[[#This Row],[Affected CMS
(§63.567(o)(3)(viii))
(Select from dropdown)]]="","",VLOOKUP(Table255[[#This Row],[Affected CMS
(§63.567(o)(3)(viii))
(Select from dropdown)]],Table22[#Data],2,FALSE))</f>
        <v/>
      </c>
      <c r="D44" s="132"/>
      <c r="E44" s="140"/>
    </row>
    <row r="45" spans="2:5" x14ac:dyDescent="0.3">
      <c r="B45" s="278" t="str">
        <f>IF(Table255[[#This Row],[Affected CMS
(§63.567(o)(3)(viii))
(Select from dropdown)]]="","",VLOOKUP(Table255[[#This Row],[Affected CMS
(§63.567(o)(3)(viii))
(Select from dropdown)]],Table22[#Data],2,FALSE))</f>
        <v/>
      </c>
      <c r="D45" s="132"/>
      <c r="E45" s="140"/>
    </row>
    <row r="46" spans="2:5" x14ac:dyDescent="0.3">
      <c r="B46" s="278" t="str">
        <f>IF(Table255[[#This Row],[Affected CMS
(§63.567(o)(3)(viii))
(Select from dropdown)]]="","",VLOOKUP(Table255[[#This Row],[Affected CMS
(§63.567(o)(3)(viii))
(Select from dropdown)]],Table22[#Data],2,FALSE))</f>
        <v/>
      </c>
      <c r="D46" s="132"/>
      <c r="E46" s="140"/>
    </row>
    <row r="47" spans="2:5" x14ac:dyDescent="0.3">
      <c r="B47" s="278" t="str">
        <f>IF(Table255[[#This Row],[Affected CMS
(§63.567(o)(3)(viii))
(Select from dropdown)]]="","",VLOOKUP(Table255[[#This Row],[Affected CMS
(§63.567(o)(3)(viii))
(Select from dropdown)]],Table22[#Data],2,FALSE))</f>
        <v/>
      </c>
      <c r="D47" s="132"/>
      <c r="E47" s="140"/>
    </row>
    <row r="48" spans="2:5" x14ac:dyDescent="0.3">
      <c r="B48" s="278" t="str">
        <f>IF(Table255[[#This Row],[Affected CMS
(§63.567(o)(3)(viii))
(Select from dropdown)]]="","",VLOOKUP(Table255[[#This Row],[Affected CMS
(§63.567(o)(3)(viii))
(Select from dropdown)]],Table22[#Data],2,FALSE))</f>
        <v/>
      </c>
      <c r="D48" s="132"/>
      <c r="E48" s="140"/>
    </row>
    <row r="49" spans="2:5" x14ac:dyDescent="0.3">
      <c r="B49" s="278" t="str">
        <f>IF(Table255[[#This Row],[Affected CMS
(§63.567(o)(3)(viii))
(Select from dropdown)]]="","",VLOOKUP(Table255[[#This Row],[Affected CMS
(§63.567(o)(3)(viii))
(Select from dropdown)]],Table22[#Data],2,FALSE))</f>
        <v/>
      </c>
      <c r="D49" s="132"/>
      <c r="E49" s="140"/>
    </row>
    <row r="50" spans="2:5" x14ac:dyDescent="0.3">
      <c r="B50" s="278" t="str">
        <f>IF(Table255[[#This Row],[Affected CMS
(§63.567(o)(3)(viii))
(Select from dropdown)]]="","",VLOOKUP(Table255[[#This Row],[Affected CMS
(§63.567(o)(3)(viii))
(Select from dropdown)]],Table22[#Data],2,FALSE))</f>
        <v/>
      </c>
      <c r="D50" s="132"/>
      <c r="E50" s="140"/>
    </row>
    <row r="51" spans="2:5" x14ac:dyDescent="0.3">
      <c r="B51" s="278" t="str">
        <f>IF(Table255[[#This Row],[Affected CMS
(§63.567(o)(3)(viii))
(Select from dropdown)]]="","",VLOOKUP(Table255[[#This Row],[Affected CMS
(§63.567(o)(3)(viii))
(Select from dropdown)]],Table22[#Data],2,FALSE))</f>
        <v/>
      </c>
      <c r="D51" s="132"/>
      <c r="E51" s="140"/>
    </row>
    <row r="52" spans="2:5" x14ac:dyDescent="0.3">
      <c r="B52" s="278" t="str">
        <f>IF(Table255[[#This Row],[Affected CMS
(§63.567(o)(3)(viii))
(Select from dropdown)]]="","",VLOOKUP(Table255[[#This Row],[Affected CMS
(§63.567(o)(3)(viii))
(Select from dropdown)]],Table22[#Data],2,FALSE))</f>
        <v/>
      </c>
      <c r="D52" s="132"/>
      <c r="E52" s="140"/>
    </row>
    <row r="53" spans="2:5" x14ac:dyDescent="0.3">
      <c r="B53" s="278" t="str">
        <f>IF(Table255[[#This Row],[Affected CMS
(§63.567(o)(3)(viii))
(Select from dropdown)]]="","",VLOOKUP(Table255[[#This Row],[Affected CMS
(§63.567(o)(3)(viii))
(Select from dropdown)]],Table22[#Data],2,FALSE))</f>
        <v/>
      </c>
      <c r="D53" s="132"/>
      <c r="E53" s="140"/>
    </row>
    <row r="54" spans="2:5" x14ac:dyDescent="0.3">
      <c r="B54" s="278" t="str">
        <f>IF(Table255[[#This Row],[Affected CMS
(§63.567(o)(3)(viii))
(Select from dropdown)]]="","",VLOOKUP(Table255[[#This Row],[Affected CMS
(§63.567(o)(3)(viii))
(Select from dropdown)]],Table22[#Data],2,FALSE))</f>
        <v/>
      </c>
      <c r="D54" s="132"/>
      <c r="E54" s="140"/>
    </row>
    <row r="55" spans="2:5" x14ac:dyDescent="0.3">
      <c r="B55" s="278" t="str">
        <f>IF(Table255[[#This Row],[Affected CMS
(§63.567(o)(3)(viii))
(Select from dropdown)]]="","",VLOOKUP(Table255[[#This Row],[Affected CMS
(§63.567(o)(3)(viii))
(Select from dropdown)]],Table22[#Data],2,FALSE))</f>
        <v/>
      </c>
      <c r="D55" s="132"/>
      <c r="E55" s="140"/>
    </row>
    <row r="56" spans="2:5" x14ac:dyDescent="0.3">
      <c r="B56" s="278" t="str">
        <f>IF(Table255[[#This Row],[Affected CMS
(§63.567(o)(3)(viii))
(Select from dropdown)]]="","",VLOOKUP(Table255[[#This Row],[Affected CMS
(§63.567(o)(3)(viii))
(Select from dropdown)]],Table22[#Data],2,FALSE))</f>
        <v/>
      </c>
      <c r="D56" s="132"/>
      <c r="E56" s="140"/>
    </row>
    <row r="57" spans="2:5" x14ac:dyDescent="0.3">
      <c r="B57" s="278" t="str">
        <f>IF(Table255[[#This Row],[Affected CMS
(§63.567(o)(3)(viii))
(Select from dropdown)]]="","",VLOOKUP(Table255[[#This Row],[Affected CMS
(§63.567(o)(3)(viii))
(Select from dropdown)]],Table22[#Data],2,FALSE))</f>
        <v/>
      </c>
      <c r="D57" s="132"/>
      <c r="E57" s="140"/>
    </row>
    <row r="58" spans="2:5" x14ac:dyDescent="0.3">
      <c r="B58" s="278" t="str">
        <f>IF(Table255[[#This Row],[Affected CMS
(§63.567(o)(3)(viii))
(Select from dropdown)]]="","",VLOOKUP(Table255[[#This Row],[Affected CMS
(§63.567(o)(3)(viii))
(Select from dropdown)]],Table22[#Data],2,FALSE))</f>
        <v/>
      </c>
      <c r="D58" s="132"/>
      <c r="E58" s="140"/>
    </row>
    <row r="59" spans="2:5" x14ac:dyDescent="0.3">
      <c r="B59" s="278" t="str">
        <f>IF(Table255[[#This Row],[Affected CMS
(§63.567(o)(3)(viii))
(Select from dropdown)]]="","",VLOOKUP(Table255[[#This Row],[Affected CMS
(§63.567(o)(3)(viii))
(Select from dropdown)]],Table22[#Data],2,FALSE))</f>
        <v/>
      </c>
      <c r="D59" s="132"/>
      <c r="E59" s="140"/>
    </row>
    <row r="60" spans="2:5" x14ac:dyDescent="0.3">
      <c r="B60" s="278" t="str">
        <f>IF(Table255[[#This Row],[Affected CMS
(§63.567(o)(3)(viii))
(Select from dropdown)]]="","",VLOOKUP(Table255[[#This Row],[Affected CMS
(§63.567(o)(3)(viii))
(Select from dropdown)]],Table22[#Data],2,FALSE))</f>
        <v/>
      </c>
      <c r="D60" s="132"/>
      <c r="E60" s="140"/>
    </row>
    <row r="61" spans="2:5" x14ac:dyDescent="0.3">
      <c r="B61" s="278" t="str">
        <f>IF(Table255[[#This Row],[Affected CMS
(§63.567(o)(3)(viii))
(Select from dropdown)]]="","",VLOOKUP(Table255[[#This Row],[Affected CMS
(§63.567(o)(3)(viii))
(Select from dropdown)]],Table22[#Data],2,FALSE))</f>
        <v/>
      </c>
      <c r="D61" s="132"/>
      <c r="E61" s="140"/>
    </row>
    <row r="62" spans="2:5" x14ac:dyDescent="0.3">
      <c r="B62" s="278" t="str">
        <f>IF(Table255[[#This Row],[Affected CMS
(§63.567(o)(3)(viii))
(Select from dropdown)]]="","",VLOOKUP(Table255[[#This Row],[Affected CMS
(§63.567(o)(3)(viii))
(Select from dropdown)]],Table22[#Data],2,FALSE))</f>
        <v/>
      </c>
      <c r="D62" s="132"/>
      <c r="E62" s="140"/>
    </row>
    <row r="63" spans="2:5" x14ac:dyDescent="0.3">
      <c r="B63" s="278" t="str">
        <f>IF(Table255[[#This Row],[Affected CMS
(§63.567(o)(3)(viii))
(Select from dropdown)]]="","",VLOOKUP(Table255[[#This Row],[Affected CMS
(§63.567(o)(3)(viii))
(Select from dropdown)]],Table22[#Data],2,FALSE))</f>
        <v/>
      </c>
      <c r="D63" s="132"/>
      <c r="E63" s="140"/>
    </row>
    <row r="64" spans="2:5" x14ac:dyDescent="0.3">
      <c r="B64" s="278" t="str">
        <f>IF(Table255[[#This Row],[Affected CMS
(§63.567(o)(3)(viii))
(Select from dropdown)]]="","",VLOOKUP(Table255[[#This Row],[Affected CMS
(§63.567(o)(3)(viii))
(Select from dropdown)]],Table22[#Data],2,FALSE))</f>
        <v/>
      </c>
      <c r="D64" s="132"/>
      <c r="E64" s="140"/>
    </row>
    <row r="65" spans="2:5" x14ac:dyDescent="0.3">
      <c r="B65" s="278" t="str">
        <f>IF(Table255[[#This Row],[Affected CMS
(§63.567(o)(3)(viii))
(Select from dropdown)]]="","",VLOOKUP(Table255[[#This Row],[Affected CMS
(§63.567(o)(3)(viii))
(Select from dropdown)]],Table22[#Data],2,FALSE))</f>
        <v/>
      </c>
      <c r="D65" s="132"/>
      <c r="E65" s="140"/>
    </row>
    <row r="66" spans="2:5" x14ac:dyDescent="0.3">
      <c r="B66" s="278" t="str">
        <f>IF(Table255[[#This Row],[Affected CMS
(§63.567(o)(3)(viii))
(Select from dropdown)]]="","",VLOOKUP(Table255[[#This Row],[Affected CMS
(§63.567(o)(3)(viii))
(Select from dropdown)]],Table22[#Data],2,FALSE))</f>
        <v/>
      </c>
      <c r="D66" s="132"/>
      <c r="E66" s="140"/>
    </row>
    <row r="67" spans="2:5" x14ac:dyDescent="0.3">
      <c r="B67" s="278" t="str">
        <f>IF(Table255[[#This Row],[Affected CMS
(§63.567(o)(3)(viii))
(Select from dropdown)]]="","",VLOOKUP(Table255[[#This Row],[Affected CMS
(§63.567(o)(3)(viii))
(Select from dropdown)]],Table22[#Data],2,FALSE))</f>
        <v/>
      </c>
      <c r="D67" s="132"/>
      <c r="E67" s="140"/>
    </row>
    <row r="68" spans="2:5" x14ac:dyDescent="0.3">
      <c r="B68" s="278" t="str">
        <f>IF(Table255[[#This Row],[Affected CMS
(§63.567(o)(3)(viii))
(Select from dropdown)]]="","",VLOOKUP(Table255[[#This Row],[Affected CMS
(§63.567(o)(3)(viii))
(Select from dropdown)]],Table22[#Data],2,FALSE))</f>
        <v/>
      </c>
      <c r="D68" s="132"/>
      <c r="E68" s="140"/>
    </row>
    <row r="69" spans="2:5" x14ac:dyDescent="0.3">
      <c r="B69" s="278" t="str">
        <f>IF(Table255[[#This Row],[Affected CMS
(§63.567(o)(3)(viii))
(Select from dropdown)]]="","",VLOOKUP(Table255[[#This Row],[Affected CMS
(§63.567(o)(3)(viii))
(Select from dropdown)]],Table22[#Data],2,FALSE))</f>
        <v/>
      </c>
      <c r="D69" s="132"/>
      <c r="E69" s="140"/>
    </row>
    <row r="70" spans="2:5" x14ac:dyDescent="0.3">
      <c r="B70" s="278" t="str">
        <f>IF(Table255[[#This Row],[Affected CMS
(§63.567(o)(3)(viii))
(Select from dropdown)]]="","",VLOOKUP(Table255[[#This Row],[Affected CMS
(§63.567(o)(3)(viii))
(Select from dropdown)]],Table22[#Data],2,FALSE))</f>
        <v/>
      </c>
      <c r="D70" s="132"/>
      <c r="E70" s="140"/>
    </row>
    <row r="71" spans="2:5" x14ac:dyDescent="0.3">
      <c r="B71" s="278" t="str">
        <f>IF(Table255[[#This Row],[Affected CMS
(§63.567(o)(3)(viii))
(Select from dropdown)]]="","",VLOOKUP(Table255[[#This Row],[Affected CMS
(§63.567(o)(3)(viii))
(Select from dropdown)]],Table22[#Data],2,FALSE))</f>
        <v/>
      </c>
      <c r="D71" s="132"/>
      <c r="E71" s="140"/>
    </row>
    <row r="72" spans="2:5" x14ac:dyDescent="0.3">
      <c r="B72" s="278" t="str">
        <f>IF(Table255[[#This Row],[Affected CMS
(§63.567(o)(3)(viii))
(Select from dropdown)]]="","",VLOOKUP(Table255[[#This Row],[Affected CMS
(§63.567(o)(3)(viii))
(Select from dropdown)]],Table22[#Data],2,FALSE))</f>
        <v/>
      </c>
      <c r="D72" s="132"/>
      <c r="E72" s="140"/>
    </row>
    <row r="73" spans="2:5" x14ac:dyDescent="0.3">
      <c r="B73" s="278" t="str">
        <f>IF(Table255[[#This Row],[Affected CMS
(§63.567(o)(3)(viii))
(Select from dropdown)]]="","",VLOOKUP(Table255[[#This Row],[Affected CMS
(§63.567(o)(3)(viii))
(Select from dropdown)]],Table22[#Data],2,FALSE))</f>
        <v/>
      </c>
      <c r="D73" s="132"/>
      <c r="E73" s="140"/>
    </row>
    <row r="74" spans="2:5" x14ac:dyDescent="0.3">
      <c r="B74" s="278" t="str">
        <f>IF(Table255[[#This Row],[Affected CMS
(§63.567(o)(3)(viii))
(Select from dropdown)]]="","",VLOOKUP(Table255[[#This Row],[Affected CMS
(§63.567(o)(3)(viii))
(Select from dropdown)]],Table22[#Data],2,FALSE))</f>
        <v/>
      </c>
      <c r="D74" s="132"/>
      <c r="E74" s="140"/>
    </row>
    <row r="75" spans="2:5" x14ac:dyDescent="0.3">
      <c r="B75" s="278" t="str">
        <f>IF(Table255[[#This Row],[Affected CMS
(§63.567(o)(3)(viii))
(Select from dropdown)]]="","",VLOOKUP(Table255[[#This Row],[Affected CMS
(§63.567(o)(3)(viii))
(Select from dropdown)]],Table22[#Data],2,FALSE))</f>
        <v/>
      </c>
      <c r="D75" s="132"/>
      <c r="E75" s="140"/>
    </row>
    <row r="76" spans="2:5" x14ac:dyDescent="0.3">
      <c r="B76" s="278" t="str">
        <f>IF(Table255[[#This Row],[Affected CMS
(§63.567(o)(3)(viii))
(Select from dropdown)]]="","",VLOOKUP(Table255[[#This Row],[Affected CMS
(§63.567(o)(3)(viii))
(Select from dropdown)]],Table22[#Data],2,FALSE))</f>
        <v/>
      </c>
      <c r="D76" s="132"/>
      <c r="E76" s="140"/>
    </row>
    <row r="77" spans="2:5" x14ac:dyDescent="0.3">
      <c r="B77" s="278" t="str">
        <f>IF(Table255[[#This Row],[Affected CMS
(§63.567(o)(3)(viii))
(Select from dropdown)]]="","",VLOOKUP(Table255[[#This Row],[Affected CMS
(§63.567(o)(3)(viii))
(Select from dropdown)]],Table22[#Data],2,FALSE))</f>
        <v/>
      </c>
      <c r="D77" s="132"/>
      <c r="E77" s="140"/>
    </row>
    <row r="78" spans="2:5" x14ac:dyDescent="0.3">
      <c r="B78" s="278" t="str">
        <f>IF(Table255[[#This Row],[Affected CMS
(§63.567(o)(3)(viii))
(Select from dropdown)]]="","",VLOOKUP(Table255[[#This Row],[Affected CMS
(§63.567(o)(3)(viii))
(Select from dropdown)]],Table22[#Data],2,FALSE))</f>
        <v/>
      </c>
      <c r="D78" s="132"/>
      <c r="E78" s="140"/>
    </row>
    <row r="79" spans="2:5" x14ac:dyDescent="0.3">
      <c r="B79" s="278" t="str">
        <f>IF(Table255[[#This Row],[Affected CMS
(§63.567(o)(3)(viii))
(Select from dropdown)]]="","",VLOOKUP(Table255[[#This Row],[Affected CMS
(§63.567(o)(3)(viii))
(Select from dropdown)]],Table22[#Data],2,FALSE))</f>
        <v/>
      </c>
      <c r="D79" s="132"/>
      <c r="E79" s="140"/>
    </row>
    <row r="80" spans="2:5" x14ac:dyDescent="0.3">
      <c r="B80" s="278" t="str">
        <f>IF(Table255[[#This Row],[Affected CMS
(§63.567(o)(3)(viii))
(Select from dropdown)]]="","",VLOOKUP(Table255[[#This Row],[Affected CMS
(§63.567(o)(3)(viii))
(Select from dropdown)]],Table22[#Data],2,FALSE))</f>
        <v/>
      </c>
      <c r="D80" s="132"/>
      <c r="E80" s="140"/>
    </row>
    <row r="81" spans="2:5" x14ac:dyDescent="0.3">
      <c r="B81" s="278" t="str">
        <f>IF(Table255[[#This Row],[Affected CMS
(§63.567(o)(3)(viii))
(Select from dropdown)]]="","",VLOOKUP(Table255[[#This Row],[Affected CMS
(§63.567(o)(3)(viii))
(Select from dropdown)]],Table22[#Data],2,FALSE))</f>
        <v/>
      </c>
      <c r="D81" s="132"/>
      <c r="E81" s="140"/>
    </row>
    <row r="82" spans="2:5" x14ac:dyDescent="0.3">
      <c r="B82" s="278" t="str">
        <f>IF(Table255[[#This Row],[Affected CMS
(§63.567(o)(3)(viii))
(Select from dropdown)]]="","",VLOOKUP(Table255[[#This Row],[Affected CMS
(§63.567(o)(3)(viii))
(Select from dropdown)]],Table22[#Data],2,FALSE))</f>
        <v/>
      </c>
      <c r="D82" s="132"/>
      <c r="E82" s="140"/>
    </row>
    <row r="83" spans="2:5" x14ac:dyDescent="0.3">
      <c r="B83" s="278" t="str">
        <f>IF(Table255[[#This Row],[Affected CMS
(§63.567(o)(3)(viii))
(Select from dropdown)]]="","",VLOOKUP(Table255[[#This Row],[Affected CMS
(§63.567(o)(3)(viii))
(Select from dropdown)]],Table22[#Data],2,FALSE))</f>
        <v/>
      </c>
      <c r="D83" s="132"/>
      <c r="E83" s="140"/>
    </row>
    <row r="84" spans="2:5" x14ac:dyDescent="0.3">
      <c r="B84" s="278" t="str">
        <f>IF(Table255[[#This Row],[Affected CMS
(§63.567(o)(3)(viii))
(Select from dropdown)]]="","",VLOOKUP(Table255[[#This Row],[Affected CMS
(§63.567(o)(3)(viii))
(Select from dropdown)]],Table22[#Data],2,FALSE))</f>
        <v/>
      </c>
      <c r="D84" s="132"/>
      <c r="E84" s="140"/>
    </row>
    <row r="85" spans="2:5" x14ac:dyDescent="0.3">
      <c r="B85" s="278" t="str">
        <f>IF(Table255[[#This Row],[Affected CMS
(§63.567(o)(3)(viii))
(Select from dropdown)]]="","",VLOOKUP(Table255[[#This Row],[Affected CMS
(§63.567(o)(3)(viii))
(Select from dropdown)]],Table22[#Data],2,FALSE))</f>
        <v/>
      </c>
      <c r="D85" s="132"/>
      <c r="E85" s="140"/>
    </row>
    <row r="86" spans="2:5" x14ac:dyDescent="0.3">
      <c r="B86" s="278" t="str">
        <f>IF(Table255[[#This Row],[Affected CMS
(§63.567(o)(3)(viii))
(Select from dropdown)]]="","",VLOOKUP(Table255[[#This Row],[Affected CMS
(§63.567(o)(3)(viii))
(Select from dropdown)]],Table22[#Data],2,FALSE))</f>
        <v/>
      </c>
      <c r="D86" s="132"/>
      <c r="E86" s="140"/>
    </row>
    <row r="87" spans="2:5" x14ac:dyDescent="0.3">
      <c r="B87" s="278" t="str">
        <f>IF(Table255[[#This Row],[Affected CMS
(§63.567(o)(3)(viii))
(Select from dropdown)]]="","",VLOOKUP(Table255[[#This Row],[Affected CMS
(§63.567(o)(3)(viii))
(Select from dropdown)]],Table22[#Data],2,FALSE))</f>
        <v/>
      </c>
      <c r="D87" s="132"/>
      <c r="E87" s="140"/>
    </row>
    <row r="88" spans="2:5" x14ac:dyDescent="0.3">
      <c r="B88" s="278" t="str">
        <f>IF(Table255[[#This Row],[Affected CMS
(§63.567(o)(3)(viii))
(Select from dropdown)]]="","",VLOOKUP(Table255[[#This Row],[Affected CMS
(§63.567(o)(3)(viii))
(Select from dropdown)]],Table22[#Data],2,FALSE))</f>
        <v/>
      </c>
      <c r="D88" s="132"/>
      <c r="E88" s="140"/>
    </row>
    <row r="89" spans="2:5" x14ac:dyDescent="0.3">
      <c r="B89" s="278" t="str">
        <f>IF(Table255[[#This Row],[Affected CMS
(§63.567(o)(3)(viii))
(Select from dropdown)]]="","",VLOOKUP(Table255[[#This Row],[Affected CMS
(§63.567(o)(3)(viii))
(Select from dropdown)]],Table22[#Data],2,FALSE))</f>
        <v/>
      </c>
      <c r="D89" s="132"/>
      <c r="E89" s="140"/>
    </row>
    <row r="90" spans="2:5" x14ac:dyDescent="0.3">
      <c r="B90" s="278" t="str">
        <f>IF(Table255[[#This Row],[Affected CMS
(§63.567(o)(3)(viii))
(Select from dropdown)]]="","",VLOOKUP(Table255[[#This Row],[Affected CMS
(§63.567(o)(3)(viii))
(Select from dropdown)]],Table22[#Data],2,FALSE))</f>
        <v/>
      </c>
      <c r="D90" s="132"/>
      <c r="E90" s="140"/>
    </row>
    <row r="91" spans="2:5" x14ac:dyDescent="0.3">
      <c r="B91" s="278" t="str">
        <f>IF(Table255[[#This Row],[Affected CMS
(§63.567(o)(3)(viii))
(Select from dropdown)]]="","",VLOOKUP(Table255[[#This Row],[Affected CMS
(§63.567(o)(3)(viii))
(Select from dropdown)]],Table22[#Data],2,FALSE))</f>
        <v/>
      </c>
      <c r="D91" s="132"/>
      <c r="E91" s="140"/>
    </row>
    <row r="92" spans="2:5" x14ac:dyDescent="0.3">
      <c r="B92" s="278" t="str">
        <f>IF(Table255[[#This Row],[Affected CMS
(§63.567(o)(3)(viii))
(Select from dropdown)]]="","",VLOOKUP(Table255[[#This Row],[Affected CMS
(§63.567(o)(3)(viii))
(Select from dropdown)]],Table22[#Data],2,FALSE))</f>
        <v/>
      </c>
      <c r="D92" s="132"/>
      <c r="E92" s="140"/>
    </row>
    <row r="93" spans="2:5" x14ac:dyDescent="0.3">
      <c r="B93" s="278" t="str">
        <f>IF(Table255[[#This Row],[Affected CMS
(§63.567(o)(3)(viii))
(Select from dropdown)]]="","",VLOOKUP(Table255[[#This Row],[Affected CMS
(§63.567(o)(3)(viii))
(Select from dropdown)]],Table22[#Data],2,FALSE))</f>
        <v/>
      </c>
      <c r="D93" s="132"/>
      <c r="E93" s="140"/>
    </row>
    <row r="94" spans="2:5" x14ac:dyDescent="0.3">
      <c r="B94" s="278" t="str">
        <f>IF(Table255[[#This Row],[Affected CMS
(§63.567(o)(3)(viii))
(Select from dropdown)]]="","",VLOOKUP(Table255[[#This Row],[Affected CMS
(§63.567(o)(3)(viii))
(Select from dropdown)]],Table22[#Data],2,FALSE))</f>
        <v/>
      </c>
      <c r="D94" s="132"/>
      <c r="E94" s="140"/>
    </row>
    <row r="95" spans="2:5" x14ac:dyDescent="0.3">
      <c r="B95" s="278" t="str">
        <f>IF(Table255[[#This Row],[Affected CMS
(§63.567(o)(3)(viii))
(Select from dropdown)]]="","",VLOOKUP(Table255[[#This Row],[Affected CMS
(§63.567(o)(3)(viii))
(Select from dropdown)]],Table22[#Data],2,FALSE))</f>
        <v/>
      </c>
      <c r="D95" s="132"/>
      <c r="E95" s="140"/>
    </row>
    <row r="96" spans="2:5" x14ac:dyDescent="0.3">
      <c r="B96" s="278" t="str">
        <f>IF(Table255[[#This Row],[Affected CMS
(§63.567(o)(3)(viii))
(Select from dropdown)]]="","",VLOOKUP(Table255[[#This Row],[Affected CMS
(§63.567(o)(3)(viii))
(Select from dropdown)]],Table22[#Data],2,FALSE))</f>
        <v/>
      </c>
      <c r="D96" s="132"/>
      <c r="E96" s="140"/>
    </row>
    <row r="97" spans="2:5" x14ac:dyDescent="0.3">
      <c r="B97" s="278" t="str">
        <f>IF(Table255[[#This Row],[Affected CMS
(§63.567(o)(3)(viii))
(Select from dropdown)]]="","",VLOOKUP(Table255[[#This Row],[Affected CMS
(§63.567(o)(3)(viii))
(Select from dropdown)]],Table22[#Data],2,FALSE))</f>
        <v/>
      </c>
      <c r="D97" s="132"/>
      <c r="E97" s="140"/>
    </row>
    <row r="98" spans="2:5" x14ac:dyDescent="0.3">
      <c r="B98" s="278" t="str">
        <f>IF(Table255[[#This Row],[Affected CMS
(§63.567(o)(3)(viii))
(Select from dropdown)]]="","",VLOOKUP(Table255[[#This Row],[Affected CMS
(§63.567(o)(3)(viii))
(Select from dropdown)]],Table22[#Data],2,FALSE))</f>
        <v/>
      </c>
      <c r="D98" s="132"/>
      <c r="E98" s="140"/>
    </row>
    <row r="99" spans="2:5" x14ac:dyDescent="0.3">
      <c r="B99" s="278" t="str">
        <f>IF(Table255[[#This Row],[Affected CMS
(§63.567(o)(3)(viii))
(Select from dropdown)]]="","",VLOOKUP(Table255[[#This Row],[Affected CMS
(§63.567(o)(3)(viii))
(Select from dropdown)]],Table22[#Data],2,FALSE))</f>
        <v/>
      </c>
      <c r="D99" s="132"/>
      <c r="E99" s="140"/>
    </row>
    <row r="100" spans="2:5" x14ac:dyDescent="0.3">
      <c r="B100" s="278" t="str">
        <f>IF(Table255[[#This Row],[Affected CMS
(§63.567(o)(3)(viii))
(Select from dropdown)]]="","",VLOOKUP(Table255[[#This Row],[Affected CMS
(§63.567(o)(3)(viii))
(Select from dropdown)]],Table22[#Data],2,FALSE))</f>
        <v/>
      </c>
      <c r="D100" s="132"/>
      <c r="E100" s="140"/>
    </row>
    <row r="101" spans="2:5" x14ac:dyDescent="0.3">
      <c r="B101" s="278" t="str">
        <f>IF(Table255[[#This Row],[Affected CMS
(§63.567(o)(3)(viii))
(Select from dropdown)]]="","",VLOOKUP(Table255[[#This Row],[Affected CMS
(§63.567(o)(3)(viii))
(Select from dropdown)]],Table22[#Data],2,FALSE))</f>
        <v/>
      </c>
      <c r="D101" s="132"/>
      <c r="E101" s="140"/>
    </row>
    <row r="102" spans="2:5" x14ac:dyDescent="0.3">
      <c r="B102" s="278" t="str">
        <f>IF(Table255[[#This Row],[Affected CMS
(§63.567(o)(3)(viii))
(Select from dropdown)]]="","",VLOOKUP(Table255[[#This Row],[Affected CMS
(§63.567(o)(3)(viii))
(Select from dropdown)]],Table22[#Data],2,FALSE))</f>
        <v/>
      </c>
      <c r="D102" s="132"/>
      <c r="E102" s="140"/>
    </row>
    <row r="103" spans="2:5" x14ac:dyDescent="0.3">
      <c r="B103" s="278" t="str">
        <f>IF(Table255[[#This Row],[Affected CMS
(§63.567(o)(3)(viii))
(Select from dropdown)]]="","",VLOOKUP(Table255[[#This Row],[Affected CMS
(§63.567(o)(3)(viii))
(Select from dropdown)]],Table22[#Data],2,FALSE))</f>
        <v/>
      </c>
      <c r="D103" s="132"/>
      <c r="E103" s="140"/>
    </row>
    <row r="104" spans="2:5" x14ac:dyDescent="0.3">
      <c r="B104" s="278" t="str">
        <f>IF(Table255[[#This Row],[Affected CMS
(§63.567(o)(3)(viii))
(Select from dropdown)]]="","",VLOOKUP(Table255[[#This Row],[Affected CMS
(§63.567(o)(3)(viii))
(Select from dropdown)]],Table22[#Data],2,FALSE))</f>
        <v/>
      </c>
      <c r="D104" s="132"/>
      <c r="E104" s="140"/>
    </row>
    <row r="105" spans="2:5" x14ac:dyDescent="0.3">
      <c r="B105" s="278" t="str">
        <f>IF(Table255[[#This Row],[Affected CMS
(§63.567(o)(3)(viii))
(Select from dropdown)]]="","",VLOOKUP(Table255[[#This Row],[Affected CMS
(§63.567(o)(3)(viii))
(Select from dropdown)]],Table22[#Data],2,FALSE))</f>
        <v/>
      </c>
      <c r="D105" s="132"/>
      <c r="E105" s="140"/>
    </row>
    <row r="106" spans="2:5" x14ac:dyDescent="0.3">
      <c r="B106" s="278" t="str">
        <f>IF(Table255[[#This Row],[Affected CMS
(§63.567(o)(3)(viii))
(Select from dropdown)]]="","",VLOOKUP(Table255[[#This Row],[Affected CMS
(§63.567(o)(3)(viii))
(Select from dropdown)]],Table22[#Data],2,FALSE))</f>
        <v/>
      </c>
      <c r="D106" s="132"/>
      <c r="E106" s="140"/>
    </row>
    <row r="107" spans="2:5" x14ac:dyDescent="0.3">
      <c r="B107" s="278" t="str">
        <f>IF(Table255[[#This Row],[Affected CMS
(§63.567(o)(3)(viii))
(Select from dropdown)]]="","",VLOOKUP(Table255[[#This Row],[Affected CMS
(§63.567(o)(3)(viii))
(Select from dropdown)]],Table22[#Data],2,FALSE))</f>
        <v/>
      </c>
      <c r="D107" s="132"/>
      <c r="E107" s="140"/>
    </row>
    <row r="108" spans="2:5" x14ac:dyDescent="0.3">
      <c r="B108" s="278" t="str">
        <f>IF(Table255[[#This Row],[Affected CMS
(§63.567(o)(3)(viii))
(Select from dropdown)]]="","",VLOOKUP(Table255[[#This Row],[Affected CMS
(§63.567(o)(3)(viii))
(Select from dropdown)]],Table22[#Data],2,FALSE))</f>
        <v/>
      </c>
      <c r="D108" s="132"/>
      <c r="E108" s="140"/>
    </row>
    <row r="109" spans="2:5" x14ac:dyDescent="0.3">
      <c r="B109" s="278" t="str">
        <f>IF(Table255[[#This Row],[Affected CMS
(§63.567(o)(3)(viii))
(Select from dropdown)]]="","",VLOOKUP(Table255[[#This Row],[Affected CMS
(§63.567(o)(3)(viii))
(Select from dropdown)]],Table22[#Data],2,FALSE))</f>
        <v/>
      </c>
      <c r="D109" s="132"/>
      <c r="E109" s="140"/>
    </row>
    <row r="110" spans="2:5" x14ac:dyDescent="0.3">
      <c r="B110" s="278" t="str">
        <f>IF(Table255[[#This Row],[Affected CMS
(§63.567(o)(3)(viii))
(Select from dropdown)]]="","",VLOOKUP(Table255[[#This Row],[Affected CMS
(§63.567(o)(3)(viii))
(Select from dropdown)]],Table22[#Data],2,FALSE))</f>
        <v/>
      </c>
      <c r="D110" s="132"/>
      <c r="E110" s="140"/>
    </row>
    <row r="111" spans="2:5" x14ac:dyDescent="0.3">
      <c r="B111" s="278" t="str">
        <f>IF(Table255[[#This Row],[Affected CMS
(§63.567(o)(3)(viii))
(Select from dropdown)]]="","",VLOOKUP(Table255[[#This Row],[Affected CMS
(§63.567(o)(3)(viii))
(Select from dropdown)]],Table22[#Data],2,FALSE))</f>
        <v/>
      </c>
      <c r="D111" s="132"/>
      <c r="E111" s="140"/>
    </row>
    <row r="112" spans="2:5" x14ac:dyDescent="0.3">
      <c r="B112" s="278" t="str">
        <f>IF(Table255[[#This Row],[Affected CMS
(§63.567(o)(3)(viii))
(Select from dropdown)]]="","",VLOOKUP(Table255[[#This Row],[Affected CMS
(§63.567(o)(3)(viii))
(Select from dropdown)]],Table22[#Data],2,FALSE))</f>
        <v/>
      </c>
      <c r="D112" s="132"/>
      <c r="E112" s="140"/>
    </row>
    <row r="113" spans="2:5" x14ac:dyDescent="0.3">
      <c r="B113" s="278" t="str">
        <f>IF(Table255[[#This Row],[Affected CMS
(§63.567(o)(3)(viii))
(Select from dropdown)]]="","",VLOOKUP(Table255[[#This Row],[Affected CMS
(§63.567(o)(3)(viii))
(Select from dropdown)]],Table22[#Data],2,FALSE))</f>
        <v/>
      </c>
      <c r="D113" s="132"/>
      <c r="E113" s="140"/>
    </row>
    <row r="114" spans="2:5" x14ac:dyDescent="0.3">
      <c r="B114" s="278" t="str">
        <f>IF(Table255[[#This Row],[Affected CMS
(§63.567(o)(3)(viii))
(Select from dropdown)]]="","",VLOOKUP(Table255[[#This Row],[Affected CMS
(§63.567(o)(3)(viii))
(Select from dropdown)]],Table22[#Data],2,FALSE))</f>
        <v/>
      </c>
      <c r="D114" s="132"/>
      <c r="E114" s="140"/>
    </row>
    <row r="115" spans="2:5" x14ac:dyDescent="0.3">
      <c r="B115" s="278" t="str">
        <f>IF(Table255[[#This Row],[Affected CMS
(§63.567(o)(3)(viii))
(Select from dropdown)]]="","",VLOOKUP(Table255[[#This Row],[Affected CMS
(§63.567(o)(3)(viii))
(Select from dropdown)]],Table22[#Data],2,FALSE))</f>
        <v/>
      </c>
      <c r="D115" s="132"/>
      <c r="E115" s="140"/>
    </row>
    <row r="116" spans="2:5" x14ac:dyDescent="0.3">
      <c r="B116" s="278" t="str">
        <f>IF(Table255[[#This Row],[Affected CMS
(§63.567(o)(3)(viii))
(Select from dropdown)]]="","",VLOOKUP(Table255[[#This Row],[Affected CMS
(§63.567(o)(3)(viii))
(Select from dropdown)]],Table22[#Data],2,FALSE))</f>
        <v/>
      </c>
      <c r="D116" s="132"/>
      <c r="E116" s="140"/>
    </row>
    <row r="117" spans="2:5" x14ac:dyDescent="0.3">
      <c r="B117" s="278" t="str">
        <f>IF(Table255[[#This Row],[Affected CMS
(§63.567(o)(3)(viii))
(Select from dropdown)]]="","",VLOOKUP(Table255[[#This Row],[Affected CMS
(§63.567(o)(3)(viii))
(Select from dropdown)]],Table22[#Data],2,FALSE))</f>
        <v/>
      </c>
      <c r="D117" s="132"/>
      <c r="E117" s="140"/>
    </row>
    <row r="118" spans="2:5" x14ac:dyDescent="0.3">
      <c r="B118" s="278" t="str">
        <f>IF(Table255[[#This Row],[Affected CMS
(§63.567(o)(3)(viii))
(Select from dropdown)]]="","",VLOOKUP(Table255[[#This Row],[Affected CMS
(§63.567(o)(3)(viii))
(Select from dropdown)]],Table22[#Data],2,FALSE))</f>
        <v/>
      </c>
      <c r="D118" s="132"/>
      <c r="E118" s="140"/>
    </row>
    <row r="119" spans="2:5" x14ac:dyDescent="0.3">
      <c r="B119" s="278" t="str">
        <f>IF(Table255[[#This Row],[Affected CMS
(§63.567(o)(3)(viii))
(Select from dropdown)]]="","",VLOOKUP(Table255[[#This Row],[Affected CMS
(§63.567(o)(3)(viii))
(Select from dropdown)]],Table22[#Data],2,FALSE))</f>
        <v/>
      </c>
      <c r="D119" s="132"/>
      <c r="E119" s="140"/>
    </row>
    <row r="120" spans="2:5" x14ac:dyDescent="0.3">
      <c r="B120" s="278" t="str">
        <f>IF(Table255[[#This Row],[Affected CMS
(§63.567(o)(3)(viii))
(Select from dropdown)]]="","",VLOOKUP(Table255[[#This Row],[Affected CMS
(§63.567(o)(3)(viii))
(Select from dropdown)]],Table22[#Data],2,FALSE))</f>
        <v/>
      </c>
      <c r="D120" s="132"/>
      <c r="E120" s="140"/>
    </row>
    <row r="121" spans="2:5" x14ac:dyDescent="0.3">
      <c r="B121" s="278" t="str">
        <f>IF(Table255[[#This Row],[Affected CMS
(§63.567(o)(3)(viii))
(Select from dropdown)]]="","",VLOOKUP(Table255[[#This Row],[Affected CMS
(§63.567(o)(3)(viii))
(Select from dropdown)]],Table22[#Data],2,FALSE))</f>
        <v/>
      </c>
      <c r="D121" s="132"/>
      <c r="E121" s="140"/>
    </row>
    <row r="122" spans="2:5" x14ac:dyDescent="0.3">
      <c r="B122" s="278" t="str">
        <f>IF(Table255[[#This Row],[Affected CMS
(§63.567(o)(3)(viii))
(Select from dropdown)]]="","",VLOOKUP(Table255[[#This Row],[Affected CMS
(§63.567(o)(3)(viii))
(Select from dropdown)]],Table22[#Data],2,FALSE))</f>
        <v/>
      </c>
      <c r="D122" s="132"/>
      <c r="E122" s="140"/>
    </row>
    <row r="123" spans="2:5" x14ac:dyDescent="0.3">
      <c r="B123" s="278" t="str">
        <f>IF(Table255[[#This Row],[Affected CMS
(§63.567(o)(3)(viii))
(Select from dropdown)]]="","",VLOOKUP(Table255[[#This Row],[Affected CMS
(§63.567(o)(3)(viii))
(Select from dropdown)]],Table22[#Data],2,FALSE))</f>
        <v/>
      </c>
      <c r="D123" s="132"/>
      <c r="E123" s="140"/>
    </row>
    <row r="124" spans="2:5" x14ac:dyDescent="0.3">
      <c r="B124" s="278" t="str">
        <f>IF(Table255[[#This Row],[Affected CMS
(§63.567(o)(3)(viii))
(Select from dropdown)]]="","",VLOOKUP(Table255[[#This Row],[Affected CMS
(§63.567(o)(3)(viii))
(Select from dropdown)]],Table22[#Data],2,FALSE))</f>
        <v/>
      </c>
      <c r="D124" s="132"/>
      <c r="E124" s="140"/>
    </row>
    <row r="125" spans="2:5" x14ac:dyDescent="0.3">
      <c r="B125" s="278" t="str">
        <f>IF(Table255[[#This Row],[Affected CMS
(§63.567(o)(3)(viii))
(Select from dropdown)]]="","",VLOOKUP(Table255[[#This Row],[Affected CMS
(§63.567(o)(3)(viii))
(Select from dropdown)]],Table22[#Data],2,FALSE))</f>
        <v/>
      </c>
      <c r="D125" s="132"/>
      <c r="E125" s="140"/>
    </row>
    <row r="126" spans="2:5" x14ac:dyDescent="0.3">
      <c r="B126" s="278" t="str">
        <f>IF(Table255[[#This Row],[Affected CMS
(§63.567(o)(3)(viii))
(Select from dropdown)]]="","",VLOOKUP(Table255[[#This Row],[Affected CMS
(§63.567(o)(3)(viii))
(Select from dropdown)]],Table22[#Data],2,FALSE))</f>
        <v/>
      </c>
      <c r="D126" s="132"/>
      <c r="E126" s="140"/>
    </row>
    <row r="127" spans="2:5" x14ac:dyDescent="0.3">
      <c r="B127" s="278" t="str">
        <f>IF(Table255[[#This Row],[Affected CMS
(§63.567(o)(3)(viii))
(Select from dropdown)]]="","",VLOOKUP(Table255[[#This Row],[Affected CMS
(§63.567(o)(3)(viii))
(Select from dropdown)]],Table22[#Data],2,FALSE))</f>
        <v/>
      </c>
      <c r="D127" s="132"/>
      <c r="E127" s="140"/>
    </row>
    <row r="128" spans="2:5" x14ac:dyDescent="0.3">
      <c r="B128" s="278" t="str">
        <f>IF(Table255[[#This Row],[Affected CMS
(§63.567(o)(3)(viii))
(Select from dropdown)]]="","",VLOOKUP(Table255[[#This Row],[Affected CMS
(§63.567(o)(3)(viii))
(Select from dropdown)]],Table22[#Data],2,FALSE))</f>
        <v/>
      </c>
      <c r="D128" s="132"/>
      <c r="E128" s="140"/>
    </row>
    <row r="129" spans="2:5" x14ac:dyDescent="0.3">
      <c r="B129" s="278" t="str">
        <f>IF(Table255[[#This Row],[Affected CMS
(§63.567(o)(3)(viii))
(Select from dropdown)]]="","",VLOOKUP(Table255[[#This Row],[Affected CMS
(§63.567(o)(3)(viii))
(Select from dropdown)]],Table22[#Data],2,FALSE))</f>
        <v/>
      </c>
      <c r="D129" s="132"/>
      <c r="E129" s="140"/>
    </row>
    <row r="130" spans="2:5" x14ac:dyDescent="0.3">
      <c r="B130" s="278" t="str">
        <f>IF(Table255[[#This Row],[Affected CMS
(§63.567(o)(3)(viii))
(Select from dropdown)]]="","",VLOOKUP(Table255[[#This Row],[Affected CMS
(§63.567(o)(3)(viii))
(Select from dropdown)]],Table22[#Data],2,FALSE))</f>
        <v/>
      </c>
      <c r="D130" s="132"/>
      <c r="E130" s="140"/>
    </row>
    <row r="131" spans="2:5" x14ac:dyDescent="0.3">
      <c r="B131" s="278" t="str">
        <f>IF(Table255[[#This Row],[Affected CMS
(§63.567(o)(3)(viii))
(Select from dropdown)]]="","",VLOOKUP(Table255[[#This Row],[Affected CMS
(§63.567(o)(3)(viii))
(Select from dropdown)]],Table22[#Data],2,FALSE))</f>
        <v/>
      </c>
      <c r="D131" s="132"/>
      <c r="E131" s="140"/>
    </row>
    <row r="132" spans="2:5" x14ac:dyDescent="0.3">
      <c r="B132" s="278" t="str">
        <f>IF(Table255[[#This Row],[Affected CMS
(§63.567(o)(3)(viii))
(Select from dropdown)]]="","",VLOOKUP(Table255[[#This Row],[Affected CMS
(§63.567(o)(3)(viii))
(Select from dropdown)]],Table22[#Data],2,FALSE))</f>
        <v/>
      </c>
      <c r="D132" s="132"/>
      <c r="E132" s="140"/>
    </row>
    <row r="133" spans="2:5" x14ac:dyDescent="0.3">
      <c r="B133" s="278" t="str">
        <f>IF(Table255[[#This Row],[Affected CMS
(§63.567(o)(3)(viii))
(Select from dropdown)]]="","",VLOOKUP(Table255[[#This Row],[Affected CMS
(§63.567(o)(3)(viii))
(Select from dropdown)]],Table22[#Data],2,FALSE))</f>
        <v/>
      </c>
      <c r="D133" s="132"/>
      <c r="E133" s="140"/>
    </row>
    <row r="134" spans="2:5" x14ac:dyDescent="0.3">
      <c r="B134" s="278" t="str">
        <f>IF(Table255[[#This Row],[Affected CMS
(§63.567(o)(3)(viii))
(Select from dropdown)]]="","",VLOOKUP(Table255[[#This Row],[Affected CMS
(§63.567(o)(3)(viii))
(Select from dropdown)]],Table22[#Data],2,FALSE))</f>
        <v/>
      </c>
      <c r="D134" s="132"/>
      <c r="E134" s="140"/>
    </row>
    <row r="135" spans="2:5" x14ac:dyDescent="0.3">
      <c r="B135" s="278" t="str">
        <f>IF(Table255[[#This Row],[Affected CMS
(§63.567(o)(3)(viii))
(Select from dropdown)]]="","",VLOOKUP(Table255[[#This Row],[Affected CMS
(§63.567(o)(3)(viii))
(Select from dropdown)]],Table22[#Data],2,FALSE))</f>
        <v/>
      </c>
      <c r="D135" s="132"/>
      <c r="E135" s="140"/>
    </row>
    <row r="136" spans="2:5" x14ac:dyDescent="0.3">
      <c r="B136" s="278" t="str">
        <f>IF(Table255[[#This Row],[Affected CMS
(§63.567(o)(3)(viii))
(Select from dropdown)]]="","",VLOOKUP(Table255[[#This Row],[Affected CMS
(§63.567(o)(3)(viii))
(Select from dropdown)]],Table22[#Data],2,FALSE))</f>
        <v/>
      </c>
      <c r="D136" s="132"/>
      <c r="E136" s="140"/>
    </row>
    <row r="137" spans="2:5" x14ac:dyDescent="0.3">
      <c r="B137" s="278" t="str">
        <f>IF(Table255[[#This Row],[Affected CMS
(§63.567(o)(3)(viii))
(Select from dropdown)]]="","",VLOOKUP(Table255[[#This Row],[Affected CMS
(§63.567(o)(3)(viii))
(Select from dropdown)]],Table22[#Data],2,FALSE))</f>
        <v/>
      </c>
      <c r="D137" s="132"/>
      <c r="E137" s="140"/>
    </row>
    <row r="138" spans="2:5" x14ac:dyDescent="0.3">
      <c r="B138" s="278" t="str">
        <f>IF(Table255[[#This Row],[Affected CMS
(§63.567(o)(3)(viii))
(Select from dropdown)]]="","",VLOOKUP(Table255[[#This Row],[Affected CMS
(§63.567(o)(3)(viii))
(Select from dropdown)]],Table22[#Data],2,FALSE))</f>
        <v/>
      </c>
      <c r="D138" s="132"/>
      <c r="E138" s="140"/>
    </row>
    <row r="139" spans="2:5" x14ac:dyDescent="0.3">
      <c r="B139" s="278" t="str">
        <f>IF(Table255[[#This Row],[Affected CMS
(§63.567(o)(3)(viii))
(Select from dropdown)]]="","",VLOOKUP(Table255[[#This Row],[Affected CMS
(§63.567(o)(3)(viii))
(Select from dropdown)]],Table22[#Data],2,FALSE))</f>
        <v/>
      </c>
      <c r="D139" s="132"/>
      <c r="E139" s="140"/>
    </row>
    <row r="140" spans="2:5" x14ac:dyDescent="0.3">
      <c r="B140" s="278" t="str">
        <f>IF(Table255[[#This Row],[Affected CMS
(§63.567(o)(3)(viii))
(Select from dropdown)]]="","",VLOOKUP(Table255[[#This Row],[Affected CMS
(§63.567(o)(3)(viii))
(Select from dropdown)]],Table22[#Data],2,FALSE))</f>
        <v/>
      </c>
      <c r="D140" s="132"/>
      <c r="E140" s="140"/>
    </row>
    <row r="141" spans="2:5" x14ac:dyDescent="0.3">
      <c r="B141" s="278" t="str">
        <f>IF(Table255[[#This Row],[Affected CMS
(§63.567(o)(3)(viii))
(Select from dropdown)]]="","",VLOOKUP(Table255[[#This Row],[Affected CMS
(§63.567(o)(3)(viii))
(Select from dropdown)]],Table22[#Data],2,FALSE))</f>
        <v/>
      </c>
      <c r="D141" s="132"/>
      <c r="E141" s="140"/>
    </row>
    <row r="142" spans="2:5" x14ac:dyDescent="0.3">
      <c r="B142" s="278" t="str">
        <f>IF(Table255[[#This Row],[Affected CMS
(§63.567(o)(3)(viii))
(Select from dropdown)]]="","",VLOOKUP(Table255[[#This Row],[Affected CMS
(§63.567(o)(3)(viii))
(Select from dropdown)]],Table22[#Data],2,FALSE))</f>
        <v/>
      </c>
      <c r="D142" s="132"/>
      <c r="E142" s="140"/>
    </row>
    <row r="143" spans="2:5" x14ac:dyDescent="0.3">
      <c r="B143" s="278" t="str">
        <f>IF(Table255[[#This Row],[Affected CMS
(§63.567(o)(3)(viii))
(Select from dropdown)]]="","",VLOOKUP(Table255[[#This Row],[Affected CMS
(§63.567(o)(3)(viii))
(Select from dropdown)]],Table22[#Data],2,FALSE))</f>
        <v/>
      </c>
      <c r="D143" s="132"/>
      <c r="E143" s="140"/>
    </row>
    <row r="144" spans="2:5" x14ac:dyDescent="0.3">
      <c r="B144" s="278" t="str">
        <f>IF(Table255[[#This Row],[Affected CMS
(§63.567(o)(3)(viii))
(Select from dropdown)]]="","",VLOOKUP(Table255[[#This Row],[Affected CMS
(§63.567(o)(3)(viii))
(Select from dropdown)]],Table22[#Data],2,FALSE))</f>
        <v/>
      </c>
      <c r="D144" s="132"/>
      <c r="E144" s="140"/>
    </row>
    <row r="145" spans="2:5" x14ac:dyDescent="0.3">
      <c r="B145" s="278" t="str">
        <f>IF(Table255[[#This Row],[Affected CMS
(§63.567(o)(3)(viii))
(Select from dropdown)]]="","",VLOOKUP(Table255[[#This Row],[Affected CMS
(§63.567(o)(3)(viii))
(Select from dropdown)]],Table22[#Data],2,FALSE))</f>
        <v/>
      </c>
      <c r="D145" s="132"/>
      <c r="E145" s="140"/>
    </row>
    <row r="146" spans="2:5" x14ac:dyDescent="0.3">
      <c r="B146" s="278" t="str">
        <f>IF(Table255[[#This Row],[Affected CMS
(§63.567(o)(3)(viii))
(Select from dropdown)]]="","",VLOOKUP(Table255[[#This Row],[Affected CMS
(§63.567(o)(3)(viii))
(Select from dropdown)]],Table22[#Data],2,FALSE))</f>
        <v/>
      </c>
      <c r="D146" s="132"/>
      <c r="E146" s="140"/>
    </row>
    <row r="147" spans="2:5" x14ac:dyDescent="0.3">
      <c r="B147" s="278" t="str">
        <f>IF(Table255[[#This Row],[Affected CMS
(§63.567(o)(3)(viii))
(Select from dropdown)]]="","",VLOOKUP(Table255[[#This Row],[Affected CMS
(§63.567(o)(3)(viii))
(Select from dropdown)]],Table22[#Data],2,FALSE))</f>
        <v/>
      </c>
      <c r="D147" s="132"/>
      <c r="E147" s="140"/>
    </row>
    <row r="148" spans="2:5" x14ac:dyDescent="0.3">
      <c r="B148" s="278" t="str">
        <f>IF(Table255[[#This Row],[Affected CMS
(§63.567(o)(3)(viii))
(Select from dropdown)]]="","",VLOOKUP(Table255[[#This Row],[Affected CMS
(§63.567(o)(3)(viii))
(Select from dropdown)]],Table22[#Data],2,FALSE))</f>
        <v/>
      </c>
      <c r="D148" s="132"/>
      <c r="E148" s="140"/>
    </row>
    <row r="149" spans="2:5" x14ac:dyDescent="0.3">
      <c r="B149" s="278" t="str">
        <f>IF(Table255[[#This Row],[Affected CMS
(§63.567(o)(3)(viii))
(Select from dropdown)]]="","",VLOOKUP(Table255[[#This Row],[Affected CMS
(§63.567(o)(3)(viii))
(Select from dropdown)]],Table22[#Data],2,FALSE))</f>
        <v/>
      </c>
      <c r="D149" s="132"/>
      <c r="E149" s="140"/>
    </row>
    <row r="150" spans="2:5" x14ac:dyDescent="0.3">
      <c r="B150" s="278" t="str">
        <f>IF(Table255[[#This Row],[Affected CMS
(§63.567(o)(3)(viii))
(Select from dropdown)]]="","",VLOOKUP(Table255[[#This Row],[Affected CMS
(§63.567(o)(3)(viii))
(Select from dropdown)]],Table22[#Data],2,FALSE))</f>
        <v/>
      </c>
      <c r="D150" s="132"/>
      <c r="E150" s="140"/>
    </row>
    <row r="151" spans="2:5" x14ac:dyDescent="0.3">
      <c r="B151" s="278" t="str">
        <f>IF(Table255[[#This Row],[Affected CMS
(§63.567(o)(3)(viii))
(Select from dropdown)]]="","",VLOOKUP(Table255[[#This Row],[Affected CMS
(§63.567(o)(3)(viii))
(Select from dropdown)]],Table22[#Data],2,FALSE))</f>
        <v/>
      </c>
      <c r="D151" s="132"/>
      <c r="E151" s="140"/>
    </row>
    <row r="152" spans="2:5" x14ac:dyDescent="0.3">
      <c r="B152" s="278" t="str">
        <f>IF(Table255[[#This Row],[Affected CMS
(§63.567(o)(3)(viii))
(Select from dropdown)]]="","",VLOOKUP(Table255[[#This Row],[Affected CMS
(§63.567(o)(3)(viii))
(Select from dropdown)]],Table22[#Data],2,FALSE))</f>
        <v/>
      </c>
      <c r="D152" s="132"/>
      <c r="E152" s="140"/>
    </row>
    <row r="153" spans="2:5" x14ac:dyDescent="0.3">
      <c r="B153" s="278" t="str">
        <f>IF(Table255[[#This Row],[Affected CMS
(§63.567(o)(3)(viii))
(Select from dropdown)]]="","",VLOOKUP(Table255[[#This Row],[Affected CMS
(§63.567(o)(3)(viii))
(Select from dropdown)]],Table22[#Data],2,FALSE))</f>
        <v/>
      </c>
      <c r="D153" s="132"/>
      <c r="E153" s="140"/>
    </row>
    <row r="154" spans="2:5" x14ac:dyDescent="0.3">
      <c r="B154" s="278" t="str">
        <f>IF(Table255[[#This Row],[Affected CMS
(§63.567(o)(3)(viii))
(Select from dropdown)]]="","",VLOOKUP(Table255[[#This Row],[Affected CMS
(§63.567(o)(3)(viii))
(Select from dropdown)]],Table22[#Data],2,FALSE))</f>
        <v/>
      </c>
      <c r="D154" s="132"/>
      <c r="E154" s="140"/>
    </row>
    <row r="155" spans="2:5" x14ac:dyDescent="0.3">
      <c r="B155" s="278" t="str">
        <f>IF(Table255[[#This Row],[Affected CMS
(§63.567(o)(3)(viii))
(Select from dropdown)]]="","",VLOOKUP(Table255[[#This Row],[Affected CMS
(§63.567(o)(3)(viii))
(Select from dropdown)]],Table22[#Data],2,FALSE))</f>
        <v/>
      </c>
      <c r="D155" s="132"/>
      <c r="E155" s="140"/>
    </row>
    <row r="156" spans="2:5" x14ac:dyDescent="0.3">
      <c r="B156" s="278" t="str">
        <f>IF(Table255[[#This Row],[Affected CMS
(§63.567(o)(3)(viii))
(Select from dropdown)]]="","",VLOOKUP(Table255[[#This Row],[Affected CMS
(§63.567(o)(3)(viii))
(Select from dropdown)]],Table22[#Data],2,FALSE))</f>
        <v/>
      </c>
      <c r="D156" s="132"/>
      <c r="E156" s="140"/>
    </row>
    <row r="157" spans="2:5" x14ac:dyDescent="0.3">
      <c r="B157" s="278" t="str">
        <f>IF(Table255[[#This Row],[Affected CMS
(§63.567(o)(3)(viii))
(Select from dropdown)]]="","",VLOOKUP(Table255[[#This Row],[Affected CMS
(§63.567(o)(3)(viii))
(Select from dropdown)]],Table22[#Data],2,FALSE))</f>
        <v/>
      </c>
      <c r="D157" s="132"/>
      <c r="E157" s="140"/>
    </row>
    <row r="158" spans="2:5" x14ac:dyDescent="0.3">
      <c r="B158" s="278" t="str">
        <f>IF(Table255[[#This Row],[Affected CMS
(§63.567(o)(3)(viii))
(Select from dropdown)]]="","",VLOOKUP(Table255[[#This Row],[Affected CMS
(§63.567(o)(3)(viii))
(Select from dropdown)]],Table22[#Data],2,FALSE))</f>
        <v/>
      </c>
      <c r="D158" s="132"/>
      <c r="E158" s="140"/>
    </row>
    <row r="159" spans="2:5" x14ac:dyDescent="0.3">
      <c r="B159" s="278" t="str">
        <f>IF(Table255[[#This Row],[Affected CMS
(§63.567(o)(3)(viii))
(Select from dropdown)]]="","",VLOOKUP(Table255[[#This Row],[Affected CMS
(§63.567(o)(3)(viii))
(Select from dropdown)]],Table22[#Data],2,FALSE))</f>
        <v/>
      </c>
      <c r="D159" s="132"/>
      <c r="E159" s="140"/>
    </row>
    <row r="160" spans="2:5" x14ac:dyDescent="0.3">
      <c r="B160" s="278" t="str">
        <f>IF(Table255[[#This Row],[Affected CMS
(§63.567(o)(3)(viii))
(Select from dropdown)]]="","",VLOOKUP(Table255[[#This Row],[Affected CMS
(§63.567(o)(3)(viii))
(Select from dropdown)]],Table22[#Data],2,FALSE))</f>
        <v/>
      </c>
      <c r="D160" s="132"/>
      <c r="E160" s="140"/>
    </row>
    <row r="161" spans="2:5" x14ac:dyDescent="0.3">
      <c r="B161" s="278" t="str">
        <f>IF(Table255[[#This Row],[Affected CMS
(§63.567(o)(3)(viii))
(Select from dropdown)]]="","",VLOOKUP(Table255[[#This Row],[Affected CMS
(§63.567(o)(3)(viii))
(Select from dropdown)]],Table22[#Data],2,FALSE))</f>
        <v/>
      </c>
      <c r="D161" s="132"/>
      <c r="E161" s="140"/>
    </row>
    <row r="162" spans="2:5" x14ac:dyDescent="0.3">
      <c r="B162" s="278" t="str">
        <f>IF(Table255[[#This Row],[Affected CMS
(§63.567(o)(3)(viii))
(Select from dropdown)]]="","",VLOOKUP(Table255[[#This Row],[Affected CMS
(§63.567(o)(3)(viii))
(Select from dropdown)]],Table22[#Data],2,FALSE))</f>
        <v/>
      </c>
      <c r="D162" s="132"/>
      <c r="E162" s="140"/>
    </row>
    <row r="163" spans="2:5" x14ac:dyDescent="0.3">
      <c r="B163" s="278" t="str">
        <f>IF(Table255[[#This Row],[Affected CMS
(§63.567(o)(3)(viii))
(Select from dropdown)]]="","",VLOOKUP(Table255[[#This Row],[Affected CMS
(§63.567(o)(3)(viii))
(Select from dropdown)]],Table22[#Data],2,FALSE))</f>
        <v/>
      </c>
      <c r="D163" s="132"/>
      <c r="E163" s="140"/>
    </row>
    <row r="164" spans="2:5" x14ac:dyDescent="0.3">
      <c r="B164" s="278" t="str">
        <f>IF(Table255[[#This Row],[Affected CMS
(§63.567(o)(3)(viii))
(Select from dropdown)]]="","",VLOOKUP(Table255[[#This Row],[Affected CMS
(§63.567(o)(3)(viii))
(Select from dropdown)]],Table22[#Data],2,FALSE))</f>
        <v/>
      </c>
      <c r="D164" s="132"/>
      <c r="E164" s="140"/>
    </row>
    <row r="165" spans="2:5" x14ac:dyDescent="0.3">
      <c r="B165" s="278" t="str">
        <f>IF(Table255[[#This Row],[Affected CMS
(§63.567(o)(3)(viii))
(Select from dropdown)]]="","",VLOOKUP(Table255[[#This Row],[Affected CMS
(§63.567(o)(3)(viii))
(Select from dropdown)]],Table22[#Data],2,FALSE))</f>
        <v/>
      </c>
      <c r="D165" s="132"/>
      <c r="E165" s="140"/>
    </row>
    <row r="166" spans="2:5" x14ac:dyDescent="0.3">
      <c r="B166" s="278" t="str">
        <f>IF(Table255[[#This Row],[Affected CMS
(§63.567(o)(3)(viii))
(Select from dropdown)]]="","",VLOOKUP(Table255[[#This Row],[Affected CMS
(§63.567(o)(3)(viii))
(Select from dropdown)]],Table22[#Data],2,FALSE))</f>
        <v/>
      </c>
      <c r="D166" s="132"/>
      <c r="E166" s="140"/>
    </row>
    <row r="167" spans="2:5" x14ac:dyDescent="0.3">
      <c r="B167" s="278" t="str">
        <f>IF(Table255[[#This Row],[Affected CMS
(§63.567(o)(3)(viii))
(Select from dropdown)]]="","",VLOOKUP(Table255[[#This Row],[Affected CMS
(§63.567(o)(3)(viii))
(Select from dropdown)]],Table22[#Data],2,FALSE))</f>
        <v/>
      </c>
      <c r="D167" s="132"/>
      <c r="E167" s="140"/>
    </row>
    <row r="168" spans="2:5" x14ac:dyDescent="0.3">
      <c r="B168" s="278" t="str">
        <f>IF(Table255[[#This Row],[Affected CMS
(§63.567(o)(3)(viii))
(Select from dropdown)]]="","",VLOOKUP(Table255[[#This Row],[Affected CMS
(§63.567(o)(3)(viii))
(Select from dropdown)]],Table22[#Data],2,FALSE))</f>
        <v/>
      </c>
      <c r="D168" s="132"/>
      <c r="E168" s="140"/>
    </row>
    <row r="169" spans="2:5" x14ac:dyDescent="0.3">
      <c r="B169" s="278" t="str">
        <f>IF(Table255[[#This Row],[Affected CMS
(§63.567(o)(3)(viii))
(Select from dropdown)]]="","",VLOOKUP(Table255[[#This Row],[Affected CMS
(§63.567(o)(3)(viii))
(Select from dropdown)]],Table22[#Data],2,FALSE))</f>
        <v/>
      </c>
      <c r="D169" s="132"/>
      <c r="E169" s="140"/>
    </row>
    <row r="170" spans="2:5" x14ac:dyDescent="0.3">
      <c r="B170" s="278" t="str">
        <f>IF(Table255[[#This Row],[Affected CMS
(§63.567(o)(3)(viii))
(Select from dropdown)]]="","",VLOOKUP(Table255[[#This Row],[Affected CMS
(§63.567(o)(3)(viii))
(Select from dropdown)]],Table22[#Data],2,FALSE))</f>
        <v/>
      </c>
      <c r="D170" s="132"/>
      <c r="E170" s="140"/>
    </row>
    <row r="171" spans="2:5" x14ac:dyDescent="0.3">
      <c r="B171" s="278" t="str">
        <f>IF(Table255[[#This Row],[Affected CMS
(§63.567(o)(3)(viii))
(Select from dropdown)]]="","",VLOOKUP(Table255[[#This Row],[Affected CMS
(§63.567(o)(3)(viii))
(Select from dropdown)]],Table22[#Data],2,FALSE))</f>
        <v/>
      </c>
      <c r="D171" s="132"/>
      <c r="E171" s="140"/>
    </row>
    <row r="172" spans="2:5" x14ac:dyDescent="0.3">
      <c r="B172" s="278" t="str">
        <f>IF(Table255[[#This Row],[Affected CMS
(§63.567(o)(3)(viii))
(Select from dropdown)]]="","",VLOOKUP(Table255[[#This Row],[Affected CMS
(§63.567(o)(3)(viii))
(Select from dropdown)]],Table22[#Data],2,FALSE))</f>
        <v/>
      </c>
      <c r="D172" s="132"/>
      <c r="E172" s="140"/>
    </row>
    <row r="173" spans="2:5" x14ac:dyDescent="0.3">
      <c r="B173" s="278" t="str">
        <f>IF(Table255[[#This Row],[Affected CMS
(§63.567(o)(3)(viii))
(Select from dropdown)]]="","",VLOOKUP(Table255[[#This Row],[Affected CMS
(§63.567(o)(3)(viii))
(Select from dropdown)]],Table22[#Data],2,FALSE))</f>
        <v/>
      </c>
      <c r="D173" s="132"/>
      <c r="E173" s="140"/>
    </row>
    <row r="174" spans="2:5" x14ac:dyDescent="0.3">
      <c r="B174" s="278" t="str">
        <f>IF(Table255[[#This Row],[Affected CMS
(§63.567(o)(3)(viii))
(Select from dropdown)]]="","",VLOOKUP(Table255[[#This Row],[Affected CMS
(§63.567(o)(3)(viii))
(Select from dropdown)]],Table22[#Data],2,FALSE))</f>
        <v/>
      </c>
      <c r="D174" s="132"/>
      <c r="E174" s="140"/>
    </row>
    <row r="175" spans="2:5" x14ac:dyDescent="0.3">
      <c r="B175" s="278" t="str">
        <f>IF(Table255[[#This Row],[Affected CMS
(§63.567(o)(3)(viii))
(Select from dropdown)]]="","",VLOOKUP(Table255[[#This Row],[Affected CMS
(§63.567(o)(3)(viii))
(Select from dropdown)]],Table22[#Data],2,FALSE))</f>
        <v/>
      </c>
      <c r="D175" s="132"/>
      <c r="E175" s="140"/>
    </row>
    <row r="176" spans="2:5" x14ac:dyDescent="0.3">
      <c r="B176" s="278" t="str">
        <f>IF(Table255[[#This Row],[Affected CMS
(§63.567(o)(3)(viii))
(Select from dropdown)]]="","",VLOOKUP(Table255[[#This Row],[Affected CMS
(§63.567(o)(3)(viii))
(Select from dropdown)]],Table22[#Data],2,FALSE))</f>
        <v/>
      </c>
      <c r="D176" s="132"/>
      <c r="E176" s="140"/>
    </row>
    <row r="177" spans="2:5" x14ac:dyDescent="0.3">
      <c r="B177" s="278" t="str">
        <f>IF(Table255[[#This Row],[Affected CMS
(§63.567(o)(3)(viii))
(Select from dropdown)]]="","",VLOOKUP(Table255[[#This Row],[Affected CMS
(§63.567(o)(3)(viii))
(Select from dropdown)]],Table22[#Data],2,FALSE))</f>
        <v/>
      </c>
      <c r="D177" s="132"/>
      <c r="E177" s="140"/>
    </row>
    <row r="178" spans="2:5" x14ac:dyDescent="0.3">
      <c r="B178" s="278" t="str">
        <f>IF(Table255[[#This Row],[Affected CMS
(§63.567(o)(3)(viii))
(Select from dropdown)]]="","",VLOOKUP(Table255[[#This Row],[Affected CMS
(§63.567(o)(3)(viii))
(Select from dropdown)]],Table22[#Data],2,FALSE))</f>
        <v/>
      </c>
      <c r="D178" s="132"/>
      <c r="E178" s="140"/>
    </row>
    <row r="179" spans="2:5" x14ac:dyDescent="0.3">
      <c r="B179" s="278" t="str">
        <f>IF(Table255[[#This Row],[Affected CMS
(§63.567(o)(3)(viii))
(Select from dropdown)]]="","",VLOOKUP(Table255[[#This Row],[Affected CMS
(§63.567(o)(3)(viii))
(Select from dropdown)]],Table22[#Data],2,FALSE))</f>
        <v/>
      </c>
      <c r="D179" s="132"/>
      <c r="E179" s="140"/>
    </row>
    <row r="180" spans="2:5" x14ac:dyDescent="0.3">
      <c r="B180" s="278" t="str">
        <f>IF(Table255[[#This Row],[Affected CMS
(§63.567(o)(3)(viii))
(Select from dropdown)]]="","",VLOOKUP(Table255[[#This Row],[Affected CMS
(§63.567(o)(3)(viii))
(Select from dropdown)]],Table22[#Data],2,FALSE))</f>
        <v/>
      </c>
      <c r="D180" s="132"/>
      <c r="E180" s="140"/>
    </row>
    <row r="181" spans="2:5" x14ac:dyDescent="0.3">
      <c r="B181" s="278" t="str">
        <f>IF(Table255[[#This Row],[Affected CMS
(§63.567(o)(3)(viii))
(Select from dropdown)]]="","",VLOOKUP(Table255[[#This Row],[Affected CMS
(§63.567(o)(3)(viii))
(Select from dropdown)]],Table22[#Data],2,FALSE))</f>
        <v/>
      </c>
      <c r="D181" s="132"/>
      <c r="E181" s="140"/>
    </row>
    <row r="182" spans="2:5" x14ac:dyDescent="0.3">
      <c r="B182" s="278" t="str">
        <f>IF(Table255[[#This Row],[Affected CMS
(§63.567(o)(3)(viii))
(Select from dropdown)]]="","",VLOOKUP(Table255[[#This Row],[Affected CMS
(§63.567(o)(3)(viii))
(Select from dropdown)]],Table22[#Data],2,FALSE))</f>
        <v/>
      </c>
      <c r="D182" s="132"/>
      <c r="E182" s="140"/>
    </row>
    <row r="183" spans="2:5" x14ac:dyDescent="0.3">
      <c r="B183" s="278" t="str">
        <f>IF(Table255[[#This Row],[Affected CMS
(§63.567(o)(3)(viii))
(Select from dropdown)]]="","",VLOOKUP(Table255[[#This Row],[Affected CMS
(§63.567(o)(3)(viii))
(Select from dropdown)]],Table22[#Data],2,FALSE))</f>
        <v/>
      </c>
      <c r="D183" s="132"/>
      <c r="E183" s="140"/>
    </row>
    <row r="184" spans="2:5" x14ac:dyDescent="0.3">
      <c r="B184" s="278" t="str">
        <f>IF(Table255[[#This Row],[Affected CMS
(§63.567(o)(3)(viii))
(Select from dropdown)]]="","",VLOOKUP(Table255[[#This Row],[Affected CMS
(§63.567(o)(3)(viii))
(Select from dropdown)]],Table22[#Data],2,FALSE))</f>
        <v/>
      </c>
      <c r="D184" s="132"/>
      <c r="E184" s="140"/>
    </row>
    <row r="185" spans="2:5" x14ac:dyDescent="0.3">
      <c r="B185" s="278" t="str">
        <f>IF(Table255[[#This Row],[Affected CMS
(§63.567(o)(3)(viii))
(Select from dropdown)]]="","",VLOOKUP(Table255[[#This Row],[Affected CMS
(§63.567(o)(3)(viii))
(Select from dropdown)]],Table22[#Data],2,FALSE))</f>
        <v/>
      </c>
      <c r="D185" s="132"/>
      <c r="E185" s="140"/>
    </row>
    <row r="186" spans="2:5" x14ac:dyDescent="0.3">
      <c r="B186" s="278" t="str">
        <f>IF(Table255[[#This Row],[Affected CMS
(§63.567(o)(3)(viii))
(Select from dropdown)]]="","",VLOOKUP(Table255[[#This Row],[Affected CMS
(§63.567(o)(3)(viii))
(Select from dropdown)]],Table22[#Data],2,FALSE))</f>
        <v/>
      </c>
      <c r="D186" s="132"/>
      <c r="E186" s="140"/>
    </row>
    <row r="187" spans="2:5" x14ac:dyDescent="0.3">
      <c r="B187" s="278" t="str">
        <f>IF(Table255[[#This Row],[Affected CMS
(§63.567(o)(3)(viii))
(Select from dropdown)]]="","",VLOOKUP(Table255[[#This Row],[Affected CMS
(§63.567(o)(3)(viii))
(Select from dropdown)]],Table22[#Data],2,FALSE))</f>
        <v/>
      </c>
      <c r="D187" s="132"/>
      <c r="E187" s="140"/>
    </row>
    <row r="188" spans="2:5" x14ac:dyDescent="0.3">
      <c r="B188" s="278" t="str">
        <f>IF(Table255[[#This Row],[Affected CMS
(§63.567(o)(3)(viii))
(Select from dropdown)]]="","",VLOOKUP(Table255[[#This Row],[Affected CMS
(§63.567(o)(3)(viii))
(Select from dropdown)]],Table22[#Data],2,FALSE))</f>
        <v/>
      </c>
      <c r="D188" s="132"/>
      <c r="E188" s="140"/>
    </row>
    <row r="189" spans="2:5" x14ac:dyDescent="0.3">
      <c r="B189" s="278" t="str">
        <f>IF(Table255[[#This Row],[Affected CMS
(§63.567(o)(3)(viii))
(Select from dropdown)]]="","",VLOOKUP(Table255[[#This Row],[Affected CMS
(§63.567(o)(3)(viii))
(Select from dropdown)]],Table22[#Data],2,FALSE))</f>
        <v/>
      </c>
      <c r="D189" s="132"/>
      <c r="E189" s="140"/>
    </row>
    <row r="190" spans="2:5" x14ac:dyDescent="0.3">
      <c r="B190" s="278" t="str">
        <f>IF(Table255[[#This Row],[Affected CMS
(§63.567(o)(3)(viii))
(Select from dropdown)]]="","",VLOOKUP(Table255[[#This Row],[Affected CMS
(§63.567(o)(3)(viii))
(Select from dropdown)]],Table22[#Data],2,FALSE))</f>
        <v/>
      </c>
      <c r="D190" s="132"/>
      <c r="E190" s="140"/>
    </row>
    <row r="191" spans="2:5" x14ac:dyDescent="0.3">
      <c r="B191" s="278" t="str">
        <f>IF(Table255[[#This Row],[Affected CMS
(§63.567(o)(3)(viii))
(Select from dropdown)]]="","",VLOOKUP(Table255[[#This Row],[Affected CMS
(§63.567(o)(3)(viii))
(Select from dropdown)]],Table22[#Data],2,FALSE))</f>
        <v/>
      </c>
      <c r="D191" s="132"/>
      <c r="E191" s="140"/>
    </row>
    <row r="192" spans="2:5" x14ac:dyDescent="0.3">
      <c r="B192" s="278" t="str">
        <f>IF(Table255[[#This Row],[Affected CMS
(§63.567(o)(3)(viii))
(Select from dropdown)]]="","",VLOOKUP(Table255[[#This Row],[Affected CMS
(§63.567(o)(3)(viii))
(Select from dropdown)]],Table22[#Data],2,FALSE))</f>
        <v/>
      </c>
      <c r="D192" s="132"/>
      <c r="E192" s="140"/>
    </row>
    <row r="193" spans="2:5" x14ac:dyDescent="0.3">
      <c r="B193" s="278" t="str">
        <f>IF(Table255[[#This Row],[Affected CMS
(§63.567(o)(3)(viii))
(Select from dropdown)]]="","",VLOOKUP(Table255[[#This Row],[Affected CMS
(§63.567(o)(3)(viii))
(Select from dropdown)]],Table22[#Data],2,FALSE))</f>
        <v/>
      </c>
      <c r="D193" s="132"/>
      <c r="E193" s="140"/>
    </row>
    <row r="194" spans="2:5" x14ac:dyDescent="0.3">
      <c r="B194" s="278" t="str">
        <f>IF(Table255[[#This Row],[Affected CMS
(§63.567(o)(3)(viii))
(Select from dropdown)]]="","",VLOOKUP(Table255[[#This Row],[Affected CMS
(§63.567(o)(3)(viii))
(Select from dropdown)]],Table22[#Data],2,FALSE))</f>
        <v/>
      </c>
      <c r="D194" s="132"/>
      <c r="E194" s="140"/>
    </row>
    <row r="195" spans="2:5" x14ac:dyDescent="0.3">
      <c r="B195" s="278" t="str">
        <f>IF(Table255[[#This Row],[Affected CMS
(§63.567(o)(3)(viii))
(Select from dropdown)]]="","",VLOOKUP(Table255[[#This Row],[Affected CMS
(§63.567(o)(3)(viii))
(Select from dropdown)]],Table22[#Data],2,FALSE))</f>
        <v/>
      </c>
      <c r="D195" s="132"/>
      <c r="E195" s="140"/>
    </row>
    <row r="196" spans="2:5" x14ac:dyDescent="0.3">
      <c r="B196" s="278" t="str">
        <f>IF(Table255[[#This Row],[Affected CMS
(§63.567(o)(3)(viii))
(Select from dropdown)]]="","",VLOOKUP(Table255[[#This Row],[Affected CMS
(§63.567(o)(3)(viii))
(Select from dropdown)]],Table22[#Data],2,FALSE))</f>
        <v/>
      </c>
      <c r="D196" s="132"/>
      <c r="E196" s="140"/>
    </row>
    <row r="197" spans="2:5" x14ac:dyDescent="0.3">
      <c r="B197" s="278" t="str">
        <f>IF(Table255[[#This Row],[Affected CMS
(§63.567(o)(3)(viii))
(Select from dropdown)]]="","",VLOOKUP(Table255[[#This Row],[Affected CMS
(§63.567(o)(3)(viii))
(Select from dropdown)]],Table22[#Data],2,FALSE))</f>
        <v/>
      </c>
      <c r="D197" s="132"/>
      <c r="E197" s="140"/>
    </row>
    <row r="198" spans="2:5" x14ac:dyDescent="0.3">
      <c r="B198" s="278" t="str">
        <f>IF(Table255[[#This Row],[Affected CMS
(§63.567(o)(3)(viii))
(Select from dropdown)]]="","",VLOOKUP(Table255[[#This Row],[Affected CMS
(§63.567(o)(3)(viii))
(Select from dropdown)]],Table22[#Data],2,FALSE))</f>
        <v/>
      </c>
      <c r="D198" s="132"/>
      <c r="E198" s="140"/>
    </row>
    <row r="199" spans="2:5" x14ac:dyDescent="0.3">
      <c r="B199" s="278" t="str">
        <f>IF(Table255[[#This Row],[Affected CMS
(§63.567(o)(3)(viii))
(Select from dropdown)]]="","",VLOOKUP(Table255[[#This Row],[Affected CMS
(§63.567(o)(3)(viii))
(Select from dropdown)]],Table22[#Data],2,FALSE))</f>
        <v/>
      </c>
      <c r="D199" s="132"/>
      <c r="E199" s="140"/>
    </row>
    <row r="200" spans="2:5" x14ac:dyDescent="0.3">
      <c r="B200" s="278" t="str">
        <f>IF(Table255[[#This Row],[Affected CMS
(§63.567(o)(3)(viii))
(Select from dropdown)]]="","",VLOOKUP(Table255[[#This Row],[Affected CMS
(§63.567(o)(3)(viii))
(Select from dropdown)]],Table22[#Data],2,FALSE))</f>
        <v/>
      </c>
      <c r="D200" s="132"/>
      <c r="E200" s="140"/>
    </row>
    <row r="201" spans="2:5" x14ac:dyDescent="0.3">
      <c r="B201" s="278" t="str">
        <f>IF(Table255[[#This Row],[Affected CMS
(§63.567(o)(3)(viii))
(Select from dropdown)]]="","",VLOOKUP(Table255[[#This Row],[Affected CMS
(§63.567(o)(3)(viii))
(Select from dropdown)]],Table22[#Data],2,FALSE))</f>
        <v/>
      </c>
      <c r="D201" s="132"/>
      <c r="E201" s="140"/>
    </row>
    <row r="202" spans="2:5" x14ac:dyDescent="0.3">
      <c r="B202" s="278" t="str">
        <f>IF(Table255[[#This Row],[Affected CMS
(§63.567(o)(3)(viii))
(Select from dropdown)]]="","",VLOOKUP(Table255[[#This Row],[Affected CMS
(§63.567(o)(3)(viii))
(Select from dropdown)]],Table22[#Data],2,FALSE))</f>
        <v/>
      </c>
      <c r="D202" s="132"/>
      <c r="E202" s="140"/>
    </row>
    <row r="203" spans="2:5" x14ac:dyDescent="0.3">
      <c r="B203" s="278" t="str">
        <f>IF(Table255[[#This Row],[Affected CMS
(§63.567(o)(3)(viii))
(Select from dropdown)]]="","",VLOOKUP(Table255[[#This Row],[Affected CMS
(§63.567(o)(3)(viii))
(Select from dropdown)]],Table22[#Data],2,FALSE))</f>
        <v/>
      </c>
      <c r="D203" s="132"/>
      <c r="E203" s="140"/>
    </row>
    <row r="204" spans="2:5" x14ac:dyDescent="0.3">
      <c r="B204" s="278" t="str">
        <f>IF(Table255[[#This Row],[Affected CMS
(§63.567(o)(3)(viii))
(Select from dropdown)]]="","",VLOOKUP(Table255[[#This Row],[Affected CMS
(§63.567(o)(3)(viii))
(Select from dropdown)]],Table22[#Data],2,FALSE))</f>
        <v/>
      </c>
      <c r="D204" s="132"/>
      <c r="E204" s="140"/>
    </row>
    <row r="205" spans="2:5" x14ac:dyDescent="0.3">
      <c r="B205" s="278" t="str">
        <f>IF(Table255[[#This Row],[Affected CMS
(§63.567(o)(3)(viii))
(Select from dropdown)]]="","",VLOOKUP(Table255[[#This Row],[Affected CMS
(§63.567(o)(3)(viii))
(Select from dropdown)]],Table22[#Data],2,FALSE))</f>
        <v/>
      </c>
      <c r="D205" s="132"/>
      <c r="E205" s="140"/>
    </row>
    <row r="206" spans="2:5" x14ac:dyDescent="0.3">
      <c r="B206" s="278" t="str">
        <f>IF(Table255[[#This Row],[Affected CMS
(§63.567(o)(3)(viii))
(Select from dropdown)]]="","",VLOOKUP(Table255[[#This Row],[Affected CMS
(§63.567(o)(3)(viii))
(Select from dropdown)]],Table22[#Data],2,FALSE))</f>
        <v/>
      </c>
      <c r="D206" s="132"/>
      <c r="E206" s="140"/>
    </row>
    <row r="207" spans="2:5" x14ac:dyDescent="0.3">
      <c r="B207" s="278" t="str">
        <f>IF(Table255[[#This Row],[Affected CMS
(§63.567(o)(3)(viii))
(Select from dropdown)]]="","",VLOOKUP(Table255[[#This Row],[Affected CMS
(§63.567(o)(3)(viii))
(Select from dropdown)]],Table22[#Data],2,FALSE))</f>
        <v/>
      </c>
      <c r="D207" s="132"/>
      <c r="E207" s="140"/>
    </row>
    <row r="208" spans="2:5" x14ac:dyDescent="0.3">
      <c r="B208" s="278" t="str">
        <f>IF(Table255[[#This Row],[Affected CMS
(§63.567(o)(3)(viii))
(Select from dropdown)]]="","",VLOOKUP(Table255[[#This Row],[Affected CMS
(§63.567(o)(3)(viii))
(Select from dropdown)]],Table22[#Data],2,FALSE))</f>
        <v/>
      </c>
      <c r="D208" s="132"/>
      <c r="E208" s="140"/>
    </row>
    <row r="209" spans="2:5" x14ac:dyDescent="0.3">
      <c r="B209" s="278" t="str">
        <f>IF(Table255[[#This Row],[Affected CMS
(§63.567(o)(3)(viii))
(Select from dropdown)]]="","",VLOOKUP(Table255[[#This Row],[Affected CMS
(§63.567(o)(3)(viii))
(Select from dropdown)]],Table22[#Data],2,FALSE))</f>
        <v/>
      </c>
      <c r="D209" s="132"/>
      <c r="E209" s="140"/>
    </row>
    <row r="210" spans="2:5" x14ac:dyDescent="0.3">
      <c r="B210" s="278" t="str">
        <f>IF(Table255[[#This Row],[Affected CMS
(§63.567(o)(3)(viii))
(Select from dropdown)]]="","",VLOOKUP(Table255[[#This Row],[Affected CMS
(§63.567(o)(3)(viii))
(Select from dropdown)]],Table22[#Data],2,FALSE))</f>
        <v/>
      </c>
      <c r="D210" s="132"/>
      <c r="E210" s="140"/>
    </row>
    <row r="211" spans="2:5" x14ac:dyDescent="0.3">
      <c r="B211" s="278" t="str">
        <f>IF(Table255[[#This Row],[Affected CMS
(§63.567(o)(3)(viii))
(Select from dropdown)]]="","",VLOOKUP(Table255[[#This Row],[Affected CMS
(§63.567(o)(3)(viii))
(Select from dropdown)]],Table22[#Data],2,FALSE))</f>
        <v/>
      </c>
      <c r="D211" s="132"/>
      <c r="E211" s="140"/>
    </row>
    <row r="212" spans="2:5" x14ac:dyDescent="0.3">
      <c r="B212" s="278" t="str">
        <f>IF(Table255[[#This Row],[Affected CMS
(§63.567(o)(3)(viii))
(Select from dropdown)]]="","",VLOOKUP(Table255[[#This Row],[Affected CMS
(§63.567(o)(3)(viii))
(Select from dropdown)]],Table22[#Data],2,FALSE))</f>
        <v/>
      </c>
      <c r="D212" s="132"/>
      <c r="E212" s="140"/>
    </row>
    <row r="213" spans="2:5" x14ac:dyDescent="0.3">
      <c r="B213" s="278" t="str">
        <f>IF(Table255[[#This Row],[Affected CMS
(§63.567(o)(3)(viii))
(Select from dropdown)]]="","",VLOOKUP(Table255[[#This Row],[Affected CMS
(§63.567(o)(3)(viii))
(Select from dropdown)]],Table22[#Data],2,FALSE))</f>
        <v/>
      </c>
      <c r="D213" s="132"/>
      <c r="E213" s="140"/>
    </row>
    <row r="214" spans="2:5" x14ac:dyDescent="0.3">
      <c r="B214" s="278" t="str">
        <f>IF(Table255[[#This Row],[Affected CMS
(§63.567(o)(3)(viii))
(Select from dropdown)]]="","",VLOOKUP(Table255[[#This Row],[Affected CMS
(§63.567(o)(3)(viii))
(Select from dropdown)]],Table22[#Data],2,FALSE))</f>
        <v/>
      </c>
      <c r="D214" s="132"/>
      <c r="E214" s="140"/>
    </row>
    <row r="215" spans="2:5" x14ac:dyDescent="0.3">
      <c r="B215" s="278" t="str">
        <f>IF(Table255[[#This Row],[Affected CMS
(§63.567(o)(3)(viii))
(Select from dropdown)]]="","",VLOOKUP(Table255[[#This Row],[Affected CMS
(§63.567(o)(3)(viii))
(Select from dropdown)]],Table22[#Data],2,FALSE))</f>
        <v/>
      </c>
      <c r="D215" s="132"/>
      <c r="E215" s="140"/>
    </row>
    <row r="216" spans="2:5" x14ac:dyDescent="0.3">
      <c r="B216" s="278" t="str">
        <f>IF(Table255[[#This Row],[Affected CMS
(§63.567(o)(3)(viii))
(Select from dropdown)]]="","",VLOOKUP(Table255[[#This Row],[Affected CMS
(§63.567(o)(3)(viii))
(Select from dropdown)]],Table22[#Data],2,FALSE))</f>
        <v/>
      </c>
      <c r="D216" s="132"/>
      <c r="E216" s="140"/>
    </row>
    <row r="217" spans="2:5" x14ac:dyDescent="0.3">
      <c r="B217" s="278" t="str">
        <f>IF(Table255[[#This Row],[Affected CMS
(§63.567(o)(3)(viii))
(Select from dropdown)]]="","",VLOOKUP(Table255[[#This Row],[Affected CMS
(§63.567(o)(3)(viii))
(Select from dropdown)]],Table22[#Data],2,FALSE))</f>
        <v/>
      </c>
      <c r="D217" s="132"/>
      <c r="E217" s="140"/>
    </row>
    <row r="218" spans="2:5" x14ac:dyDescent="0.3">
      <c r="B218" s="278" t="str">
        <f>IF(Table255[[#This Row],[Affected CMS
(§63.567(o)(3)(viii))
(Select from dropdown)]]="","",VLOOKUP(Table255[[#This Row],[Affected CMS
(§63.567(o)(3)(viii))
(Select from dropdown)]],Table22[#Data],2,FALSE))</f>
        <v/>
      </c>
      <c r="D218" s="132"/>
      <c r="E218" s="140"/>
    </row>
    <row r="219" spans="2:5" x14ac:dyDescent="0.3">
      <c r="B219" s="278" t="str">
        <f>IF(Table255[[#This Row],[Affected CMS
(§63.567(o)(3)(viii))
(Select from dropdown)]]="","",VLOOKUP(Table255[[#This Row],[Affected CMS
(§63.567(o)(3)(viii))
(Select from dropdown)]],Table22[#Data],2,FALSE))</f>
        <v/>
      </c>
      <c r="D219" s="132"/>
      <c r="E219" s="140"/>
    </row>
    <row r="220" spans="2:5" x14ac:dyDescent="0.3">
      <c r="B220" s="278" t="str">
        <f>IF(Table255[[#This Row],[Affected CMS
(§63.567(o)(3)(viii))
(Select from dropdown)]]="","",VLOOKUP(Table255[[#This Row],[Affected CMS
(§63.567(o)(3)(viii))
(Select from dropdown)]],Table22[#Data],2,FALSE))</f>
        <v/>
      </c>
      <c r="D220" s="132"/>
      <c r="E220" s="140"/>
    </row>
    <row r="221" spans="2:5" x14ac:dyDescent="0.3">
      <c r="B221" s="278" t="str">
        <f>IF(Table255[[#This Row],[Affected CMS
(§63.567(o)(3)(viii))
(Select from dropdown)]]="","",VLOOKUP(Table255[[#This Row],[Affected CMS
(§63.567(o)(3)(viii))
(Select from dropdown)]],Table22[#Data],2,FALSE))</f>
        <v/>
      </c>
      <c r="D221" s="132"/>
      <c r="E221" s="140"/>
    </row>
    <row r="222" spans="2:5" x14ac:dyDescent="0.3">
      <c r="B222" s="278" t="str">
        <f>IF(Table255[[#This Row],[Affected CMS
(§63.567(o)(3)(viii))
(Select from dropdown)]]="","",VLOOKUP(Table255[[#This Row],[Affected CMS
(§63.567(o)(3)(viii))
(Select from dropdown)]],Table22[#Data],2,FALSE))</f>
        <v/>
      </c>
      <c r="D222" s="132"/>
      <c r="E222" s="140"/>
    </row>
    <row r="223" spans="2:5" x14ac:dyDescent="0.3">
      <c r="B223" s="278" t="str">
        <f>IF(Table255[[#This Row],[Affected CMS
(§63.567(o)(3)(viii))
(Select from dropdown)]]="","",VLOOKUP(Table255[[#This Row],[Affected CMS
(§63.567(o)(3)(viii))
(Select from dropdown)]],Table22[#Data],2,FALSE))</f>
        <v/>
      </c>
      <c r="D223" s="132"/>
      <c r="E223" s="140"/>
    </row>
    <row r="224" spans="2:5" x14ac:dyDescent="0.3">
      <c r="B224" s="278" t="str">
        <f>IF(Table255[[#This Row],[Affected CMS
(§63.567(o)(3)(viii))
(Select from dropdown)]]="","",VLOOKUP(Table255[[#This Row],[Affected CMS
(§63.567(o)(3)(viii))
(Select from dropdown)]],Table22[#Data],2,FALSE))</f>
        <v/>
      </c>
      <c r="D224" s="132"/>
      <c r="E224" s="140"/>
    </row>
    <row r="225" spans="2:5" x14ac:dyDescent="0.3">
      <c r="B225" s="278" t="str">
        <f>IF(Table255[[#This Row],[Affected CMS
(§63.567(o)(3)(viii))
(Select from dropdown)]]="","",VLOOKUP(Table255[[#This Row],[Affected CMS
(§63.567(o)(3)(viii))
(Select from dropdown)]],Table22[#Data],2,FALSE))</f>
        <v/>
      </c>
      <c r="D225" s="132"/>
      <c r="E225" s="140"/>
    </row>
    <row r="226" spans="2:5" x14ac:dyDescent="0.3">
      <c r="B226" s="278" t="str">
        <f>IF(Table255[[#This Row],[Affected CMS
(§63.567(o)(3)(viii))
(Select from dropdown)]]="","",VLOOKUP(Table255[[#This Row],[Affected CMS
(§63.567(o)(3)(viii))
(Select from dropdown)]],Table22[#Data],2,FALSE))</f>
        <v/>
      </c>
      <c r="D226" s="132"/>
      <c r="E226" s="140"/>
    </row>
    <row r="227" spans="2:5" x14ac:dyDescent="0.3">
      <c r="B227" s="278" t="str">
        <f>IF(Table255[[#This Row],[Affected CMS
(§63.567(o)(3)(viii))
(Select from dropdown)]]="","",VLOOKUP(Table255[[#This Row],[Affected CMS
(§63.567(o)(3)(viii))
(Select from dropdown)]],Table22[#Data],2,FALSE))</f>
        <v/>
      </c>
      <c r="D227" s="132"/>
      <c r="E227" s="140"/>
    </row>
    <row r="228" spans="2:5" x14ac:dyDescent="0.3">
      <c r="B228" s="278" t="str">
        <f>IF(Table255[[#This Row],[Affected CMS
(§63.567(o)(3)(viii))
(Select from dropdown)]]="","",VLOOKUP(Table255[[#This Row],[Affected CMS
(§63.567(o)(3)(viii))
(Select from dropdown)]],Table22[#Data],2,FALSE))</f>
        <v/>
      </c>
      <c r="D228" s="132"/>
      <c r="E228" s="140"/>
    </row>
    <row r="229" spans="2:5" x14ac:dyDescent="0.3">
      <c r="B229" s="278" t="str">
        <f>IF(Table255[[#This Row],[Affected CMS
(§63.567(o)(3)(viii))
(Select from dropdown)]]="","",VLOOKUP(Table255[[#This Row],[Affected CMS
(§63.567(o)(3)(viii))
(Select from dropdown)]],Table22[#Data],2,FALSE))</f>
        <v/>
      </c>
      <c r="D229" s="132"/>
      <c r="E229" s="140"/>
    </row>
    <row r="230" spans="2:5" x14ac:dyDescent="0.3">
      <c r="B230" s="278" t="str">
        <f>IF(Table255[[#This Row],[Affected CMS
(§63.567(o)(3)(viii))
(Select from dropdown)]]="","",VLOOKUP(Table255[[#This Row],[Affected CMS
(§63.567(o)(3)(viii))
(Select from dropdown)]],Table22[#Data],2,FALSE))</f>
        <v/>
      </c>
      <c r="D230" s="132"/>
      <c r="E230" s="140"/>
    </row>
    <row r="231" spans="2:5" x14ac:dyDescent="0.3">
      <c r="B231" s="278" t="str">
        <f>IF(Table255[[#This Row],[Affected CMS
(§63.567(o)(3)(viii))
(Select from dropdown)]]="","",VLOOKUP(Table255[[#This Row],[Affected CMS
(§63.567(o)(3)(viii))
(Select from dropdown)]],Table22[#Data],2,FALSE))</f>
        <v/>
      </c>
      <c r="D231" s="132"/>
      <c r="E231" s="140"/>
    </row>
    <row r="232" spans="2:5" x14ac:dyDescent="0.3">
      <c r="B232" s="278" t="str">
        <f>IF(Table255[[#This Row],[Affected CMS
(§63.567(o)(3)(viii))
(Select from dropdown)]]="","",VLOOKUP(Table255[[#This Row],[Affected CMS
(§63.567(o)(3)(viii))
(Select from dropdown)]],Table22[#Data],2,FALSE))</f>
        <v/>
      </c>
      <c r="D232" s="132"/>
      <c r="E232" s="140"/>
    </row>
    <row r="233" spans="2:5" x14ac:dyDescent="0.3">
      <c r="B233" s="278" t="str">
        <f>IF(Table255[[#This Row],[Affected CMS
(§63.567(o)(3)(viii))
(Select from dropdown)]]="","",VLOOKUP(Table255[[#This Row],[Affected CMS
(§63.567(o)(3)(viii))
(Select from dropdown)]],Table22[#Data],2,FALSE))</f>
        <v/>
      </c>
      <c r="D233" s="132"/>
      <c r="E233" s="140"/>
    </row>
    <row r="234" spans="2:5" x14ac:dyDescent="0.3">
      <c r="B234" s="278" t="str">
        <f>IF(Table255[[#This Row],[Affected CMS
(§63.567(o)(3)(viii))
(Select from dropdown)]]="","",VLOOKUP(Table255[[#This Row],[Affected CMS
(§63.567(o)(3)(viii))
(Select from dropdown)]],Table22[#Data],2,FALSE))</f>
        <v/>
      </c>
      <c r="D234" s="132"/>
      <c r="E234" s="140"/>
    </row>
    <row r="235" spans="2:5" x14ac:dyDescent="0.3">
      <c r="B235" s="278" t="str">
        <f>IF(Table255[[#This Row],[Affected CMS
(§63.567(o)(3)(viii))
(Select from dropdown)]]="","",VLOOKUP(Table255[[#This Row],[Affected CMS
(§63.567(o)(3)(viii))
(Select from dropdown)]],Table22[#Data],2,FALSE))</f>
        <v/>
      </c>
      <c r="D235" s="132"/>
      <c r="E235" s="140"/>
    </row>
    <row r="236" spans="2:5" x14ac:dyDescent="0.3">
      <c r="B236" s="278" t="str">
        <f>IF(Table255[[#This Row],[Affected CMS
(§63.567(o)(3)(viii))
(Select from dropdown)]]="","",VLOOKUP(Table255[[#This Row],[Affected CMS
(§63.567(o)(3)(viii))
(Select from dropdown)]],Table22[#Data],2,FALSE))</f>
        <v/>
      </c>
      <c r="D236" s="132"/>
      <c r="E236" s="140"/>
    </row>
    <row r="237" spans="2:5" x14ac:dyDescent="0.3">
      <c r="B237" s="278" t="str">
        <f>IF(Table255[[#This Row],[Affected CMS
(§63.567(o)(3)(viii))
(Select from dropdown)]]="","",VLOOKUP(Table255[[#This Row],[Affected CMS
(§63.567(o)(3)(viii))
(Select from dropdown)]],Table22[#Data],2,FALSE))</f>
        <v/>
      </c>
      <c r="D237" s="132"/>
      <c r="E237" s="140"/>
    </row>
    <row r="238" spans="2:5" x14ac:dyDescent="0.3">
      <c r="B238" s="278" t="str">
        <f>IF(Table255[[#This Row],[Affected CMS
(§63.567(o)(3)(viii))
(Select from dropdown)]]="","",VLOOKUP(Table255[[#This Row],[Affected CMS
(§63.567(o)(3)(viii))
(Select from dropdown)]],Table22[#Data],2,FALSE))</f>
        <v/>
      </c>
      <c r="D238" s="132"/>
      <c r="E238" s="140"/>
    </row>
    <row r="239" spans="2:5" x14ac:dyDescent="0.3">
      <c r="B239" s="278" t="str">
        <f>IF(Table255[[#This Row],[Affected CMS
(§63.567(o)(3)(viii))
(Select from dropdown)]]="","",VLOOKUP(Table255[[#This Row],[Affected CMS
(§63.567(o)(3)(viii))
(Select from dropdown)]],Table22[#Data],2,FALSE))</f>
        <v/>
      </c>
      <c r="D239" s="132"/>
      <c r="E239" s="140"/>
    </row>
    <row r="240" spans="2:5" x14ac:dyDescent="0.3">
      <c r="B240" s="278" t="str">
        <f>IF(Table255[[#This Row],[Affected CMS
(§63.567(o)(3)(viii))
(Select from dropdown)]]="","",VLOOKUP(Table255[[#This Row],[Affected CMS
(§63.567(o)(3)(viii))
(Select from dropdown)]],Table22[#Data],2,FALSE))</f>
        <v/>
      </c>
      <c r="D240" s="132"/>
      <c r="E240" s="140"/>
    </row>
    <row r="241" spans="2:5" x14ac:dyDescent="0.3">
      <c r="B241" s="278" t="str">
        <f>IF(Table255[[#This Row],[Affected CMS
(§63.567(o)(3)(viii))
(Select from dropdown)]]="","",VLOOKUP(Table255[[#This Row],[Affected CMS
(§63.567(o)(3)(viii))
(Select from dropdown)]],Table22[#Data],2,FALSE))</f>
        <v/>
      </c>
      <c r="D241" s="132"/>
      <c r="E241" s="140"/>
    </row>
    <row r="242" spans="2:5" x14ac:dyDescent="0.3">
      <c r="B242" s="278" t="str">
        <f>IF(Table255[[#This Row],[Affected CMS
(§63.567(o)(3)(viii))
(Select from dropdown)]]="","",VLOOKUP(Table255[[#This Row],[Affected CMS
(§63.567(o)(3)(viii))
(Select from dropdown)]],Table22[#Data],2,FALSE))</f>
        <v/>
      </c>
      <c r="D242" s="132"/>
      <c r="E242" s="140"/>
    </row>
    <row r="243" spans="2:5" x14ac:dyDescent="0.3">
      <c r="B243" s="278" t="str">
        <f>IF(Table255[[#This Row],[Affected CMS
(§63.567(o)(3)(viii))
(Select from dropdown)]]="","",VLOOKUP(Table255[[#This Row],[Affected CMS
(§63.567(o)(3)(viii))
(Select from dropdown)]],Table22[#Data],2,FALSE))</f>
        <v/>
      </c>
      <c r="D243" s="132"/>
      <c r="E243" s="140"/>
    </row>
    <row r="244" spans="2:5" x14ac:dyDescent="0.3">
      <c r="B244" s="278" t="str">
        <f>IF(Table255[[#This Row],[Affected CMS
(§63.567(o)(3)(viii))
(Select from dropdown)]]="","",VLOOKUP(Table255[[#This Row],[Affected CMS
(§63.567(o)(3)(viii))
(Select from dropdown)]],Table22[#Data],2,FALSE))</f>
        <v/>
      </c>
      <c r="D244" s="132"/>
      <c r="E244" s="140"/>
    </row>
    <row r="245" spans="2:5" x14ac:dyDescent="0.3">
      <c r="B245" s="278" t="str">
        <f>IF(Table255[[#This Row],[Affected CMS
(§63.567(o)(3)(viii))
(Select from dropdown)]]="","",VLOOKUP(Table255[[#This Row],[Affected CMS
(§63.567(o)(3)(viii))
(Select from dropdown)]],Table22[#Data],2,FALSE))</f>
        <v/>
      </c>
      <c r="D245" s="132"/>
      <c r="E245" s="140"/>
    </row>
    <row r="246" spans="2:5" x14ac:dyDescent="0.3">
      <c r="B246" s="278" t="str">
        <f>IF(Table255[[#This Row],[Affected CMS
(§63.567(o)(3)(viii))
(Select from dropdown)]]="","",VLOOKUP(Table255[[#This Row],[Affected CMS
(§63.567(o)(3)(viii))
(Select from dropdown)]],Table22[#Data],2,FALSE))</f>
        <v/>
      </c>
      <c r="D246" s="132"/>
      <c r="E246" s="140"/>
    </row>
    <row r="247" spans="2:5" x14ac:dyDescent="0.3">
      <c r="B247" s="278" t="str">
        <f>IF(Table255[[#This Row],[Affected CMS
(§63.567(o)(3)(viii))
(Select from dropdown)]]="","",VLOOKUP(Table255[[#This Row],[Affected CMS
(§63.567(o)(3)(viii))
(Select from dropdown)]],Table22[#Data],2,FALSE))</f>
        <v/>
      </c>
      <c r="D247" s="132"/>
      <c r="E247" s="140"/>
    </row>
    <row r="248" spans="2:5" x14ac:dyDescent="0.3">
      <c r="B248" s="278" t="str">
        <f>IF(Table255[[#This Row],[Affected CMS
(§63.567(o)(3)(viii))
(Select from dropdown)]]="","",VLOOKUP(Table255[[#This Row],[Affected CMS
(§63.567(o)(3)(viii))
(Select from dropdown)]],Table22[#Data],2,FALSE))</f>
        <v/>
      </c>
      <c r="D248" s="132"/>
      <c r="E248" s="140"/>
    </row>
    <row r="249" spans="2:5" x14ac:dyDescent="0.3">
      <c r="B249" s="278" t="str">
        <f>IF(Table255[[#This Row],[Affected CMS
(§63.567(o)(3)(viii))
(Select from dropdown)]]="","",VLOOKUP(Table255[[#This Row],[Affected CMS
(§63.567(o)(3)(viii))
(Select from dropdown)]],Table22[#Data],2,FALSE))</f>
        <v/>
      </c>
      <c r="D249" s="132"/>
      <c r="E249" s="140"/>
    </row>
    <row r="250" spans="2:5" x14ac:dyDescent="0.3">
      <c r="B250" s="278" t="str">
        <f>IF(Table255[[#This Row],[Affected CMS
(§63.567(o)(3)(viii))
(Select from dropdown)]]="","",VLOOKUP(Table255[[#This Row],[Affected CMS
(§63.567(o)(3)(viii))
(Select from dropdown)]],Table22[#Data],2,FALSE))</f>
        <v/>
      </c>
      <c r="D250" s="132"/>
      <c r="E250" s="140"/>
    </row>
    <row r="251" spans="2:5" x14ac:dyDescent="0.3">
      <c r="B251" s="278" t="str">
        <f>IF(Table255[[#This Row],[Affected CMS
(§63.567(o)(3)(viii))
(Select from dropdown)]]="","",VLOOKUP(Table255[[#This Row],[Affected CMS
(§63.567(o)(3)(viii))
(Select from dropdown)]],Table22[#Data],2,FALSE))</f>
        <v/>
      </c>
      <c r="D251" s="132"/>
      <c r="E251" s="140"/>
    </row>
    <row r="252" spans="2:5" x14ac:dyDescent="0.3">
      <c r="B252" s="278" t="str">
        <f>IF(Table255[[#This Row],[Affected CMS
(§63.567(o)(3)(viii))
(Select from dropdown)]]="","",VLOOKUP(Table255[[#This Row],[Affected CMS
(§63.567(o)(3)(viii))
(Select from dropdown)]],Table22[#Data],2,FALSE))</f>
        <v/>
      </c>
      <c r="D252" s="132"/>
      <c r="E252" s="140"/>
    </row>
    <row r="253" spans="2:5" x14ac:dyDescent="0.3">
      <c r="B253" s="278" t="str">
        <f>IF(Table255[[#This Row],[Affected CMS
(§63.567(o)(3)(viii))
(Select from dropdown)]]="","",VLOOKUP(Table255[[#This Row],[Affected CMS
(§63.567(o)(3)(viii))
(Select from dropdown)]],Table22[#Data],2,FALSE))</f>
        <v/>
      </c>
      <c r="D253" s="132"/>
      <c r="E253" s="140"/>
    </row>
    <row r="254" spans="2:5" x14ac:dyDescent="0.3">
      <c r="B254" s="278" t="str">
        <f>IF(Table255[[#This Row],[Affected CMS
(§63.567(o)(3)(viii))
(Select from dropdown)]]="","",VLOOKUP(Table255[[#This Row],[Affected CMS
(§63.567(o)(3)(viii))
(Select from dropdown)]],Table22[#Data],2,FALSE))</f>
        <v/>
      </c>
      <c r="D254" s="132"/>
      <c r="E254" s="140"/>
    </row>
    <row r="255" spans="2:5" x14ac:dyDescent="0.3">
      <c r="B255" s="278" t="str">
        <f>IF(Table255[[#This Row],[Affected CMS
(§63.567(o)(3)(viii))
(Select from dropdown)]]="","",VLOOKUP(Table255[[#This Row],[Affected CMS
(§63.567(o)(3)(viii))
(Select from dropdown)]],Table22[#Data],2,FALSE))</f>
        <v/>
      </c>
      <c r="D255" s="132"/>
      <c r="E255" s="140"/>
    </row>
    <row r="256" spans="2:5" x14ac:dyDescent="0.3">
      <c r="B256" s="278" t="str">
        <f>IF(Table255[[#This Row],[Affected CMS
(§63.567(o)(3)(viii))
(Select from dropdown)]]="","",VLOOKUP(Table255[[#This Row],[Affected CMS
(§63.567(o)(3)(viii))
(Select from dropdown)]],Table22[#Data],2,FALSE))</f>
        <v/>
      </c>
      <c r="D256" s="132"/>
      <c r="E256" s="140"/>
    </row>
    <row r="257" spans="2:5" x14ac:dyDescent="0.3">
      <c r="B257" s="278" t="str">
        <f>IF(Table255[[#This Row],[Affected CMS
(§63.567(o)(3)(viii))
(Select from dropdown)]]="","",VLOOKUP(Table255[[#This Row],[Affected CMS
(§63.567(o)(3)(viii))
(Select from dropdown)]],Table22[#Data],2,FALSE))</f>
        <v/>
      </c>
      <c r="D257" s="132"/>
      <c r="E257" s="140"/>
    </row>
    <row r="258" spans="2:5" x14ac:dyDescent="0.3">
      <c r="B258" s="278" t="str">
        <f>IF(Table255[[#This Row],[Affected CMS
(§63.567(o)(3)(viii))
(Select from dropdown)]]="","",VLOOKUP(Table255[[#This Row],[Affected CMS
(§63.567(o)(3)(viii))
(Select from dropdown)]],Table22[#Data],2,FALSE))</f>
        <v/>
      </c>
      <c r="D258" s="132"/>
      <c r="E258" s="140"/>
    </row>
    <row r="259" spans="2:5" x14ac:dyDescent="0.3">
      <c r="B259" s="278" t="str">
        <f>IF(Table255[[#This Row],[Affected CMS
(§63.567(o)(3)(viii))
(Select from dropdown)]]="","",VLOOKUP(Table255[[#This Row],[Affected CMS
(§63.567(o)(3)(viii))
(Select from dropdown)]],Table22[#Data],2,FALSE))</f>
        <v/>
      </c>
      <c r="D259" s="132"/>
      <c r="E259" s="140"/>
    </row>
    <row r="260" spans="2:5" x14ac:dyDescent="0.3">
      <c r="B260" s="278" t="str">
        <f>IF(Table255[[#This Row],[Affected CMS
(§63.567(o)(3)(viii))
(Select from dropdown)]]="","",VLOOKUP(Table255[[#This Row],[Affected CMS
(§63.567(o)(3)(viii))
(Select from dropdown)]],Table22[#Data],2,FALSE))</f>
        <v/>
      </c>
      <c r="D260" s="132"/>
      <c r="E260" s="140"/>
    </row>
    <row r="261" spans="2:5" x14ac:dyDescent="0.3">
      <c r="B261" s="278" t="str">
        <f>IF(Table255[[#This Row],[Affected CMS
(§63.567(o)(3)(viii))
(Select from dropdown)]]="","",VLOOKUP(Table255[[#This Row],[Affected CMS
(§63.567(o)(3)(viii))
(Select from dropdown)]],Table22[#Data],2,FALSE))</f>
        <v/>
      </c>
      <c r="D261" s="132"/>
      <c r="E261" s="140"/>
    </row>
    <row r="262" spans="2:5" x14ac:dyDescent="0.3">
      <c r="B262" s="278" t="str">
        <f>IF(Table255[[#This Row],[Affected CMS
(§63.567(o)(3)(viii))
(Select from dropdown)]]="","",VLOOKUP(Table255[[#This Row],[Affected CMS
(§63.567(o)(3)(viii))
(Select from dropdown)]],Table22[#Data],2,FALSE))</f>
        <v/>
      </c>
      <c r="D262" s="132"/>
      <c r="E262" s="140"/>
    </row>
    <row r="263" spans="2:5" x14ac:dyDescent="0.3">
      <c r="B263" s="278" t="str">
        <f>IF(Table255[[#This Row],[Affected CMS
(§63.567(o)(3)(viii))
(Select from dropdown)]]="","",VLOOKUP(Table255[[#This Row],[Affected CMS
(§63.567(o)(3)(viii))
(Select from dropdown)]],Table22[#Data],2,FALSE))</f>
        <v/>
      </c>
      <c r="D263" s="132"/>
      <c r="E263" s="140"/>
    </row>
    <row r="264" spans="2:5" x14ac:dyDescent="0.3">
      <c r="B264" s="278" t="str">
        <f>IF(Table255[[#This Row],[Affected CMS
(§63.567(o)(3)(viii))
(Select from dropdown)]]="","",VLOOKUP(Table255[[#This Row],[Affected CMS
(§63.567(o)(3)(viii))
(Select from dropdown)]],Table22[#Data],2,FALSE))</f>
        <v/>
      </c>
      <c r="D264" s="132"/>
      <c r="E264" s="140"/>
    </row>
    <row r="265" spans="2:5" x14ac:dyDescent="0.3">
      <c r="B265" s="278" t="str">
        <f>IF(Table255[[#This Row],[Affected CMS
(§63.567(o)(3)(viii))
(Select from dropdown)]]="","",VLOOKUP(Table255[[#This Row],[Affected CMS
(§63.567(o)(3)(viii))
(Select from dropdown)]],Table22[#Data],2,FALSE))</f>
        <v/>
      </c>
      <c r="D265" s="132"/>
      <c r="E265" s="140"/>
    </row>
    <row r="266" spans="2:5" x14ac:dyDescent="0.3">
      <c r="B266" s="278" t="str">
        <f>IF(Table255[[#This Row],[Affected CMS
(§63.567(o)(3)(viii))
(Select from dropdown)]]="","",VLOOKUP(Table255[[#This Row],[Affected CMS
(§63.567(o)(3)(viii))
(Select from dropdown)]],Table22[#Data],2,FALSE))</f>
        <v/>
      </c>
      <c r="D266" s="132"/>
      <c r="E266" s="140"/>
    </row>
    <row r="267" spans="2:5" x14ac:dyDescent="0.3">
      <c r="B267" s="278" t="str">
        <f>IF(Table255[[#This Row],[Affected CMS
(§63.567(o)(3)(viii))
(Select from dropdown)]]="","",VLOOKUP(Table255[[#This Row],[Affected CMS
(§63.567(o)(3)(viii))
(Select from dropdown)]],Table22[#Data],2,FALSE))</f>
        <v/>
      </c>
      <c r="D267" s="132"/>
      <c r="E267" s="140"/>
    </row>
    <row r="268" spans="2:5" x14ac:dyDescent="0.3">
      <c r="B268" s="278" t="str">
        <f>IF(Table255[[#This Row],[Affected CMS
(§63.567(o)(3)(viii))
(Select from dropdown)]]="","",VLOOKUP(Table255[[#This Row],[Affected CMS
(§63.567(o)(3)(viii))
(Select from dropdown)]],Table22[#Data],2,FALSE))</f>
        <v/>
      </c>
      <c r="D268" s="132"/>
      <c r="E268" s="140"/>
    </row>
    <row r="269" spans="2:5" x14ac:dyDescent="0.3">
      <c r="B269" s="278" t="str">
        <f>IF(Table255[[#This Row],[Affected CMS
(§63.567(o)(3)(viii))
(Select from dropdown)]]="","",VLOOKUP(Table255[[#This Row],[Affected CMS
(§63.567(o)(3)(viii))
(Select from dropdown)]],Table22[#Data],2,FALSE))</f>
        <v/>
      </c>
      <c r="D269" s="132"/>
      <c r="E269" s="140"/>
    </row>
    <row r="270" spans="2:5" x14ac:dyDescent="0.3">
      <c r="B270" s="278" t="str">
        <f>IF(Table255[[#This Row],[Affected CMS
(§63.567(o)(3)(viii))
(Select from dropdown)]]="","",VLOOKUP(Table255[[#This Row],[Affected CMS
(§63.567(o)(3)(viii))
(Select from dropdown)]],Table22[#Data],2,FALSE))</f>
        <v/>
      </c>
      <c r="D270" s="132"/>
      <c r="E270" s="140"/>
    </row>
    <row r="271" spans="2:5" x14ac:dyDescent="0.3">
      <c r="B271" s="278" t="str">
        <f>IF(Table255[[#This Row],[Affected CMS
(§63.567(o)(3)(viii))
(Select from dropdown)]]="","",VLOOKUP(Table255[[#This Row],[Affected CMS
(§63.567(o)(3)(viii))
(Select from dropdown)]],Table22[#Data],2,FALSE))</f>
        <v/>
      </c>
      <c r="D271" s="132"/>
      <c r="E271" s="140"/>
    </row>
    <row r="272" spans="2:5" x14ac:dyDescent="0.3">
      <c r="B272" s="278" t="str">
        <f>IF(Table255[[#This Row],[Affected CMS
(§63.567(o)(3)(viii))
(Select from dropdown)]]="","",VLOOKUP(Table255[[#This Row],[Affected CMS
(§63.567(o)(3)(viii))
(Select from dropdown)]],Table22[#Data],2,FALSE))</f>
        <v/>
      </c>
      <c r="D272" s="132"/>
      <c r="E272" s="140"/>
    </row>
    <row r="273" spans="2:5" x14ac:dyDescent="0.3">
      <c r="B273" s="278" t="str">
        <f>IF(Table255[[#This Row],[Affected CMS
(§63.567(o)(3)(viii))
(Select from dropdown)]]="","",VLOOKUP(Table255[[#This Row],[Affected CMS
(§63.567(o)(3)(viii))
(Select from dropdown)]],Table22[#Data],2,FALSE))</f>
        <v/>
      </c>
      <c r="D273" s="132"/>
      <c r="E273" s="140"/>
    </row>
    <row r="274" spans="2:5" x14ac:dyDescent="0.3">
      <c r="B274" s="278" t="str">
        <f>IF(Table255[[#This Row],[Affected CMS
(§63.567(o)(3)(viii))
(Select from dropdown)]]="","",VLOOKUP(Table255[[#This Row],[Affected CMS
(§63.567(o)(3)(viii))
(Select from dropdown)]],Table22[#Data],2,FALSE))</f>
        <v/>
      </c>
      <c r="D274" s="132"/>
      <c r="E274" s="140"/>
    </row>
    <row r="275" spans="2:5" x14ac:dyDescent="0.3">
      <c r="B275" s="278" t="str">
        <f>IF(Table255[[#This Row],[Affected CMS
(§63.567(o)(3)(viii))
(Select from dropdown)]]="","",VLOOKUP(Table255[[#This Row],[Affected CMS
(§63.567(o)(3)(viii))
(Select from dropdown)]],Table22[#Data],2,FALSE))</f>
        <v/>
      </c>
      <c r="D275" s="132"/>
      <c r="E275" s="140"/>
    </row>
    <row r="276" spans="2:5" x14ac:dyDescent="0.3">
      <c r="B276" s="278" t="str">
        <f>IF(Table255[[#This Row],[Affected CMS
(§63.567(o)(3)(viii))
(Select from dropdown)]]="","",VLOOKUP(Table255[[#This Row],[Affected CMS
(§63.567(o)(3)(viii))
(Select from dropdown)]],Table22[#Data],2,FALSE))</f>
        <v/>
      </c>
      <c r="D276" s="132"/>
      <c r="E276" s="140"/>
    </row>
    <row r="277" spans="2:5" x14ac:dyDescent="0.3">
      <c r="B277" s="278" t="str">
        <f>IF(Table255[[#This Row],[Affected CMS
(§63.567(o)(3)(viii))
(Select from dropdown)]]="","",VLOOKUP(Table255[[#This Row],[Affected CMS
(§63.567(o)(3)(viii))
(Select from dropdown)]],Table22[#Data],2,FALSE))</f>
        <v/>
      </c>
      <c r="D277" s="132"/>
      <c r="E277" s="140"/>
    </row>
    <row r="278" spans="2:5" x14ac:dyDescent="0.3">
      <c r="B278" s="278" t="str">
        <f>IF(Table255[[#This Row],[Affected CMS
(§63.567(o)(3)(viii))
(Select from dropdown)]]="","",VLOOKUP(Table255[[#This Row],[Affected CMS
(§63.567(o)(3)(viii))
(Select from dropdown)]],Table22[#Data],2,FALSE))</f>
        <v/>
      </c>
      <c r="D278" s="132"/>
      <c r="E278" s="140"/>
    </row>
    <row r="279" spans="2:5" x14ac:dyDescent="0.3">
      <c r="B279" s="278" t="str">
        <f>IF(Table255[[#This Row],[Affected CMS
(§63.567(o)(3)(viii))
(Select from dropdown)]]="","",VLOOKUP(Table255[[#This Row],[Affected CMS
(§63.567(o)(3)(viii))
(Select from dropdown)]],Table22[#Data],2,FALSE))</f>
        <v/>
      </c>
      <c r="D279" s="132"/>
      <c r="E279" s="140"/>
    </row>
    <row r="280" spans="2:5" x14ac:dyDescent="0.3">
      <c r="B280" s="278" t="str">
        <f>IF(Table255[[#This Row],[Affected CMS
(§63.567(o)(3)(viii))
(Select from dropdown)]]="","",VLOOKUP(Table255[[#This Row],[Affected CMS
(§63.567(o)(3)(viii))
(Select from dropdown)]],Table22[#Data],2,FALSE))</f>
        <v/>
      </c>
      <c r="D280" s="132"/>
      <c r="E280" s="140"/>
    </row>
    <row r="281" spans="2:5" x14ac:dyDescent="0.3">
      <c r="B281" s="278" t="str">
        <f>IF(Table255[[#This Row],[Affected CMS
(§63.567(o)(3)(viii))
(Select from dropdown)]]="","",VLOOKUP(Table255[[#This Row],[Affected CMS
(§63.567(o)(3)(viii))
(Select from dropdown)]],Table22[#Data],2,FALSE))</f>
        <v/>
      </c>
      <c r="D281" s="132"/>
      <c r="E281" s="140"/>
    </row>
    <row r="282" spans="2:5" x14ac:dyDescent="0.3">
      <c r="B282" s="278" t="str">
        <f>IF(Table255[[#This Row],[Affected CMS
(§63.567(o)(3)(viii))
(Select from dropdown)]]="","",VLOOKUP(Table255[[#This Row],[Affected CMS
(§63.567(o)(3)(viii))
(Select from dropdown)]],Table22[#Data],2,FALSE))</f>
        <v/>
      </c>
      <c r="D282" s="132"/>
      <c r="E282" s="140"/>
    </row>
    <row r="283" spans="2:5" x14ac:dyDescent="0.3">
      <c r="B283" s="278" t="str">
        <f>IF(Table255[[#This Row],[Affected CMS
(§63.567(o)(3)(viii))
(Select from dropdown)]]="","",VLOOKUP(Table255[[#This Row],[Affected CMS
(§63.567(o)(3)(viii))
(Select from dropdown)]],Table22[#Data],2,FALSE))</f>
        <v/>
      </c>
      <c r="D283" s="132"/>
      <c r="E283" s="140"/>
    </row>
    <row r="284" spans="2:5" x14ac:dyDescent="0.3">
      <c r="B284" s="278" t="str">
        <f>IF(Table255[[#This Row],[Affected CMS
(§63.567(o)(3)(viii))
(Select from dropdown)]]="","",VLOOKUP(Table255[[#This Row],[Affected CMS
(§63.567(o)(3)(viii))
(Select from dropdown)]],Table22[#Data],2,FALSE))</f>
        <v/>
      </c>
      <c r="D284" s="132"/>
      <c r="E284" s="140"/>
    </row>
    <row r="285" spans="2:5" x14ac:dyDescent="0.3">
      <c r="B285" s="278" t="str">
        <f>IF(Table255[[#This Row],[Affected CMS
(§63.567(o)(3)(viii))
(Select from dropdown)]]="","",VLOOKUP(Table255[[#This Row],[Affected CMS
(§63.567(o)(3)(viii))
(Select from dropdown)]],Table22[#Data],2,FALSE))</f>
        <v/>
      </c>
      <c r="D285" s="132"/>
      <c r="E285" s="140"/>
    </row>
    <row r="286" spans="2:5" x14ac:dyDescent="0.3">
      <c r="B286" s="278" t="str">
        <f>IF(Table255[[#This Row],[Affected CMS
(§63.567(o)(3)(viii))
(Select from dropdown)]]="","",VLOOKUP(Table255[[#This Row],[Affected CMS
(§63.567(o)(3)(viii))
(Select from dropdown)]],Table22[#Data],2,FALSE))</f>
        <v/>
      </c>
      <c r="D286" s="132"/>
      <c r="E286" s="140"/>
    </row>
    <row r="287" spans="2:5" x14ac:dyDescent="0.3">
      <c r="B287" s="278" t="str">
        <f>IF(Table255[[#This Row],[Affected CMS
(§63.567(o)(3)(viii))
(Select from dropdown)]]="","",VLOOKUP(Table255[[#This Row],[Affected CMS
(§63.567(o)(3)(viii))
(Select from dropdown)]],Table22[#Data],2,FALSE))</f>
        <v/>
      </c>
      <c r="D287" s="132"/>
      <c r="E287" s="140"/>
    </row>
    <row r="288" spans="2:5" x14ac:dyDescent="0.3">
      <c r="B288" s="278" t="str">
        <f>IF(Table255[[#This Row],[Affected CMS
(§63.567(o)(3)(viii))
(Select from dropdown)]]="","",VLOOKUP(Table255[[#This Row],[Affected CMS
(§63.567(o)(3)(viii))
(Select from dropdown)]],Table22[#Data],2,FALSE))</f>
        <v/>
      </c>
      <c r="D288" s="132"/>
      <c r="E288" s="140"/>
    </row>
    <row r="289" spans="2:5" x14ac:dyDescent="0.3">
      <c r="B289" s="278" t="str">
        <f>IF(Table255[[#This Row],[Affected CMS
(§63.567(o)(3)(viii))
(Select from dropdown)]]="","",VLOOKUP(Table255[[#This Row],[Affected CMS
(§63.567(o)(3)(viii))
(Select from dropdown)]],Table22[#Data],2,FALSE))</f>
        <v/>
      </c>
      <c r="D289" s="132"/>
      <c r="E289" s="140"/>
    </row>
    <row r="290" spans="2:5" x14ac:dyDescent="0.3">
      <c r="B290" s="278" t="str">
        <f>IF(Table255[[#This Row],[Affected CMS
(§63.567(o)(3)(viii))
(Select from dropdown)]]="","",VLOOKUP(Table255[[#This Row],[Affected CMS
(§63.567(o)(3)(viii))
(Select from dropdown)]],Table22[#Data],2,FALSE))</f>
        <v/>
      </c>
      <c r="D290" s="132"/>
      <c r="E290" s="140"/>
    </row>
    <row r="291" spans="2:5" x14ac:dyDescent="0.3">
      <c r="B291" s="278" t="str">
        <f>IF(Table255[[#This Row],[Affected CMS
(§63.567(o)(3)(viii))
(Select from dropdown)]]="","",VLOOKUP(Table255[[#This Row],[Affected CMS
(§63.567(o)(3)(viii))
(Select from dropdown)]],Table22[#Data],2,FALSE))</f>
        <v/>
      </c>
      <c r="D291" s="132"/>
      <c r="E291" s="140"/>
    </row>
    <row r="292" spans="2:5" x14ac:dyDescent="0.3">
      <c r="B292" s="278" t="str">
        <f>IF(Table255[[#This Row],[Affected CMS
(§63.567(o)(3)(viii))
(Select from dropdown)]]="","",VLOOKUP(Table255[[#This Row],[Affected CMS
(§63.567(o)(3)(viii))
(Select from dropdown)]],Table22[#Data],2,FALSE))</f>
        <v/>
      </c>
      <c r="D292" s="132"/>
      <c r="E292" s="140"/>
    </row>
    <row r="293" spans="2:5" x14ac:dyDescent="0.3">
      <c r="B293" s="278" t="str">
        <f>IF(Table255[[#This Row],[Affected CMS
(§63.567(o)(3)(viii))
(Select from dropdown)]]="","",VLOOKUP(Table255[[#This Row],[Affected CMS
(§63.567(o)(3)(viii))
(Select from dropdown)]],Table22[#Data],2,FALSE))</f>
        <v/>
      </c>
      <c r="D293" s="132"/>
      <c r="E293" s="140"/>
    </row>
    <row r="294" spans="2:5" x14ac:dyDescent="0.3">
      <c r="B294" s="278" t="str">
        <f>IF(Table255[[#This Row],[Affected CMS
(§63.567(o)(3)(viii))
(Select from dropdown)]]="","",VLOOKUP(Table255[[#This Row],[Affected CMS
(§63.567(o)(3)(viii))
(Select from dropdown)]],Table22[#Data],2,FALSE))</f>
        <v/>
      </c>
      <c r="D294" s="132"/>
      <c r="E294" s="140"/>
    </row>
    <row r="295" spans="2:5" x14ac:dyDescent="0.3">
      <c r="B295" s="278" t="str">
        <f>IF(Table255[[#This Row],[Affected CMS
(§63.567(o)(3)(viii))
(Select from dropdown)]]="","",VLOOKUP(Table255[[#This Row],[Affected CMS
(§63.567(o)(3)(viii))
(Select from dropdown)]],Table22[#Data],2,FALSE))</f>
        <v/>
      </c>
      <c r="D295" s="132"/>
      <c r="E295" s="140"/>
    </row>
    <row r="296" spans="2:5" x14ac:dyDescent="0.3">
      <c r="B296" s="278" t="str">
        <f>IF(Table255[[#This Row],[Affected CMS
(§63.567(o)(3)(viii))
(Select from dropdown)]]="","",VLOOKUP(Table255[[#This Row],[Affected CMS
(§63.567(o)(3)(viii))
(Select from dropdown)]],Table22[#Data],2,FALSE))</f>
        <v/>
      </c>
      <c r="D296" s="132"/>
      <c r="E296" s="140"/>
    </row>
    <row r="297" spans="2:5" x14ac:dyDescent="0.3">
      <c r="B297" s="278" t="str">
        <f>IF(Table255[[#This Row],[Affected CMS
(§63.567(o)(3)(viii))
(Select from dropdown)]]="","",VLOOKUP(Table255[[#This Row],[Affected CMS
(§63.567(o)(3)(viii))
(Select from dropdown)]],Table22[#Data],2,FALSE))</f>
        <v/>
      </c>
      <c r="D297" s="132"/>
      <c r="E297" s="140"/>
    </row>
    <row r="298" spans="2:5" x14ac:dyDescent="0.3">
      <c r="B298" s="278" t="str">
        <f>IF(Table255[[#This Row],[Affected CMS
(§63.567(o)(3)(viii))
(Select from dropdown)]]="","",VLOOKUP(Table255[[#This Row],[Affected CMS
(§63.567(o)(3)(viii))
(Select from dropdown)]],Table22[#Data],2,FALSE))</f>
        <v/>
      </c>
      <c r="D298" s="132"/>
      <c r="E298" s="140"/>
    </row>
    <row r="299" spans="2:5" x14ac:dyDescent="0.3">
      <c r="B299" s="278" t="str">
        <f>IF(Table255[[#This Row],[Affected CMS
(§63.567(o)(3)(viii))
(Select from dropdown)]]="","",VLOOKUP(Table255[[#This Row],[Affected CMS
(§63.567(o)(3)(viii))
(Select from dropdown)]],Table22[#Data],2,FALSE))</f>
        <v/>
      </c>
      <c r="D299" s="132"/>
      <c r="E299" s="140"/>
    </row>
    <row r="300" spans="2:5" x14ac:dyDescent="0.3">
      <c r="B300" s="278" t="str">
        <f>IF(Table255[[#This Row],[Affected CMS
(§63.567(o)(3)(viii))
(Select from dropdown)]]="","",VLOOKUP(Table255[[#This Row],[Affected CMS
(§63.567(o)(3)(viii))
(Select from dropdown)]],Table22[#Data],2,FALSE))</f>
        <v/>
      </c>
      <c r="D300" s="132"/>
      <c r="E300" s="140"/>
    </row>
    <row r="301" spans="2:5" x14ac:dyDescent="0.3">
      <c r="B301" s="278" t="str">
        <f>IF(Table255[[#This Row],[Affected CMS
(§63.567(o)(3)(viii))
(Select from dropdown)]]="","",VLOOKUP(Table255[[#This Row],[Affected CMS
(§63.567(o)(3)(viii))
(Select from dropdown)]],Table22[#Data],2,FALSE))</f>
        <v/>
      </c>
      <c r="D301" s="132"/>
      <c r="E301" s="140"/>
    </row>
    <row r="302" spans="2:5" x14ac:dyDescent="0.3">
      <c r="B302" s="278" t="str">
        <f>IF(Table255[[#This Row],[Affected CMS
(§63.567(o)(3)(viii))
(Select from dropdown)]]="","",VLOOKUP(Table255[[#This Row],[Affected CMS
(§63.567(o)(3)(viii))
(Select from dropdown)]],Table22[#Data],2,FALSE))</f>
        <v/>
      </c>
      <c r="D302" s="132"/>
      <c r="E302" s="140"/>
    </row>
    <row r="303" spans="2:5" x14ac:dyDescent="0.3">
      <c r="B303" s="278" t="str">
        <f>IF(Table255[[#This Row],[Affected CMS
(§63.567(o)(3)(viii))
(Select from dropdown)]]="","",VLOOKUP(Table255[[#This Row],[Affected CMS
(§63.567(o)(3)(viii))
(Select from dropdown)]],Table22[#Data],2,FALSE))</f>
        <v/>
      </c>
      <c r="D303" s="132"/>
      <c r="E303" s="140"/>
    </row>
    <row r="304" spans="2:5" x14ac:dyDescent="0.3">
      <c r="B304" s="278" t="str">
        <f>IF(Table255[[#This Row],[Affected CMS
(§63.567(o)(3)(viii))
(Select from dropdown)]]="","",VLOOKUP(Table255[[#This Row],[Affected CMS
(§63.567(o)(3)(viii))
(Select from dropdown)]],Table22[#Data],2,FALSE))</f>
        <v/>
      </c>
      <c r="D304" s="132"/>
      <c r="E304" s="140"/>
    </row>
    <row r="305" spans="2:5" x14ac:dyDescent="0.3">
      <c r="B305" s="278" t="str">
        <f>IF(Table255[[#This Row],[Affected CMS
(§63.567(o)(3)(viii))
(Select from dropdown)]]="","",VLOOKUP(Table255[[#This Row],[Affected CMS
(§63.567(o)(3)(viii))
(Select from dropdown)]],Table22[#Data],2,FALSE))</f>
        <v/>
      </c>
      <c r="D305" s="132"/>
      <c r="E305" s="140"/>
    </row>
    <row r="306" spans="2:5" x14ac:dyDescent="0.3">
      <c r="B306" s="278" t="str">
        <f>IF(Table255[[#This Row],[Affected CMS
(§63.567(o)(3)(viii))
(Select from dropdown)]]="","",VLOOKUP(Table255[[#This Row],[Affected CMS
(§63.567(o)(3)(viii))
(Select from dropdown)]],Table22[#Data],2,FALSE))</f>
        <v/>
      </c>
      <c r="D306" s="132"/>
      <c r="E306" s="140"/>
    </row>
    <row r="307" spans="2:5" x14ac:dyDescent="0.3">
      <c r="B307" s="278" t="str">
        <f>IF(Table255[[#This Row],[Affected CMS
(§63.567(o)(3)(viii))
(Select from dropdown)]]="","",VLOOKUP(Table255[[#This Row],[Affected CMS
(§63.567(o)(3)(viii))
(Select from dropdown)]],Table22[#Data],2,FALSE))</f>
        <v/>
      </c>
      <c r="D307" s="132"/>
      <c r="E307" s="140"/>
    </row>
    <row r="308" spans="2:5" x14ac:dyDescent="0.3">
      <c r="B308" s="278" t="str">
        <f>IF(Table255[[#This Row],[Affected CMS
(§63.567(o)(3)(viii))
(Select from dropdown)]]="","",VLOOKUP(Table255[[#This Row],[Affected CMS
(§63.567(o)(3)(viii))
(Select from dropdown)]],Table22[#Data],2,FALSE))</f>
        <v/>
      </c>
      <c r="D308" s="132"/>
      <c r="E308" s="140"/>
    </row>
    <row r="309" spans="2:5" x14ac:dyDescent="0.3">
      <c r="B309" s="278" t="str">
        <f>IF(Table255[[#This Row],[Affected CMS
(§63.567(o)(3)(viii))
(Select from dropdown)]]="","",VLOOKUP(Table255[[#This Row],[Affected CMS
(§63.567(o)(3)(viii))
(Select from dropdown)]],Table22[#Data],2,FALSE))</f>
        <v/>
      </c>
      <c r="D309" s="132"/>
      <c r="E309" s="140"/>
    </row>
    <row r="310" spans="2:5" x14ac:dyDescent="0.3">
      <c r="B310" s="278" t="str">
        <f>IF(Table255[[#This Row],[Affected CMS
(§63.567(o)(3)(viii))
(Select from dropdown)]]="","",VLOOKUP(Table255[[#This Row],[Affected CMS
(§63.567(o)(3)(viii))
(Select from dropdown)]],Table22[#Data],2,FALSE))</f>
        <v/>
      </c>
      <c r="D310" s="132"/>
      <c r="E310" s="140"/>
    </row>
    <row r="311" spans="2:5" x14ac:dyDescent="0.3">
      <c r="B311" s="278" t="str">
        <f>IF(Table255[[#This Row],[Affected CMS
(§63.567(o)(3)(viii))
(Select from dropdown)]]="","",VLOOKUP(Table255[[#This Row],[Affected CMS
(§63.567(o)(3)(viii))
(Select from dropdown)]],Table22[#Data],2,FALSE))</f>
        <v/>
      </c>
      <c r="D311" s="132"/>
      <c r="E311" s="140"/>
    </row>
    <row r="312" spans="2:5" x14ac:dyDescent="0.3">
      <c r="B312" s="278" t="str">
        <f>IF(Table255[[#This Row],[Affected CMS
(§63.567(o)(3)(viii))
(Select from dropdown)]]="","",VLOOKUP(Table255[[#This Row],[Affected CMS
(§63.567(o)(3)(viii))
(Select from dropdown)]],Table22[#Data],2,FALSE))</f>
        <v/>
      </c>
      <c r="D312" s="132"/>
      <c r="E312" s="140"/>
    </row>
    <row r="313" spans="2:5" x14ac:dyDescent="0.3">
      <c r="B313" s="278" t="str">
        <f>IF(Table255[[#This Row],[Affected CMS
(§63.567(o)(3)(viii))
(Select from dropdown)]]="","",VLOOKUP(Table255[[#This Row],[Affected CMS
(§63.567(o)(3)(viii))
(Select from dropdown)]],Table22[#Data],2,FALSE))</f>
        <v/>
      </c>
      <c r="D313" s="132"/>
      <c r="E313" s="140"/>
    </row>
    <row r="314" spans="2:5" x14ac:dyDescent="0.3">
      <c r="B314" s="278" t="str">
        <f>IF(Table255[[#This Row],[Affected CMS
(§63.567(o)(3)(viii))
(Select from dropdown)]]="","",VLOOKUP(Table255[[#This Row],[Affected CMS
(§63.567(o)(3)(viii))
(Select from dropdown)]],Table22[#Data],2,FALSE))</f>
        <v/>
      </c>
      <c r="D314" s="132"/>
      <c r="E314" s="140"/>
    </row>
    <row r="315" spans="2:5" x14ac:dyDescent="0.3">
      <c r="B315" s="278" t="str">
        <f>IF(Table255[[#This Row],[Affected CMS
(§63.567(o)(3)(viii))
(Select from dropdown)]]="","",VLOOKUP(Table255[[#This Row],[Affected CMS
(§63.567(o)(3)(viii))
(Select from dropdown)]],Table22[#Data],2,FALSE))</f>
        <v/>
      </c>
      <c r="D315" s="132"/>
      <c r="E315" s="140"/>
    </row>
    <row r="316" spans="2:5" x14ac:dyDescent="0.3">
      <c r="B316" s="278" t="str">
        <f>IF(Table255[[#This Row],[Affected CMS
(§63.567(o)(3)(viii))
(Select from dropdown)]]="","",VLOOKUP(Table255[[#This Row],[Affected CMS
(§63.567(o)(3)(viii))
(Select from dropdown)]],Table22[#Data],2,FALSE))</f>
        <v/>
      </c>
      <c r="D316" s="132"/>
      <c r="E316" s="140"/>
    </row>
    <row r="317" spans="2:5" x14ac:dyDescent="0.3">
      <c r="B317" s="278" t="str">
        <f>IF(Table255[[#This Row],[Affected CMS
(§63.567(o)(3)(viii))
(Select from dropdown)]]="","",VLOOKUP(Table255[[#This Row],[Affected CMS
(§63.567(o)(3)(viii))
(Select from dropdown)]],Table22[#Data],2,FALSE))</f>
        <v/>
      </c>
      <c r="D317" s="132"/>
      <c r="E317" s="140"/>
    </row>
    <row r="318" spans="2:5" x14ac:dyDescent="0.3">
      <c r="B318" s="278" t="str">
        <f>IF(Table255[[#This Row],[Affected CMS
(§63.567(o)(3)(viii))
(Select from dropdown)]]="","",VLOOKUP(Table255[[#This Row],[Affected CMS
(§63.567(o)(3)(viii))
(Select from dropdown)]],Table22[#Data],2,FALSE))</f>
        <v/>
      </c>
      <c r="D318" s="132"/>
      <c r="E318" s="140"/>
    </row>
    <row r="319" spans="2:5" x14ac:dyDescent="0.3">
      <c r="B319" s="278" t="str">
        <f>IF(Table255[[#This Row],[Affected CMS
(§63.567(o)(3)(viii))
(Select from dropdown)]]="","",VLOOKUP(Table255[[#This Row],[Affected CMS
(§63.567(o)(3)(viii))
(Select from dropdown)]],Table22[#Data],2,FALSE))</f>
        <v/>
      </c>
      <c r="D319" s="132"/>
      <c r="E319" s="140"/>
    </row>
    <row r="320" spans="2:5" x14ac:dyDescent="0.3">
      <c r="B320" s="278" t="str">
        <f>IF(Table255[[#This Row],[Affected CMS
(§63.567(o)(3)(viii))
(Select from dropdown)]]="","",VLOOKUP(Table255[[#This Row],[Affected CMS
(§63.567(o)(3)(viii))
(Select from dropdown)]],Table22[#Data],2,FALSE))</f>
        <v/>
      </c>
      <c r="D320" s="132"/>
      <c r="E320" s="140"/>
    </row>
    <row r="321" spans="2:5" x14ac:dyDescent="0.3">
      <c r="B321" s="278" t="str">
        <f>IF(Table255[[#This Row],[Affected CMS
(§63.567(o)(3)(viii))
(Select from dropdown)]]="","",VLOOKUP(Table255[[#This Row],[Affected CMS
(§63.567(o)(3)(viii))
(Select from dropdown)]],Table22[#Data],2,FALSE))</f>
        <v/>
      </c>
      <c r="D321" s="132"/>
      <c r="E321" s="140"/>
    </row>
    <row r="322" spans="2:5" x14ac:dyDescent="0.3">
      <c r="B322" s="278" t="str">
        <f>IF(Table255[[#This Row],[Affected CMS
(§63.567(o)(3)(viii))
(Select from dropdown)]]="","",VLOOKUP(Table255[[#This Row],[Affected CMS
(§63.567(o)(3)(viii))
(Select from dropdown)]],Table22[#Data],2,FALSE))</f>
        <v/>
      </c>
      <c r="D322" s="132"/>
      <c r="E322" s="140"/>
    </row>
    <row r="323" spans="2:5" x14ac:dyDescent="0.3">
      <c r="B323" s="278" t="str">
        <f>IF(Table255[[#This Row],[Affected CMS
(§63.567(o)(3)(viii))
(Select from dropdown)]]="","",VLOOKUP(Table255[[#This Row],[Affected CMS
(§63.567(o)(3)(viii))
(Select from dropdown)]],Table22[#Data],2,FALSE))</f>
        <v/>
      </c>
      <c r="D323" s="132"/>
      <c r="E323" s="140"/>
    </row>
    <row r="324" spans="2:5" x14ac:dyDescent="0.3">
      <c r="B324" s="278" t="str">
        <f>IF(Table255[[#This Row],[Affected CMS
(§63.567(o)(3)(viii))
(Select from dropdown)]]="","",VLOOKUP(Table255[[#This Row],[Affected CMS
(§63.567(o)(3)(viii))
(Select from dropdown)]],Table22[#Data],2,FALSE))</f>
        <v/>
      </c>
      <c r="D324" s="132"/>
      <c r="E324" s="140"/>
    </row>
    <row r="325" spans="2:5" x14ac:dyDescent="0.3">
      <c r="B325" s="278" t="str">
        <f>IF(Table255[[#This Row],[Affected CMS
(§63.567(o)(3)(viii))
(Select from dropdown)]]="","",VLOOKUP(Table255[[#This Row],[Affected CMS
(§63.567(o)(3)(viii))
(Select from dropdown)]],Table22[#Data],2,FALSE))</f>
        <v/>
      </c>
      <c r="D325" s="132"/>
      <c r="E325" s="140"/>
    </row>
    <row r="326" spans="2:5" x14ac:dyDescent="0.3">
      <c r="B326" s="278" t="str">
        <f>IF(Table255[[#This Row],[Affected CMS
(§63.567(o)(3)(viii))
(Select from dropdown)]]="","",VLOOKUP(Table255[[#This Row],[Affected CMS
(§63.567(o)(3)(viii))
(Select from dropdown)]],Table22[#Data],2,FALSE))</f>
        <v/>
      </c>
      <c r="D326" s="132"/>
      <c r="E326" s="140"/>
    </row>
    <row r="327" spans="2:5" x14ac:dyDescent="0.3">
      <c r="B327" s="278" t="str">
        <f>IF(Table255[[#This Row],[Affected CMS
(§63.567(o)(3)(viii))
(Select from dropdown)]]="","",VLOOKUP(Table255[[#This Row],[Affected CMS
(§63.567(o)(3)(viii))
(Select from dropdown)]],Table22[#Data],2,FALSE))</f>
        <v/>
      </c>
      <c r="D327" s="132"/>
      <c r="E327" s="140"/>
    </row>
    <row r="328" spans="2:5" x14ac:dyDescent="0.3">
      <c r="B328" s="278" t="str">
        <f>IF(Table255[[#This Row],[Affected CMS
(§63.567(o)(3)(viii))
(Select from dropdown)]]="","",VLOOKUP(Table255[[#This Row],[Affected CMS
(§63.567(o)(3)(viii))
(Select from dropdown)]],Table22[#Data],2,FALSE))</f>
        <v/>
      </c>
      <c r="D328" s="132"/>
      <c r="E328" s="140"/>
    </row>
    <row r="329" spans="2:5" x14ac:dyDescent="0.3">
      <c r="B329" s="278" t="str">
        <f>IF(Table255[[#This Row],[Affected CMS
(§63.567(o)(3)(viii))
(Select from dropdown)]]="","",VLOOKUP(Table255[[#This Row],[Affected CMS
(§63.567(o)(3)(viii))
(Select from dropdown)]],Table22[#Data],2,FALSE))</f>
        <v/>
      </c>
      <c r="D329" s="132"/>
      <c r="E329" s="140"/>
    </row>
    <row r="330" spans="2:5" x14ac:dyDescent="0.3">
      <c r="B330" s="278" t="str">
        <f>IF(Table255[[#This Row],[Affected CMS
(§63.567(o)(3)(viii))
(Select from dropdown)]]="","",VLOOKUP(Table255[[#This Row],[Affected CMS
(§63.567(o)(3)(viii))
(Select from dropdown)]],Table22[#Data],2,FALSE))</f>
        <v/>
      </c>
      <c r="D330" s="132"/>
      <c r="E330" s="140"/>
    </row>
    <row r="331" spans="2:5" x14ac:dyDescent="0.3">
      <c r="B331" s="278" t="str">
        <f>IF(Table255[[#This Row],[Affected CMS
(§63.567(o)(3)(viii))
(Select from dropdown)]]="","",VLOOKUP(Table255[[#This Row],[Affected CMS
(§63.567(o)(3)(viii))
(Select from dropdown)]],Table22[#Data],2,FALSE))</f>
        <v/>
      </c>
      <c r="D331" s="132"/>
      <c r="E331" s="140"/>
    </row>
    <row r="332" spans="2:5" x14ac:dyDescent="0.3">
      <c r="B332" s="278" t="str">
        <f>IF(Table255[[#This Row],[Affected CMS
(§63.567(o)(3)(viii))
(Select from dropdown)]]="","",VLOOKUP(Table255[[#This Row],[Affected CMS
(§63.567(o)(3)(viii))
(Select from dropdown)]],Table22[#Data],2,FALSE))</f>
        <v/>
      </c>
      <c r="D332" s="132"/>
      <c r="E332" s="140"/>
    </row>
    <row r="333" spans="2:5" x14ac:dyDescent="0.3">
      <c r="B333" s="278" t="str">
        <f>IF(Table255[[#This Row],[Affected CMS
(§63.567(o)(3)(viii))
(Select from dropdown)]]="","",VLOOKUP(Table255[[#This Row],[Affected CMS
(§63.567(o)(3)(viii))
(Select from dropdown)]],Table22[#Data],2,FALSE))</f>
        <v/>
      </c>
      <c r="D333" s="132"/>
      <c r="E333" s="140"/>
    </row>
    <row r="334" spans="2:5" x14ac:dyDescent="0.3">
      <c r="B334" s="278" t="str">
        <f>IF(Table255[[#This Row],[Affected CMS
(§63.567(o)(3)(viii))
(Select from dropdown)]]="","",VLOOKUP(Table255[[#This Row],[Affected CMS
(§63.567(o)(3)(viii))
(Select from dropdown)]],Table22[#Data],2,FALSE))</f>
        <v/>
      </c>
      <c r="D334" s="132"/>
      <c r="E334" s="140"/>
    </row>
    <row r="335" spans="2:5" x14ac:dyDescent="0.3">
      <c r="B335" s="278" t="str">
        <f>IF(Table255[[#This Row],[Affected CMS
(§63.567(o)(3)(viii))
(Select from dropdown)]]="","",VLOOKUP(Table255[[#This Row],[Affected CMS
(§63.567(o)(3)(viii))
(Select from dropdown)]],Table22[#Data],2,FALSE))</f>
        <v/>
      </c>
      <c r="D335" s="132"/>
      <c r="E335" s="140"/>
    </row>
    <row r="336" spans="2:5" x14ac:dyDescent="0.3">
      <c r="B336" s="278" t="str">
        <f>IF(Table255[[#This Row],[Affected CMS
(§63.567(o)(3)(viii))
(Select from dropdown)]]="","",VLOOKUP(Table255[[#This Row],[Affected CMS
(§63.567(o)(3)(viii))
(Select from dropdown)]],Table22[#Data],2,FALSE))</f>
        <v/>
      </c>
      <c r="D336" s="132"/>
      <c r="E336" s="140"/>
    </row>
    <row r="337" spans="2:5" x14ac:dyDescent="0.3">
      <c r="B337" s="278" t="str">
        <f>IF(Table255[[#This Row],[Affected CMS
(§63.567(o)(3)(viii))
(Select from dropdown)]]="","",VLOOKUP(Table255[[#This Row],[Affected CMS
(§63.567(o)(3)(viii))
(Select from dropdown)]],Table22[#Data],2,FALSE))</f>
        <v/>
      </c>
      <c r="D337" s="132"/>
      <c r="E337" s="140"/>
    </row>
    <row r="338" spans="2:5" x14ac:dyDescent="0.3">
      <c r="B338" s="278" t="str">
        <f>IF(Table255[[#This Row],[Affected CMS
(§63.567(o)(3)(viii))
(Select from dropdown)]]="","",VLOOKUP(Table255[[#This Row],[Affected CMS
(§63.567(o)(3)(viii))
(Select from dropdown)]],Table22[#Data],2,FALSE))</f>
        <v/>
      </c>
      <c r="D338" s="132"/>
      <c r="E338" s="140"/>
    </row>
    <row r="339" spans="2:5" x14ac:dyDescent="0.3">
      <c r="B339" s="278" t="str">
        <f>IF(Table255[[#This Row],[Affected CMS
(§63.567(o)(3)(viii))
(Select from dropdown)]]="","",VLOOKUP(Table255[[#This Row],[Affected CMS
(§63.567(o)(3)(viii))
(Select from dropdown)]],Table22[#Data],2,FALSE))</f>
        <v/>
      </c>
      <c r="D339" s="132"/>
      <c r="E339" s="140"/>
    </row>
    <row r="340" spans="2:5" x14ac:dyDescent="0.3">
      <c r="B340" s="278" t="str">
        <f>IF(Table255[[#This Row],[Affected CMS
(§63.567(o)(3)(viii))
(Select from dropdown)]]="","",VLOOKUP(Table255[[#This Row],[Affected CMS
(§63.567(o)(3)(viii))
(Select from dropdown)]],Table22[#Data],2,FALSE))</f>
        <v/>
      </c>
      <c r="D340" s="132"/>
      <c r="E340" s="140"/>
    </row>
    <row r="341" spans="2:5" x14ac:dyDescent="0.3">
      <c r="B341" s="278" t="str">
        <f>IF(Table255[[#This Row],[Affected CMS
(§63.567(o)(3)(viii))
(Select from dropdown)]]="","",VLOOKUP(Table255[[#This Row],[Affected CMS
(§63.567(o)(3)(viii))
(Select from dropdown)]],Table22[#Data],2,FALSE))</f>
        <v/>
      </c>
      <c r="D341" s="132"/>
      <c r="E341" s="140"/>
    </row>
    <row r="342" spans="2:5" x14ac:dyDescent="0.3">
      <c r="B342" s="278" t="str">
        <f>IF(Table255[[#This Row],[Affected CMS
(§63.567(o)(3)(viii))
(Select from dropdown)]]="","",VLOOKUP(Table255[[#This Row],[Affected CMS
(§63.567(o)(3)(viii))
(Select from dropdown)]],Table22[#Data],2,FALSE))</f>
        <v/>
      </c>
      <c r="D342" s="132"/>
      <c r="E342" s="140"/>
    </row>
    <row r="343" spans="2:5" x14ac:dyDescent="0.3">
      <c r="B343" s="278" t="str">
        <f>IF(Table255[[#This Row],[Affected CMS
(§63.567(o)(3)(viii))
(Select from dropdown)]]="","",VLOOKUP(Table255[[#This Row],[Affected CMS
(§63.567(o)(3)(viii))
(Select from dropdown)]],Table22[#Data],2,FALSE))</f>
        <v/>
      </c>
      <c r="D343" s="132"/>
      <c r="E343" s="140"/>
    </row>
    <row r="344" spans="2:5" x14ac:dyDescent="0.3">
      <c r="B344" s="278" t="str">
        <f>IF(Table255[[#This Row],[Affected CMS
(§63.567(o)(3)(viii))
(Select from dropdown)]]="","",VLOOKUP(Table255[[#This Row],[Affected CMS
(§63.567(o)(3)(viii))
(Select from dropdown)]],Table22[#Data],2,FALSE))</f>
        <v/>
      </c>
      <c r="D344" s="132"/>
      <c r="E344" s="140"/>
    </row>
    <row r="345" spans="2:5" x14ac:dyDescent="0.3">
      <c r="B345" s="278" t="str">
        <f>IF(Table255[[#This Row],[Affected CMS
(§63.567(o)(3)(viii))
(Select from dropdown)]]="","",VLOOKUP(Table255[[#This Row],[Affected CMS
(§63.567(o)(3)(viii))
(Select from dropdown)]],Table22[#Data],2,FALSE))</f>
        <v/>
      </c>
      <c r="D345" s="132"/>
      <c r="E345" s="140"/>
    </row>
    <row r="346" spans="2:5" x14ac:dyDescent="0.3">
      <c r="B346" s="278" t="str">
        <f>IF(Table255[[#This Row],[Affected CMS
(§63.567(o)(3)(viii))
(Select from dropdown)]]="","",VLOOKUP(Table255[[#This Row],[Affected CMS
(§63.567(o)(3)(viii))
(Select from dropdown)]],Table22[#Data],2,FALSE))</f>
        <v/>
      </c>
      <c r="D346" s="132"/>
      <c r="E346" s="140"/>
    </row>
    <row r="347" spans="2:5" x14ac:dyDescent="0.3">
      <c r="B347" s="278" t="str">
        <f>IF(Table255[[#This Row],[Affected CMS
(§63.567(o)(3)(viii))
(Select from dropdown)]]="","",VLOOKUP(Table255[[#This Row],[Affected CMS
(§63.567(o)(3)(viii))
(Select from dropdown)]],Table22[#Data],2,FALSE))</f>
        <v/>
      </c>
      <c r="D347" s="132"/>
      <c r="E347" s="140"/>
    </row>
    <row r="348" spans="2:5" x14ac:dyDescent="0.3">
      <c r="B348" s="278" t="str">
        <f>IF(Table255[[#This Row],[Affected CMS
(§63.567(o)(3)(viii))
(Select from dropdown)]]="","",VLOOKUP(Table255[[#This Row],[Affected CMS
(§63.567(o)(3)(viii))
(Select from dropdown)]],Table22[#Data],2,FALSE))</f>
        <v/>
      </c>
      <c r="D348" s="132"/>
      <c r="E348" s="140"/>
    </row>
    <row r="349" spans="2:5" x14ac:dyDescent="0.3">
      <c r="B349" s="278" t="str">
        <f>IF(Table255[[#This Row],[Affected CMS
(§63.567(o)(3)(viii))
(Select from dropdown)]]="","",VLOOKUP(Table255[[#This Row],[Affected CMS
(§63.567(o)(3)(viii))
(Select from dropdown)]],Table22[#Data],2,FALSE))</f>
        <v/>
      </c>
      <c r="D349" s="132"/>
      <c r="E349" s="140"/>
    </row>
    <row r="350" spans="2:5" x14ac:dyDescent="0.3">
      <c r="B350" s="278" t="str">
        <f>IF(Table255[[#This Row],[Affected CMS
(§63.567(o)(3)(viii))
(Select from dropdown)]]="","",VLOOKUP(Table255[[#This Row],[Affected CMS
(§63.567(o)(3)(viii))
(Select from dropdown)]],Table22[#Data],2,FALSE))</f>
        <v/>
      </c>
      <c r="D350" s="132"/>
      <c r="E350" s="140"/>
    </row>
    <row r="351" spans="2:5" x14ac:dyDescent="0.3">
      <c r="B351" s="278" t="str">
        <f>IF(Table255[[#This Row],[Affected CMS
(§63.567(o)(3)(viii))
(Select from dropdown)]]="","",VLOOKUP(Table255[[#This Row],[Affected CMS
(§63.567(o)(3)(viii))
(Select from dropdown)]],Table22[#Data],2,FALSE))</f>
        <v/>
      </c>
      <c r="D351" s="132"/>
      <c r="E351" s="140"/>
    </row>
    <row r="352" spans="2:5" x14ac:dyDescent="0.3">
      <c r="B352" s="278" t="str">
        <f>IF(Table255[[#This Row],[Affected CMS
(§63.567(o)(3)(viii))
(Select from dropdown)]]="","",VLOOKUP(Table255[[#This Row],[Affected CMS
(§63.567(o)(3)(viii))
(Select from dropdown)]],Table22[#Data],2,FALSE))</f>
        <v/>
      </c>
      <c r="D352" s="132"/>
      <c r="E352" s="140"/>
    </row>
    <row r="353" spans="2:5" x14ac:dyDescent="0.3">
      <c r="B353" s="278" t="str">
        <f>IF(Table255[[#This Row],[Affected CMS
(§63.567(o)(3)(viii))
(Select from dropdown)]]="","",VLOOKUP(Table255[[#This Row],[Affected CMS
(§63.567(o)(3)(viii))
(Select from dropdown)]],Table22[#Data],2,FALSE))</f>
        <v/>
      </c>
      <c r="D353" s="132"/>
      <c r="E353" s="140"/>
    </row>
    <row r="354" spans="2:5" x14ac:dyDescent="0.3">
      <c r="B354" s="278" t="str">
        <f>IF(Table255[[#This Row],[Affected CMS
(§63.567(o)(3)(viii))
(Select from dropdown)]]="","",VLOOKUP(Table255[[#This Row],[Affected CMS
(§63.567(o)(3)(viii))
(Select from dropdown)]],Table22[#Data],2,FALSE))</f>
        <v/>
      </c>
      <c r="D354" s="132"/>
      <c r="E354" s="140"/>
    </row>
    <row r="355" spans="2:5" x14ac:dyDescent="0.3">
      <c r="B355" s="278" t="str">
        <f>IF(Table255[[#This Row],[Affected CMS
(§63.567(o)(3)(viii))
(Select from dropdown)]]="","",VLOOKUP(Table255[[#This Row],[Affected CMS
(§63.567(o)(3)(viii))
(Select from dropdown)]],Table22[#Data],2,FALSE))</f>
        <v/>
      </c>
      <c r="D355" s="132"/>
      <c r="E355" s="140"/>
    </row>
    <row r="356" spans="2:5" x14ac:dyDescent="0.3">
      <c r="B356" s="278" t="str">
        <f>IF(Table255[[#This Row],[Affected CMS
(§63.567(o)(3)(viii))
(Select from dropdown)]]="","",VLOOKUP(Table255[[#This Row],[Affected CMS
(§63.567(o)(3)(viii))
(Select from dropdown)]],Table22[#Data],2,FALSE))</f>
        <v/>
      </c>
      <c r="D356" s="132"/>
      <c r="E356" s="140"/>
    </row>
    <row r="357" spans="2:5" x14ac:dyDescent="0.3">
      <c r="B357" s="278" t="str">
        <f>IF(Table255[[#This Row],[Affected CMS
(§63.567(o)(3)(viii))
(Select from dropdown)]]="","",VLOOKUP(Table255[[#This Row],[Affected CMS
(§63.567(o)(3)(viii))
(Select from dropdown)]],Table22[#Data],2,FALSE))</f>
        <v/>
      </c>
      <c r="D357" s="132"/>
      <c r="E357" s="140"/>
    </row>
    <row r="358" spans="2:5" x14ac:dyDescent="0.3">
      <c r="B358" s="278" t="str">
        <f>IF(Table255[[#This Row],[Affected CMS
(§63.567(o)(3)(viii))
(Select from dropdown)]]="","",VLOOKUP(Table255[[#This Row],[Affected CMS
(§63.567(o)(3)(viii))
(Select from dropdown)]],Table22[#Data],2,FALSE))</f>
        <v/>
      </c>
      <c r="D358" s="132"/>
      <c r="E358" s="140"/>
    </row>
    <row r="359" spans="2:5" x14ac:dyDescent="0.3">
      <c r="B359" s="278" t="str">
        <f>IF(Table255[[#This Row],[Affected CMS
(§63.567(o)(3)(viii))
(Select from dropdown)]]="","",VLOOKUP(Table255[[#This Row],[Affected CMS
(§63.567(o)(3)(viii))
(Select from dropdown)]],Table22[#Data],2,FALSE))</f>
        <v/>
      </c>
      <c r="D359" s="132"/>
      <c r="E359" s="140"/>
    </row>
    <row r="360" spans="2:5" x14ac:dyDescent="0.3">
      <c r="B360" s="278" t="str">
        <f>IF(Table255[[#This Row],[Affected CMS
(§63.567(o)(3)(viii))
(Select from dropdown)]]="","",VLOOKUP(Table255[[#This Row],[Affected CMS
(§63.567(o)(3)(viii))
(Select from dropdown)]],Table22[#Data],2,FALSE))</f>
        <v/>
      </c>
      <c r="D360" s="132"/>
      <c r="E360" s="140"/>
    </row>
    <row r="361" spans="2:5" x14ac:dyDescent="0.3">
      <c r="B361" s="278" t="str">
        <f>IF(Table255[[#This Row],[Affected CMS
(§63.567(o)(3)(viii))
(Select from dropdown)]]="","",VLOOKUP(Table255[[#This Row],[Affected CMS
(§63.567(o)(3)(viii))
(Select from dropdown)]],Table22[#Data],2,FALSE))</f>
        <v/>
      </c>
      <c r="D361" s="132"/>
      <c r="E361" s="140"/>
    </row>
    <row r="362" spans="2:5" x14ac:dyDescent="0.3">
      <c r="B362" s="278" t="str">
        <f>IF(Table255[[#This Row],[Affected CMS
(§63.567(o)(3)(viii))
(Select from dropdown)]]="","",VLOOKUP(Table255[[#This Row],[Affected CMS
(§63.567(o)(3)(viii))
(Select from dropdown)]],Table22[#Data],2,FALSE))</f>
        <v/>
      </c>
      <c r="D362" s="132"/>
      <c r="E362" s="140"/>
    </row>
    <row r="363" spans="2:5" x14ac:dyDescent="0.3">
      <c r="B363" s="278" t="str">
        <f>IF(Table255[[#This Row],[Affected CMS
(§63.567(o)(3)(viii))
(Select from dropdown)]]="","",VLOOKUP(Table255[[#This Row],[Affected CMS
(§63.567(o)(3)(viii))
(Select from dropdown)]],Table22[#Data],2,FALSE))</f>
        <v/>
      </c>
      <c r="D363" s="132"/>
      <c r="E363" s="140"/>
    </row>
    <row r="364" spans="2:5" x14ac:dyDescent="0.3">
      <c r="B364" s="278" t="str">
        <f>IF(Table255[[#This Row],[Affected CMS
(§63.567(o)(3)(viii))
(Select from dropdown)]]="","",VLOOKUP(Table255[[#This Row],[Affected CMS
(§63.567(o)(3)(viii))
(Select from dropdown)]],Table22[#Data],2,FALSE))</f>
        <v/>
      </c>
      <c r="D364" s="132"/>
      <c r="E364" s="140"/>
    </row>
    <row r="365" spans="2:5" x14ac:dyDescent="0.3">
      <c r="B365" s="278" t="str">
        <f>IF(Table255[[#This Row],[Affected CMS
(§63.567(o)(3)(viii))
(Select from dropdown)]]="","",VLOOKUP(Table255[[#This Row],[Affected CMS
(§63.567(o)(3)(viii))
(Select from dropdown)]],Table22[#Data],2,FALSE))</f>
        <v/>
      </c>
      <c r="D365" s="132"/>
      <c r="E365" s="140"/>
    </row>
    <row r="366" spans="2:5" x14ac:dyDescent="0.3">
      <c r="B366" s="278" t="str">
        <f>IF(Table255[[#This Row],[Affected CMS
(§63.567(o)(3)(viii))
(Select from dropdown)]]="","",VLOOKUP(Table255[[#This Row],[Affected CMS
(§63.567(o)(3)(viii))
(Select from dropdown)]],Table22[#Data],2,FALSE))</f>
        <v/>
      </c>
      <c r="D366" s="132"/>
      <c r="E366" s="140"/>
    </row>
    <row r="367" spans="2:5" x14ac:dyDescent="0.3">
      <c r="B367" s="278" t="str">
        <f>IF(Table255[[#This Row],[Affected CMS
(§63.567(o)(3)(viii))
(Select from dropdown)]]="","",VLOOKUP(Table255[[#This Row],[Affected CMS
(§63.567(o)(3)(viii))
(Select from dropdown)]],Table22[#Data],2,FALSE))</f>
        <v/>
      </c>
      <c r="D367" s="132"/>
      <c r="E367" s="140"/>
    </row>
    <row r="368" spans="2:5" x14ac:dyDescent="0.3">
      <c r="B368" s="278" t="str">
        <f>IF(Table255[[#This Row],[Affected CMS
(§63.567(o)(3)(viii))
(Select from dropdown)]]="","",VLOOKUP(Table255[[#This Row],[Affected CMS
(§63.567(o)(3)(viii))
(Select from dropdown)]],Table22[#Data],2,FALSE))</f>
        <v/>
      </c>
      <c r="D368" s="132"/>
      <c r="E368" s="140"/>
    </row>
    <row r="369" spans="2:5" x14ac:dyDescent="0.3">
      <c r="B369" s="278" t="str">
        <f>IF(Table255[[#This Row],[Affected CMS
(§63.567(o)(3)(viii))
(Select from dropdown)]]="","",VLOOKUP(Table255[[#This Row],[Affected CMS
(§63.567(o)(3)(viii))
(Select from dropdown)]],Table22[#Data],2,FALSE))</f>
        <v/>
      </c>
      <c r="D369" s="132"/>
      <c r="E369" s="140"/>
    </row>
    <row r="370" spans="2:5" x14ac:dyDescent="0.3">
      <c r="B370" s="278" t="str">
        <f>IF(Table255[[#This Row],[Affected CMS
(§63.567(o)(3)(viii))
(Select from dropdown)]]="","",VLOOKUP(Table255[[#This Row],[Affected CMS
(§63.567(o)(3)(viii))
(Select from dropdown)]],Table22[#Data],2,FALSE))</f>
        <v/>
      </c>
      <c r="D370" s="132"/>
      <c r="E370" s="140"/>
    </row>
    <row r="371" spans="2:5" x14ac:dyDescent="0.3">
      <c r="B371" s="278" t="str">
        <f>IF(Table255[[#This Row],[Affected CMS
(§63.567(o)(3)(viii))
(Select from dropdown)]]="","",VLOOKUP(Table255[[#This Row],[Affected CMS
(§63.567(o)(3)(viii))
(Select from dropdown)]],Table22[#Data],2,FALSE))</f>
        <v/>
      </c>
      <c r="D371" s="132"/>
      <c r="E371" s="140"/>
    </row>
    <row r="372" spans="2:5" x14ac:dyDescent="0.3">
      <c r="B372" s="278" t="str">
        <f>IF(Table255[[#This Row],[Affected CMS
(§63.567(o)(3)(viii))
(Select from dropdown)]]="","",VLOOKUP(Table255[[#This Row],[Affected CMS
(§63.567(o)(3)(viii))
(Select from dropdown)]],Table22[#Data],2,FALSE))</f>
        <v/>
      </c>
      <c r="D372" s="132"/>
      <c r="E372" s="140"/>
    </row>
    <row r="373" spans="2:5" x14ac:dyDescent="0.3">
      <c r="B373" s="278" t="str">
        <f>IF(Table255[[#This Row],[Affected CMS
(§63.567(o)(3)(viii))
(Select from dropdown)]]="","",VLOOKUP(Table255[[#This Row],[Affected CMS
(§63.567(o)(3)(viii))
(Select from dropdown)]],Table22[#Data],2,FALSE))</f>
        <v/>
      </c>
      <c r="D373" s="132"/>
      <c r="E373" s="140"/>
    </row>
    <row r="374" spans="2:5" x14ac:dyDescent="0.3">
      <c r="B374" s="278" t="str">
        <f>IF(Table255[[#This Row],[Affected CMS
(§63.567(o)(3)(viii))
(Select from dropdown)]]="","",VLOOKUP(Table255[[#This Row],[Affected CMS
(§63.567(o)(3)(viii))
(Select from dropdown)]],Table22[#Data],2,FALSE))</f>
        <v/>
      </c>
      <c r="D374" s="132"/>
      <c r="E374" s="140"/>
    </row>
    <row r="375" spans="2:5" x14ac:dyDescent="0.3">
      <c r="B375" s="278" t="str">
        <f>IF(Table255[[#This Row],[Affected CMS
(§63.567(o)(3)(viii))
(Select from dropdown)]]="","",VLOOKUP(Table255[[#This Row],[Affected CMS
(§63.567(o)(3)(viii))
(Select from dropdown)]],Table22[#Data],2,FALSE))</f>
        <v/>
      </c>
      <c r="D375" s="132"/>
      <c r="E375" s="140"/>
    </row>
    <row r="376" spans="2:5" x14ac:dyDescent="0.3">
      <c r="B376" s="278" t="str">
        <f>IF(Table255[[#This Row],[Affected CMS
(§63.567(o)(3)(viii))
(Select from dropdown)]]="","",VLOOKUP(Table255[[#This Row],[Affected CMS
(§63.567(o)(3)(viii))
(Select from dropdown)]],Table22[#Data],2,FALSE))</f>
        <v/>
      </c>
      <c r="D376" s="132"/>
      <c r="E376" s="140"/>
    </row>
    <row r="377" spans="2:5" x14ac:dyDescent="0.3">
      <c r="B377" s="278" t="str">
        <f>IF(Table255[[#This Row],[Affected CMS
(§63.567(o)(3)(viii))
(Select from dropdown)]]="","",VLOOKUP(Table255[[#This Row],[Affected CMS
(§63.567(o)(3)(viii))
(Select from dropdown)]],Table22[#Data],2,FALSE))</f>
        <v/>
      </c>
      <c r="D377" s="132"/>
      <c r="E377" s="140"/>
    </row>
    <row r="378" spans="2:5" x14ac:dyDescent="0.3">
      <c r="B378" s="278" t="str">
        <f>IF(Table255[[#This Row],[Affected CMS
(§63.567(o)(3)(viii))
(Select from dropdown)]]="","",VLOOKUP(Table255[[#This Row],[Affected CMS
(§63.567(o)(3)(viii))
(Select from dropdown)]],Table22[#Data],2,FALSE))</f>
        <v/>
      </c>
      <c r="D378" s="132"/>
      <c r="E378" s="140"/>
    </row>
    <row r="379" spans="2:5" x14ac:dyDescent="0.3">
      <c r="B379" s="278" t="str">
        <f>IF(Table255[[#This Row],[Affected CMS
(§63.567(o)(3)(viii))
(Select from dropdown)]]="","",VLOOKUP(Table255[[#This Row],[Affected CMS
(§63.567(o)(3)(viii))
(Select from dropdown)]],Table22[#Data],2,FALSE))</f>
        <v/>
      </c>
      <c r="D379" s="132"/>
      <c r="E379" s="140"/>
    </row>
    <row r="380" spans="2:5" x14ac:dyDescent="0.3">
      <c r="B380" s="278" t="str">
        <f>IF(Table255[[#This Row],[Affected CMS
(§63.567(o)(3)(viii))
(Select from dropdown)]]="","",VLOOKUP(Table255[[#This Row],[Affected CMS
(§63.567(o)(3)(viii))
(Select from dropdown)]],Table22[#Data],2,FALSE))</f>
        <v/>
      </c>
      <c r="D380" s="132"/>
      <c r="E380" s="140"/>
    </row>
    <row r="381" spans="2:5" x14ac:dyDescent="0.3">
      <c r="B381" s="278" t="str">
        <f>IF(Table255[[#This Row],[Affected CMS
(§63.567(o)(3)(viii))
(Select from dropdown)]]="","",VLOOKUP(Table255[[#This Row],[Affected CMS
(§63.567(o)(3)(viii))
(Select from dropdown)]],Table22[#Data],2,FALSE))</f>
        <v/>
      </c>
      <c r="D381" s="132"/>
      <c r="E381" s="140"/>
    </row>
    <row r="382" spans="2:5" x14ac:dyDescent="0.3">
      <c r="B382" s="278" t="str">
        <f>IF(Table255[[#This Row],[Affected CMS
(§63.567(o)(3)(viii))
(Select from dropdown)]]="","",VLOOKUP(Table255[[#This Row],[Affected CMS
(§63.567(o)(3)(viii))
(Select from dropdown)]],Table22[#Data],2,FALSE))</f>
        <v/>
      </c>
      <c r="D382" s="132"/>
      <c r="E382" s="140"/>
    </row>
    <row r="383" spans="2:5" x14ac:dyDescent="0.3">
      <c r="B383" s="278" t="str">
        <f>IF(Table255[[#This Row],[Affected CMS
(§63.567(o)(3)(viii))
(Select from dropdown)]]="","",VLOOKUP(Table255[[#This Row],[Affected CMS
(§63.567(o)(3)(viii))
(Select from dropdown)]],Table22[#Data],2,FALSE))</f>
        <v/>
      </c>
      <c r="D383" s="132"/>
      <c r="E383" s="140"/>
    </row>
    <row r="384" spans="2:5" x14ac:dyDescent="0.3">
      <c r="B384" s="278" t="str">
        <f>IF(Table255[[#This Row],[Affected CMS
(§63.567(o)(3)(viii))
(Select from dropdown)]]="","",VLOOKUP(Table255[[#This Row],[Affected CMS
(§63.567(o)(3)(viii))
(Select from dropdown)]],Table22[#Data],2,FALSE))</f>
        <v/>
      </c>
      <c r="D384" s="132"/>
      <c r="E384" s="140"/>
    </row>
    <row r="385" spans="2:5" x14ac:dyDescent="0.3">
      <c r="B385" s="278" t="str">
        <f>IF(Table255[[#This Row],[Affected CMS
(§63.567(o)(3)(viii))
(Select from dropdown)]]="","",VLOOKUP(Table255[[#This Row],[Affected CMS
(§63.567(o)(3)(viii))
(Select from dropdown)]],Table22[#Data],2,FALSE))</f>
        <v/>
      </c>
      <c r="D385" s="132"/>
      <c r="E385" s="140"/>
    </row>
    <row r="386" spans="2:5" x14ac:dyDescent="0.3">
      <c r="B386" s="278" t="str">
        <f>IF(Table255[[#This Row],[Affected CMS
(§63.567(o)(3)(viii))
(Select from dropdown)]]="","",VLOOKUP(Table255[[#This Row],[Affected CMS
(§63.567(o)(3)(viii))
(Select from dropdown)]],Table22[#Data],2,FALSE))</f>
        <v/>
      </c>
      <c r="D386" s="132"/>
      <c r="E386" s="140"/>
    </row>
    <row r="387" spans="2:5" x14ac:dyDescent="0.3">
      <c r="B387" s="278" t="str">
        <f>IF(Table255[[#This Row],[Affected CMS
(§63.567(o)(3)(viii))
(Select from dropdown)]]="","",VLOOKUP(Table255[[#This Row],[Affected CMS
(§63.567(o)(3)(viii))
(Select from dropdown)]],Table22[#Data],2,FALSE))</f>
        <v/>
      </c>
      <c r="D387" s="132"/>
      <c r="E387" s="140"/>
    </row>
    <row r="388" spans="2:5" x14ac:dyDescent="0.3">
      <c r="B388" s="278" t="str">
        <f>IF(Table255[[#This Row],[Affected CMS
(§63.567(o)(3)(viii))
(Select from dropdown)]]="","",VLOOKUP(Table255[[#This Row],[Affected CMS
(§63.567(o)(3)(viii))
(Select from dropdown)]],Table22[#Data],2,FALSE))</f>
        <v/>
      </c>
      <c r="D388" s="132"/>
      <c r="E388" s="140"/>
    </row>
    <row r="389" spans="2:5" x14ac:dyDescent="0.3">
      <c r="B389" s="278" t="str">
        <f>IF(Table255[[#This Row],[Affected CMS
(§63.567(o)(3)(viii))
(Select from dropdown)]]="","",VLOOKUP(Table255[[#This Row],[Affected CMS
(§63.567(o)(3)(viii))
(Select from dropdown)]],Table22[#Data],2,FALSE))</f>
        <v/>
      </c>
      <c r="D389" s="132"/>
      <c r="E389" s="140"/>
    </row>
    <row r="390" spans="2:5" x14ac:dyDescent="0.3">
      <c r="B390" s="278" t="str">
        <f>IF(Table255[[#This Row],[Affected CMS
(§63.567(o)(3)(viii))
(Select from dropdown)]]="","",VLOOKUP(Table255[[#This Row],[Affected CMS
(§63.567(o)(3)(viii))
(Select from dropdown)]],Table22[#Data],2,FALSE))</f>
        <v/>
      </c>
      <c r="D390" s="132"/>
      <c r="E390" s="140"/>
    </row>
    <row r="391" spans="2:5" x14ac:dyDescent="0.3">
      <c r="B391" s="278" t="str">
        <f>IF(Table255[[#This Row],[Affected CMS
(§63.567(o)(3)(viii))
(Select from dropdown)]]="","",VLOOKUP(Table255[[#This Row],[Affected CMS
(§63.567(o)(3)(viii))
(Select from dropdown)]],Table22[#Data],2,FALSE))</f>
        <v/>
      </c>
      <c r="D391" s="132"/>
      <c r="E391" s="140"/>
    </row>
    <row r="392" spans="2:5" x14ac:dyDescent="0.3">
      <c r="B392" s="278" t="str">
        <f>IF(Table255[[#This Row],[Affected CMS
(§63.567(o)(3)(viii))
(Select from dropdown)]]="","",VLOOKUP(Table255[[#This Row],[Affected CMS
(§63.567(o)(3)(viii))
(Select from dropdown)]],Table22[#Data],2,FALSE))</f>
        <v/>
      </c>
      <c r="D392" s="132"/>
      <c r="E392" s="140"/>
    </row>
    <row r="393" spans="2:5" x14ac:dyDescent="0.3">
      <c r="B393" s="278" t="str">
        <f>IF(Table255[[#This Row],[Affected CMS
(§63.567(o)(3)(viii))
(Select from dropdown)]]="","",VLOOKUP(Table255[[#This Row],[Affected CMS
(§63.567(o)(3)(viii))
(Select from dropdown)]],Table22[#Data],2,FALSE))</f>
        <v/>
      </c>
      <c r="D393" s="132"/>
      <c r="E393" s="140"/>
    </row>
    <row r="394" spans="2:5" x14ac:dyDescent="0.3">
      <c r="B394" s="278" t="str">
        <f>IF(Table255[[#This Row],[Affected CMS
(§63.567(o)(3)(viii))
(Select from dropdown)]]="","",VLOOKUP(Table255[[#This Row],[Affected CMS
(§63.567(o)(3)(viii))
(Select from dropdown)]],Table22[#Data],2,FALSE))</f>
        <v/>
      </c>
      <c r="D394" s="132"/>
      <c r="E394" s="140"/>
    </row>
    <row r="395" spans="2:5" x14ac:dyDescent="0.3">
      <c r="B395" s="278" t="str">
        <f>IF(Table255[[#This Row],[Affected CMS
(§63.567(o)(3)(viii))
(Select from dropdown)]]="","",VLOOKUP(Table255[[#This Row],[Affected CMS
(§63.567(o)(3)(viii))
(Select from dropdown)]],Table22[#Data],2,FALSE))</f>
        <v/>
      </c>
      <c r="D395" s="132"/>
      <c r="E395" s="140"/>
    </row>
    <row r="396" spans="2:5" x14ac:dyDescent="0.3">
      <c r="B396" s="278" t="str">
        <f>IF(Table255[[#This Row],[Affected CMS
(§63.567(o)(3)(viii))
(Select from dropdown)]]="","",VLOOKUP(Table255[[#This Row],[Affected CMS
(§63.567(o)(3)(viii))
(Select from dropdown)]],Table22[#Data],2,FALSE))</f>
        <v/>
      </c>
      <c r="D396" s="132"/>
      <c r="E396" s="140"/>
    </row>
    <row r="397" spans="2:5" x14ac:dyDescent="0.3">
      <c r="B397" s="278" t="str">
        <f>IF(Table255[[#This Row],[Affected CMS
(§63.567(o)(3)(viii))
(Select from dropdown)]]="","",VLOOKUP(Table255[[#This Row],[Affected CMS
(§63.567(o)(3)(viii))
(Select from dropdown)]],Table22[#Data],2,FALSE))</f>
        <v/>
      </c>
      <c r="D397" s="132"/>
      <c r="E397" s="140"/>
    </row>
    <row r="398" spans="2:5" x14ac:dyDescent="0.3">
      <c r="B398" s="278" t="str">
        <f>IF(Table255[[#This Row],[Affected CMS
(§63.567(o)(3)(viii))
(Select from dropdown)]]="","",VLOOKUP(Table255[[#This Row],[Affected CMS
(§63.567(o)(3)(viii))
(Select from dropdown)]],Table22[#Data],2,FALSE))</f>
        <v/>
      </c>
      <c r="D398" s="132"/>
      <c r="E398" s="140"/>
    </row>
    <row r="399" spans="2:5" x14ac:dyDescent="0.3">
      <c r="B399" s="278" t="str">
        <f>IF(Table255[[#This Row],[Affected CMS
(§63.567(o)(3)(viii))
(Select from dropdown)]]="","",VLOOKUP(Table255[[#This Row],[Affected CMS
(§63.567(o)(3)(viii))
(Select from dropdown)]],Table22[#Data],2,FALSE))</f>
        <v/>
      </c>
      <c r="D399" s="132"/>
      <c r="E399" s="140"/>
    </row>
    <row r="400" spans="2:5" x14ac:dyDescent="0.3">
      <c r="B400" s="278" t="str">
        <f>IF(Table255[[#This Row],[Affected CMS
(§63.567(o)(3)(viii))
(Select from dropdown)]]="","",VLOOKUP(Table255[[#This Row],[Affected CMS
(§63.567(o)(3)(viii))
(Select from dropdown)]],Table22[#Data],2,FALSE))</f>
        <v/>
      </c>
      <c r="D400" s="132"/>
      <c r="E400" s="140"/>
    </row>
    <row r="401" spans="2:5" x14ac:dyDescent="0.3">
      <c r="B401" s="278" t="str">
        <f>IF(Table255[[#This Row],[Affected CMS
(§63.567(o)(3)(viii))
(Select from dropdown)]]="","",VLOOKUP(Table255[[#This Row],[Affected CMS
(§63.567(o)(3)(viii))
(Select from dropdown)]],Table22[#Data],2,FALSE))</f>
        <v/>
      </c>
      <c r="D401" s="132"/>
      <c r="E401" s="140"/>
    </row>
    <row r="402" spans="2:5" x14ac:dyDescent="0.3">
      <c r="B402" s="278" t="str">
        <f>IF(Table255[[#This Row],[Affected CMS
(§63.567(o)(3)(viii))
(Select from dropdown)]]="","",VLOOKUP(Table255[[#This Row],[Affected CMS
(§63.567(o)(3)(viii))
(Select from dropdown)]],Table22[#Data],2,FALSE))</f>
        <v/>
      </c>
      <c r="D402" s="132"/>
      <c r="E402" s="140"/>
    </row>
    <row r="403" spans="2:5" x14ac:dyDescent="0.3">
      <c r="B403" s="278" t="str">
        <f>IF(Table255[[#This Row],[Affected CMS
(§63.567(o)(3)(viii))
(Select from dropdown)]]="","",VLOOKUP(Table255[[#This Row],[Affected CMS
(§63.567(o)(3)(viii))
(Select from dropdown)]],Table22[#Data],2,FALSE))</f>
        <v/>
      </c>
      <c r="D403" s="132"/>
      <c r="E403" s="140"/>
    </row>
    <row r="404" spans="2:5" x14ac:dyDescent="0.3">
      <c r="B404" s="278" t="str">
        <f>IF(Table255[[#This Row],[Affected CMS
(§63.567(o)(3)(viii))
(Select from dropdown)]]="","",VLOOKUP(Table255[[#This Row],[Affected CMS
(§63.567(o)(3)(viii))
(Select from dropdown)]],Table22[#Data],2,FALSE))</f>
        <v/>
      </c>
      <c r="D404" s="132"/>
      <c r="E404" s="140"/>
    </row>
    <row r="405" spans="2:5" x14ac:dyDescent="0.3">
      <c r="B405" s="278" t="str">
        <f>IF(Table255[[#This Row],[Affected CMS
(§63.567(o)(3)(viii))
(Select from dropdown)]]="","",VLOOKUP(Table255[[#This Row],[Affected CMS
(§63.567(o)(3)(viii))
(Select from dropdown)]],Table22[#Data],2,FALSE))</f>
        <v/>
      </c>
      <c r="D405" s="132"/>
      <c r="E405" s="140"/>
    </row>
    <row r="406" spans="2:5" x14ac:dyDescent="0.3">
      <c r="B406" s="278" t="str">
        <f>IF(Table255[[#This Row],[Affected CMS
(§63.567(o)(3)(viii))
(Select from dropdown)]]="","",VLOOKUP(Table255[[#This Row],[Affected CMS
(§63.567(o)(3)(viii))
(Select from dropdown)]],Table22[#Data],2,FALSE))</f>
        <v/>
      </c>
      <c r="D406" s="132"/>
      <c r="E406" s="140"/>
    </row>
    <row r="407" spans="2:5" x14ac:dyDescent="0.3">
      <c r="B407" s="278" t="str">
        <f>IF(Table255[[#This Row],[Affected CMS
(§63.567(o)(3)(viii))
(Select from dropdown)]]="","",VLOOKUP(Table255[[#This Row],[Affected CMS
(§63.567(o)(3)(viii))
(Select from dropdown)]],Table22[#Data],2,FALSE))</f>
        <v/>
      </c>
      <c r="D407" s="132"/>
      <c r="E407" s="140"/>
    </row>
    <row r="408" spans="2:5" x14ac:dyDescent="0.3">
      <c r="B408" s="278" t="str">
        <f>IF(Table255[[#This Row],[Affected CMS
(§63.567(o)(3)(viii))
(Select from dropdown)]]="","",VLOOKUP(Table255[[#This Row],[Affected CMS
(§63.567(o)(3)(viii))
(Select from dropdown)]],Table22[#Data],2,FALSE))</f>
        <v/>
      </c>
      <c r="D408" s="132"/>
      <c r="E408" s="140"/>
    </row>
    <row r="409" spans="2:5" x14ac:dyDescent="0.3">
      <c r="B409" s="278" t="str">
        <f>IF(Table255[[#This Row],[Affected CMS
(§63.567(o)(3)(viii))
(Select from dropdown)]]="","",VLOOKUP(Table255[[#This Row],[Affected CMS
(§63.567(o)(3)(viii))
(Select from dropdown)]],Table22[#Data],2,FALSE))</f>
        <v/>
      </c>
      <c r="D409" s="132"/>
      <c r="E409" s="140"/>
    </row>
    <row r="410" spans="2:5" x14ac:dyDescent="0.3">
      <c r="B410" s="278" t="str">
        <f>IF(Table255[[#This Row],[Affected CMS
(§63.567(o)(3)(viii))
(Select from dropdown)]]="","",VLOOKUP(Table255[[#This Row],[Affected CMS
(§63.567(o)(3)(viii))
(Select from dropdown)]],Table22[#Data],2,FALSE))</f>
        <v/>
      </c>
      <c r="D410" s="132"/>
      <c r="E410" s="140"/>
    </row>
    <row r="411" spans="2:5" x14ac:dyDescent="0.3">
      <c r="B411" s="278" t="str">
        <f>IF(Table255[[#This Row],[Affected CMS
(§63.567(o)(3)(viii))
(Select from dropdown)]]="","",VLOOKUP(Table255[[#This Row],[Affected CMS
(§63.567(o)(3)(viii))
(Select from dropdown)]],Table22[#Data],2,FALSE))</f>
        <v/>
      </c>
      <c r="D411" s="132"/>
      <c r="E411" s="140"/>
    </row>
    <row r="412" spans="2:5" x14ac:dyDescent="0.3">
      <c r="B412" s="278" t="str">
        <f>IF(Table255[[#This Row],[Affected CMS
(§63.567(o)(3)(viii))
(Select from dropdown)]]="","",VLOOKUP(Table255[[#This Row],[Affected CMS
(§63.567(o)(3)(viii))
(Select from dropdown)]],Table22[#Data],2,FALSE))</f>
        <v/>
      </c>
      <c r="D412" s="132"/>
      <c r="E412" s="140"/>
    </row>
    <row r="413" spans="2:5" x14ac:dyDescent="0.3">
      <c r="B413" s="278" t="str">
        <f>IF(Table255[[#This Row],[Affected CMS
(§63.567(o)(3)(viii))
(Select from dropdown)]]="","",VLOOKUP(Table255[[#This Row],[Affected CMS
(§63.567(o)(3)(viii))
(Select from dropdown)]],Table22[#Data],2,FALSE))</f>
        <v/>
      </c>
      <c r="D413" s="132"/>
      <c r="E413" s="140"/>
    </row>
    <row r="414" spans="2:5" x14ac:dyDescent="0.3">
      <c r="B414" s="278" t="str">
        <f>IF(Table255[[#This Row],[Affected CMS
(§63.567(o)(3)(viii))
(Select from dropdown)]]="","",VLOOKUP(Table255[[#This Row],[Affected CMS
(§63.567(o)(3)(viii))
(Select from dropdown)]],Table22[#Data],2,FALSE))</f>
        <v/>
      </c>
      <c r="D414" s="132"/>
      <c r="E414" s="140"/>
    </row>
    <row r="415" spans="2:5" x14ac:dyDescent="0.3">
      <c r="B415" s="278" t="str">
        <f>IF(Table255[[#This Row],[Affected CMS
(§63.567(o)(3)(viii))
(Select from dropdown)]]="","",VLOOKUP(Table255[[#This Row],[Affected CMS
(§63.567(o)(3)(viii))
(Select from dropdown)]],Table22[#Data],2,FALSE))</f>
        <v/>
      </c>
      <c r="D415" s="132"/>
      <c r="E415" s="140"/>
    </row>
    <row r="416" spans="2:5" x14ac:dyDescent="0.3">
      <c r="B416" s="278" t="str">
        <f>IF(Table255[[#This Row],[Affected CMS
(§63.567(o)(3)(viii))
(Select from dropdown)]]="","",VLOOKUP(Table255[[#This Row],[Affected CMS
(§63.567(o)(3)(viii))
(Select from dropdown)]],Table22[#Data],2,FALSE))</f>
        <v/>
      </c>
      <c r="D416" s="132"/>
      <c r="E416" s="140"/>
    </row>
    <row r="417" spans="2:5" x14ac:dyDescent="0.3">
      <c r="B417" s="278" t="str">
        <f>IF(Table255[[#This Row],[Affected CMS
(§63.567(o)(3)(viii))
(Select from dropdown)]]="","",VLOOKUP(Table255[[#This Row],[Affected CMS
(§63.567(o)(3)(viii))
(Select from dropdown)]],Table22[#Data],2,FALSE))</f>
        <v/>
      </c>
      <c r="D417" s="132"/>
      <c r="E417" s="140"/>
    </row>
    <row r="418" spans="2:5" x14ac:dyDescent="0.3">
      <c r="B418" s="278" t="str">
        <f>IF(Table255[[#This Row],[Affected CMS
(§63.567(o)(3)(viii))
(Select from dropdown)]]="","",VLOOKUP(Table255[[#This Row],[Affected CMS
(§63.567(o)(3)(viii))
(Select from dropdown)]],Table22[#Data],2,FALSE))</f>
        <v/>
      </c>
      <c r="D418" s="132"/>
      <c r="E418" s="140"/>
    </row>
    <row r="419" spans="2:5" x14ac:dyDescent="0.3">
      <c r="B419" s="278" t="str">
        <f>IF(Table255[[#This Row],[Affected CMS
(§63.567(o)(3)(viii))
(Select from dropdown)]]="","",VLOOKUP(Table255[[#This Row],[Affected CMS
(§63.567(o)(3)(viii))
(Select from dropdown)]],Table22[#Data],2,FALSE))</f>
        <v/>
      </c>
      <c r="D419" s="132"/>
      <c r="E419" s="140"/>
    </row>
    <row r="420" spans="2:5" x14ac:dyDescent="0.3">
      <c r="B420" s="278" t="str">
        <f>IF(Table255[[#This Row],[Affected CMS
(§63.567(o)(3)(viii))
(Select from dropdown)]]="","",VLOOKUP(Table255[[#This Row],[Affected CMS
(§63.567(o)(3)(viii))
(Select from dropdown)]],Table22[#Data],2,FALSE))</f>
        <v/>
      </c>
      <c r="D420" s="132"/>
      <c r="E420" s="140"/>
    </row>
    <row r="421" spans="2:5" x14ac:dyDescent="0.3">
      <c r="B421" s="278" t="str">
        <f>IF(Table255[[#This Row],[Affected CMS
(§63.567(o)(3)(viii))
(Select from dropdown)]]="","",VLOOKUP(Table255[[#This Row],[Affected CMS
(§63.567(o)(3)(viii))
(Select from dropdown)]],Table22[#Data],2,FALSE))</f>
        <v/>
      </c>
      <c r="D421" s="132"/>
      <c r="E421" s="140"/>
    </row>
    <row r="422" spans="2:5" x14ac:dyDescent="0.3">
      <c r="B422" s="278" t="str">
        <f>IF(Table255[[#This Row],[Affected CMS
(§63.567(o)(3)(viii))
(Select from dropdown)]]="","",VLOOKUP(Table255[[#This Row],[Affected CMS
(§63.567(o)(3)(viii))
(Select from dropdown)]],Table22[#Data],2,FALSE))</f>
        <v/>
      </c>
      <c r="D422" s="132"/>
      <c r="E422" s="140"/>
    </row>
    <row r="423" spans="2:5" x14ac:dyDescent="0.3">
      <c r="B423" s="278" t="str">
        <f>IF(Table255[[#This Row],[Affected CMS
(§63.567(o)(3)(viii))
(Select from dropdown)]]="","",VLOOKUP(Table255[[#This Row],[Affected CMS
(§63.567(o)(3)(viii))
(Select from dropdown)]],Table22[#Data],2,FALSE))</f>
        <v/>
      </c>
      <c r="D423" s="132"/>
      <c r="E423" s="140"/>
    </row>
    <row r="424" spans="2:5" x14ac:dyDescent="0.3">
      <c r="B424" s="278" t="str">
        <f>IF(Table255[[#This Row],[Affected CMS
(§63.567(o)(3)(viii))
(Select from dropdown)]]="","",VLOOKUP(Table255[[#This Row],[Affected CMS
(§63.567(o)(3)(viii))
(Select from dropdown)]],Table22[#Data],2,FALSE))</f>
        <v/>
      </c>
      <c r="D424" s="132"/>
      <c r="E424" s="140"/>
    </row>
    <row r="425" spans="2:5" x14ac:dyDescent="0.3">
      <c r="B425" s="278" t="str">
        <f>IF(Table255[[#This Row],[Affected CMS
(§63.567(o)(3)(viii))
(Select from dropdown)]]="","",VLOOKUP(Table255[[#This Row],[Affected CMS
(§63.567(o)(3)(viii))
(Select from dropdown)]],Table22[#Data],2,FALSE))</f>
        <v/>
      </c>
      <c r="D425" s="132"/>
      <c r="E425" s="140"/>
    </row>
    <row r="426" spans="2:5" x14ac:dyDescent="0.3">
      <c r="B426" s="278" t="str">
        <f>IF(Table255[[#This Row],[Affected CMS
(§63.567(o)(3)(viii))
(Select from dropdown)]]="","",VLOOKUP(Table255[[#This Row],[Affected CMS
(§63.567(o)(3)(viii))
(Select from dropdown)]],Table22[#Data],2,FALSE))</f>
        <v/>
      </c>
      <c r="D426" s="132"/>
      <c r="E426" s="140"/>
    </row>
    <row r="427" spans="2:5" x14ac:dyDescent="0.3">
      <c r="B427" s="278" t="str">
        <f>IF(Table255[[#This Row],[Affected CMS
(§63.567(o)(3)(viii))
(Select from dropdown)]]="","",VLOOKUP(Table255[[#This Row],[Affected CMS
(§63.567(o)(3)(viii))
(Select from dropdown)]],Table22[#Data],2,FALSE))</f>
        <v/>
      </c>
      <c r="D427" s="132"/>
      <c r="E427" s="140"/>
    </row>
    <row r="428" spans="2:5" x14ac:dyDescent="0.3">
      <c r="B428" s="278" t="str">
        <f>IF(Table255[[#This Row],[Affected CMS
(§63.567(o)(3)(viii))
(Select from dropdown)]]="","",VLOOKUP(Table255[[#This Row],[Affected CMS
(§63.567(o)(3)(viii))
(Select from dropdown)]],Table22[#Data],2,FALSE))</f>
        <v/>
      </c>
      <c r="D428" s="132"/>
      <c r="E428" s="140"/>
    </row>
    <row r="429" spans="2:5" x14ac:dyDescent="0.3">
      <c r="B429" s="278" t="str">
        <f>IF(Table255[[#This Row],[Affected CMS
(§63.567(o)(3)(viii))
(Select from dropdown)]]="","",VLOOKUP(Table255[[#This Row],[Affected CMS
(§63.567(o)(3)(viii))
(Select from dropdown)]],Table22[#Data],2,FALSE))</f>
        <v/>
      </c>
      <c r="D429" s="132"/>
      <c r="E429" s="140"/>
    </row>
    <row r="430" spans="2:5" x14ac:dyDescent="0.3">
      <c r="B430" s="278" t="str">
        <f>IF(Table255[[#This Row],[Affected CMS
(§63.567(o)(3)(viii))
(Select from dropdown)]]="","",VLOOKUP(Table255[[#This Row],[Affected CMS
(§63.567(o)(3)(viii))
(Select from dropdown)]],Table22[#Data],2,FALSE))</f>
        <v/>
      </c>
      <c r="D430" s="132"/>
      <c r="E430" s="140"/>
    </row>
    <row r="431" spans="2:5" x14ac:dyDescent="0.3">
      <c r="B431" s="278" t="str">
        <f>IF(Table255[[#This Row],[Affected CMS
(§63.567(o)(3)(viii))
(Select from dropdown)]]="","",VLOOKUP(Table255[[#This Row],[Affected CMS
(§63.567(o)(3)(viii))
(Select from dropdown)]],Table22[#Data],2,FALSE))</f>
        <v/>
      </c>
      <c r="D431" s="132"/>
      <c r="E431" s="140"/>
    </row>
    <row r="432" spans="2:5" x14ac:dyDescent="0.3">
      <c r="B432" s="278" t="str">
        <f>IF(Table255[[#This Row],[Affected CMS
(§63.567(o)(3)(viii))
(Select from dropdown)]]="","",VLOOKUP(Table255[[#This Row],[Affected CMS
(§63.567(o)(3)(viii))
(Select from dropdown)]],Table22[#Data],2,FALSE))</f>
        <v/>
      </c>
      <c r="D432" s="132"/>
      <c r="E432" s="140"/>
    </row>
    <row r="433" spans="2:5" x14ac:dyDescent="0.3">
      <c r="B433" s="278" t="str">
        <f>IF(Table255[[#This Row],[Affected CMS
(§63.567(o)(3)(viii))
(Select from dropdown)]]="","",VLOOKUP(Table255[[#This Row],[Affected CMS
(§63.567(o)(3)(viii))
(Select from dropdown)]],Table22[#Data],2,FALSE))</f>
        <v/>
      </c>
      <c r="D433" s="132"/>
      <c r="E433" s="140"/>
    </row>
    <row r="434" spans="2:5" x14ac:dyDescent="0.3">
      <c r="B434" s="278" t="str">
        <f>IF(Table255[[#This Row],[Affected CMS
(§63.567(o)(3)(viii))
(Select from dropdown)]]="","",VLOOKUP(Table255[[#This Row],[Affected CMS
(§63.567(o)(3)(viii))
(Select from dropdown)]],Table22[#Data],2,FALSE))</f>
        <v/>
      </c>
      <c r="D434" s="132"/>
      <c r="E434" s="140"/>
    </row>
    <row r="435" spans="2:5" x14ac:dyDescent="0.3">
      <c r="B435" s="278" t="str">
        <f>IF(Table255[[#This Row],[Affected CMS
(§63.567(o)(3)(viii))
(Select from dropdown)]]="","",VLOOKUP(Table255[[#This Row],[Affected CMS
(§63.567(o)(3)(viii))
(Select from dropdown)]],Table22[#Data],2,FALSE))</f>
        <v/>
      </c>
      <c r="D435" s="132"/>
      <c r="E435" s="140"/>
    </row>
    <row r="436" spans="2:5" x14ac:dyDescent="0.3">
      <c r="B436" s="278" t="str">
        <f>IF(Table255[[#This Row],[Affected CMS
(§63.567(o)(3)(viii))
(Select from dropdown)]]="","",VLOOKUP(Table255[[#This Row],[Affected CMS
(§63.567(o)(3)(viii))
(Select from dropdown)]],Table22[#Data],2,FALSE))</f>
        <v/>
      </c>
      <c r="D436" s="132"/>
      <c r="E436" s="140"/>
    </row>
    <row r="437" spans="2:5" x14ac:dyDescent="0.3">
      <c r="B437" s="278" t="str">
        <f>IF(Table255[[#This Row],[Affected CMS
(§63.567(o)(3)(viii))
(Select from dropdown)]]="","",VLOOKUP(Table255[[#This Row],[Affected CMS
(§63.567(o)(3)(viii))
(Select from dropdown)]],Table22[#Data],2,FALSE))</f>
        <v/>
      </c>
      <c r="D437" s="132"/>
      <c r="E437" s="140"/>
    </row>
    <row r="438" spans="2:5" x14ac:dyDescent="0.3">
      <c r="B438" s="278" t="str">
        <f>IF(Table255[[#This Row],[Affected CMS
(§63.567(o)(3)(viii))
(Select from dropdown)]]="","",VLOOKUP(Table255[[#This Row],[Affected CMS
(§63.567(o)(3)(viii))
(Select from dropdown)]],Table22[#Data],2,FALSE))</f>
        <v/>
      </c>
      <c r="D438" s="132"/>
      <c r="E438" s="140"/>
    </row>
    <row r="439" spans="2:5" x14ac:dyDescent="0.3">
      <c r="B439" s="278" t="str">
        <f>IF(Table255[[#This Row],[Affected CMS
(§63.567(o)(3)(viii))
(Select from dropdown)]]="","",VLOOKUP(Table255[[#This Row],[Affected CMS
(§63.567(o)(3)(viii))
(Select from dropdown)]],Table22[#Data],2,FALSE))</f>
        <v/>
      </c>
      <c r="D439" s="132"/>
      <c r="E439" s="140"/>
    </row>
    <row r="440" spans="2:5" x14ac:dyDescent="0.3">
      <c r="B440" s="278" t="str">
        <f>IF(Table255[[#This Row],[Affected CMS
(§63.567(o)(3)(viii))
(Select from dropdown)]]="","",VLOOKUP(Table255[[#This Row],[Affected CMS
(§63.567(o)(3)(viii))
(Select from dropdown)]],Table22[#Data],2,FALSE))</f>
        <v/>
      </c>
      <c r="D440" s="132"/>
      <c r="E440" s="140"/>
    </row>
    <row r="441" spans="2:5" x14ac:dyDescent="0.3">
      <c r="B441" s="278" t="str">
        <f>IF(Table255[[#This Row],[Affected CMS
(§63.567(o)(3)(viii))
(Select from dropdown)]]="","",VLOOKUP(Table255[[#This Row],[Affected CMS
(§63.567(o)(3)(viii))
(Select from dropdown)]],Table22[#Data],2,FALSE))</f>
        <v/>
      </c>
      <c r="D441" s="132"/>
      <c r="E441" s="140"/>
    </row>
    <row r="442" spans="2:5" x14ac:dyDescent="0.3">
      <c r="B442" s="278" t="str">
        <f>IF(Table255[[#This Row],[Affected CMS
(§63.567(o)(3)(viii))
(Select from dropdown)]]="","",VLOOKUP(Table255[[#This Row],[Affected CMS
(§63.567(o)(3)(viii))
(Select from dropdown)]],Table22[#Data],2,FALSE))</f>
        <v/>
      </c>
      <c r="D442" s="132"/>
      <c r="E442" s="140"/>
    </row>
    <row r="443" spans="2:5" x14ac:dyDescent="0.3">
      <c r="B443" s="278" t="str">
        <f>IF(Table255[[#This Row],[Affected CMS
(§63.567(o)(3)(viii))
(Select from dropdown)]]="","",VLOOKUP(Table255[[#This Row],[Affected CMS
(§63.567(o)(3)(viii))
(Select from dropdown)]],Table22[#Data],2,FALSE))</f>
        <v/>
      </c>
      <c r="D443" s="132"/>
      <c r="E443" s="140"/>
    </row>
    <row r="444" spans="2:5" x14ac:dyDescent="0.3">
      <c r="B444" s="278" t="str">
        <f>IF(Table255[[#This Row],[Affected CMS
(§63.567(o)(3)(viii))
(Select from dropdown)]]="","",VLOOKUP(Table255[[#This Row],[Affected CMS
(§63.567(o)(3)(viii))
(Select from dropdown)]],Table22[#Data],2,FALSE))</f>
        <v/>
      </c>
      <c r="D444" s="132"/>
      <c r="E444" s="140"/>
    </row>
    <row r="445" spans="2:5" x14ac:dyDescent="0.3">
      <c r="B445" s="278" t="str">
        <f>IF(Table255[[#This Row],[Affected CMS
(§63.567(o)(3)(viii))
(Select from dropdown)]]="","",VLOOKUP(Table255[[#This Row],[Affected CMS
(§63.567(o)(3)(viii))
(Select from dropdown)]],Table22[#Data],2,FALSE))</f>
        <v/>
      </c>
      <c r="D445" s="132"/>
      <c r="E445" s="140"/>
    </row>
    <row r="446" spans="2:5" x14ac:dyDescent="0.3">
      <c r="B446" s="278" t="str">
        <f>IF(Table255[[#This Row],[Affected CMS
(§63.567(o)(3)(viii))
(Select from dropdown)]]="","",VLOOKUP(Table255[[#This Row],[Affected CMS
(§63.567(o)(3)(viii))
(Select from dropdown)]],Table22[#Data],2,FALSE))</f>
        <v/>
      </c>
      <c r="D446" s="132"/>
      <c r="E446" s="140"/>
    </row>
    <row r="447" spans="2:5" x14ac:dyDescent="0.3">
      <c r="B447" s="278" t="str">
        <f>IF(Table255[[#This Row],[Affected CMS
(§63.567(o)(3)(viii))
(Select from dropdown)]]="","",VLOOKUP(Table255[[#This Row],[Affected CMS
(§63.567(o)(3)(viii))
(Select from dropdown)]],Table22[#Data],2,FALSE))</f>
        <v/>
      </c>
      <c r="D447" s="132"/>
      <c r="E447" s="140"/>
    </row>
    <row r="448" spans="2:5" x14ac:dyDescent="0.3">
      <c r="B448" s="278" t="str">
        <f>IF(Table255[[#This Row],[Affected CMS
(§63.567(o)(3)(viii))
(Select from dropdown)]]="","",VLOOKUP(Table255[[#This Row],[Affected CMS
(§63.567(o)(3)(viii))
(Select from dropdown)]],Table22[#Data],2,FALSE))</f>
        <v/>
      </c>
      <c r="D448" s="132"/>
      <c r="E448" s="140"/>
    </row>
    <row r="449" spans="2:5" x14ac:dyDescent="0.3">
      <c r="B449" s="278" t="str">
        <f>IF(Table255[[#This Row],[Affected CMS
(§63.567(o)(3)(viii))
(Select from dropdown)]]="","",VLOOKUP(Table255[[#This Row],[Affected CMS
(§63.567(o)(3)(viii))
(Select from dropdown)]],Table22[#Data],2,FALSE))</f>
        <v/>
      </c>
      <c r="D449" s="132"/>
      <c r="E449" s="140"/>
    </row>
    <row r="450" spans="2:5" x14ac:dyDescent="0.3">
      <c r="B450" s="278" t="str">
        <f>IF(Table255[[#This Row],[Affected CMS
(§63.567(o)(3)(viii))
(Select from dropdown)]]="","",VLOOKUP(Table255[[#This Row],[Affected CMS
(§63.567(o)(3)(viii))
(Select from dropdown)]],Table22[#Data],2,FALSE))</f>
        <v/>
      </c>
      <c r="D450" s="132"/>
      <c r="E450" s="140"/>
    </row>
    <row r="451" spans="2:5" x14ac:dyDescent="0.3">
      <c r="B451" s="278" t="str">
        <f>IF(Table255[[#This Row],[Affected CMS
(§63.567(o)(3)(viii))
(Select from dropdown)]]="","",VLOOKUP(Table255[[#This Row],[Affected CMS
(§63.567(o)(3)(viii))
(Select from dropdown)]],Table22[#Data],2,FALSE))</f>
        <v/>
      </c>
      <c r="D451" s="132"/>
      <c r="E451" s="140"/>
    </row>
    <row r="452" spans="2:5" x14ac:dyDescent="0.3">
      <c r="B452" s="278" t="str">
        <f>IF(Table255[[#This Row],[Affected CMS
(§63.567(o)(3)(viii))
(Select from dropdown)]]="","",VLOOKUP(Table255[[#This Row],[Affected CMS
(§63.567(o)(3)(viii))
(Select from dropdown)]],Table22[#Data],2,FALSE))</f>
        <v/>
      </c>
      <c r="D452" s="132"/>
      <c r="E452" s="140"/>
    </row>
    <row r="453" spans="2:5" x14ac:dyDescent="0.3">
      <c r="B453" s="278" t="str">
        <f>IF(Table255[[#This Row],[Affected CMS
(§63.567(o)(3)(viii))
(Select from dropdown)]]="","",VLOOKUP(Table255[[#This Row],[Affected CMS
(§63.567(o)(3)(viii))
(Select from dropdown)]],Table22[#Data],2,FALSE))</f>
        <v/>
      </c>
      <c r="D453" s="132"/>
      <c r="E453" s="140"/>
    </row>
    <row r="454" spans="2:5" x14ac:dyDescent="0.3">
      <c r="B454" s="278" t="str">
        <f>IF(Table255[[#This Row],[Affected CMS
(§63.567(o)(3)(viii))
(Select from dropdown)]]="","",VLOOKUP(Table255[[#This Row],[Affected CMS
(§63.567(o)(3)(viii))
(Select from dropdown)]],Table22[#Data],2,FALSE))</f>
        <v/>
      </c>
      <c r="D454" s="132"/>
      <c r="E454" s="140"/>
    </row>
    <row r="455" spans="2:5" x14ac:dyDescent="0.3">
      <c r="B455" s="278" t="str">
        <f>IF(Table255[[#This Row],[Affected CMS
(§63.567(o)(3)(viii))
(Select from dropdown)]]="","",VLOOKUP(Table255[[#This Row],[Affected CMS
(§63.567(o)(3)(viii))
(Select from dropdown)]],Table22[#Data],2,FALSE))</f>
        <v/>
      </c>
      <c r="D455" s="132"/>
      <c r="E455" s="140"/>
    </row>
    <row r="456" spans="2:5" x14ac:dyDescent="0.3">
      <c r="B456" s="278" t="str">
        <f>IF(Table255[[#This Row],[Affected CMS
(§63.567(o)(3)(viii))
(Select from dropdown)]]="","",VLOOKUP(Table255[[#This Row],[Affected CMS
(§63.567(o)(3)(viii))
(Select from dropdown)]],Table22[#Data],2,FALSE))</f>
        <v/>
      </c>
      <c r="D456" s="132"/>
      <c r="E456" s="140"/>
    </row>
    <row r="457" spans="2:5" x14ac:dyDescent="0.3">
      <c r="B457" s="278" t="str">
        <f>IF(Table255[[#This Row],[Affected CMS
(§63.567(o)(3)(viii))
(Select from dropdown)]]="","",VLOOKUP(Table255[[#This Row],[Affected CMS
(§63.567(o)(3)(viii))
(Select from dropdown)]],Table22[#Data],2,FALSE))</f>
        <v/>
      </c>
      <c r="D457" s="132"/>
      <c r="E457" s="140"/>
    </row>
    <row r="458" spans="2:5" x14ac:dyDescent="0.3">
      <c r="B458" s="278" t="str">
        <f>IF(Table255[[#This Row],[Affected CMS
(§63.567(o)(3)(viii))
(Select from dropdown)]]="","",VLOOKUP(Table255[[#This Row],[Affected CMS
(§63.567(o)(3)(viii))
(Select from dropdown)]],Table22[#Data],2,FALSE))</f>
        <v/>
      </c>
      <c r="D458" s="132"/>
      <c r="E458" s="140"/>
    </row>
    <row r="459" spans="2:5" x14ac:dyDescent="0.3">
      <c r="B459" s="278" t="str">
        <f>IF(Table255[[#This Row],[Affected CMS
(§63.567(o)(3)(viii))
(Select from dropdown)]]="","",VLOOKUP(Table255[[#This Row],[Affected CMS
(§63.567(o)(3)(viii))
(Select from dropdown)]],Table22[#Data],2,FALSE))</f>
        <v/>
      </c>
      <c r="D459" s="132"/>
      <c r="E459" s="140"/>
    </row>
    <row r="460" spans="2:5" x14ac:dyDescent="0.3">
      <c r="B460" s="278" t="str">
        <f>IF(Table255[[#This Row],[Affected CMS
(§63.567(o)(3)(viii))
(Select from dropdown)]]="","",VLOOKUP(Table255[[#This Row],[Affected CMS
(§63.567(o)(3)(viii))
(Select from dropdown)]],Table22[#Data],2,FALSE))</f>
        <v/>
      </c>
      <c r="D460" s="132"/>
      <c r="E460" s="140"/>
    </row>
    <row r="461" spans="2:5" x14ac:dyDescent="0.3">
      <c r="B461" s="278" t="str">
        <f>IF(Table255[[#This Row],[Affected CMS
(§63.567(o)(3)(viii))
(Select from dropdown)]]="","",VLOOKUP(Table255[[#This Row],[Affected CMS
(§63.567(o)(3)(viii))
(Select from dropdown)]],Table22[#Data],2,FALSE))</f>
        <v/>
      </c>
      <c r="D461" s="132"/>
      <c r="E461" s="140"/>
    </row>
    <row r="462" spans="2:5" x14ac:dyDescent="0.3">
      <c r="B462" s="278" t="str">
        <f>IF(Table255[[#This Row],[Affected CMS
(§63.567(o)(3)(viii))
(Select from dropdown)]]="","",VLOOKUP(Table255[[#This Row],[Affected CMS
(§63.567(o)(3)(viii))
(Select from dropdown)]],Table22[#Data],2,FALSE))</f>
        <v/>
      </c>
      <c r="D462" s="132"/>
      <c r="E462" s="140"/>
    </row>
    <row r="463" spans="2:5" x14ac:dyDescent="0.3">
      <c r="B463" s="278" t="str">
        <f>IF(Table255[[#This Row],[Affected CMS
(§63.567(o)(3)(viii))
(Select from dropdown)]]="","",VLOOKUP(Table255[[#This Row],[Affected CMS
(§63.567(o)(3)(viii))
(Select from dropdown)]],Table22[#Data],2,FALSE))</f>
        <v/>
      </c>
      <c r="D463" s="132"/>
      <c r="E463" s="140"/>
    </row>
    <row r="464" spans="2:5" x14ac:dyDescent="0.3">
      <c r="B464" s="278" t="str">
        <f>IF(Table255[[#This Row],[Affected CMS
(§63.567(o)(3)(viii))
(Select from dropdown)]]="","",VLOOKUP(Table255[[#This Row],[Affected CMS
(§63.567(o)(3)(viii))
(Select from dropdown)]],Table22[#Data],2,FALSE))</f>
        <v/>
      </c>
      <c r="D464" s="132"/>
      <c r="E464" s="140"/>
    </row>
    <row r="465" spans="2:5" x14ac:dyDescent="0.3">
      <c r="B465" s="278" t="str">
        <f>IF(Table255[[#This Row],[Affected CMS
(§63.567(o)(3)(viii))
(Select from dropdown)]]="","",VLOOKUP(Table255[[#This Row],[Affected CMS
(§63.567(o)(3)(viii))
(Select from dropdown)]],Table22[#Data],2,FALSE))</f>
        <v/>
      </c>
      <c r="D465" s="132"/>
      <c r="E465" s="140"/>
    </row>
    <row r="466" spans="2:5" x14ac:dyDescent="0.3">
      <c r="B466" s="278" t="str">
        <f>IF(Table255[[#This Row],[Affected CMS
(§63.567(o)(3)(viii))
(Select from dropdown)]]="","",VLOOKUP(Table255[[#This Row],[Affected CMS
(§63.567(o)(3)(viii))
(Select from dropdown)]],Table22[#Data],2,FALSE))</f>
        <v/>
      </c>
      <c r="D466" s="132"/>
      <c r="E466" s="140"/>
    </row>
    <row r="467" spans="2:5" x14ac:dyDescent="0.3">
      <c r="B467" s="278" t="str">
        <f>IF(Table255[[#This Row],[Affected CMS
(§63.567(o)(3)(viii))
(Select from dropdown)]]="","",VLOOKUP(Table255[[#This Row],[Affected CMS
(§63.567(o)(3)(viii))
(Select from dropdown)]],Table22[#Data],2,FALSE))</f>
        <v/>
      </c>
      <c r="D467" s="132"/>
      <c r="E467" s="140"/>
    </row>
    <row r="468" spans="2:5" x14ac:dyDescent="0.3">
      <c r="B468" s="278" t="str">
        <f>IF(Table255[[#This Row],[Affected CMS
(§63.567(o)(3)(viii))
(Select from dropdown)]]="","",VLOOKUP(Table255[[#This Row],[Affected CMS
(§63.567(o)(3)(viii))
(Select from dropdown)]],Table22[#Data],2,FALSE))</f>
        <v/>
      </c>
      <c r="D468" s="132"/>
      <c r="E468" s="140"/>
    </row>
    <row r="469" spans="2:5" x14ac:dyDescent="0.3">
      <c r="B469" s="278" t="str">
        <f>IF(Table255[[#This Row],[Affected CMS
(§63.567(o)(3)(viii))
(Select from dropdown)]]="","",VLOOKUP(Table255[[#This Row],[Affected CMS
(§63.567(o)(3)(viii))
(Select from dropdown)]],Table22[#Data],2,FALSE))</f>
        <v/>
      </c>
      <c r="D469" s="132"/>
      <c r="E469" s="140"/>
    </row>
    <row r="470" spans="2:5" x14ac:dyDescent="0.3">
      <c r="B470" s="278" t="str">
        <f>IF(Table255[[#This Row],[Affected CMS
(§63.567(o)(3)(viii))
(Select from dropdown)]]="","",VLOOKUP(Table255[[#This Row],[Affected CMS
(§63.567(o)(3)(viii))
(Select from dropdown)]],Table22[#Data],2,FALSE))</f>
        <v/>
      </c>
      <c r="D470" s="132"/>
      <c r="E470" s="140"/>
    </row>
    <row r="471" spans="2:5" x14ac:dyDescent="0.3">
      <c r="B471" s="278" t="str">
        <f>IF(Table255[[#This Row],[Affected CMS
(§63.567(o)(3)(viii))
(Select from dropdown)]]="","",VLOOKUP(Table255[[#This Row],[Affected CMS
(§63.567(o)(3)(viii))
(Select from dropdown)]],Table22[#Data],2,FALSE))</f>
        <v/>
      </c>
      <c r="D471" s="132"/>
      <c r="E471" s="140"/>
    </row>
    <row r="472" spans="2:5" x14ac:dyDescent="0.3">
      <c r="B472" s="278" t="str">
        <f>IF(Table255[[#This Row],[Affected CMS
(§63.567(o)(3)(viii))
(Select from dropdown)]]="","",VLOOKUP(Table255[[#This Row],[Affected CMS
(§63.567(o)(3)(viii))
(Select from dropdown)]],Table22[#Data],2,FALSE))</f>
        <v/>
      </c>
      <c r="D472" s="132"/>
      <c r="E472" s="140"/>
    </row>
    <row r="473" spans="2:5" x14ac:dyDescent="0.3">
      <c r="B473" s="278" t="str">
        <f>IF(Table255[[#This Row],[Affected CMS
(§63.567(o)(3)(viii))
(Select from dropdown)]]="","",VLOOKUP(Table255[[#This Row],[Affected CMS
(§63.567(o)(3)(viii))
(Select from dropdown)]],Table22[#Data],2,FALSE))</f>
        <v/>
      </c>
      <c r="D473" s="132"/>
      <c r="E473" s="140"/>
    </row>
    <row r="474" spans="2:5" x14ac:dyDescent="0.3">
      <c r="B474" s="278" t="str">
        <f>IF(Table255[[#This Row],[Affected CMS
(§63.567(o)(3)(viii))
(Select from dropdown)]]="","",VLOOKUP(Table255[[#This Row],[Affected CMS
(§63.567(o)(3)(viii))
(Select from dropdown)]],Table22[#Data],2,FALSE))</f>
        <v/>
      </c>
      <c r="D474" s="132"/>
      <c r="E474" s="140"/>
    </row>
    <row r="475" spans="2:5" x14ac:dyDescent="0.3">
      <c r="B475" s="278" t="str">
        <f>IF(Table255[[#This Row],[Affected CMS
(§63.567(o)(3)(viii))
(Select from dropdown)]]="","",VLOOKUP(Table255[[#This Row],[Affected CMS
(§63.567(o)(3)(viii))
(Select from dropdown)]],Table22[#Data],2,FALSE))</f>
        <v/>
      </c>
      <c r="D475" s="132"/>
      <c r="E475" s="140"/>
    </row>
    <row r="476" spans="2:5" x14ac:dyDescent="0.3">
      <c r="B476" s="278" t="str">
        <f>IF(Table255[[#This Row],[Affected CMS
(§63.567(o)(3)(viii))
(Select from dropdown)]]="","",VLOOKUP(Table255[[#This Row],[Affected CMS
(§63.567(o)(3)(viii))
(Select from dropdown)]],Table22[#Data],2,FALSE))</f>
        <v/>
      </c>
      <c r="D476" s="132"/>
      <c r="E476" s="140"/>
    </row>
    <row r="477" spans="2:5" x14ac:dyDescent="0.3">
      <c r="B477" s="278" t="str">
        <f>IF(Table255[[#This Row],[Affected CMS
(§63.567(o)(3)(viii))
(Select from dropdown)]]="","",VLOOKUP(Table255[[#This Row],[Affected CMS
(§63.567(o)(3)(viii))
(Select from dropdown)]],Table22[#Data],2,FALSE))</f>
        <v/>
      </c>
      <c r="D477" s="132"/>
      <c r="E477" s="140"/>
    </row>
    <row r="478" spans="2:5" x14ac:dyDescent="0.3">
      <c r="B478" s="278" t="str">
        <f>IF(Table255[[#This Row],[Affected CMS
(§63.567(o)(3)(viii))
(Select from dropdown)]]="","",VLOOKUP(Table255[[#This Row],[Affected CMS
(§63.567(o)(3)(viii))
(Select from dropdown)]],Table22[#Data],2,FALSE))</f>
        <v/>
      </c>
      <c r="D478" s="132"/>
      <c r="E478" s="140"/>
    </row>
    <row r="479" spans="2:5" x14ac:dyDescent="0.3">
      <c r="B479" s="278" t="str">
        <f>IF(Table255[[#This Row],[Affected CMS
(§63.567(o)(3)(viii))
(Select from dropdown)]]="","",VLOOKUP(Table255[[#This Row],[Affected CMS
(§63.567(o)(3)(viii))
(Select from dropdown)]],Table22[#Data],2,FALSE))</f>
        <v/>
      </c>
      <c r="D479" s="132"/>
      <c r="E479" s="140"/>
    </row>
    <row r="480" spans="2:5" x14ac:dyDescent="0.3">
      <c r="B480" s="278" t="str">
        <f>IF(Table255[[#This Row],[Affected CMS
(§63.567(o)(3)(viii))
(Select from dropdown)]]="","",VLOOKUP(Table255[[#This Row],[Affected CMS
(§63.567(o)(3)(viii))
(Select from dropdown)]],Table22[#Data],2,FALSE))</f>
        <v/>
      </c>
      <c r="D480" s="132"/>
      <c r="E480" s="140"/>
    </row>
    <row r="481" spans="2:5" x14ac:dyDescent="0.3">
      <c r="B481" s="278" t="str">
        <f>IF(Table255[[#This Row],[Affected CMS
(§63.567(o)(3)(viii))
(Select from dropdown)]]="","",VLOOKUP(Table255[[#This Row],[Affected CMS
(§63.567(o)(3)(viii))
(Select from dropdown)]],Table22[#Data],2,FALSE))</f>
        <v/>
      </c>
      <c r="D481" s="132"/>
      <c r="E481" s="140"/>
    </row>
    <row r="482" spans="2:5" x14ac:dyDescent="0.3">
      <c r="B482" s="278" t="str">
        <f>IF(Table255[[#This Row],[Affected CMS
(§63.567(o)(3)(viii))
(Select from dropdown)]]="","",VLOOKUP(Table255[[#This Row],[Affected CMS
(§63.567(o)(3)(viii))
(Select from dropdown)]],Table22[#Data],2,FALSE))</f>
        <v/>
      </c>
      <c r="D482" s="132"/>
      <c r="E482" s="140"/>
    </row>
    <row r="483" spans="2:5" x14ac:dyDescent="0.3">
      <c r="B483" s="278" t="str">
        <f>IF(Table255[[#This Row],[Affected CMS
(§63.567(o)(3)(viii))
(Select from dropdown)]]="","",VLOOKUP(Table255[[#This Row],[Affected CMS
(§63.567(o)(3)(viii))
(Select from dropdown)]],Table22[#Data],2,FALSE))</f>
        <v/>
      </c>
      <c r="D483" s="132"/>
      <c r="E483" s="140"/>
    </row>
    <row r="484" spans="2:5" x14ac:dyDescent="0.3">
      <c r="B484" s="278" t="str">
        <f>IF(Table255[[#This Row],[Affected CMS
(§63.567(o)(3)(viii))
(Select from dropdown)]]="","",VLOOKUP(Table255[[#This Row],[Affected CMS
(§63.567(o)(3)(viii))
(Select from dropdown)]],Table22[#Data],2,FALSE))</f>
        <v/>
      </c>
      <c r="D484" s="132"/>
      <c r="E484" s="140"/>
    </row>
    <row r="485" spans="2:5" x14ac:dyDescent="0.3">
      <c r="B485" s="278" t="str">
        <f>IF(Table255[[#This Row],[Affected CMS
(§63.567(o)(3)(viii))
(Select from dropdown)]]="","",VLOOKUP(Table255[[#This Row],[Affected CMS
(§63.567(o)(3)(viii))
(Select from dropdown)]],Table22[#Data],2,FALSE))</f>
        <v/>
      </c>
      <c r="D485" s="132"/>
      <c r="E485" s="140"/>
    </row>
    <row r="486" spans="2:5" x14ac:dyDescent="0.3">
      <c r="B486" s="278" t="str">
        <f>IF(Table255[[#This Row],[Affected CMS
(§63.567(o)(3)(viii))
(Select from dropdown)]]="","",VLOOKUP(Table255[[#This Row],[Affected CMS
(§63.567(o)(3)(viii))
(Select from dropdown)]],Table22[#Data],2,FALSE))</f>
        <v/>
      </c>
      <c r="D486" s="132"/>
      <c r="E486" s="140"/>
    </row>
    <row r="487" spans="2:5" x14ac:dyDescent="0.3">
      <c r="B487" s="278" t="str">
        <f>IF(Table255[[#This Row],[Affected CMS
(§63.567(o)(3)(viii))
(Select from dropdown)]]="","",VLOOKUP(Table255[[#This Row],[Affected CMS
(§63.567(o)(3)(viii))
(Select from dropdown)]],Table22[#Data],2,FALSE))</f>
        <v/>
      </c>
      <c r="D487" s="132"/>
      <c r="E487" s="140"/>
    </row>
    <row r="488" spans="2:5" x14ac:dyDescent="0.3">
      <c r="B488" s="278" t="str">
        <f>IF(Table255[[#This Row],[Affected CMS
(§63.567(o)(3)(viii))
(Select from dropdown)]]="","",VLOOKUP(Table255[[#This Row],[Affected CMS
(§63.567(o)(3)(viii))
(Select from dropdown)]],Table22[#Data],2,FALSE))</f>
        <v/>
      </c>
      <c r="D488" s="132"/>
      <c r="E488" s="140"/>
    </row>
    <row r="489" spans="2:5" x14ac:dyDescent="0.3">
      <c r="B489" s="278" t="str">
        <f>IF(Table255[[#This Row],[Affected CMS
(§63.567(o)(3)(viii))
(Select from dropdown)]]="","",VLOOKUP(Table255[[#This Row],[Affected CMS
(§63.567(o)(3)(viii))
(Select from dropdown)]],Table22[#Data],2,FALSE))</f>
        <v/>
      </c>
      <c r="D489" s="132"/>
      <c r="E489" s="140"/>
    </row>
    <row r="490" spans="2:5" x14ac:dyDescent="0.3">
      <c r="B490" s="278" t="str">
        <f>IF(Table255[[#This Row],[Affected CMS
(§63.567(o)(3)(viii))
(Select from dropdown)]]="","",VLOOKUP(Table255[[#This Row],[Affected CMS
(§63.567(o)(3)(viii))
(Select from dropdown)]],Table22[#Data],2,FALSE))</f>
        <v/>
      </c>
      <c r="D490" s="132"/>
      <c r="E490" s="140"/>
    </row>
    <row r="491" spans="2:5" x14ac:dyDescent="0.3">
      <c r="B491" s="278" t="str">
        <f>IF(Table255[[#This Row],[Affected CMS
(§63.567(o)(3)(viii))
(Select from dropdown)]]="","",VLOOKUP(Table255[[#This Row],[Affected CMS
(§63.567(o)(3)(viii))
(Select from dropdown)]],Table22[#Data],2,FALSE))</f>
        <v/>
      </c>
      <c r="D491" s="132"/>
      <c r="E491" s="140"/>
    </row>
    <row r="492" spans="2:5" x14ac:dyDescent="0.3">
      <c r="B492" s="278" t="str">
        <f>IF(Table255[[#This Row],[Affected CMS
(§63.567(o)(3)(viii))
(Select from dropdown)]]="","",VLOOKUP(Table255[[#This Row],[Affected CMS
(§63.567(o)(3)(viii))
(Select from dropdown)]],Table22[#Data],2,FALSE))</f>
        <v/>
      </c>
      <c r="D492" s="132"/>
      <c r="E492" s="140"/>
    </row>
    <row r="493" spans="2:5" x14ac:dyDescent="0.3">
      <c r="B493" s="278" t="str">
        <f>IF(Table255[[#This Row],[Affected CMS
(§63.567(o)(3)(viii))
(Select from dropdown)]]="","",VLOOKUP(Table255[[#This Row],[Affected CMS
(§63.567(o)(3)(viii))
(Select from dropdown)]],Table22[#Data],2,FALSE))</f>
        <v/>
      </c>
      <c r="D493" s="132"/>
      <c r="E493" s="140"/>
    </row>
    <row r="494" spans="2:5" x14ac:dyDescent="0.3">
      <c r="B494" s="278" t="str">
        <f>IF(Table255[[#This Row],[Affected CMS
(§63.567(o)(3)(viii))
(Select from dropdown)]]="","",VLOOKUP(Table255[[#This Row],[Affected CMS
(§63.567(o)(3)(viii))
(Select from dropdown)]],Table22[#Data],2,FALSE))</f>
        <v/>
      </c>
      <c r="D494" s="132"/>
      <c r="E494" s="140"/>
    </row>
    <row r="495" spans="2:5" x14ac:dyDescent="0.3">
      <c r="B495" s="278" t="str">
        <f>IF(Table255[[#This Row],[Affected CMS
(§63.567(o)(3)(viii))
(Select from dropdown)]]="","",VLOOKUP(Table255[[#This Row],[Affected CMS
(§63.567(o)(3)(viii))
(Select from dropdown)]],Table22[#Data],2,FALSE))</f>
        <v/>
      </c>
      <c r="D495" s="132"/>
      <c r="E495" s="140"/>
    </row>
    <row r="496" spans="2:5" x14ac:dyDescent="0.3">
      <c r="B496" s="278" t="str">
        <f>IF(Table255[[#This Row],[Affected CMS
(§63.567(o)(3)(viii))
(Select from dropdown)]]="","",VLOOKUP(Table255[[#This Row],[Affected CMS
(§63.567(o)(3)(viii))
(Select from dropdown)]],Table22[#Data],2,FALSE))</f>
        <v/>
      </c>
      <c r="D496" s="132"/>
      <c r="E496" s="140"/>
    </row>
    <row r="497" spans="2:5" x14ac:dyDescent="0.3">
      <c r="B497" s="278" t="str">
        <f>IF(Table255[[#This Row],[Affected CMS
(§63.567(o)(3)(viii))
(Select from dropdown)]]="","",VLOOKUP(Table255[[#This Row],[Affected CMS
(§63.567(o)(3)(viii))
(Select from dropdown)]],Table22[#Data],2,FALSE))</f>
        <v/>
      </c>
      <c r="D497" s="132"/>
      <c r="E497" s="140"/>
    </row>
    <row r="498" spans="2:5" x14ac:dyDescent="0.3">
      <c r="B498" s="278" t="str">
        <f>IF(Table255[[#This Row],[Affected CMS
(§63.567(o)(3)(viii))
(Select from dropdown)]]="","",VLOOKUP(Table255[[#This Row],[Affected CMS
(§63.567(o)(3)(viii))
(Select from dropdown)]],Table22[#Data],2,FALSE))</f>
        <v/>
      </c>
      <c r="D498" s="132"/>
      <c r="E498" s="140"/>
    </row>
    <row r="499" spans="2:5" x14ac:dyDescent="0.3">
      <c r="B499" s="278" t="str">
        <f>IF(Table255[[#This Row],[Affected CMS
(§63.567(o)(3)(viii))
(Select from dropdown)]]="","",VLOOKUP(Table255[[#This Row],[Affected CMS
(§63.567(o)(3)(viii))
(Select from dropdown)]],Table22[#Data],2,FALSE))</f>
        <v/>
      </c>
      <c r="D499" s="132"/>
      <c r="E499" s="140"/>
    </row>
    <row r="500" spans="2:5" x14ac:dyDescent="0.3">
      <c r="B500" s="278" t="str">
        <f>IF(Table255[[#This Row],[Affected CMS
(§63.567(o)(3)(viii))
(Select from dropdown)]]="","",VLOOKUP(Table255[[#This Row],[Affected CMS
(§63.567(o)(3)(viii))
(Select from dropdown)]],Table22[#Data],2,FALSE))</f>
        <v/>
      </c>
      <c r="D500" s="132"/>
      <c r="E500" s="140"/>
    </row>
    <row r="501" spans="2:5" x14ac:dyDescent="0.3">
      <c r="B501" s="278" t="str">
        <f>IF(Table255[[#This Row],[Affected CMS
(§63.567(o)(3)(viii))
(Select from dropdown)]]="","",VLOOKUP(Table255[[#This Row],[Affected CMS
(§63.567(o)(3)(viii))
(Select from dropdown)]],Table22[#Data],2,FALSE))</f>
        <v/>
      </c>
      <c r="D501" s="132"/>
      <c r="E501" s="140"/>
    </row>
    <row r="502" spans="2:5" x14ac:dyDescent="0.3">
      <c r="B502" s="278" t="str">
        <f>IF(Table255[[#This Row],[Affected CMS
(§63.567(o)(3)(viii))
(Select from dropdown)]]="","",VLOOKUP(Table255[[#This Row],[Affected CMS
(§63.567(o)(3)(viii))
(Select from dropdown)]],Table22[#Data],2,FALSE))</f>
        <v/>
      </c>
      <c r="D502" s="132"/>
      <c r="E502" s="140"/>
    </row>
    <row r="503" spans="2:5" x14ac:dyDescent="0.3">
      <c r="B503" s="278" t="str">
        <f>IF(Table255[[#This Row],[Affected CMS
(§63.567(o)(3)(viii))
(Select from dropdown)]]="","",VLOOKUP(Table255[[#This Row],[Affected CMS
(§63.567(o)(3)(viii))
(Select from dropdown)]],Table22[#Data],2,FALSE))</f>
        <v/>
      </c>
      <c r="D503" s="132"/>
      <c r="E503" s="140"/>
    </row>
    <row r="504" spans="2:5" x14ac:dyDescent="0.3">
      <c r="B504" s="278" t="str">
        <f>IF(Table255[[#This Row],[Affected CMS
(§63.567(o)(3)(viii))
(Select from dropdown)]]="","",VLOOKUP(Table255[[#This Row],[Affected CMS
(§63.567(o)(3)(viii))
(Select from dropdown)]],Table22[#Data],2,FALSE))</f>
        <v/>
      </c>
      <c r="D504" s="132"/>
      <c r="E504" s="140"/>
    </row>
    <row r="505" spans="2:5" x14ac:dyDescent="0.3">
      <c r="B505" s="278" t="str">
        <f>IF(Table255[[#This Row],[Affected CMS
(§63.567(o)(3)(viii))
(Select from dropdown)]]="","",VLOOKUP(Table255[[#This Row],[Affected CMS
(§63.567(o)(3)(viii))
(Select from dropdown)]],Table22[#Data],2,FALSE))</f>
        <v/>
      </c>
      <c r="D505" s="132"/>
      <c r="E505" s="140"/>
    </row>
    <row r="506" spans="2:5" x14ac:dyDescent="0.3">
      <c r="B506" s="278" t="str">
        <f>IF(Table255[[#This Row],[Affected CMS
(§63.567(o)(3)(viii))
(Select from dropdown)]]="","",VLOOKUP(Table255[[#This Row],[Affected CMS
(§63.567(o)(3)(viii))
(Select from dropdown)]],Table22[#Data],2,FALSE))</f>
        <v/>
      </c>
      <c r="D506" s="132"/>
      <c r="E506" s="140"/>
    </row>
    <row r="507" spans="2:5" x14ac:dyDescent="0.3">
      <c r="B507" s="278" t="str">
        <f>IF(Table255[[#This Row],[Affected CMS
(§63.567(o)(3)(viii))
(Select from dropdown)]]="","",VLOOKUP(Table255[[#This Row],[Affected CMS
(§63.567(o)(3)(viii))
(Select from dropdown)]],Table22[#Data],2,FALSE))</f>
        <v/>
      </c>
      <c r="D507" s="132"/>
      <c r="E507" s="140"/>
    </row>
    <row r="508" spans="2:5" x14ac:dyDescent="0.3">
      <c r="B508" s="278" t="str">
        <f>IF(Table255[[#This Row],[Affected CMS
(§63.567(o)(3)(viii))
(Select from dropdown)]]="","",VLOOKUP(Table255[[#This Row],[Affected CMS
(§63.567(o)(3)(viii))
(Select from dropdown)]],Table22[#Data],2,FALSE))</f>
        <v/>
      </c>
      <c r="D508" s="132"/>
      <c r="E508" s="140"/>
    </row>
    <row r="509" spans="2:5" x14ac:dyDescent="0.3">
      <c r="B509" s="278" t="str">
        <f>IF(Table255[[#This Row],[Affected CMS
(§63.567(o)(3)(viii))
(Select from dropdown)]]="","",VLOOKUP(Table255[[#This Row],[Affected CMS
(§63.567(o)(3)(viii))
(Select from dropdown)]],Table22[#Data],2,FALSE))</f>
        <v/>
      </c>
      <c r="D509" s="132"/>
      <c r="E509" s="140"/>
    </row>
    <row r="510" spans="2:5" x14ac:dyDescent="0.3">
      <c r="B510" s="278" t="str">
        <f>IF(Table255[[#This Row],[Affected CMS
(§63.567(o)(3)(viii))
(Select from dropdown)]]="","",VLOOKUP(Table255[[#This Row],[Affected CMS
(§63.567(o)(3)(viii))
(Select from dropdown)]],Table22[#Data],2,FALSE))</f>
        <v/>
      </c>
      <c r="D510" s="132"/>
      <c r="E510" s="140"/>
    </row>
    <row r="511" spans="2:5" x14ac:dyDescent="0.3">
      <c r="B511" s="278" t="str">
        <f>IF(Table255[[#This Row],[Affected CMS
(§63.567(o)(3)(viii))
(Select from dropdown)]]="","",VLOOKUP(Table255[[#This Row],[Affected CMS
(§63.567(o)(3)(viii))
(Select from dropdown)]],Table22[#Data],2,FALSE))</f>
        <v/>
      </c>
      <c r="D511" s="132"/>
      <c r="E511" s="140"/>
    </row>
    <row r="512" spans="2:5" x14ac:dyDescent="0.3">
      <c r="B512" s="278" t="str">
        <f>IF(Table255[[#This Row],[Affected CMS
(§63.567(o)(3)(viii))
(Select from dropdown)]]="","",VLOOKUP(Table255[[#This Row],[Affected CMS
(§63.567(o)(3)(viii))
(Select from dropdown)]],Table22[#Data],2,FALSE))</f>
        <v/>
      </c>
      <c r="D512" s="132"/>
      <c r="E512" s="140"/>
    </row>
    <row r="513" spans="2:5" x14ac:dyDescent="0.3">
      <c r="B513" s="278" t="str">
        <f>IF(Table255[[#This Row],[Affected CMS
(§63.567(o)(3)(viii))
(Select from dropdown)]]="","",VLOOKUP(Table255[[#This Row],[Affected CMS
(§63.567(o)(3)(viii))
(Select from dropdown)]],Table22[#Data],2,FALSE))</f>
        <v/>
      </c>
      <c r="D513" s="132"/>
      <c r="E513" s="140"/>
    </row>
    <row r="514" spans="2:5" x14ac:dyDescent="0.3">
      <c r="B514" s="278" t="str">
        <f>IF(Table255[[#This Row],[Affected CMS
(§63.567(o)(3)(viii))
(Select from dropdown)]]="","",VLOOKUP(Table255[[#This Row],[Affected CMS
(§63.567(o)(3)(viii))
(Select from dropdown)]],Table22[#Data],2,FALSE))</f>
        <v/>
      </c>
      <c r="D514" s="132"/>
      <c r="E514" s="140"/>
    </row>
    <row r="515" spans="2:5" x14ac:dyDescent="0.3">
      <c r="B515" s="278" t="str">
        <f>IF(Table255[[#This Row],[Affected CMS
(§63.567(o)(3)(viii))
(Select from dropdown)]]="","",VLOOKUP(Table255[[#This Row],[Affected CMS
(§63.567(o)(3)(viii))
(Select from dropdown)]],Table22[#Data],2,FALSE))</f>
        <v/>
      </c>
      <c r="D515" s="132"/>
      <c r="E515" s="140"/>
    </row>
    <row r="516" spans="2:5" x14ac:dyDescent="0.3">
      <c r="B516" s="278" t="str">
        <f>IF(Table255[[#This Row],[Affected CMS
(§63.567(o)(3)(viii))
(Select from dropdown)]]="","",VLOOKUP(Table255[[#This Row],[Affected CMS
(§63.567(o)(3)(viii))
(Select from dropdown)]],Table22[#Data],2,FALSE))</f>
        <v/>
      </c>
      <c r="D516" s="132"/>
      <c r="E516" s="140"/>
    </row>
    <row r="517" spans="2:5" x14ac:dyDescent="0.3">
      <c r="B517" s="278" t="str">
        <f>IF(Table255[[#This Row],[Affected CMS
(§63.567(o)(3)(viii))
(Select from dropdown)]]="","",VLOOKUP(Table255[[#This Row],[Affected CMS
(§63.567(o)(3)(viii))
(Select from dropdown)]],Table22[#Data],2,FALSE))</f>
        <v/>
      </c>
      <c r="D517" s="132"/>
      <c r="E517" s="140"/>
    </row>
    <row r="518" spans="2:5" x14ac:dyDescent="0.3">
      <c r="B518" s="278" t="str">
        <f>IF(Table255[[#This Row],[Affected CMS
(§63.567(o)(3)(viii))
(Select from dropdown)]]="","",VLOOKUP(Table255[[#This Row],[Affected CMS
(§63.567(o)(3)(viii))
(Select from dropdown)]],Table22[#Data],2,FALSE))</f>
        <v/>
      </c>
      <c r="D518" s="132"/>
      <c r="E518" s="140"/>
    </row>
    <row r="519" spans="2:5" x14ac:dyDescent="0.3">
      <c r="B519" s="278" t="str">
        <f>IF(Table255[[#This Row],[Affected CMS
(§63.567(o)(3)(viii))
(Select from dropdown)]]="","",VLOOKUP(Table255[[#This Row],[Affected CMS
(§63.567(o)(3)(viii))
(Select from dropdown)]],Table22[#Data],2,FALSE))</f>
        <v/>
      </c>
      <c r="D519" s="132"/>
      <c r="E519" s="140"/>
    </row>
    <row r="520" spans="2:5" x14ac:dyDescent="0.3">
      <c r="B520" s="278" t="str">
        <f>IF(Table255[[#This Row],[Affected CMS
(§63.567(o)(3)(viii))
(Select from dropdown)]]="","",VLOOKUP(Table255[[#This Row],[Affected CMS
(§63.567(o)(3)(viii))
(Select from dropdown)]],Table22[#Data],2,FALSE))</f>
        <v/>
      </c>
      <c r="D520" s="132"/>
      <c r="E520" s="140"/>
    </row>
    <row r="521" spans="2:5" x14ac:dyDescent="0.3">
      <c r="B521" s="278" t="str">
        <f>IF(Table255[[#This Row],[Affected CMS
(§63.567(o)(3)(viii))
(Select from dropdown)]]="","",VLOOKUP(Table255[[#This Row],[Affected CMS
(§63.567(o)(3)(viii))
(Select from dropdown)]],Table22[#Data],2,FALSE))</f>
        <v/>
      </c>
      <c r="D521" s="132"/>
      <c r="E521" s="140"/>
    </row>
    <row r="522" spans="2:5" x14ac:dyDescent="0.3">
      <c r="B522" s="278" t="str">
        <f>IF(Table255[[#This Row],[Affected CMS
(§63.567(o)(3)(viii))
(Select from dropdown)]]="","",VLOOKUP(Table255[[#This Row],[Affected CMS
(§63.567(o)(3)(viii))
(Select from dropdown)]],Table22[#Data],2,FALSE))</f>
        <v/>
      </c>
      <c r="D522" s="132"/>
      <c r="E522" s="140"/>
    </row>
    <row r="523" spans="2:5" x14ac:dyDescent="0.3">
      <c r="B523" s="278" t="str">
        <f>IF(Table255[[#This Row],[Affected CMS
(§63.567(o)(3)(viii))
(Select from dropdown)]]="","",VLOOKUP(Table255[[#This Row],[Affected CMS
(§63.567(o)(3)(viii))
(Select from dropdown)]],Table22[#Data],2,FALSE))</f>
        <v/>
      </c>
      <c r="D523" s="132"/>
      <c r="E523" s="140"/>
    </row>
    <row r="524" spans="2:5" x14ac:dyDescent="0.3">
      <c r="B524" s="278" t="str">
        <f>IF(Table255[[#This Row],[Affected CMS
(§63.567(o)(3)(viii))
(Select from dropdown)]]="","",VLOOKUP(Table255[[#This Row],[Affected CMS
(§63.567(o)(3)(viii))
(Select from dropdown)]],Table22[#Data],2,FALSE))</f>
        <v/>
      </c>
      <c r="D524" s="132"/>
      <c r="E524" s="140"/>
    </row>
    <row r="525" spans="2:5" x14ac:dyDescent="0.3">
      <c r="B525" s="278" t="str">
        <f>IF(Table255[[#This Row],[Affected CMS
(§63.567(o)(3)(viii))
(Select from dropdown)]]="","",VLOOKUP(Table255[[#This Row],[Affected CMS
(§63.567(o)(3)(viii))
(Select from dropdown)]],Table22[#Data],2,FALSE))</f>
        <v/>
      </c>
      <c r="D525" s="132"/>
      <c r="E525" s="140"/>
    </row>
    <row r="526" spans="2:5" x14ac:dyDescent="0.3">
      <c r="B526" s="278" t="str">
        <f>IF(Table255[[#This Row],[Affected CMS
(§63.567(o)(3)(viii))
(Select from dropdown)]]="","",VLOOKUP(Table255[[#This Row],[Affected CMS
(§63.567(o)(3)(viii))
(Select from dropdown)]],Table22[#Data],2,FALSE))</f>
        <v/>
      </c>
      <c r="D526" s="132"/>
      <c r="E526" s="140"/>
    </row>
    <row r="527" spans="2:5" x14ac:dyDescent="0.3">
      <c r="B527" s="278" t="str">
        <f>IF(Table255[[#This Row],[Affected CMS
(§63.567(o)(3)(viii))
(Select from dropdown)]]="","",VLOOKUP(Table255[[#This Row],[Affected CMS
(§63.567(o)(3)(viii))
(Select from dropdown)]],Table22[#Data],2,FALSE))</f>
        <v/>
      </c>
      <c r="D527" s="132"/>
      <c r="E527" s="140"/>
    </row>
    <row r="528" spans="2:5" x14ac:dyDescent="0.3">
      <c r="B528" s="278" t="str">
        <f>IF(Table255[[#This Row],[Affected CMS
(§63.567(o)(3)(viii))
(Select from dropdown)]]="","",VLOOKUP(Table255[[#This Row],[Affected CMS
(§63.567(o)(3)(viii))
(Select from dropdown)]],Table22[#Data],2,FALSE))</f>
        <v/>
      </c>
      <c r="D528" s="132"/>
      <c r="E528" s="140"/>
    </row>
    <row r="529" spans="2:5" x14ac:dyDescent="0.3">
      <c r="B529" s="278" t="str">
        <f>IF(Table255[[#This Row],[Affected CMS
(§63.567(o)(3)(viii))
(Select from dropdown)]]="","",VLOOKUP(Table255[[#This Row],[Affected CMS
(§63.567(o)(3)(viii))
(Select from dropdown)]],Table22[#Data],2,FALSE))</f>
        <v/>
      </c>
      <c r="D529" s="132"/>
      <c r="E529" s="140"/>
    </row>
    <row r="530" spans="2:5" x14ac:dyDescent="0.3">
      <c r="B530" s="278" t="str">
        <f>IF(Table255[[#This Row],[Affected CMS
(§63.567(o)(3)(viii))
(Select from dropdown)]]="","",VLOOKUP(Table255[[#This Row],[Affected CMS
(§63.567(o)(3)(viii))
(Select from dropdown)]],Table22[#Data],2,FALSE))</f>
        <v/>
      </c>
      <c r="D530" s="132"/>
      <c r="E530" s="140"/>
    </row>
    <row r="531" spans="2:5" x14ac:dyDescent="0.3">
      <c r="B531" s="278" t="str">
        <f>IF(Table255[[#This Row],[Affected CMS
(§63.567(o)(3)(viii))
(Select from dropdown)]]="","",VLOOKUP(Table255[[#This Row],[Affected CMS
(§63.567(o)(3)(viii))
(Select from dropdown)]],Table22[#Data],2,FALSE))</f>
        <v/>
      </c>
      <c r="D531" s="132"/>
      <c r="E531" s="140"/>
    </row>
    <row r="532" spans="2:5" x14ac:dyDescent="0.3">
      <c r="B532" s="278" t="str">
        <f>IF(Table255[[#This Row],[Affected CMS
(§63.567(o)(3)(viii))
(Select from dropdown)]]="","",VLOOKUP(Table255[[#This Row],[Affected CMS
(§63.567(o)(3)(viii))
(Select from dropdown)]],Table22[#Data],2,FALSE))</f>
        <v/>
      </c>
      <c r="D532" s="132"/>
      <c r="E532" s="140"/>
    </row>
    <row r="533" spans="2:5" x14ac:dyDescent="0.3">
      <c r="B533" s="278" t="str">
        <f>IF(Table255[[#This Row],[Affected CMS
(§63.567(o)(3)(viii))
(Select from dropdown)]]="","",VLOOKUP(Table255[[#This Row],[Affected CMS
(§63.567(o)(3)(viii))
(Select from dropdown)]],Table22[#Data],2,FALSE))</f>
        <v/>
      </c>
      <c r="D533" s="132"/>
      <c r="E533" s="140"/>
    </row>
    <row r="534" spans="2:5" x14ac:dyDescent="0.3">
      <c r="B534" s="278" t="str">
        <f>IF(Table255[[#This Row],[Affected CMS
(§63.567(o)(3)(viii))
(Select from dropdown)]]="","",VLOOKUP(Table255[[#This Row],[Affected CMS
(§63.567(o)(3)(viii))
(Select from dropdown)]],Table22[#Data],2,FALSE))</f>
        <v/>
      </c>
      <c r="D534" s="132"/>
      <c r="E534" s="140"/>
    </row>
    <row r="535" spans="2:5" x14ac:dyDescent="0.3">
      <c r="B535" s="278" t="str">
        <f>IF(Table255[[#This Row],[Affected CMS
(§63.567(o)(3)(viii))
(Select from dropdown)]]="","",VLOOKUP(Table255[[#This Row],[Affected CMS
(§63.567(o)(3)(viii))
(Select from dropdown)]],Table22[#Data],2,FALSE))</f>
        <v/>
      </c>
      <c r="D535" s="132"/>
      <c r="E535" s="140"/>
    </row>
    <row r="536" spans="2:5" x14ac:dyDescent="0.3">
      <c r="B536" s="278" t="str">
        <f>IF(Table255[[#This Row],[Affected CMS
(§63.567(o)(3)(viii))
(Select from dropdown)]]="","",VLOOKUP(Table255[[#This Row],[Affected CMS
(§63.567(o)(3)(viii))
(Select from dropdown)]],Table22[#Data],2,FALSE))</f>
        <v/>
      </c>
      <c r="D536" s="132"/>
      <c r="E536" s="140"/>
    </row>
    <row r="537" spans="2:5" x14ac:dyDescent="0.3">
      <c r="B537" s="278" t="str">
        <f>IF(Table255[[#This Row],[Affected CMS
(§63.567(o)(3)(viii))
(Select from dropdown)]]="","",VLOOKUP(Table255[[#This Row],[Affected CMS
(§63.567(o)(3)(viii))
(Select from dropdown)]],Table22[#Data],2,FALSE))</f>
        <v/>
      </c>
      <c r="D537" s="132"/>
      <c r="E537" s="140"/>
    </row>
    <row r="538" spans="2:5" x14ac:dyDescent="0.3">
      <c r="B538" s="278" t="str">
        <f>IF(Table255[[#This Row],[Affected CMS
(§63.567(o)(3)(viii))
(Select from dropdown)]]="","",VLOOKUP(Table255[[#This Row],[Affected CMS
(§63.567(o)(3)(viii))
(Select from dropdown)]],Table22[#Data],2,FALSE))</f>
        <v/>
      </c>
      <c r="D538" s="132"/>
      <c r="E538" s="140"/>
    </row>
    <row r="539" spans="2:5" x14ac:dyDescent="0.3">
      <c r="B539" s="278" t="str">
        <f>IF(Table255[[#This Row],[Affected CMS
(§63.567(o)(3)(viii))
(Select from dropdown)]]="","",VLOOKUP(Table255[[#This Row],[Affected CMS
(§63.567(o)(3)(viii))
(Select from dropdown)]],Table22[#Data],2,FALSE))</f>
        <v/>
      </c>
      <c r="D539" s="132"/>
      <c r="E539" s="140"/>
    </row>
    <row r="540" spans="2:5" x14ac:dyDescent="0.3">
      <c r="B540" s="278" t="str">
        <f>IF(Table255[[#This Row],[Affected CMS
(§63.567(o)(3)(viii))
(Select from dropdown)]]="","",VLOOKUP(Table255[[#This Row],[Affected CMS
(§63.567(o)(3)(viii))
(Select from dropdown)]],Table22[#Data],2,FALSE))</f>
        <v/>
      </c>
      <c r="D540" s="132"/>
      <c r="E540" s="140"/>
    </row>
    <row r="541" spans="2:5" x14ac:dyDescent="0.3">
      <c r="B541" s="278" t="str">
        <f>IF(Table255[[#This Row],[Affected CMS
(§63.567(o)(3)(viii))
(Select from dropdown)]]="","",VLOOKUP(Table255[[#This Row],[Affected CMS
(§63.567(o)(3)(viii))
(Select from dropdown)]],Table22[#Data],2,FALSE))</f>
        <v/>
      </c>
      <c r="D541" s="132"/>
      <c r="E541" s="140"/>
    </row>
    <row r="542" spans="2:5" x14ac:dyDescent="0.3">
      <c r="B542" s="278" t="str">
        <f>IF(Table255[[#This Row],[Affected CMS
(§63.567(o)(3)(viii))
(Select from dropdown)]]="","",VLOOKUP(Table255[[#This Row],[Affected CMS
(§63.567(o)(3)(viii))
(Select from dropdown)]],Table22[#Data],2,FALSE))</f>
        <v/>
      </c>
      <c r="D542" s="132"/>
      <c r="E542" s="140"/>
    </row>
    <row r="543" spans="2:5" x14ac:dyDescent="0.3">
      <c r="B543" s="278" t="str">
        <f>IF(Table255[[#This Row],[Affected CMS
(§63.567(o)(3)(viii))
(Select from dropdown)]]="","",VLOOKUP(Table255[[#This Row],[Affected CMS
(§63.567(o)(3)(viii))
(Select from dropdown)]],Table22[#Data],2,FALSE))</f>
        <v/>
      </c>
      <c r="D543" s="132"/>
      <c r="E543" s="140"/>
    </row>
    <row r="544" spans="2:5" x14ac:dyDescent="0.3">
      <c r="B544" s="278" t="str">
        <f>IF(Table255[[#This Row],[Affected CMS
(§63.567(o)(3)(viii))
(Select from dropdown)]]="","",VLOOKUP(Table255[[#This Row],[Affected CMS
(§63.567(o)(3)(viii))
(Select from dropdown)]],Table22[#Data],2,FALSE))</f>
        <v/>
      </c>
      <c r="D544" s="132"/>
      <c r="E544" s="140"/>
    </row>
    <row r="545" spans="2:5" x14ac:dyDescent="0.3">
      <c r="B545" s="278" t="str">
        <f>IF(Table255[[#This Row],[Affected CMS
(§63.567(o)(3)(viii))
(Select from dropdown)]]="","",VLOOKUP(Table255[[#This Row],[Affected CMS
(§63.567(o)(3)(viii))
(Select from dropdown)]],Table22[#Data],2,FALSE))</f>
        <v/>
      </c>
      <c r="D545" s="132"/>
      <c r="E545" s="140"/>
    </row>
    <row r="546" spans="2:5" x14ac:dyDescent="0.3">
      <c r="B546" s="278" t="str">
        <f>IF(Table255[[#This Row],[Affected CMS
(§63.567(o)(3)(viii))
(Select from dropdown)]]="","",VLOOKUP(Table255[[#This Row],[Affected CMS
(§63.567(o)(3)(viii))
(Select from dropdown)]],Table22[#Data],2,FALSE))</f>
        <v/>
      </c>
      <c r="D546" s="132"/>
      <c r="E546" s="140"/>
    </row>
    <row r="547" spans="2:5" x14ac:dyDescent="0.3">
      <c r="B547" s="278" t="str">
        <f>IF(Table255[[#This Row],[Affected CMS
(§63.567(o)(3)(viii))
(Select from dropdown)]]="","",VLOOKUP(Table255[[#This Row],[Affected CMS
(§63.567(o)(3)(viii))
(Select from dropdown)]],Table22[#Data],2,FALSE))</f>
        <v/>
      </c>
      <c r="D547" s="132"/>
      <c r="E547" s="140"/>
    </row>
    <row r="548" spans="2:5" x14ac:dyDescent="0.3">
      <c r="B548" s="278" t="str">
        <f>IF(Table255[[#This Row],[Affected CMS
(§63.567(o)(3)(viii))
(Select from dropdown)]]="","",VLOOKUP(Table255[[#This Row],[Affected CMS
(§63.567(o)(3)(viii))
(Select from dropdown)]],Table22[#Data],2,FALSE))</f>
        <v/>
      </c>
      <c r="D548" s="132"/>
      <c r="E548" s="140"/>
    </row>
    <row r="549" spans="2:5" x14ac:dyDescent="0.3">
      <c r="B549" s="278" t="str">
        <f>IF(Table255[[#This Row],[Affected CMS
(§63.567(o)(3)(viii))
(Select from dropdown)]]="","",VLOOKUP(Table255[[#This Row],[Affected CMS
(§63.567(o)(3)(viii))
(Select from dropdown)]],Table22[#Data],2,FALSE))</f>
        <v/>
      </c>
      <c r="D549" s="132"/>
      <c r="E549" s="140"/>
    </row>
    <row r="550" spans="2:5" x14ac:dyDescent="0.3">
      <c r="B550" s="278" t="str">
        <f>IF(Table255[[#This Row],[Affected CMS
(§63.567(o)(3)(viii))
(Select from dropdown)]]="","",VLOOKUP(Table255[[#This Row],[Affected CMS
(§63.567(o)(3)(viii))
(Select from dropdown)]],Table22[#Data],2,FALSE))</f>
        <v/>
      </c>
      <c r="D550" s="132"/>
      <c r="E550" s="140"/>
    </row>
    <row r="551" spans="2:5" x14ac:dyDescent="0.3">
      <c r="B551" s="278" t="str">
        <f>IF(Table255[[#This Row],[Affected CMS
(§63.567(o)(3)(viii))
(Select from dropdown)]]="","",VLOOKUP(Table255[[#This Row],[Affected CMS
(§63.567(o)(3)(viii))
(Select from dropdown)]],Table22[#Data],2,FALSE))</f>
        <v/>
      </c>
      <c r="D551" s="132"/>
      <c r="E551" s="140"/>
    </row>
    <row r="552" spans="2:5" x14ac:dyDescent="0.3">
      <c r="B552" s="278" t="str">
        <f>IF(Table255[[#This Row],[Affected CMS
(§63.567(o)(3)(viii))
(Select from dropdown)]]="","",VLOOKUP(Table255[[#This Row],[Affected CMS
(§63.567(o)(3)(viii))
(Select from dropdown)]],Table22[#Data],2,FALSE))</f>
        <v/>
      </c>
      <c r="D552" s="132"/>
      <c r="E552" s="140"/>
    </row>
    <row r="553" spans="2:5" x14ac:dyDescent="0.3">
      <c r="B553" s="278" t="str">
        <f>IF(Table255[[#This Row],[Affected CMS
(§63.567(o)(3)(viii))
(Select from dropdown)]]="","",VLOOKUP(Table255[[#This Row],[Affected CMS
(§63.567(o)(3)(viii))
(Select from dropdown)]],Table22[#Data],2,FALSE))</f>
        <v/>
      </c>
      <c r="D553" s="132"/>
      <c r="E553" s="140"/>
    </row>
    <row r="554" spans="2:5" x14ac:dyDescent="0.3">
      <c r="B554" s="278" t="str">
        <f>IF(Table255[[#This Row],[Affected CMS
(§63.567(o)(3)(viii))
(Select from dropdown)]]="","",VLOOKUP(Table255[[#This Row],[Affected CMS
(§63.567(o)(3)(viii))
(Select from dropdown)]],Table22[#Data],2,FALSE))</f>
        <v/>
      </c>
      <c r="D554" s="132"/>
      <c r="E554" s="140"/>
    </row>
    <row r="555" spans="2:5" x14ac:dyDescent="0.3">
      <c r="B555" s="278" t="str">
        <f>IF(Table255[[#This Row],[Affected CMS
(§63.567(o)(3)(viii))
(Select from dropdown)]]="","",VLOOKUP(Table255[[#This Row],[Affected CMS
(§63.567(o)(3)(viii))
(Select from dropdown)]],Table22[#Data],2,FALSE))</f>
        <v/>
      </c>
      <c r="D555" s="132"/>
      <c r="E555" s="140"/>
    </row>
    <row r="556" spans="2:5" x14ac:dyDescent="0.3">
      <c r="B556" s="278" t="str">
        <f>IF(Table255[[#This Row],[Affected CMS
(§63.567(o)(3)(viii))
(Select from dropdown)]]="","",VLOOKUP(Table255[[#This Row],[Affected CMS
(§63.567(o)(3)(viii))
(Select from dropdown)]],Table22[#Data],2,FALSE))</f>
        <v/>
      </c>
      <c r="D556" s="132"/>
      <c r="E556" s="140"/>
    </row>
    <row r="557" spans="2:5" x14ac:dyDescent="0.3">
      <c r="B557" s="278" t="str">
        <f>IF(Table255[[#This Row],[Affected CMS
(§63.567(o)(3)(viii))
(Select from dropdown)]]="","",VLOOKUP(Table255[[#This Row],[Affected CMS
(§63.567(o)(3)(viii))
(Select from dropdown)]],Table22[#Data],2,FALSE))</f>
        <v/>
      </c>
      <c r="D557" s="132"/>
      <c r="E557" s="140"/>
    </row>
    <row r="558" spans="2:5" x14ac:dyDescent="0.3">
      <c r="B558" s="278" t="str">
        <f>IF(Table255[[#This Row],[Affected CMS
(§63.567(o)(3)(viii))
(Select from dropdown)]]="","",VLOOKUP(Table255[[#This Row],[Affected CMS
(§63.567(o)(3)(viii))
(Select from dropdown)]],Table22[#Data],2,FALSE))</f>
        <v/>
      </c>
      <c r="D558" s="132"/>
      <c r="E558" s="140"/>
    </row>
    <row r="559" spans="2:5" x14ac:dyDescent="0.3">
      <c r="B559" s="278" t="str">
        <f>IF(Table255[[#This Row],[Affected CMS
(§63.567(o)(3)(viii))
(Select from dropdown)]]="","",VLOOKUP(Table255[[#This Row],[Affected CMS
(§63.567(o)(3)(viii))
(Select from dropdown)]],Table22[#Data],2,FALSE))</f>
        <v/>
      </c>
      <c r="D559" s="132"/>
      <c r="E559" s="140"/>
    </row>
    <row r="560" spans="2:5" x14ac:dyDescent="0.3">
      <c r="B560" s="278" t="str">
        <f>IF(Table255[[#This Row],[Affected CMS
(§63.567(o)(3)(viii))
(Select from dropdown)]]="","",VLOOKUP(Table255[[#This Row],[Affected CMS
(§63.567(o)(3)(viii))
(Select from dropdown)]],Table22[#Data],2,FALSE))</f>
        <v/>
      </c>
      <c r="D560" s="132"/>
      <c r="E560" s="140"/>
    </row>
    <row r="561" spans="2:5" x14ac:dyDescent="0.3">
      <c r="B561" s="278" t="str">
        <f>IF(Table255[[#This Row],[Affected CMS
(§63.567(o)(3)(viii))
(Select from dropdown)]]="","",VLOOKUP(Table255[[#This Row],[Affected CMS
(§63.567(o)(3)(viii))
(Select from dropdown)]],Table22[#Data],2,FALSE))</f>
        <v/>
      </c>
      <c r="D561" s="132"/>
      <c r="E561" s="140"/>
    </row>
    <row r="562" spans="2:5" x14ac:dyDescent="0.3">
      <c r="B562" s="278" t="str">
        <f>IF(Table255[[#This Row],[Affected CMS
(§63.567(o)(3)(viii))
(Select from dropdown)]]="","",VLOOKUP(Table255[[#This Row],[Affected CMS
(§63.567(o)(3)(viii))
(Select from dropdown)]],Table22[#Data],2,FALSE))</f>
        <v/>
      </c>
      <c r="D562" s="132"/>
      <c r="E562" s="140"/>
    </row>
    <row r="563" spans="2:5" x14ac:dyDescent="0.3">
      <c r="B563" s="278" t="str">
        <f>IF(Table255[[#This Row],[Affected CMS
(§63.567(o)(3)(viii))
(Select from dropdown)]]="","",VLOOKUP(Table255[[#This Row],[Affected CMS
(§63.567(o)(3)(viii))
(Select from dropdown)]],Table22[#Data],2,FALSE))</f>
        <v/>
      </c>
      <c r="D563" s="132"/>
      <c r="E563" s="140"/>
    </row>
    <row r="564" spans="2:5" x14ac:dyDescent="0.3">
      <c r="B564" s="278" t="str">
        <f>IF(Table255[[#This Row],[Affected CMS
(§63.567(o)(3)(viii))
(Select from dropdown)]]="","",VLOOKUP(Table255[[#This Row],[Affected CMS
(§63.567(o)(3)(viii))
(Select from dropdown)]],Table22[#Data],2,FALSE))</f>
        <v/>
      </c>
      <c r="D564" s="132"/>
      <c r="E564" s="140"/>
    </row>
    <row r="565" spans="2:5" x14ac:dyDescent="0.3">
      <c r="B565" s="278" t="str">
        <f>IF(Table255[[#This Row],[Affected CMS
(§63.567(o)(3)(viii))
(Select from dropdown)]]="","",VLOOKUP(Table255[[#This Row],[Affected CMS
(§63.567(o)(3)(viii))
(Select from dropdown)]],Table22[#Data],2,FALSE))</f>
        <v/>
      </c>
      <c r="D565" s="132"/>
      <c r="E565" s="140"/>
    </row>
    <row r="566" spans="2:5" x14ac:dyDescent="0.3">
      <c r="B566" s="278" t="str">
        <f>IF(Table255[[#This Row],[Affected CMS
(§63.567(o)(3)(viii))
(Select from dropdown)]]="","",VLOOKUP(Table255[[#This Row],[Affected CMS
(§63.567(o)(3)(viii))
(Select from dropdown)]],Table22[#Data],2,FALSE))</f>
        <v/>
      </c>
      <c r="D566" s="132"/>
      <c r="E566" s="140"/>
    </row>
    <row r="567" spans="2:5" x14ac:dyDescent="0.3">
      <c r="B567" s="278" t="str">
        <f>IF(Table255[[#This Row],[Affected CMS
(§63.567(o)(3)(viii))
(Select from dropdown)]]="","",VLOOKUP(Table255[[#This Row],[Affected CMS
(§63.567(o)(3)(viii))
(Select from dropdown)]],Table22[#Data],2,FALSE))</f>
        <v/>
      </c>
      <c r="D567" s="132"/>
      <c r="E567" s="140"/>
    </row>
    <row r="568" spans="2:5" x14ac:dyDescent="0.3">
      <c r="B568" s="278" t="str">
        <f>IF(Table255[[#This Row],[Affected CMS
(§63.567(o)(3)(viii))
(Select from dropdown)]]="","",VLOOKUP(Table255[[#This Row],[Affected CMS
(§63.567(o)(3)(viii))
(Select from dropdown)]],Table22[#Data],2,FALSE))</f>
        <v/>
      </c>
      <c r="D568" s="132"/>
      <c r="E568" s="140"/>
    </row>
    <row r="569" spans="2:5" x14ac:dyDescent="0.3">
      <c r="B569" s="278" t="str">
        <f>IF(Table255[[#This Row],[Affected CMS
(§63.567(o)(3)(viii))
(Select from dropdown)]]="","",VLOOKUP(Table255[[#This Row],[Affected CMS
(§63.567(o)(3)(viii))
(Select from dropdown)]],Table22[#Data],2,FALSE))</f>
        <v/>
      </c>
      <c r="D569" s="132"/>
      <c r="E569" s="140"/>
    </row>
    <row r="570" spans="2:5" x14ac:dyDescent="0.3">
      <c r="B570" s="278" t="str">
        <f>IF(Table255[[#This Row],[Affected CMS
(§63.567(o)(3)(viii))
(Select from dropdown)]]="","",VLOOKUP(Table255[[#This Row],[Affected CMS
(§63.567(o)(3)(viii))
(Select from dropdown)]],Table22[#Data],2,FALSE))</f>
        <v/>
      </c>
      <c r="D570" s="132"/>
      <c r="E570" s="140"/>
    </row>
    <row r="571" spans="2:5" x14ac:dyDescent="0.3">
      <c r="B571" s="278" t="str">
        <f>IF(Table255[[#This Row],[Affected CMS
(§63.567(o)(3)(viii))
(Select from dropdown)]]="","",VLOOKUP(Table255[[#This Row],[Affected CMS
(§63.567(o)(3)(viii))
(Select from dropdown)]],Table22[#Data],2,FALSE))</f>
        <v/>
      </c>
      <c r="D571" s="132"/>
      <c r="E571" s="140"/>
    </row>
    <row r="572" spans="2:5" x14ac:dyDescent="0.3">
      <c r="B572" s="278" t="str">
        <f>IF(Table255[[#This Row],[Affected CMS
(§63.567(o)(3)(viii))
(Select from dropdown)]]="","",VLOOKUP(Table255[[#This Row],[Affected CMS
(§63.567(o)(3)(viii))
(Select from dropdown)]],Table22[#Data],2,FALSE))</f>
        <v/>
      </c>
      <c r="D572" s="132"/>
      <c r="E572" s="140"/>
    </row>
    <row r="573" spans="2:5" x14ac:dyDescent="0.3">
      <c r="B573" s="278" t="str">
        <f>IF(Table255[[#This Row],[Affected CMS
(§63.567(o)(3)(viii))
(Select from dropdown)]]="","",VLOOKUP(Table255[[#This Row],[Affected CMS
(§63.567(o)(3)(viii))
(Select from dropdown)]],Table22[#Data],2,FALSE))</f>
        <v/>
      </c>
      <c r="D573" s="132"/>
      <c r="E573" s="140"/>
    </row>
    <row r="574" spans="2:5" x14ac:dyDescent="0.3">
      <c r="B574" s="278" t="str">
        <f>IF(Table255[[#This Row],[Affected CMS
(§63.567(o)(3)(viii))
(Select from dropdown)]]="","",VLOOKUP(Table255[[#This Row],[Affected CMS
(§63.567(o)(3)(viii))
(Select from dropdown)]],Table22[#Data],2,FALSE))</f>
        <v/>
      </c>
      <c r="D574" s="132"/>
      <c r="E574" s="140"/>
    </row>
    <row r="575" spans="2:5" x14ac:dyDescent="0.3">
      <c r="B575" s="278" t="str">
        <f>IF(Table255[[#This Row],[Affected CMS
(§63.567(o)(3)(viii))
(Select from dropdown)]]="","",VLOOKUP(Table255[[#This Row],[Affected CMS
(§63.567(o)(3)(viii))
(Select from dropdown)]],Table22[#Data],2,FALSE))</f>
        <v/>
      </c>
      <c r="D575" s="132"/>
      <c r="E575" s="140"/>
    </row>
    <row r="576" spans="2:5" x14ac:dyDescent="0.3">
      <c r="B576" s="278" t="str">
        <f>IF(Table255[[#This Row],[Affected CMS
(§63.567(o)(3)(viii))
(Select from dropdown)]]="","",VLOOKUP(Table255[[#This Row],[Affected CMS
(§63.567(o)(3)(viii))
(Select from dropdown)]],Table22[#Data],2,FALSE))</f>
        <v/>
      </c>
      <c r="D576" s="132"/>
      <c r="E576" s="140"/>
    </row>
    <row r="577" spans="2:5" x14ac:dyDescent="0.3">
      <c r="B577" s="278" t="str">
        <f>IF(Table255[[#This Row],[Affected CMS
(§63.567(o)(3)(viii))
(Select from dropdown)]]="","",VLOOKUP(Table255[[#This Row],[Affected CMS
(§63.567(o)(3)(viii))
(Select from dropdown)]],Table22[#Data],2,FALSE))</f>
        <v/>
      </c>
      <c r="D577" s="132"/>
      <c r="E577" s="140"/>
    </row>
    <row r="578" spans="2:5" x14ac:dyDescent="0.3">
      <c r="B578" s="278" t="str">
        <f>IF(Table255[[#This Row],[Affected CMS
(§63.567(o)(3)(viii))
(Select from dropdown)]]="","",VLOOKUP(Table255[[#This Row],[Affected CMS
(§63.567(o)(3)(viii))
(Select from dropdown)]],Table22[#Data],2,FALSE))</f>
        <v/>
      </c>
      <c r="D578" s="132"/>
      <c r="E578" s="140"/>
    </row>
    <row r="579" spans="2:5" x14ac:dyDescent="0.3">
      <c r="B579" s="278" t="str">
        <f>IF(Table255[[#This Row],[Affected CMS
(§63.567(o)(3)(viii))
(Select from dropdown)]]="","",VLOOKUP(Table255[[#This Row],[Affected CMS
(§63.567(o)(3)(viii))
(Select from dropdown)]],Table22[#Data],2,FALSE))</f>
        <v/>
      </c>
      <c r="D579" s="132"/>
      <c r="E579" s="140"/>
    </row>
    <row r="580" spans="2:5" x14ac:dyDescent="0.3">
      <c r="B580" s="278" t="str">
        <f>IF(Table255[[#This Row],[Affected CMS
(§63.567(o)(3)(viii))
(Select from dropdown)]]="","",VLOOKUP(Table255[[#This Row],[Affected CMS
(§63.567(o)(3)(viii))
(Select from dropdown)]],Table22[#Data],2,FALSE))</f>
        <v/>
      </c>
      <c r="D580" s="132"/>
      <c r="E580" s="140"/>
    </row>
    <row r="581" spans="2:5" x14ac:dyDescent="0.3">
      <c r="B581" s="278" t="str">
        <f>IF(Table255[[#This Row],[Affected CMS
(§63.567(o)(3)(viii))
(Select from dropdown)]]="","",VLOOKUP(Table255[[#This Row],[Affected CMS
(§63.567(o)(3)(viii))
(Select from dropdown)]],Table22[#Data],2,FALSE))</f>
        <v/>
      </c>
      <c r="D581" s="132"/>
      <c r="E581" s="140"/>
    </row>
    <row r="582" spans="2:5" x14ac:dyDescent="0.3">
      <c r="B582" s="278" t="str">
        <f>IF(Table255[[#This Row],[Affected CMS
(§63.567(o)(3)(viii))
(Select from dropdown)]]="","",VLOOKUP(Table255[[#This Row],[Affected CMS
(§63.567(o)(3)(viii))
(Select from dropdown)]],Table22[#Data],2,FALSE))</f>
        <v/>
      </c>
      <c r="D582" s="132"/>
      <c r="E582" s="140"/>
    </row>
    <row r="583" spans="2:5" x14ac:dyDescent="0.3">
      <c r="B583" s="278" t="str">
        <f>IF(Table255[[#This Row],[Affected CMS
(§63.567(o)(3)(viii))
(Select from dropdown)]]="","",VLOOKUP(Table255[[#This Row],[Affected CMS
(§63.567(o)(3)(viii))
(Select from dropdown)]],Table22[#Data],2,FALSE))</f>
        <v/>
      </c>
      <c r="D583" s="132"/>
      <c r="E583" s="140"/>
    </row>
    <row r="584" spans="2:5" x14ac:dyDescent="0.3">
      <c r="B584" s="278" t="str">
        <f>IF(Table255[[#This Row],[Affected CMS
(§63.567(o)(3)(viii))
(Select from dropdown)]]="","",VLOOKUP(Table255[[#This Row],[Affected CMS
(§63.567(o)(3)(viii))
(Select from dropdown)]],Table22[#Data],2,FALSE))</f>
        <v/>
      </c>
      <c r="D584" s="132"/>
      <c r="E584" s="140"/>
    </row>
    <row r="585" spans="2:5" x14ac:dyDescent="0.3">
      <c r="B585" s="278" t="str">
        <f>IF(Table255[[#This Row],[Affected CMS
(§63.567(o)(3)(viii))
(Select from dropdown)]]="","",VLOOKUP(Table255[[#This Row],[Affected CMS
(§63.567(o)(3)(viii))
(Select from dropdown)]],Table22[#Data],2,FALSE))</f>
        <v/>
      </c>
      <c r="D585" s="132"/>
      <c r="E585" s="140"/>
    </row>
    <row r="586" spans="2:5" x14ac:dyDescent="0.3">
      <c r="B586" s="278" t="str">
        <f>IF(Table255[[#This Row],[Affected CMS
(§63.567(o)(3)(viii))
(Select from dropdown)]]="","",VLOOKUP(Table255[[#This Row],[Affected CMS
(§63.567(o)(3)(viii))
(Select from dropdown)]],Table22[#Data],2,FALSE))</f>
        <v/>
      </c>
      <c r="D586" s="132"/>
      <c r="E586" s="140"/>
    </row>
    <row r="587" spans="2:5" x14ac:dyDescent="0.3">
      <c r="B587" s="278" t="str">
        <f>IF(Table255[[#This Row],[Affected CMS
(§63.567(o)(3)(viii))
(Select from dropdown)]]="","",VLOOKUP(Table255[[#This Row],[Affected CMS
(§63.567(o)(3)(viii))
(Select from dropdown)]],Table22[#Data],2,FALSE))</f>
        <v/>
      </c>
      <c r="D587" s="132"/>
      <c r="E587" s="140"/>
    </row>
    <row r="588" spans="2:5" x14ac:dyDescent="0.3">
      <c r="B588" s="278" t="str">
        <f>IF(Table255[[#This Row],[Affected CMS
(§63.567(o)(3)(viii))
(Select from dropdown)]]="","",VLOOKUP(Table255[[#This Row],[Affected CMS
(§63.567(o)(3)(viii))
(Select from dropdown)]],Table22[#Data],2,FALSE))</f>
        <v/>
      </c>
      <c r="D588" s="132"/>
      <c r="E588" s="140"/>
    </row>
    <row r="589" spans="2:5" x14ac:dyDescent="0.3">
      <c r="B589" s="278" t="str">
        <f>IF(Table255[[#This Row],[Affected CMS
(§63.567(o)(3)(viii))
(Select from dropdown)]]="","",VLOOKUP(Table255[[#This Row],[Affected CMS
(§63.567(o)(3)(viii))
(Select from dropdown)]],Table22[#Data],2,FALSE))</f>
        <v/>
      </c>
      <c r="D589" s="132"/>
      <c r="E589" s="140"/>
    </row>
    <row r="590" spans="2:5" x14ac:dyDescent="0.3">
      <c r="B590" s="278" t="str">
        <f>IF(Table255[[#This Row],[Affected CMS
(§63.567(o)(3)(viii))
(Select from dropdown)]]="","",VLOOKUP(Table255[[#This Row],[Affected CMS
(§63.567(o)(3)(viii))
(Select from dropdown)]],Table22[#Data],2,FALSE))</f>
        <v/>
      </c>
      <c r="D590" s="132"/>
      <c r="E590" s="140"/>
    </row>
    <row r="591" spans="2:5" x14ac:dyDescent="0.3">
      <c r="B591" s="278" t="str">
        <f>IF(Table255[[#This Row],[Affected CMS
(§63.567(o)(3)(viii))
(Select from dropdown)]]="","",VLOOKUP(Table255[[#This Row],[Affected CMS
(§63.567(o)(3)(viii))
(Select from dropdown)]],Table22[#Data],2,FALSE))</f>
        <v/>
      </c>
      <c r="D591" s="132"/>
      <c r="E591" s="140"/>
    </row>
    <row r="592" spans="2:5" x14ac:dyDescent="0.3">
      <c r="B592" s="278" t="str">
        <f>IF(Table255[[#This Row],[Affected CMS
(§63.567(o)(3)(viii))
(Select from dropdown)]]="","",VLOOKUP(Table255[[#This Row],[Affected CMS
(§63.567(o)(3)(viii))
(Select from dropdown)]],Table22[#Data],2,FALSE))</f>
        <v/>
      </c>
      <c r="D592" s="132"/>
      <c r="E592" s="140"/>
    </row>
    <row r="593" spans="2:5" x14ac:dyDescent="0.3">
      <c r="B593" s="278" t="str">
        <f>IF(Table255[[#This Row],[Affected CMS
(§63.567(o)(3)(viii))
(Select from dropdown)]]="","",VLOOKUP(Table255[[#This Row],[Affected CMS
(§63.567(o)(3)(viii))
(Select from dropdown)]],Table22[#Data],2,FALSE))</f>
        <v/>
      </c>
      <c r="D593" s="132"/>
      <c r="E593" s="140"/>
    </row>
    <row r="594" spans="2:5" x14ac:dyDescent="0.3">
      <c r="B594" s="278" t="str">
        <f>IF(Table255[[#This Row],[Affected CMS
(§63.567(o)(3)(viii))
(Select from dropdown)]]="","",VLOOKUP(Table255[[#This Row],[Affected CMS
(§63.567(o)(3)(viii))
(Select from dropdown)]],Table22[#Data],2,FALSE))</f>
        <v/>
      </c>
      <c r="D594" s="132"/>
      <c r="E594" s="140"/>
    </row>
    <row r="595" spans="2:5" x14ac:dyDescent="0.3">
      <c r="B595" s="278" t="str">
        <f>IF(Table255[[#This Row],[Affected CMS
(§63.567(o)(3)(viii))
(Select from dropdown)]]="","",VLOOKUP(Table255[[#This Row],[Affected CMS
(§63.567(o)(3)(viii))
(Select from dropdown)]],Table22[#Data],2,FALSE))</f>
        <v/>
      </c>
      <c r="D595" s="132"/>
      <c r="E595" s="140"/>
    </row>
    <row r="596" spans="2:5" x14ac:dyDescent="0.3">
      <c r="B596" s="278" t="str">
        <f>IF(Table255[[#This Row],[Affected CMS
(§63.567(o)(3)(viii))
(Select from dropdown)]]="","",VLOOKUP(Table255[[#This Row],[Affected CMS
(§63.567(o)(3)(viii))
(Select from dropdown)]],Table22[#Data],2,FALSE))</f>
        <v/>
      </c>
      <c r="D596" s="132"/>
      <c r="E596" s="140"/>
    </row>
    <row r="597" spans="2:5" x14ac:dyDescent="0.3">
      <c r="B597" s="278" t="str">
        <f>IF(Table255[[#This Row],[Affected CMS
(§63.567(o)(3)(viii))
(Select from dropdown)]]="","",VLOOKUP(Table255[[#This Row],[Affected CMS
(§63.567(o)(3)(viii))
(Select from dropdown)]],Table22[#Data],2,FALSE))</f>
        <v/>
      </c>
      <c r="D597" s="132"/>
      <c r="E597" s="140"/>
    </row>
    <row r="598" spans="2:5" x14ac:dyDescent="0.3">
      <c r="B598" s="278" t="str">
        <f>IF(Table255[[#This Row],[Affected CMS
(§63.567(o)(3)(viii))
(Select from dropdown)]]="","",VLOOKUP(Table255[[#This Row],[Affected CMS
(§63.567(o)(3)(viii))
(Select from dropdown)]],Table22[#Data],2,FALSE))</f>
        <v/>
      </c>
      <c r="D598" s="132"/>
      <c r="E598" s="140"/>
    </row>
    <row r="599" spans="2:5" x14ac:dyDescent="0.3">
      <c r="B599" s="278" t="str">
        <f>IF(Table255[[#This Row],[Affected CMS
(§63.567(o)(3)(viii))
(Select from dropdown)]]="","",VLOOKUP(Table255[[#This Row],[Affected CMS
(§63.567(o)(3)(viii))
(Select from dropdown)]],Table22[#Data],2,FALSE))</f>
        <v/>
      </c>
      <c r="D599" s="132"/>
      <c r="E599" s="140"/>
    </row>
    <row r="600" spans="2:5" x14ac:dyDescent="0.3">
      <c r="B600" s="278" t="str">
        <f>IF(Table255[[#This Row],[Affected CMS
(§63.567(o)(3)(viii))
(Select from dropdown)]]="","",VLOOKUP(Table255[[#This Row],[Affected CMS
(§63.567(o)(3)(viii))
(Select from dropdown)]],Table22[#Data],2,FALSE))</f>
        <v/>
      </c>
      <c r="D600" s="132"/>
      <c r="E600" s="140"/>
    </row>
    <row r="601" spans="2:5" x14ac:dyDescent="0.3">
      <c r="B601" s="278" t="str">
        <f>IF(Table255[[#This Row],[Affected CMS
(§63.567(o)(3)(viii))
(Select from dropdown)]]="","",VLOOKUP(Table255[[#This Row],[Affected CMS
(§63.567(o)(3)(viii))
(Select from dropdown)]],Table22[#Data],2,FALSE))</f>
        <v/>
      </c>
      <c r="D601" s="132"/>
      <c r="E601" s="140"/>
    </row>
    <row r="602" spans="2:5" x14ac:dyDescent="0.3">
      <c r="B602" s="278" t="str">
        <f>IF(Table255[[#This Row],[Affected CMS
(§63.567(o)(3)(viii))
(Select from dropdown)]]="","",VLOOKUP(Table255[[#This Row],[Affected CMS
(§63.567(o)(3)(viii))
(Select from dropdown)]],Table22[#Data],2,FALSE))</f>
        <v/>
      </c>
      <c r="D602" s="132"/>
      <c r="E602" s="140"/>
    </row>
    <row r="603" spans="2:5" x14ac:dyDescent="0.3">
      <c r="B603" s="278" t="str">
        <f>IF(Table255[[#This Row],[Affected CMS
(§63.567(o)(3)(viii))
(Select from dropdown)]]="","",VLOOKUP(Table255[[#This Row],[Affected CMS
(§63.567(o)(3)(viii))
(Select from dropdown)]],Table22[#Data],2,FALSE))</f>
        <v/>
      </c>
      <c r="D603" s="132"/>
      <c r="E603" s="140"/>
    </row>
    <row r="604" spans="2:5" x14ac:dyDescent="0.3">
      <c r="B604" s="278" t="str">
        <f>IF(Table255[[#This Row],[Affected CMS
(§63.567(o)(3)(viii))
(Select from dropdown)]]="","",VLOOKUP(Table255[[#This Row],[Affected CMS
(§63.567(o)(3)(viii))
(Select from dropdown)]],Table22[#Data],2,FALSE))</f>
        <v/>
      </c>
      <c r="D604" s="132"/>
      <c r="E604" s="140"/>
    </row>
    <row r="605" spans="2:5" x14ac:dyDescent="0.3">
      <c r="B605" s="278" t="str">
        <f>IF(Table255[[#This Row],[Affected CMS
(§63.567(o)(3)(viii))
(Select from dropdown)]]="","",VLOOKUP(Table255[[#This Row],[Affected CMS
(§63.567(o)(3)(viii))
(Select from dropdown)]],Table22[#Data],2,FALSE))</f>
        <v/>
      </c>
      <c r="D605" s="132"/>
      <c r="E605" s="140"/>
    </row>
    <row r="606" spans="2:5" x14ac:dyDescent="0.3">
      <c r="B606" s="278" t="str">
        <f>IF(Table255[[#This Row],[Affected CMS
(§63.567(o)(3)(viii))
(Select from dropdown)]]="","",VLOOKUP(Table255[[#This Row],[Affected CMS
(§63.567(o)(3)(viii))
(Select from dropdown)]],Table22[#Data],2,FALSE))</f>
        <v/>
      </c>
      <c r="D606" s="132"/>
      <c r="E606" s="140"/>
    </row>
    <row r="607" spans="2:5" x14ac:dyDescent="0.3">
      <c r="B607" s="278" t="str">
        <f>IF(Table255[[#This Row],[Affected CMS
(§63.567(o)(3)(viii))
(Select from dropdown)]]="","",VLOOKUP(Table255[[#This Row],[Affected CMS
(§63.567(o)(3)(viii))
(Select from dropdown)]],Table22[#Data],2,FALSE))</f>
        <v/>
      </c>
      <c r="D607" s="132"/>
      <c r="E607" s="140"/>
    </row>
    <row r="608" spans="2:5" x14ac:dyDescent="0.3">
      <c r="B608" s="278" t="str">
        <f>IF(Table255[[#This Row],[Affected CMS
(§63.567(o)(3)(viii))
(Select from dropdown)]]="","",VLOOKUP(Table255[[#This Row],[Affected CMS
(§63.567(o)(3)(viii))
(Select from dropdown)]],Table22[#Data],2,FALSE))</f>
        <v/>
      </c>
      <c r="D608" s="132"/>
      <c r="E608" s="140"/>
    </row>
    <row r="609" spans="2:5" x14ac:dyDescent="0.3">
      <c r="B609" s="278" t="str">
        <f>IF(Table255[[#This Row],[Affected CMS
(§63.567(o)(3)(viii))
(Select from dropdown)]]="","",VLOOKUP(Table255[[#This Row],[Affected CMS
(§63.567(o)(3)(viii))
(Select from dropdown)]],Table22[#Data],2,FALSE))</f>
        <v/>
      </c>
      <c r="D609" s="132"/>
      <c r="E609" s="140"/>
    </row>
    <row r="610" spans="2:5" x14ac:dyDescent="0.3">
      <c r="B610" s="278" t="str">
        <f>IF(Table255[[#This Row],[Affected CMS
(§63.567(o)(3)(viii))
(Select from dropdown)]]="","",VLOOKUP(Table255[[#This Row],[Affected CMS
(§63.567(o)(3)(viii))
(Select from dropdown)]],Table22[#Data],2,FALSE))</f>
        <v/>
      </c>
      <c r="D610" s="132"/>
      <c r="E610" s="140"/>
    </row>
    <row r="611" spans="2:5" x14ac:dyDescent="0.3">
      <c r="B611" s="278" t="str">
        <f>IF(Table255[[#This Row],[Affected CMS
(§63.567(o)(3)(viii))
(Select from dropdown)]]="","",VLOOKUP(Table255[[#This Row],[Affected CMS
(§63.567(o)(3)(viii))
(Select from dropdown)]],Table22[#Data],2,FALSE))</f>
        <v/>
      </c>
      <c r="D611" s="132"/>
      <c r="E611" s="140"/>
    </row>
    <row r="612" spans="2:5" x14ac:dyDescent="0.3">
      <c r="B612" s="278" t="str">
        <f>IF(Table255[[#This Row],[Affected CMS
(§63.567(o)(3)(viii))
(Select from dropdown)]]="","",VLOOKUP(Table255[[#This Row],[Affected CMS
(§63.567(o)(3)(viii))
(Select from dropdown)]],Table22[#Data],2,FALSE))</f>
        <v/>
      </c>
      <c r="D612" s="132"/>
      <c r="E612" s="140"/>
    </row>
    <row r="613" spans="2:5" x14ac:dyDescent="0.3">
      <c r="B613" s="278" t="str">
        <f>IF(Table255[[#This Row],[Affected CMS
(§63.567(o)(3)(viii))
(Select from dropdown)]]="","",VLOOKUP(Table255[[#This Row],[Affected CMS
(§63.567(o)(3)(viii))
(Select from dropdown)]],Table22[#Data],2,FALSE))</f>
        <v/>
      </c>
      <c r="D613" s="132"/>
      <c r="E613" s="140"/>
    </row>
    <row r="614" spans="2:5" x14ac:dyDescent="0.3">
      <c r="B614" s="278" t="str">
        <f>IF(Table255[[#This Row],[Affected CMS
(§63.567(o)(3)(viii))
(Select from dropdown)]]="","",VLOOKUP(Table255[[#This Row],[Affected CMS
(§63.567(o)(3)(viii))
(Select from dropdown)]],Table22[#Data],2,FALSE))</f>
        <v/>
      </c>
      <c r="D614" s="132"/>
      <c r="E614" s="140"/>
    </row>
    <row r="615" spans="2:5" x14ac:dyDescent="0.3">
      <c r="B615" s="278" t="str">
        <f>IF(Table255[[#This Row],[Affected CMS
(§63.567(o)(3)(viii))
(Select from dropdown)]]="","",VLOOKUP(Table255[[#This Row],[Affected CMS
(§63.567(o)(3)(viii))
(Select from dropdown)]],Table22[#Data],2,FALSE))</f>
        <v/>
      </c>
      <c r="D615" s="132"/>
      <c r="E615" s="140"/>
    </row>
    <row r="616" spans="2:5" x14ac:dyDescent="0.3">
      <c r="B616" s="278" t="str">
        <f>IF(Table255[[#This Row],[Affected CMS
(§63.567(o)(3)(viii))
(Select from dropdown)]]="","",VLOOKUP(Table255[[#This Row],[Affected CMS
(§63.567(o)(3)(viii))
(Select from dropdown)]],Table22[#Data],2,FALSE))</f>
        <v/>
      </c>
      <c r="D616" s="132"/>
      <c r="E616" s="140"/>
    </row>
    <row r="617" spans="2:5" x14ac:dyDescent="0.3">
      <c r="B617" s="278" t="str">
        <f>IF(Table255[[#This Row],[Affected CMS
(§63.567(o)(3)(viii))
(Select from dropdown)]]="","",VLOOKUP(Table255[[#This Row],[Affected CMS
(§63.567(o)(3)(viii))
(Select from dropdown)]],Table22[#Data],2,FALSE))</f>
        <v/>
      </c>
      <c r="D617" s="132"/>
      <c r="E617" s="140"/>
    </row>
    <row r="618" spans="2:5" x14ac:dyDescent="0.3">
      <c r="B618" s="278" t="str">
        <f>IF(Table255[[#This Row],[Affected CMS
(§63.567(o)(3)(viii))
(Select from dropdown)]]="","",VLOOKUP(Table255[[#This Row],[Affected CMS
(§63.567(o)(3)(viii))
(Select from dropdown)]],Table22[#Data],2,FALSE))</f>
        <v/>
      </c>
      <c r="D618" s="132"/>
      <c r="E618" s="140"/>
    </row>
    <row r="619" spans="2:5" x14ac:dyDescent="0.3">
      <c r="B619" s="278" t="str">
        <f>IF(Table255[[#This Row],[Affected CMS
(§63.567(o)(3)(viii))
(Select from dropdown)]]="","",VLOOKUP(Table255[[#This Row],[Affected CMS
(§63.567(o)(3)(viii))
(Select from dropdown)]],Table22[#Data],2,FALSE))</f>
        <v/>
      </c>
      <c r="D619" s="132"/>
      <c r="E619" s="140"/>
    </row>
    <row r="620" spans="2:5" x14ac:dyDescent="0.3">
      <c r="B620" s="278" t="str">
        <f>IF(Table255[[#This Row],[Affected CMS
(§63.567(o)(3)(viii))
(Select from dropdown)]]="","",VLOOKUP(Table255[[#This Row],[Affected CMS
(§63.567(o)(3)(viii))
(Select from dropdown)]],Table22[#Data],2,FALSE))</f>
        <v/>
      </c>
      <c r="D620" s="132"/>
      <c r="E620" s="140"/>
    </row>
    <row r="621" spans="2:5" x14ac:dyDescent="0.3">
      <c r="B621" s="278" t="str">
        <f>IF(Table255[[#This Row],[Affected CMS
(§63.567(o)(3)(viii))
(Select from dropdown)]]="","",VLOOKUP(Table255[[#This Row],[Affected CMS
(§63.567(o)(3)(viii))
(Select from dropdown)]],Table22[#Data],2,FALSE))</f>
        <v/>
      </c>
      <c r="D621" s="132"/>
      <c r="E621" s="140"/>
    </row>
    <row r="622" spans="2:5" x14ac:dyDescent="0.3">
      <c r="B622" s="278" t="str">
        <f>IF(Table255[[#This Row],[Affected CMS
(§63.567(o)(3)(viii))
(Select from dropdown)]]="","",VLOOKUP(Table255[[#This Row],[Affected CMS
(§63.567(o)(3)(viii))
(Select from dropdown)]],Table22[#Data],2,FALSE))</f>
        <v/>
      </c>
      <c r="D622" s="132"/>
      <c r="E622" s="140"/>
    </row>
    <row r="623" spans="2:5" x14ac:dyDescent="0.3">
      <c r="B623" s="278" t="str">
        <f>IF(Table255[[#This Row],[Affected CMS
(§63.567(o)(3)(viii))
(Select from dropdown)]]="","",VLOOKUP(Table255[[#This Row],[Affected CMS
(§63.567(o)(3)(viii))
(Select from dropdown)]],Table22[#Data],2,FALSE))</f>
        <v/>
      </c>
      <c r="D623" s="132"/>
      <c r="E623" s="140"/>
    </row>
    <row r="624" spans="2:5" x14ac:dyDescent="0.3">
      <c r="B624" s="278" t="str">
        <f>IF(Table255[[#This Row],[Affected CMS
(§63.567(o)(3)(viii))
(Select from dropdown)]]="","",VLOOKUP(Table255[[#This Row],[Affected CMS
(§63.567(o)(3)(viii))
(Select from dropdown)]],Table22[#Data],2,FALSE))</f>
        <v/>
      </c>
      <c r="D624" s="132"/>
      <c r="E624" s="140"/>
    </row>
    <row r="625" spans="2:5" x14ac:dyDescent="0.3">
      <c r="B625" s="278" t="str">
        <f>IF(Table255[[#This Row],[Affected CMS
(§63.567(o)(3)(viii))
(Select from dropdown)]]="","",VLOOKUP(Table255[[#This Row],[Affected CMS
(§63.567(o)(3)(viii))
(Select from dropdown)]],Table22[#Data],2,FALSE))</f>
        <v/>
      </c>
      <c r="D625" s="132"/>
      <c r="E625" s="140"/>
    </row>
    <row r="626" spans="2:5" x14ac:dyDescent="0.3">
      <c r="B626" s="278" t="str">
        <f>IF(Table255[[#This Row],[Affected CMS
(§63.567(o)(3)(viii))
(Select from dropdown)]]="","",VLOOKUP(Table255[[#This Row],[Affected CMS
(§63.567(o)(3)(viii))
(Select from dropdown)]],Table22[#Data],2,FALSE))</f>
        <v/>
      </c>
      <c r="D626" s="132"/>
      <c r="E626" s="140"/>
    </row>
    <row r="627" spans="2:5" x14ac:dyDescent="0.3">
      <c r="B627" s="278" t="str">
        <f>IF(Table255[[#This Row],[Affected CMS
(§63.567(o)(3)(viii))
(Select from dropdown)]]="","",VLOOKUP(Table255[[#This Row],[Affected CMS
(§63.567(o)(3)(viii))
(Select from dropdown)]],Table22[#Data],2,FALSE))</f>
        <v/>
      </c>
      <c r="D627" s="132"/>
      <c r="E627" s="140"/>
    </row>
    <row r="628" spans="2:5" x14ac:dyDescent="0.3">
      <c r="B628" s="278" t="str">
        <f>IF(Table255[[#This Row],[Affected CMS
(§63.567(o)(3)(viii))
(Select from dropdown)]]="","",VLOOKUP(Table255[[#This Row],[Affected CMS
(§63.567(o)(3)(viii))
(Select from dropdown)]],Table22[#Data],2,FALSE))</f>
        <v/>
      </c>
      <c r="D628" s="132"/>
      <c r="E628" s="140"/>
    </row>
    <row r="629" spans="2:5" x14ac:dyDescent="0.3">
      <c r="B629" s="278" t="str">
        <f>IF(Table255[[#This Row],[Affected CMS
(§63.567(o)(3)(viii))
(Select from dropdown)]]="","",VLOOKUP(Table255[[#This Row],[Affected CMS
(§63.567(o)(3)(viii))
(Select from dropdown)]],Table22[#Data],2,FALSE))</f>
        <v/>
      </c>
      <c r="D629" s="132"/>
      <c r="E629" s="140"/>
    </row>
    <row r="630" spans="2:5" x14ac:dyDescent="0.3">
      <c r="B630" s="278" t="str">
        <f>IF(Table255[[#This Row],[Affected CMS
(§63.567(o)(3)(viii))
(Select from dropdown)]]="","",VLOOKUP(Table255[[#This Row],[Affected CMS
(§63.567(o)(3)(viii))
(Select from dropdown)]],Table22[#Data],2,FALSE))</f>
        <v/>
      </c>
      <c r="D630" s="132"/>
      <c r="E630" s="140"/>
    </row>
    <row r="631" spans="2:5" x14ac:dyDescent="0.3">
      <c r="B631" s="278" t="str">
        <f>IF(Table255[[#This Row],[Affected CMS
(§63.567(o)(3)(viii))
(Select from dropdown)]]="","",VLOOKUP(Table255[[#This Row],[Affected CMS
(§63.567(o)(3)(viii))
(Select from dropdown)]],Table22[#Data],2,FALSE))</f>
        <v/>
      </c>
      <c r="D631" s="132"/>
      <c r="E631" s="140"/>
    </row>
    <row r="632" spans="2:5" x14ac:dyDescent="0.3">
      <c r="B632" s="278" t="str">
        <f>IF(Table255[[#This Row],[Affected CMS
(§63.567(o)(3)(viii))
(Select from dropdown)]]="","",VLOOKUP(Table255[[#This Row],[Affected CMS
(§63.567(o)(3)(viii))
(Select from dropdown)]],Table22[#Data],2,FALSE))</f>
        <v/>
      </c>
      <c r="D632" s="132"/>
      <c r="E632" s="140"/>
    </row>
    <row r="633" spans="2:5" x14ac:dyDescent="0.3">
      <c r="B633" s="278" t="str">
        <f>IF(Table255[[#This Row],[Affected CMS
(§63.567(o)(3)(viii))
(Select from dropdown)]]="","",VLOOKUP(Table255[[#This Row],[Affected CMS
(§63.567(o)(3)(viii))
(Select from dropdown)]],Table22[#Data],2,FALSE))</f>
        <v/>
      </c>
      <c r="D633" s="132"/>
      <c r="E633" s="140"/>
    </row>
    <row r="634" spans="2:5" x14ac:dyDescent="0.3">
      <c r="B634" s="278" t="str">
        <f>IF(Table255[[#This Row],[Affected CMS
(§63.567(o)(3)(viii))
(Select from dropdown)]]="","",VLOOKUP(Table255[[#This Row],[Affected CMS
(§63.567(o)(3)(viii))
(Select from dropdown)]],Table22[#Data],2,FALSE))</f>
        <v/>
      </c>
      <c r="D634" s="132"/>
      <c r="E634" s="140"/>
    </row>
    <row r="635" spans="2:5" x14ac:dyDescent="0.3">
      <c r="B635" s="278" t="str">
        <f>IF(Table255[[#This Row],[Affected CMS
(§63.567(o)(3)(viii))
(Select from dropdown)]]="","",VLOOKUP(Table255[[#This Row],[Affected CMS
(§63.567(o)(3)(viii))
(Select from dropdown)]],Table22[#Data],2,FALSE))</f>
        <v/>
      </c>
      <c r="D635" s="132"/>
      <c r="E635" s="140"/>
    </row>
    <row r="636" spans="2:5" x14ac:dyDescent="0.3">
      <c r="B636" s="278" t="str">
        <f>IF(Table255[[#This Row],[Affected CMS
(§63.567(o)(3)(viii))
(Select from dropdown)]]="","",VLOOKUP(Table255[[#This Row],[Affected CMS
(§63.567(o)(3)(viii))
(Select from dropdown)]],Table22[#Data],2,FALSE))</f>
        <v/>
      </c>
      <c r="D636" s="132"/>
      <c r="E636" s="140"/>
    </row>
    <row r="637" spans="2:5" x14ac:dyDescent="0.3">
      <c r="B637" s="278" t="str">
        <f>IF(Table255[[#This Row],[Affected CMS
(§63.567(o)(3)(viii))
(Select from dropdown)]]="","",VLOOKUP(Table255[[#This Row],[Affected CMS
(§63.567(o)(3)(viii))
(Select from dropdown)]],Table22[#Data],2,FALSE))</f>
        <v/>
      </c>
      <c r="D637" s="132"/>
      <c r="E637" s="140"/>
    </row>
    <row r="638" spans="2:5" x14ac:dyDescent="0.3">
      <c r="B638" s="278" t="str">
        <f>IF(Table255[[#This Row],[Affected CMS
(§63.567(o)(3)(viii))
(Select from dropdown)]]="","",VLOOKUP(Table255[[#This Row],[Affected CMS
(§63.567(o)(3)(viii))
(Select from dropdown)]],Table22[#Data],2,FALSE))</f>
        <v/>
      </c>
      <c r="D638" s="132"/>
      <c r="E638" s="140"/>
    </row>
    <row r="639" spans="2:5" x14ac:dyDescent="0.3">
      <c r="B639" s="278" t="str">
        <f>IF(Table255[[#This Row],[Affected CMS
(§63.567(o)(3)(viii))
(Select from dropdown)]]="","",VLOOKUP(Table255[[#This Row],[Affected CMS
(§63.567(o)(3)(viii))
(Select from dropdown)]],Table22[#Data],2,FALSE))</f>
        <v/>
      </c>
      <c r="D639" s="132"/>
      <c r="E639" s="140"/>
    </row>
    <row r="640" spans="2:5" x14ac:dyDescent="0.3">
      <c r="B640" s="278" t="str">
        <f>IF(Table255[[#This Row],[Affected CMS
(§63.567(o)(3)(viii))
(Select from dropdown)]]="","",VLOOKUP(Table255[[#This Row],[Affected CMS
(§63.567(o)(3)(viii))
(Select from dropdown)]],Table22[#Data],2,FALSE))</f>
        <v/>
      </c>
      <c r="D640" s="132"/>
      <c r="E640" s="140"/>
    </row>
    <row r="641" spans="2:5" x14ac:dyDescent="0.3">
      <c r="B641" s="278" t="str">
        <f>IF(Table255[[#This Row],[Affected CMS
(§63.567(o)(3)(viii))
(Select from dropdown)]]="","",VLOOKUP(Table255[[#This Row],[Affected CMS
(§63.567(o)(3)(viii))
(Select from dropdown)]],Table22[#Data],2,FALSE))</f>
        <v/>
      </c>
      <c r="D641" s="132"/>
      <c r="E641" s="140"/>
    </row>
    <row r="642" spans="2:5" x14ac:dyDescent="0.3">
      <c r="B642" s="278" t="str">
        <f>IF(Table255[[#This Row],[Affected CMS
(§63.567(o)(3)(viii))
(Select from dropdown)]]="","",VLOOKUP(Table255[[#This Row],[Affected CMS
(§63.567(o)(3)(viii))
(Select from dropdown)]],Table22[#Data],2,FALSE))</f>
        <v/>
      </c>
      <c r="D642" s="132"/>
      <c r="E642" s="140"/>
    </row>
    <row r="643" spans="2:5" x14ac:dyDescent="0.3">
      <c r="B643" s="278" t="str">
        <f>IF(Table255[[#This Row],[Affected CMS
(§63.567(o)(3)(viii))
(Select from dropdown)]]="","",VLOOKUP(Table255[[#This Row],[Affected CMS
(§63.567(o)(3)(viii))
(Select from dropdown)]],Table22[#Data],2,FALSE))</f>
        <v/>
      </c>
      <c r="D643" s="132"/>
      <c r="E643" s="140"/>
    </row>
    <row r="644" spans="2:5" x14ac:dyDescent="0.3">
      <c r="B644" s="278" t="str">
        <f>IF(Table255[[#This Row],[Affected CMS
(§63.567(o)(3)(viii))
(Select from dropdown)]]="","",VLOOKUP(Table255[[#This Row],[Affected CMS
(§63.567(o)(3)(viii))
(Select from dropdown)]],Table22[#Data],2,FALSE))</f>
        <v/>
      </c>
      <c r="D644" s="132"/>
      <c r="E644" s="140"/>
    </row>
    <row r="645" spans="2:5" x14ac:dyDescent="0.3">
      <c r="B645" s="278" t="str">
        <f>IF(Table255[[#This Row],[Affected CMS
(§63.567(o)(3)(viii))
(Select from dropdown)]]="","",VLOOKUP(Table255[[#This Row],[Affected CMS
(§63.567(o)(3)(viii))
(Select from dropdown)]],Table22[#Data],2,FALSE))</f>
        <v/>
      </c>
      <c r="D645" s="132"/>
      <c r="E645" s="140"/>
    </row>
    <row r="646" spans="2:5" x14ac:dyDescent="0.3">
      <c r="B646" s="278" t="str">
        <f>IF(Table255[[#This Row],[Affected CMS
(§63.567(o)(3)(viii))
(Select from dropdown)]]="","",VLOOKUP(Table255[[#This Row],[Affected CMS
(§63.567(o)(3)(viii))
(Select from dropdown)]],Table22[#Data],2,FALSE))</f>
        <v/>
      </c>
      <c r="D646" s="132"/>
      <c r="E646" s="140"/>
    </row>
    <row r="647" spans="2:5" x14ac:dyDescent="0.3">
      <c r="B647" s="278" t="str">
        <f>IF(Table255[[#This Row],[Affected CMS
(§63.567(o)(3)(viii))
(Select from dropdown)]]="","",VLOOKUP(Table255[[#This Row],[Affected CMS
(§63.567(o)(3)(viii))
(Select from dropdown)]],Table22[#Data],2,FALSE))</f>
        <v/>
      </c>
      <c r="D647" s="132"/>
      <c r="E647" s="140"/>
    </row>
    <row r="648" spans="2:5" x14ac:dyDescent="0.3">
      <c r="B648" s="278" t="str">
        <f>IF(Table255[[#This Row],[Affected CMS
(§63.567(o)(3)(viii))
(Select from dropdown)]]="","",VLOOKUP(Table255[[#This Row],[Affected CMS
(§63.567(o)(3)(viii))
(Select from dropdown)]],Table22[#Data],2,FALSE))</f>
        <v/>
      </c>
      <c r="D648" s="132"/>
      <c r="E648" s="140"/>
    </row>
    <row r="649" spans="2:5" x14ac:dyDescent="0.3">
      <c r="B649" s="278" t="str">
        <f>IF(Table255[[#This Row],[Affected CMS
(§63.567(o)(3)(viii))
(Select from dropdown)]]="","",VLOOKUP(Table255[[#This Row],[Affected CMS
(§63.567(o)(3)(viii))
(Select from dropdown)]],Table22[#Data],2,FALSE))</f>
        <v/>
      </c>
      <c r="D649" s="132"/>
      <c r="E649" s="140"/>
    </row>
    <row r="650" spans="2:5" x14ac:dyDescent="0.3">
      <c r="B650" s="278" t="str">
        <f>IF(Table255[[#This Row],[Affected CMS
(§63.567(o)(3)(viii))
(Select from dropdown)]]="","",VLOOKUP(Table255[[#This Row],[Affected CMS
(§63.567(o)(3)(viii))
(Select from dropdown)]],Table22[#Data],2,FALSE))</f>
        <v/>
      </c>
      <c r="D650" s="132"/>
      <c r="E650" s="140"/>
    </row>
    <row r="651" spans="2:5" x14ac:dyDescent="0.3">
      <c r="B651" s="278" t="str">
        <f>IF(Table255[[#This Row],[Affected CMS
(§63.567(o)(3)(viii))
(Select from dropdown)]]="","",VLOOKUP(Table255[[#This Row],[Affected CMS
(§63.567(o)(3)(viii))
(Select from dropdown)]],Table22[#Data],2,FALSE))</f>
        <v/>
      </c>
      <c r="D651" s="132"/>
      <c r="E651" s="140"/>
    </row>
    <row r="652" spans="2:5" x14ac:dyDescent="0.3">
      <c r="B652" s="278" t="str">
        <f>IF(Table255[[#This Row],[Affected CMS
(§63.567(o)(3)(viii))
(Select from dropdown)]]="","",VLOOKUP(Table255[[#This Row],[Affected CMS
(§63.567(o)(3)(viii))
(Select from dropdown)]],Table22[#Data],2,FALSE))</f>
        <v/>
      </c>
      <c r="D652" s="132"/>
      <c r="E652" s="140"/>
    </row>
    <row r="653" spans="2:5" x14ac:dyDescent="0.3">
      <c r="B653" s="278" t="str">
        <f>IF(Table255[[#This Row],[Affected CMS
(§63.567(o)(3)(viii))
(Select from dropdown)]]="","",VLOOKUP(Table255[[#This Row],[Affected CMS
(§63.567(o)(3)(viii))
(Select from dropdown)]],Table22[#Data],2,FALSE))</f>
        <v/>
      </c>
      <c r="D653" s="132"/>
      <c r="E653" s="140"/>
    </row>
    <row r="654" spans="2:5" x14ac:dyDescent="0.3">
      <c r="B654" s="278" t="str">
        <f>IF(Table255[[#This Row],[Affected CMS
(§63.567(o)(3)(viii))
(Select from dropdown)]]="","",VLOOKUP(Table255[[#This Row],[Affected CMS
(§63.567(o)(3)(viii))
(Select from dropdown)]],Table22[#Data],2,FALSE))</f>
        <v/>
      </c>
      <c r="D654" s="132"/>
      <c r="E654" s="140"/>
    </row>
    <row r="655" spans="2:5" x14ac:dyDescent="0.3">
      <c r="B655" s="278" t="str">
        <f>IF(Table255[[#This Row],[Affected CMS
(§63.567(o)(3)(viii))
(Select from dropdown)]]="","",VLOOKUP(Table255[[#This Row],[Affected CMS
(§63.567(o)(3)(viii))
(Select from dropdown)]],Table22[#Data],2,FALSE))</f>
        <v/>
      </c>
      <c r="D655" s="132"/>
      <c r="E655" s="140"/>
    </row>
    <row r="656" spans="2:5" x14ac:dyDescent="0.3">
      <c r="B656" s="278" t="str">
        <f>IF(Table255[[#This Row],[Affected CMS
(§63.567(o)(3)(viii))
(Select from dropdown)]]="","",VLOOKUP(Table255[[#This Row],[Affected CMS
(§63.567(o)(3)(viii))
(Select from dropdown)]],Table22[#Data],2,FALSE))</f>
        <v/>
      </c>
      <c r="D656" s="132"/>
      <c r="E656" s="140"/>
    </row>
    <row r="657" spans="2:5" x14ac:dyDescent="0.3">
      <c r="B657" s="278" t="str">
        <f>IF(Table255[[#This Row],[Affected CMS
(§63.567(o)(3)(viii))
(Select from dropdown)]]="","",VLOOKUP(Table255[[#This Row],[Affected CMS
(§63.567(o)(3)(viii))
(Select from dropdown)]],Table22[#Data],2,FALSE))</f>
        <v/>
      </c>
      <c r="D657" s="132"/>
      <c r="E657" s="140"/>
    </row>
    <row r="658" spans="2:5" x14ac:dyDescent="0.3">
      <c r="B658" s="278" t="str">
        <f>IF(Table255[[#This Row],[Affected CMS
(§63.567(o)(3)(viii))
(Select from dropdown)]]="","",VLOOKUP(Table255[[#This Row],[Affected CMS
(§63.567(o)(3)(viii))
(Select from dropdown)]],Table22[#Data],2,FALSE))</f>
        <v/>
      </c>
      <c r="D658" s="132"/>
      <c r="E658" s="140"/>
    </row>
    <row r="659" spans="2:5" x14ac:dyDescent="0.3">
      <c r="B659" s="278" t="str">
        <f>IF(Table255[[#This Row],[Affected CMS
(§63.567(o)(3)(viii))
(Select from dropdown)]]="","",VLOOKUP(Table255[[#This Row],[Affected CMS
(§63.567(o)(3)(viii))
(Select from dropdown)]],Table22[#Data],2,FALSE))</f>
        <v/>
      </c>
      <c r="D659" s="132"/>
      <c r="E659" s="140"/>
    </row>
    <row r="660" spans="2:5" x14ac:dyDescent="0.3">
      <c r="B660" s="278" t="str">
        <f>IF(Table255[[#This Row],[Affected CMS
(§63.567(o)(3)(viii))
(Select from dropdown)]]="","",VLOOKUP(Table255[[#This Row],[Affected CMS
(§63.567(o)(3)(viii))
(Select from dropdown)]],Table22[#Data],2,FALSE))</f>
        <v/>
      </c>
      <c r="D660" s="132"/>
      <c r="E660" s="140"/>
    </row>
    <row r="661" spans="2:5" x14ac:dyDescent="0.3">
      <c r="B661" s="278" t="str">
        <f>IF(Table255[[#This Row],[Affected CMS
(§63.567(o)(3)(viii))
(Select from dropdown)]]="","",VLOOKUP(Table255[[#This Row],[Affected CMS
(§63.567(o)(3)(viii))
(Select from dropdown)]],Table22[#Data],2,FALSE))</f>
        <v/>
      </c>
      <c r="D661" s="132"/>
      <c r="E661" s="140"/>
    </row>
    <row r="662" spans="2:5" x14ac:dyDescent="0.3">
      <c r="B662" s="278" t="str">
        <f>IF(Table255[[#This Row],[Affected CMS
(§63.567(o)(3)(viii))
(Select from dropdown)]]="","",VLOOKUP(Table255[[#This Row],[Affected CMS
(§63.567(o)(3)(viii))
(Select from dropdown)]],Table22[#Data],2,FALSE))</f>
        <v/>
      </c>
      <c r="D662" s="132"/>
      <c r="E662" s="140"/>
    </row>
    <row r="663" spans="2:5" x14ac:dyDescent="0.3">
      <c r="B663" s="278" t="str">
        <f>IF(Table255[[#This Row],[Affected CMS
(§63.567(o)(3)(viii))
(Select from dropdown)]]="","",VLOOKUP(Table255[[#This Row],[Affected CMS
(§63.567(o)(3)(viii))
(Select from dropdown)]],Table22[#Data],2,FALSE))</f>
        <v/>
      </c>
      <c r="D663" s="132"/>
      <c r="E663" s="140"/>
    </row>
    <row r="664" spans="2:5" x14ac:dyDescent="0.3">
      <c r="B664" s="278" t="str">
        <f>IF(Table255[[#This Row],[Affected CMS
(§63.567(o)(3)(viii))
(Select from dropdown)]]="","",VLOOKUP(Table255[[#This Row],[Affected CMS
(§63.567(o)(3)(viii))
(Select from dropdown)]],Table22[#Data],2,FALSE))</f>
        <v/>
      </c>
      <c r="D664" s="132"/>
      <c r="E664" s="140"/>
    </row>
    <row r="665" spans="2:5" x14ac:dyDescent="0.3">
      <c r="B665" s="278" t="str">
        <f>IF(Table255[[#This Row],[Affected CMS
(§63.567(o)(3)(viii))
(Select from dropdown)]]="","",VLOOKUP(Table255[[#This Row],[Affected CMS
(§63.567(o)(3)(viii))
(Select from dropdown)]],Table22[#Data],2,FALSE))</f>
        <v/>
      </c>
      <c r="D665" s="132"/>
      <c r="E665" s="140"/>
    </row>
    <row r="666" spans="2:5" x14ac:dyDescent="0.3">
      <c r="B666" s="278" t="str">
        <f>IF(Table255[[#This Row],[Affected CMS
(§63.567(o)(3)(viii))
(Select from dropdown)]]="","",VLOOKUP(Table255[[#This Row],[Affected CMS
(§63.567(o)(3)(viii))
(Select from dropdown)]],Table22[#Data],2,FALSE))</f>
        <v/>
      </c>
      <c r="D666" s="132"/>
      <c r="E666" s="140"/>
    </row>
    <row r="667" spans="2:5" x14ac:dyDescent="0.3">
      <c r="B667" s="278" t="str">
        <f>IF(Table255[[#This Row],[Affected CMS
(§63.567(o)(3)(viii))
(Select from dropdown)]]="","",VLOOKUP(Table255[[#This Row],[Affected CMS
(§63.567(o)(3)(viii))
(Select from dropdown)]],Table22[#Data],2,FALSE))</f>
        <v/>
      </c>
      <c r="D667" s="132"/>
      <c r="E667" s="140"/>
    </row>
    <row r="668" spans="2:5" x14ac:dyDescent="0.3">
      <c r="B668" s="278" t="str">
        <f>IF(Table255[[#This Row],[Affected CMS
(§63.567(o)(3)(viii))
(Select from dropdown)]]="","",VLOOKUP(Table255[[#This Row],[Affected CMS
(§63.567(o)(3)(viii))
(Select from dropdown)]],Table22[#Data],2,FALSE))</f>
        <v/>
      </c>
      <c r="D668" s="132"/>
      <c r="E668" s="140"/>
    </row>
    <row r="669" spans="2:5" x14ac:dyDescent="0.3">
      <c r="B669" s="278" t="str">
        <f>IF(Table255[[#This Row],[Affected CMS
(§63.567(o)(3)(viii))
(Select from dropdown)]]="","",VLOOKUP(Table255[[#This Row],[Affected CMS
(§63.567(o)(3)(viii))
(Select from dropdown)]],Table22[#Data],2,FALSE))</f>
        <v/>
      </c>
      <c r="D669" s="132"/>
      <c r="E669" s="140"/>
    </row>
    <row r="670" spans="2:5" x14ac:dyDescent="0.3">
      <c r="B670" s="278" t="str">
        <f>IF(Table255[[#This Row],[Affected CMS
(§63.567(o)(3)(viii))
(Select from dropdown)]]="","",VLOOKUP(Table255[[#This Row],[Affected CMS
(§63.567(o)(3)(viii))
(Select from dropdown)]],Table22[#Data],2,FALSE))</f>
        <v/>
      </c>
      <c r="D670" s="132"/>
      <c r="E670" s="140"/>
    </row>
    <row r="671" spans="2:5" x14ac:dyDescent="0.3">
      <c r="B671" s="278" t="str">
        <f>IF(Table255[[#This Row],[Affected CMS
(§63.567(o)(3)(viii))
(Select from dropdown)]]="","",VLOOKUP(Table255[[#This Row],[Affected CMS
(§63.567(o)(3)(viii))
(Select from dropdown)]],Table22[#Data],2,FALSE))</f>
        <v/>
      </c>
      <c r="D671" s="132"/>
      <c r="E671" s="140"/>
    </row>
    <row r="672" spans="2:5" x14ac:dyDescent="0.3">
      <c r="B672" s="278" t="str">
        <f>IF(Table255[[#This Row],[Affected CMS
(§63.567(o)(3)(viii))
(Select from dropdown)]]="","",VLOOKUP(Table255[[#This Row],[Affected CMS
(§63.567(o)(3)(viii))
(Select from dropdown)]],Table22[#Data],2,FALSE))</f>
        <v/>
      </c>
      <c r="D672" s="132"/>
      <c r="E672" s="140"/>
    </row>
    <row r="673" spans="2:5" x14ac:dyDescent="0.3">
      <c r="B673" s="278" t="str">
        <f>IF(Table255[[#This Row],[Affected CMS
(§63.567(o)(3)(viii))
(Select from dropdown)]]="","",VLOOKUP(Table255[[#This Row],[Affected CMS
(§63.567(o)(3)(viii))
(Select from dropdown)]],Table22[#Data],2,FALSE))</f>
        <v/>
      </c>
      <c r="D673" s="132"/>
      <c r="E673" s="140"/>
    </row>
    <row r="674" spans="2:5" x14ac:dyDescent="0.3">
      <c r="B674" s="278" t="str">
        <f>IF(Table255[[#This Row],[Affected CMS
(§63.567(o)(3)(viii))
(Select from dropdown)]]="","",VLOOKUP(Table255[[#This Row],[Affected CMS
(§63.567(o)(3)(viii))
(Select from dropdown)]],Table22[#Data],2,FALSE))</f>
        <v/>
      </c>
      <c r="D674" s="132"/>
      <c r="E674" s="140"/>
    </row>
    <row r="675" spans="2:5" x14ac:dyDescent="0.3">
      <c r="B675" s="278" t="str">
        <f>IF(Table255[[#This Row],[Affected CMS
(§63.567(o)(3)(viii))
(Select from dropdown)]]="","",VLOOKUP(Table255[[#This Row],[Affected CMS
(§63.567(o)(3)(viii))
(Select from dropdown)]],Table22[#Data],2,FALSE))</f>
        <v/>
      </c>
      <c r="D675" s="132"/>
      <c r="E675" s="140"/>
    </row>
    <row r="676" spans="2:5" x14ac:dyDescent="0.3">
      <c r="B676" s="278" t="str">
        <f>IF(Table255[[#This Row],[Affected CMS
(§63.567(o)(3)(viii))
(Select from dropdown)]]="","",VLOOKUP(Table255[[#This Row],[Affected CMS
(§63.567(o)(3)(viii))
(Select from dropdown)]],Table22[#Data],2,FALSE))</f>
        <v/>
      </c>
      <c r="D676" s="132"/>
      <c r="E676" s="140"/>
    </row>
    <row r="677" spans="2:5" x14ac:dyDescent="0.3">
      <c r="B677" s="278" t="str">
        <f>IF(Table255[[#This Row],[Affected CMS
(§63.567(o)(3)(viii))
(Select from dropdown)]]="","",VLOOKUP(Table255[[#This Row],[Affected CMS
(§63.567(o)(3)(viii))
(Select from dropdown)]],Table22[#Data],2,FALSE))</f>
        <v/>
      </c>
      <c r="D677" s="132"/>
      <c r="E677" s="140"/>
    </row>
    <row r="678" spans="2:5" x14ac:dyDescent="0.3">
      <c r="B678" s="278" t="str">
        <f>IF(Table255[[#This Row],[Affected CMS
(§63.567(o)(3)(viii))
(Select from dropdown)]]="","",VLOOKUP(Table255[[#This Row],[Affected CMS
(§63.567(o)(3)(viii))
(Select from dropdown)]],Table22[#Data],2,FALSE))</f>
        <v/>
      </c>
      <c r="D678" s="132"/>
      <c r="E678" s="140"/>
    </row>
    <row r="679" spans="2:5" x14ac:dyDescent="0.3">
      <c r="B679" s="278" t="str">
        <f>IF(Table255[[#This Row],[Affected CMS
(§63.567(o)(3)(viii))
(Select from dropdown)]]="","",VLOOKUP(Table255[[#This Row],[Affected CMS
(§63.567(o)(3)(viii))
(Select from dropdown)]],Table22[#Data],2,FALSE))</f>
        <v/>
      </c>
      <c r="D679" s="132"/>
      <c r="E679" s="140"/>
    </row>
    <row r="680" spans="2:5" x14ac:dyDescent="0.3">
      <c r="B680" s="278" t="str">
        <f>IF(Table255[[#This Row],[Affected CMS
(§63.567(o)(3)(viii))
(Select from dropdown)]]="","",VLOOKUP(Table255[[#This Row],[Affected CMS
(§63.567(o)(3)(viii))
(Select from dropdown)]],Table22[#Data],2,FALSE))</f>
        <v/>
      </c>
      <c r="D680" s="132"/>
      <c r="E680" s="140"/>
    </row>
    <row r="681" spans="2:5" x14ac:dyDescent="0.3">
      <c r="B681" s="278" t="str">
        <f>IF(Table255[[#This Row],[Affected CMS
(§63.567(o)(3)(viii))
(Select from dropdown)]]="","",VLOOKUP(Table255[[#This Row],[Affected CMS
(§63.567(o)(3)(viii))
(Select from dropdown)]],Table22[#Data],2,FALSE))</f>
        <v/>
      </c>
      <c r="D681" s="132"/>
      <c r="E681" s="140"/>
    </row>
    <row r="682" spans="2:5" x14ac:dyDescent="0.3">
      <c r="B682" s="278" t="str">
        <f>IF(Table255[[#This Row],[Affected CMS
(§63.567(o)(3)(viii))
(Select from dropdown)]]="","",VLOOKUP(Table255[[#This Row],[Affected CMS
(§63.567(o)(3)(viii))
(Select from dropdown)]],Table22[#Data],2,FALSE))</f>
        <v/>
      </c>
      <c r="D682" s="132"/>
      <c r="E682" s="140"/>
    </row>
    <row r="683" spans="2:5" x14ac:dyDescent="0.3">
      <c r="B683" s="278" t="str">
        <f>IF(Table255[[#This Row],[Affected CMS
(§63.567(o)(3)(viii))
(Select from dropdown)]]="","",VLOOKUP(Table255[[#This Row],[Affected CMS
(§63.567(o)(3)(viii))
(Select from dropdown)]],Table22[#Data],2,FALSE))</f>
        <v/>
      </c>
      <c r="D683" s="132"/>
      <c r="E683" s="140"/>
    </row>
    <row r="684" spans="2:5" x14ac:dyDescent="0.3">
      <c r="B684" s="278" t="str">
        <f>IF(Table255[[#This Row],[Affected CMS
(§63.567(o)(3)(viii))
(Select from dropdown)]]="","",VLOOKUP(Table255[[#This Row],[Affected CMS
(§63.567(o)(3)(viii))
(Select from dropdown)]],Table22[#Data],2,FALSE))</f>
        <v/>
      </c>
      <c r="D684" s="132"/>
      <c r="E684" s="140"/>
    </row>
    <row r="685" spans="2:5" x14ac:dyDescent="0.3">
      <c r="B685" s="278" t="str">
        <f>IF(Table255[[#This Row],[Affected CMS
(§63.567(o)(3)(viii))
(Select from dropdown)]]="","",VLOOKUP(Table255[[#This Row],[Affected CMS
(§63.567(o)(3)(viii))
(Select from dropdown)]],Table22[#Data],2,FALSE))</f>
        <v/>
      </c>
      <c r="D685" s="132"/>
      <c r="E685" s="140"/>
    </row>
    <row r="686" spans="2:5" x14ac:dyDescent="0.3">
      <c r="B686" s="278" t="str">
        <f>IF(Table255[[#This Row],[Affected CMS
(§63.567(o)(3)(viii))
(Select from dropdown)]]="","",VLOOKUP(Table255[[#This Row],[Affected CMS
(§63.567(o)(3)(viii))
(Select from dropdown)]],Table22[#Data],2,FALSE))</f>
        <v/>
      </c>
      <c r="D686" s="132"/>
      <c r="E686" s="140"/>
    </row>
    <row r="687" spans="2:5" x14ac:dyDescent="0.3">
      <c r="B687" s="278" t="str">
        <f>IF(Table255[[#This Row],[Affected CMS
(§63.567(o)(3)(viii))
(Select from dropdown)]]="","",VLOOKUP(Table255[[#This Row],[Affected CMS
(§63.567(o)(3)(viii))
(Select from dropdown)]],Table22[#Data],2,FALSE))</f>
        <v/>
      </c>
      <c r="D687" s="132"/>
      <c r="E687" s="140"/>
    </row>
    <row r="688" spans="2:5" x14ac:dyDescent="0.3">
      <c r="B688" s="278" t="str">
        <f>IF(Table255[[#This Row],[Affected CMS
(§63.567(o)(3)(viii))
(Select from dropdown)]]="","",VLOOKUP(Table255[[#This Row],[Affected CMS
(§63.567(o)(3)(viii))
(Select from dropdown)]],Table22[#Data],2,FALSE))</f>
        <v/>
      </c>
      <c r="D688" s="132"/>
      <c r="E688" s="140"/>
    </row>
    <row r="689" spans="2:5" x14ac:dyDescent="0.3">
      <c r="B689" s="278" t="str">
        <f>IF(Table255[[#This Row],[Affected CMS
(§63.567(o)(3)(viii))
(Select from dropdown)]]="","",VLOOKUP(Table255[[#This Row],[Affected CMS
(§63.567(o)(3)(viii))
(Select from dropdown)]],Table22[#Data],2,FALSE))</f>
        <v/>
      </c>
      <c r="D689" s="132"/>
      <c r="E689" s="140"/>
    </row>
    <row r="690" spans="2:5" x14ac:dyDescent="0.3">
      <c r="B690" s="278" t="str">
        <f>IF(Table255[[#This Row],[Affected CMS
(§63.567(o)(3)(viii))
(Select from dropdown)]]="","",VLOOKUP(Table255[[#This Row],[Affected CMS
(§63.567(o)(3)(viii))
(Select from dropdown)]],Table22[#Data],2,FALSE))</f>
        <v/>
      </c>
      <c r="D690" s="132"/>
      <c r="E690" s="140"/>
    </row>
    <row r="691" spans="2:5" x14ac:dyDescent="0.3">
      <c r="B691" s="278" t="str">
        <f>IF(Table255[[#This Row],[Affected CMS
(§63.567(o)(3)(viii))
(Select from dropdown)]]="","",VLOOKUP(Table255[[#This Row],[Affected CMS
(§63.567(o)(3)(viii))
(Select from dropdown)]],Table22[#Data],2,FALSE))</f>
        <v/>
      </c>
      <c r="D691" s="132"/>
      <c r="E691" s="140"/>
    </row>
    <row r="692" spans="2:5" x14ac:dyDescent="0.3">
      <c r="B692" s="278" t="str">
        <f>IF(Table255[[#This Row],[Affected CMS
(§63.567(o)(3)(viii))
(Select from dropdown)]]="","",VLOOKUP(Table255[[#This Row],[Affected CMS
(§63.567(o)(3)(viii))
(Select from dropdown)]],Table22[#Data],2,FALSE))</f>
        <v/>
      </c>
      <c r="D692" s="132"/>
      <c r="E692" s="140"/>
    </row>
    <row r="693" spans="2:5" x14ac:dyDescent="0.3">
      <c r="B693" s="278" t="str">
        <f>IF(Table255[[#This Row],[Affected CMS
(§63.567(o)(3)(viii))
(Select from dropdown)]]="","",VLOOKUP(Table255[[#This Row],[Affected CMS
(§63.567(o)(3)(viii))
(Select from dropdown)]],Table22[#Data],2,FALSE))</f>
        <v/>
      </c>
      <c r="D693" s="132"/>
      <c r="E693" s="140"/>
    </row>
    <row r="694" spans="2:5" x14ac:dyDescent="0.3">
      <c r="B694" s="278" t="str">
        <f>IF(Table255[[#This Row],[Affected CMS
(§63.567(o)(3)(viii))
(Select from dropdown)]]="","",VLOOKUP(Table255[[#This Row],[Affected CMS
(§63.567(o)(3)(viii))
(Select from dropdown)]],Table22[#Data],2,FALSE))</f>
        <v/>
      </c>
      <c r="D694" s="132"/>
      <c r="E694" s="140"/>
    </row>
    <row r="695" spans="2:5" x14ac:dyDescent="0.3">
      <c r="B695" s="278" t="str">
        <f>IF(Table255[[#This Row],[Affected CMS
(§63.567(o)(3)(viii))
(Select from dropdown)]]="","",VLOOKUP(Table255[[#This Row],[Affected CMS
(§63.567(o)(3)(viii))
(Select from dropdown)]],Table22[#Data],2,FALSE))</f>
        <v/>
      </c>
      <c r="D695" s="132"/>
      <c r="E695" s="140"/>
    </row>
    <row r="696" spans="2:5" x14ac:dyDescent="0.3">
      <c r="B696" s="278" t="str">
        <f>IF(Table255[[#This Row],[Affected CMS
(§63.567(o)(3)(viii))
(Select from dropdown)]]="","",VLOOKUP(Table255[[#This Row],[Affected CMS
(§63.567(o)(3)(viii))
(Select from dropdown)]],Table22[#Data],2,FALSE))</f>
        <v/>
      </c>
      <c r="D696" s="132"/>
      <c r="E696" s="140"/>
    </row>
    <row r="697" spans="2:5" x14ac:dyDescent="0.3">
      <c r="B697" s="278" t="str">
        <f>IF(Table255[[#This Row],[Affected CMS
(§63.567(o)(3)(viii))
(Select from dropdown)]]="","",VLOOKUP(Table255[[#This Row],[Affected CMS
(§63.567(o)(3)(viii))
(Select from dropdown)]],Table22[#Data],2,FALSE))</f>
        <v/>
      </c>
      <c r="D697" s="132"/>
      <c r="E697" s="140"/>
    </row>
    <row r="698" spans="2:5" x14ac:dyDescent="0.3">
      <c r="B698" s="278" t="str">
        <f>IF(Table255[[#This Row],[Affected CMS
(§63.567(o)(3)(viii))
(Select from dropdown)]]="","",VLOOKUP(Table255[[#This Row],[Affected CMS
(§63.567(o)(3)(viii))
(Select from dropdown)]],Table22[#Data],2,FALSE))</f>
        <v/>
      </c>
      <c r="D698" s="132"/>
      <c r="E698" s="140"/>
    </row>
    <row r="699" spans="2:5" x14ac:dyDescent="0.3">
      <c r="B699" s="278" t="str">
        <f>IF(Table255[[#This Row],[Affected CMS
(§63.567(o)(3)(viii))
(Select from dropdown)]]="","",VLOOKUP(Table255[[#This Row],[Affected CMS
(§63.567(o)(3)(viii))
(Select from dropdown)]],Table22[#Data],2,FALSE))</f>
        <v/>
      </c>
      <c r="D699" s="132"/>
      <c r="E699" s="140"/>
    </row>
    <row r="700" spans="2:5" x14ac:dyDescent="0.3">
      <c r="B700" s="278" t="str">
        <f>IF(Table255[[#This Row],[Affected CMS
(§63.567(o)(3)(viii))
(Select from dropdown)]]="","",VLOOKUP(Table255[[#This Row],[Affected CMS
(§63.567(o)(3)(viii))
(Select from dropdown)]],Table22[#Data],2,FALSE))</f>
        <v/>
      </c>
      <c r="D700" s="132"/>
      <c r="E700" s="140"/>
    </row>
    <row r="701" spans="2:5" x14ac:dyDescent="0.3">
      <c r="B701" s="278" t="str">
        <f>IF(Table255[[#This Row],[Affected CMS
(§63.567(o)(3)(viii))
(Select from dropdown)]]="","",VLOOKUP(Table255[[#This Row],[Affected CMS
(§63.567(o)(3)(viii))
(Select from dropdown)]],Table22[#Data],2,FALSE))</f>
        <v/>
      </c>
      <c r="D701" s="132"/>
      <c r="E701" s="140"/>
    </row>
    <row r="702" spans="2:5" x14ac:dyDescent="0.3">
      <c r="B702" s="278" t="str">
        <f>IF(Table255[[#This Row],[Affected CMS
(§63.567(o)(3)(viii))
(Select from dropdown)]]="","",VLOOKUP(Table255[[#This Row],[Affected CMS
(§63.567(o)(3)(viii))
(Select from dropdown)]],Table22[#Data],2,FALSE))</f>
        <v/>
      </c>
      <c r="D702" s="132"/>
      <c r="E702" s="140"/>
    </row>
    <row r="703" spans="2:5" x14ac:dyDescent="0.3">
      <c r="B703" s="278" t="str">
        <f>IF(Table255[[#This Row],[Affected CMS
(§63.567(o)(3)(viii))
(Select from dropdown)]]="","",VLOOKUP(Table255[[#This Row],[Affected CMS
(§63.567(o)(3)(viii))
(Select from dropdown)]],Table22[#Data],2,FALSE))</f>
        <v/>
      </c>
      <c r="D703" s="132"/>
      <c r="E703" s="140"/>
    </row>
    <row r="704" spans="2:5" x14ac:dyDescent="0.3">
      <c r="B704" s="278" t="str">
        <f>IF(Table255[[#This Row],[Affected CMS
(§63.567(o)(3)(viii))
(Select from dropdown)]]="","",VLOOKUP(Table255[[#This Row],[Affected CMS
(§63.567(o)(3)(viii))
(Select from dropdown)]],Table22[#Data],2,FALSE))</f>
        <v/>
      </c>
      <c r="D704" s="132"/>
      <c r="E704" s="140"/>
    </row>
    <row r="705" spans="2:5" x14ac:dyDescent="0.3">
      <c r="B705" s="278" t="str">
        <f>IF(Table255[[#This Row],[Affected CMS
(§63.567(o)(3)(viii))
(Select from dropdown)]]="","",VLOOKUP(Table255[[#This Row],[Affected CMS
(§63.567(o)(3)(viii))
(Select from dropdown)]],Table22[#Data],2,FALSE))</f>
        <v/>
      </c>
      <c r="D705" s="132"/>
      <c r="E705" s="140"/>
    </row>
    <row r="706" spans="2:5" x14ac:dyDescent="0.3">
      <c r="B706" s="278" t="str">
        <f>IF(Table255[[#This Row],[Affected CMS
(§63.567(o)(3)(viii))
(Select from dropdown)]]="","",VLOOKUP(Table255[[#This Row],[Affected CMS
(§63.567(o)(3)(viii))
(Select from dropdown)]],Table22[#Data],2,FALSE))</f>
        <v/>
      </c>
      <c r="D706" s="132"/>
      <c r="E706" s="140"/>
    </row>
    <row r="707" spans="2:5" x14ac:dyDescent="0.3">
      <c r="B707" s="278" t="str">
        <f>IF(Table255[[#This Row],[Affected CMS
(§63.567(o)(3)(viii))
(Select from dropdown)]]="","",VLOOKUP(Table255[[#This Row],[Affected CMS
(§63.567(o)(3)(viii))
(Select from dropdown)]],Table22[#Data],2,FALSE))</f>
        <v/>
      </c>
      <c r="D707" s="132"/>
      <c r="E707" s="140"/>
    </row>
    <row r="708" spans="2:5" x14ac:dyDescent="0.3">
      <c r="B708" s="278" t="str">
        <f>IF(Table255[[#This Row],[Affected CMS
(§63.567(o)(3)(viii))
(Select from dropdown)]]="","",VLOOKUP(Table255[[#This Row],[Affected CMS
(§63.567(o)(3)(viii))
(Select from dropdown)]],Table22[#Data],2,FALSE))</f>
        <v/>
      </c>
      <c r="D708" s="132"/>
      <c r="E708" s="140"/>
    </row>
    <row r="709" spans="2:5" x14ac:dyDescent="0.3">
      <c r="B709" s="278" t="str">
        <f>IF(Table255[[#This Row],[Affected CMS
(§63.567(o)(3)(viii))
(Select from dropdown)]]="","",VLOOKUP(Table255[[#This Row],[Affected CMS
(§63.567(o)(3)(viii))
(Select from dropdown)]],Table22[#Data],2,FALSE))</f>
        <v/>
      </c>
      <c r="D709" s="132"/>
      <c r="E709" s="140"/>
    </row>
    <row r="710" spans="2:5" x14ac:dyDescent="0.3">
      <c r="B710" s="278" t="str">
        <f>IF(Table255[[#This Row],[Affected CMS
(§63.567(o)(3)(viii))
(Select from dropdown)]]="","",VLOOKUP(Table255[[#This Row],[Affected CMS
(§63.567(o)(3)(viii))
(Select from dropdown)]],Table22[#Data],2,FALSE))</f>
        <v/>
      </c>
      <c r="D710" s="132"/>
      <c r="E710" s="140"/>
    </row>
    <row r="711" spans="2:5" x14ac:dyDescent="0.3">
      <c r="B711" s="278" t="str">
        <f>IF(Table255[[#This Row],[Affected CMS
(§63.567(o)(3)(viii))
(Select from dropdown)]]="","",VLOOKUP(Table255[[#This Row],[Affected CMS
(§63.567(o)(3)(viii))
(Select from dropdown)]],Table22[#Data],2,FALSE))</f>
        <v/>
      </c>
      <c r="D711" s="132"/>
      <c r="E711" s="140"/>
    </row>
    <row r="712" spans="2:5" x14ac:dyDescent="0.3">
      <c r="B712" s="278" t="str">
        <f>IF(Table255[[#This Row],[Affected CMS
(§63.567(o)(3)(viii))
(Select from dropdown)]]="","",VLOOKUP(Table255[[#This Row],[Affected CMS
(§63.567(o)(3)(viii))
(Select from dropdown)]],Table22[#Data],2,FALSE))</f>
        <v/>
      </c>
      <c r="D712" s="132"/>
      <c r="E712" s="140"/>
    </row>
    <row r="713" spans="2:5" x14ac:dyDescent="0.3">
      <c r="B713" s="278" t="str">
        <f>IF(Table255[[#This Row],[Affected CMS
(§63.567(o)(3)(viii))
(Select from dropdown)]]="","",VLOOKUP(Table255[[#This Row],[Affected CMS
(§63.567(o)(3)(viii))
(Select from dropdown)]],Table22[#Data],2,FALSE))</f>
        <v/>
      </c>
      <c r="D713" s="132"/>
      <c r="E713" s="140"/>
    </row>
    <row r="714" spans="2:5" x14ac:dyDescent="0.3">
      <c r="B714" s="278" t="str">
        <f>IF(Table255[[#This Row],[Affected CMS
(§63.567(o)(3)(viii))
(Select from dropdown)]]="","",VLOOKUP(Table255[[#This Row],[Affected CMS
(§63.567(o)(3)(viii))
(Select from dropdown)]],Table22[#Data],2,FALSE))</f>
        <v/>
      </c>
      <c r="D714" s="132"/>
      <c r="E714" s="140"/>
    </row>
    <row r="715" spans="2:5" x14ac:dyDescent="0.3">
      <c r="B715" s="278" t="str">
        <f>IF(Table255[[#This Row],[Affected CMS
(§63.567(o)(3)(viii))
(Select from dropdown)]]="","",VLOOKUP(Table255[[#This Row],[Affected CMS
(§63.567(o)(3)(viii))
(Select from dropdown)]],Table22[#Data],2,FALSE))</f>
        <v/>
      </c>
      <c r="D715" s="132"/>
      <c r="E715" s="140"/>
    </row>
    <row r="716" spans="2:5" x14ac:dyDescent="0.3">
      <c r="B716" s="278" t="str">
        <f>IF(Table255[[#This Row],[Affected CMS
(§63.567(o)(3)(viii))
(Select from dropdown)]]="","",VLOOKUP(Table255[[#This Row],[Affected CMS
(§63.567(o)(3)(viii))
(Select from dropdown)]],Table22[#Data],2,FALSE))</f>
        <v/>
      </c>
      <c r="D716" s="132"/>
      <c r="E716" s="140"/>
    </row>
    <row r="717" spans="2:5" x14ac:dyDescent="0.3">
      <c r="B717" s="278" t="str">
        <f>IF(Table255[[#This Row],[Affected CMS
(§63.567(o)(3)(viii))
(Select from dropdown)]]="","",VLOOKUP(Table255[[#This Row],[Affected CMS
(§63.567(o)(3)(viii))
(Select from dropdown)]],Table22[#Data],2,FALSE))</f>
        <v/>
      </c>
      <c r="D717" s="132"/>
      <c r="E717" s="140"/>
    </row>
    <row r="718" spans="2:5" x14ac:dyDescent="0.3">
      <c r="B718" s="278" t="str">
        <f>IF(Table255[[#This Row],[Affected CMS
(§63.567(o)(3)(viii))
(Select from dropdown)]]="","",VLOOKUP(Table255[[#This Row],[Affected CMS
(§63.567(o)(3)(viii))
(Select from dropdown)]],Table22[#Data],2,FALSE))</f>
        <v/>
      </c>
      <c r="D718" s="132"/>
      <c r="E718" s="140"/>
    </row>
    <row r="719" spans="2:5" x14ac:dyDescent="0.3">
      <c r="B719" s="278" t="str">
        <f>IF(Table255[[#This Row],[Affected CMS
(§63.567(o)(3)(viii))
(Select from dropdown)]]="","",VLOOKUP(Table255[[#This Row],[Affected CMS
(§63.567(o)(3)(viii))
(Select from dropdown)]],Table22[#Data],2,FALSE))</f>
        <v/>
      </c>
      <c r="D719" s="132"/>
      <c r="E719" s="140"/>
    </row>
    <row r="720" spans="2:5" x14ac:dyDescent="0.3">
      <c r="B720" s="278" t="str">
        <f>IF(Table255[[#This Row],[Affected CMS
(§63.567(o)(3)(viii))
(Select from dropdown)]]="","",VLOOKUP(Table255[[#This Row],[Affected CMS
(§63.567(o)(3)(viii))
(Select from dropdown)]],Table22[#Data],2,FALSE))</f>
        <v/>
      </c>
      <c r="D720" s="132"/>
      <c r="E720" s="140"/>
    </row>
    <row r="721" spans="2:5" x14ac:dyDescent="0.3">
      <c r="B721" s="278" t="str">
        <f>IF(Table255[[#This Row],[Affected CMS
(§63.567(o)(3)(viii))
(Select from dropdown)]]="","",VLOOKUP(Table255[[#This Row],[Affected CMS
(§63.567(o)(3)(viii))
(Select from dropdown)]],Table22[#Data],2,FALSE))</f>
        <v/>
      </c>
      <c r="D721" s="132"/>
      <c r="E721" s="140"/>
    </row>
    <row r="722" spans="2:5" x14ac:dyDescent="0.3">
      <c r="B722" s="278" t="str">
        <f>IF(Table255[[#This Row],[Affected CMS
(§63.567(o)(3)(viii))
(Select from dropdown)]]="","",VLOOKUP(Table255[[#This Row],[Affected CMS
(§63.567(o)(3)(viii))
(Select from dropdown)]],Table22[#Data],2,FALSE))</f>
        <v/>
      </c>
      <c r="D722" s="132"/>
      <c r="E722" s="140"/>
    </row>
    <row r="723" spans="2:5" x14ac:dyDescent="0.3">
      <c r="B723" s="278" t="str">
        <f>IF(Table255[[#This Row],[Affected CMS
(§63.567(o)(3)(viii))
(Select from dropdown)]]="","",VLOOKUP(Table255[[#This Row],[Affected CMS
(§63.567(o)(3)(viii))
(Select from dropdown)]],Table22[#Data],2,FALSE))</f>
        <v/>
      </c>
      <c r="D723" s="132"/>
      <c r="E723" s="140"/>
    </row>
    <row r="724" spans="2:5" x14ac:dyDescent="0.3">
      <c r="B724" s="278" t="str">
        <f>IF(Table255[[#This Row],[Affected CMS
(§63.567(o)(3)(viii))
(Select from dropdown)]]="","",VLOOKUP(Table255[[#This Row],[Affected CMS
(§63.567(o)(3)(viii))
(Select from dropdown)]],Table22[#Data],2,FALSE))</f>
        <v/>
      </c>
      <c r="D724" s="132"/>
      <c r="E724" s="140"/>
    </row>
    <row r="725" spans="2:5" x14ac:dyDescent="0.3">
      <c r="B725" s="278" t="str">
        <f>IF(Table255[[#This Row],[Affected CMS
(§63.567(o)(3)(viii))
(Select from dropdown)]]="","",VLOOKUP(Table255[[#This Row],[Affected CMS
(§63.567(o)(3)(viii))
(Select from dropdown)]],Table22[#Data],2,FALSE))</f>
        <v/>
      </c>
      <c r="D725" s="132"/>
      <c r="E725" s="140"/>
    </row>
    <row r="726" spans="2:5" x14ac:dyDescent="0.3">
      <c r="B726" s="278" t="str">
        <f>IF(Table255[[#This Row],[Affected CMS
(§63.567(o)(3)(viii))
(Select from dropdown)]]="","",VLOOKUP(Table255[[#This Row],[Affected CMS
(§63.567(o)(3)(viii))
(Select from dropdown)]],Table22[#Data],2,FALSE))</f>
        <v/>
      </c>
      <c r="D726" s="132"/>
      <c r="E726" s="140"/>
    </row>
    <row r="727" spans="2:5" x14ac:dyDescent="0.3">
      <c r="B727" s="278" t="str">
        <f>IF(Table255[[#This Row],[Affected CMS
(§63.567(o)(3)(viii))
(Select from dropdown)]]="","",VLOOKUP(Table255[[#This Row],[Affected CMS
(§63.567(o)(3)(viii))
(Select from dropdown)]],Table22[#Data],2,FALSE))</f>
        <v/>
      </c>
      <c r="D727" s="132"/>
      <c r="E727" s="140"/>
    </row>
    <row r="728" spans="2:5" x14ac:dyDescent="0.3">
      <c r="B728" s="278" t="str">
        <f>IF(Table255[[#This Row],[Affected CMS
(§63.567(o)(3)(viii))
(Select from dropdown)]]="","",VLOOKUP(Table255[[#This Row],[Affected CMS
(§63.567(o)(3)(viii))
(Select from dropdown)]],Table22[#Data],2,FALSE))</f>
        <v/>
      </c>
      <c r="D728" s="132"/>
      <c r="E728" s="140"/>
    </row>
    <row r="729" spans="2:5" x14ac:dyDescent="0.3">
      <c r="B729" s="278" t="str">
        <f>IF(Table255[[#This Row],[Affected CMS
(§63.567(o)(3)(viii))
(Select from dropdown)]]="","",VLOOKUP(Table255[[#This Row],[Affected CMS
(§63.567(o)(3)(viii))
(Select from dropdown)]],Table22[#Data],2,FALSE))</f>
        <v/>
      </c>
      <c r="D729" s="132"/>
      <c r="E729" s="140"/>
    </row>
    <row r="730" spans="2:5" x14ac:dyDescent="0.3">
      <c r="B730" s="278" t="str">
        <f>IF(Table255[[#This Row],[Affected CMS
(§63.567(o)(3)(viii))
(Select from dropdown)]]="","",VLOOKUP(Table255[[#This Row],[Affected CMS
(§63.567(o)(3)(viii))
(Select from dropdown)]],Table22[#Data],2,FALSE))</f>
        <v/>
      </c>
      <c r="D730" s="132"/>
      <c r="E730" s="140"/>
    </row>
    <row r="731" spans="2:5" x14ac:dyDescent="0.3">
      <c r="B731" s="278" t="str">
        <f>IF(Table255[[#This Row],[Affected CMS
(§63.567(o)(3)(viii))
(Select from dropdown)]]="","",VLOOKUP(Table255[[#This Row],[Affected CMS
(§63.567(o)(3)(viii))
(Select from dropdown)]],Table22[#Data],2,FALSE))</f>
        <v/>
      </c>
      <c r="D731" s="132"/>
      <c r="E731" s="140"/>
    </row>
    <row r="732" spans="2:5" x14ac:dyDescent="0.3">
      <c r="B732" s="278" t="str">
        <f>IF(Table255[[#This Row],[Affected CMS
(§63.567(o)(3)(viii))
(Select from dropdown)]]="","",VLOOKUP(Table255[[#This Row],[Affected CMS
(§63.567(o)(3)(viii))
(Select from dropdown)]],Table22[#Data],2,FALSE))</f>
        <v/>
      </c>
      <c r="D732" s="132"/>
      <c r="E732" s="140"/>
    </row>
    <row r="733" spans="2:5" x14ac:dyDescent="0.3">
      <c r="B733" s="278" t="str">
        <f>IF(Table255[[#This Row],[Affected CMS
(§63.567(o)(3)(viii))
(Select from dropdown)]]="","",VLOOKUP(Table255[[#This Row],[Affected CMS
(§63.567(o)(3)(viii))
(Select from dropdown)]],Table22[#Data],2,FALSE))</f>
        <v/>
      </c>
      <c r="D733" s="132"/>
      <c r="E733" s="140"/>
    </row>
    <row r="734" spans="2:5" x14ac:dyDescent="0.3">
      <c r="B734" s="278" t="str">
        <f>IF(Table255[[#This Row],[Affected CMS
(§63.567(o)(3)(viii))
(Select from dropdown)]]="","",VLOOKUP(Table255[[#This Row],[Affected CMS
(§63.567(o)(3)(viii))
(Select from dropdown)]],Table22[#Data],2,FALSE))</f>
        <v/>
      </c>
      <c r="D734" s="132"/>
      <c r="E734" s="140"/>
    </row>
    <row r="735" spans="2:5" x14ac:dyDescent="0.3">
      <c r="B735" s="278" t="str">
        <f>IF(Table255[[#This Row],[Affected CMS
(§63.567(o)(3)(viii))
(Select from dropdown)]]="","",VLOOKUP(Table255[[#This Row],[Affected CMS
(§63.567(o)(3)(viii))
(Select from dropdown)]],Table22[#Data],2,FALSE))</f>
        <v/>
      </c>
      <c r="D735" s="132"/>
      <c r="E735" s="140"/>
    </row>
    <row r="736" spans="2:5" x14ac:dyDescent="0.3">
      <c r="B736" s="278" t="str">
        <f>IF(Table255[[#This Row],[Affected CMS
(§63.567(o)(3)(viii))
(Select from dropdown)]]="","",VLOOKUP(Table255[[#This Row],[Affected CMS
(§63.567(o)(3)(viii))
(Select from dropdown)]],Table22[#Data],2,FALSE))</f>
        <v/>
      </c>
      <c r="D736" s="132"/>
      <c r="E736" s="140"/>
    </row>
    <row r="737" spans="2:5" x14ac:dyDescent="0.3">
      <c r="B737" s="278" t="str">
        <f>IF(Table255[[#This Row],[Affected CMS
(§63.567(o)(3)(viii))
(Select from dropdown)]]="","",VLOOKUP(Table255[[#This Row],[Affected CMS
(§63.567(o)(3)(viii))
(Select from dropdown)]],Table22[#Data],2,FALSE))</f>
        <v/>
      </c>
      <c r="D737" s="132"/>
      <c r="E737" s="140"/>
    </row>
    <row r="738" spans="2:5" x14ac:dyDescent="0.3">
      <c r="B738" s="278" t="str">
        <f>IF(Table255[[#This Row],[Affected CMS
(§63.567(o)(3)(viii))
(Select from dropdown)]]="","",VLOOKUP(Table255[[#This Row],[Affected CMS
(§63.567(o)(3)(viii))
(Select from dropdown)]],Table22[#Data],2,FALSE))</f>
        <v/>
      </c>
      <c r="D738" s="132"/>
      <c r="E738" s="140"/>
    </row>
    <row r="739" spans="2:5" x14ac:dyDescent="0.3">
      <c r="B739" s="278" t="str">
        <f>IF(Table255[[#This Row],[Affected CMS
(§63.567(o)(3)(viii))
(Select from dropdown)]]="","",VLOOKUP(Table255[[#This Row],[Affected CMS
(§63.567(o)(3)(viii))
(Select from dropdown)]],Table22[#Data],2,FALSE))</f>
        <v/>
      </c>
      <c r="D739" s="132"/>
      <c r="E739" s="140"/>
    </row>
    <row r="740" spans="2:5" x14ac:dyDescent="0.3">
      <c r="B740" s="278" t="str">
        <f>IF(Table255[[#This Row],[Affected CMS
(§63.567(o)(3)(viii))
(Select from dropdown)]]="","",VLOOKUP(Table255[[#This Row],[Affected CMS
(§63.567(o)(3)(viii))
(Select from dropdown)]],Table22[#Data],2,FALSE))</f>
        <v/>
      </c>
      <c r="D740" s="132"/>
      <c r="E740" s="140"/>
    </row>
    <row r="741" spans="2:5" x14ac:dyDescent="0.3">
      <c r="B741" s="278" t="str">
        <f>IF(Table255[[#This Row],[Affected CMS
(§63.567(o)(3)(viii))
(Select from dropdown)]]="","",VLOOKUP(Table255[[#This Row],[Affected CMS
(§63.567(o)(3)(viii))
(Select from dropdown)]],Table22[#Data],2,FALSE))</f>
        <v/>
      </c>
      <c r="D741" s="132"/>
      <c r="E741" s="140"/>
    </row>
    <row r="742" spans="2:5" x14ac:dyDescent="0.3">
      <c r="B742" s="278" t="str">
        <f>IF(Table255[[#This Row],[Affected CMS
(§63.567(o)(3)(viii))
(Select from dropdown)]]="","",VLOOKUP(Table255[[#This Row],[Affected CMS
(§63.567(o)(3)(viii))
(Select from dropdown)]],Table22[#Data],2,FALSE))</f>
        <v/>
      </c>
      <c r="D742" s="132"/>
      <c r="E742" s="140"/>
    </row>
    <row r="743" spans="2:5" x14ac:dyDescent="0.3">
      <c r="B743" s="278" t="str">
        <f>IF(Table255[[#This Row],[Affected CMS
(§63.567(o)(3)(viii))
(Select from dropdown)]]="","",VLOOKUP(Table255[[#This Row],[Affected CMS
(§63.567(o)(3)(viii))
(Select from dropdown)]],Table22[#Data],2,FALSE))</f>
        <v/>
      </c>
      <c r="D743" s="132"/>
      <c r="E743" s="140"/>
    </row>
    <row r="744" spans="2:5" x14ac:dyDescent="0.3">
      <c r="B744" s="278" t="str">
        <f>IF(Table255[[#This Row],[Affected CMS
(§63.567(o)(3)(viii))
(Select from dropdown)]]="","",VLOOKUP(Table255[[#This Row],[Affected CMS
(§63.567(o)(3)(viii))
(Select from dropdown)]],Table22[#Data],2,FALSE))</f>
        <v/>
      </c>
      <c r="D744" s="132"/>
      <c r="E744" s="140"/>
    </row>
    <row r="745" spans="2:5" x14ac:dyDescent="0.3">
      <c r="B745" s="278" t="str">
        <f>IF(Table255[[#This Row],[Affected CMS
(§63.567(o)(3)(viii))
(Select from dropdown)]]="","",VLOOKUP(Table255[[#This Row],[Affected CMS
(§63.567(o)(3)(viii))
(Select from dropdown)]],Table22[#Data],2,FALSE))</f>
        <v/>
      </c>
      <c r="D745" s="132"/>
      <c r="E745" s="140"/>
    </row>
    <row r="746" spans="2:5" x14ac:dyDescent="0.3">
      <c r="B746" s="278" t="str">
        <f>IF(Table255[[#This Row],[Affected CMS
(§63.567(o)(3)(viii))
(Select from dropdown)]]="","",VLOOKUP(Table255[[#This Row],[Affected CMS
(§63.567(o)(3)(viii))
(Select from dropdown)]],Table22[#Data],2,FALSE))</f>
        <v/>
      </c>
      <c r="D746" s="132"/>
      <c r="E746" s="140"/>
    </row>
    <row r="747" spans="2:5" x14ac:dyDescent="0.3">
      <c r="B747" s="278" t="str">
        <f>IF(Table255[[#This Row],[Affected CMS
(§63.567(o)(3)(viii))
(Select from dropdown)]]="","",VLOOKUP(Table255[[#This Row],[Affected CMS
(§63.567(o)(3)(viii))
(Select from dropdown)]],Table22[#Data],2,FALSE))</f>
        <v/>
      </c>
      <c r="D747" s="132"/>
      <c r="E747" s="140"/>
    </row>
    <row r="748" spans="2:5" x14ac:dyDescent="0.3">
      <c r="B748" s="278" t="str">
        <f>IF(Table255[[#This Row],[Affected CMS
(§63.567(o)(3)(viii))
(Select from dropdown)]]="","",VLOOKUP(Table255[[#This Row],[Affected CMS
(§63.567(o)(3)(viii))
(Select from dropdown)]],Table22[#Data],2,FALSE))</f>
        <v/>
      </c>
      <c r="D748" s="132"/>
      <c r="E748" s="140"/>
    </row>
    <row r="749" spans="2:5" x14ac:dyDescent="0.3">
      <c r="B749" s="278" t="str">
        <f>IF(Table255[[#This Row],[Affected CMS
(§63.567(o)(3)(viii))
(Select from dropdown)]]="","",VLOOKUP(Table255[[#This Row],[Affected CMS
(§63.567(o)(3)(viii))
(Select from dropdown)]],Table22[#Data],2,FALSE))</f>
        <v/>
      </c>
      <c r="D749" s="132"/>
      <c r="E749" s="140"/>
    </row>
    <row r="750" spans="2:5" x14ac:dyDescent="0.3">
      <c r="B750" s="278" t="str">
        <f>IF(Table255[[#This Row],[Affected CMS
(§63.567(o)(3)(viii))
(Select from dropdown)]]="","",VLOOKUP(Table255[[#This Row],[Affected CMS
(§63.567(o)(3)(viii))
(Select from dropdown)]],Table22[#Data],2,FALSE))</f>
        <v/>
      </c>
      <c r="D750" s="132"/>
      <c r="E750" s="140"/>
    </row>
    <row r="751" spans="2:5" x14ac:dyDescent="0.3">
      <c r="B751" s="278" t="str">
        <f>IF(Table255[[#This Row],[Affected CMS
(§63.567(o)(3)(viii))
(Select from dropdown)]]="","",VLOOKUP(Table255[[#This Row],[Affected CMS
(§63.567(o)(3)(viii))
(Select from dropdown)]],Table22[#Data],2,FALSE))</f>
        <v/>
      </c>
      <c r="D751" s="132"/>
      <c r="E751" s="140"/>
    </row>
    <row r="752" spans="2:5" x14ac:dyDescent="0.3">
      <c r="B752" s="278" t="str">
        <f>IF(Table255[[#This Row],[Affected CMS
(§63.567(o)(3)(viii))
(Select from dropdown)]]="","",VLOOKUP(Table255[[#This Row],[Affected CMS
(§63.567(o)(3)(viii))
(Select from dropdown)]],Table22[#Data],2,FALSE))</f>
        <v/>
      </c>
      <c r="D752" s="132"/>
      <c r="E752" s="140"/>
    </row>
    <row r="753" spans="2:5" x14ac:dyDescent="0.3">
      <c r="B753" s="278" t="str">
        <f>IF(Table255[[#This Row],[Affected CMS
(§63.567(o)(3)(viii))
(Select from dropdown)]]="","",VLOOKUP(Table255[[#This Row],[Affected CMS
(§63.567(o)(3)(viii))
(Select from dropdown)]],Table22[#Data],2,FALSE))</f>
        <v/>
      </c>
      <c r="D753" s="132"/>
      <c r="E753" s="140"/>
    </row>
    <row r="754" spans="2:5" x14ac:dyDescent="0.3">
      <c r="B754" s="278" t="str">
        <f>IF(Table255[[#This Row],[Affected CMS
(§63.567(o)(3)(viii))
(Select from dropdown)]]="","",VLOOKUP(Table255[[#This Row],[Affected CMS
(§63.567(o)(3)(viii))
(Select from dropdown)]],Table22[#Data],2,FALSE))</f>
        <v/>
      </c>
      <c r="D754" s="132"/>
      <c r="E754" s="140"/>
    </row>
    <row r="755" spans="2:5" x14ac:dyDescent="0.3">
      <c r="B755" s="278" t="str">
        <f>IF(Table255[[#This Row],[Affected CMS
(§63.567(o)(3)(viii))
(Select from dropdown)]]="","",VLOOKUP(Table255[[#This Row],[Affected CMS
(§63.567(o)(3)(viii))
(Select from dropdown)]],Table22[#Data],2,FALSE))</f>
        <v/>
      </c>
      <c r="D755" s="132"/>
      <c r="E755" s="140"/>
    </row>
    <row r="756" spans="2:5" x14ac:dyDescent="0.3">
      <c r="B756" s="278" t="str">
        <f>IF(Table255[[#This Row],[Affected CMS
(§63.567(o)(3)(viii))
(Select from dropdown)]]="","",VLOOKUP(Table255[[#This Row],[Affected CMS
(§63.567(o)(3)(viii))
(Select from dropdown)]],Table22[#Data],2,FALSE))</f>
        <v/>
      </c>
      <c r="D756" s="132"/>
      <c r="E756" s="140"/>
    </row>
    <row r="757" spans="2:5" x14ac:dyDescent="0.3">
      <c r="B757" s="278" t="str">
        <f>IF(Table255[[#This Row],[Affected CMS
(§63.567(o)(3)(viii))
(Select from dropdown)]]="","",VLOOKUP(Table255[[#This Row],[Affected CMS
(§63.567(o)(3)(viii))
(Select from dropdown)]],Table22[#Data],2,FALSE))</f>
        <v/>
      </c>
      <c r="D757" s="132"/>
      <c r="E757" s="140"/>
    </row>
    <row r="758" spans="2:5" x14ac:dyDescent="0.3">
      <c r="B758" s="278" t="str">
        <f>IF(Table255[[#This Row],[Affected CMS
(§63.567(o)(3)(viii))
(Select from dropdown)]]="","",VLOOKUP(Table255[[#This Row],[Affected CMS
(§63.567(o)(3)(viii))
(Select from dropdown)]],Table22[#Data],2,FALSE))</f>
        <v/>
      </c>
      <c r="D758" s="132"/>
      <c r="E758" s="140"/>
    </row>
    <row r="759" spans="2:5" x14ac:dyDescent="0.3">
      <c r="B759" s="278" t="str">
        <f>IF(Table255[[#This Row],[Affected CMS
(§63.567(o)(3)(viii))
(Select from dropdown)]]="","",VLOOKUP(Table255[[#This Row],[Affected CMS
(§63.567(o)(3)(viii))
(Select from dropdown)]],Table22[#Data],2,FALSE))</f>
        <v/>
      </c>
      <c r="D759" s="132"/>
      <c r="E759" s="140"/>
    </row>
    <row r="760" spans="2:5" x14ac:dyDescent="0.3">
      <c r="B760" s="278" t="str">
        <f>IF(Table255[[#This Row],[Affected CMS
(§63.567(o)(3)(viii))
(Select from dropdown)]]="","",VLOOKUP(Table255[[#This Row],[Affected CMS
(§63.567(o)(3)(viii))
(Select from dropdown)]],Table22[#Data],2,FALSE))</f>
        <v/>
      </c>
      <c r="D760" s="132"/>
      <c r="E760" s="140"/>
    </row>
    <row r="761" spans="2:5" x14ac:dyDescent="0.3">
      <c r="B761" s="278" t="str">
        <f>IF(Table255[[#This Row],[Affected CMS
(§63.567(o)(3)(viii))
(Select from dropdown)]]="","",VLOOKUP(Table255[[#This Row],[Affected CMS
(§63.567(o)(3)(viii))
(Select from dropdown)]],Table22[#Data],2,FALSE))</f>
        <v/>
      </c>
      <c r="D761" s="132"/>
      <c r="E761" s="140"/>
    </row>
    <row r="762" spans="2:5" x14ac:dyDescent="0.3">
      <c r="B762" s="278" t="str">
        <f>IF(Table255[[#This Row],[Affected CMS
(§63.567(o)(3)(viii))
(Select from dropdown)]]="","",VLOOKUP(Table255[[#This Row],[Affected CMS
(§63.567(o)(3)(viii))
(Select from dropdown)]],Table22[#Data],2,FALSE))</f>
        <v/>
      </c>
      <c r="D762" s="132"/>
      <c r="E762" s="140"/>
    </row>
    <row r="763" spans="2:5" x14ac:dyDescent="0.3">
      <c r="B763" s="278" t="str">
        <f>IF(Table255[[#This Row],[Affected CMS
(§63.567(o)(3)(viii))
(Select from dropdown)]]="","",VLOOKUP(Table255[[#This Row],[Affected CMS
(§63.567(o)(3)(viii))
(Select from dropdown)]],Table22[#Data],2,FALSE))</f>
        <v/>
      </c>
      <c r="D763" s="132"/>
      <c r="E763" s="140"/>
    </row>
    <row r="764" spans="2:5" x14ac:dyDescent="0.3">
      <c r="B764" s="278" t="str">
        <f>IF(Table255[[#This Row],[Affected CMS
(§63.567(o)(3)(viii))
(Select from dropdown)]]="","",VLOOKUP(Table255[[#This Row],[Affected CMS
(§63.567(o)(3)(viii))
(Select from dropdown)]],Table22[#Data],2,FALSE))</f>
        <v/>
      </c>
      <c r="D764" s="132"/>
      <c r="E764" s="140"/>
    </row>
    <row r="765" spans="2:5" x14ac:dyDescent="0.3">
      <c r="B765" s="278" t="str">
        <f>IF(Table255[[#This Row],[Affected CMS
(§63.567(o)(3)(viii))
(Select from dropdown)]]="","",VLOOKUP(Table255[[#This Row],[Affected CMS
(§63.567(o)(3)(viii))
(Select from dropdown)]],Table22[#Data],2,FALSE))</f>
        <v/>
      </c>
      <c r="D765" s="132"/>
      <c r="E765" s="140"/>
    </row>
    <row r="766" spans="2:5" x14ac:dyDescent="0.3">
      <c r="B766" s="278" t="str">
        <f>IF(Table255[[#This Row],[Affected CMS
(§63.567(o)(3)(viii))
(Select from dropdown)]]="","",VLOOKUP(Table255[[#This Row],[Affected CMS
(§63.567(o)(3)(viii))
(Select from dropdown)]],Table22[#Data],2,FALSE))</f>
        <v/>
      </c>
      <c r="D766" s="132"/>
      <c r="E766" s="140"/>
    </row>
    <row r="767" spans="2:5" x14ac:dyDescent="0.3">
      <c r="B767" s="278" t="str">
        <f>IF(Table255[[#This Row],[Affected CMS
(§63.567(o)(3)(viii))
(Select from dropdown)]]="","",VLOOKUP(Table255[[#This Row],[Affected CMS
(§63.567(o)(3)(viii))
(Select from dropdown)]],Table22[#Data],2,FALSE))</f>
        <v/>
      </c>
      <c r="D767" s="132"/>
      <c r="E767" s="140"/>
    </row>
    <row r="768" spans="2:5" x14ac:dyDescent="0.3">
      <c r="B768" s="278" t="str">
        <f>IF(Table255[[#This Row],[Affected CMS
(§63.567(o)(3)(viii))
(Select from dropdown)]]="","",VLOOKUP(Table255[[#This Row],[Affected CMS
(§63.567(o)(3)(viii))
(Select from dropdown)]],Table22[#Data],2,FALSE))</f>
        <v/>
      </c>
      <c r="D768" s="132"/>
      <c r="E768" s="140"/>
    </row>
    <row r="769" spans="2:5" x14ac:dyDescent="0.3">
      <c r="B769" s="278" t="str">
        <f>IF(Table255[[#This Row],[Affected CMS
(§63.567(o)(3)(viii))
(Select from dropdown)]]="","",VLOOKUP(Table255[[#This Row],[Affected CMS
(§63.567(o)(3)(viii))
(Select from dropdown)]],Table22[#Data],2,FALSE))</f>
        <v/>
      </c>
      <c r="D769" s="132"/>
      <c r="E769" s="140"/>
    </row>
    <row r="770" spans="2:5" x14ac:dyDescent="0.3">
      <c r="B770" s="278" t="str">
        <f>IF(Table255[[#This Row],[Affected CMS
(§63.567(o)(3)(viii))
(Select from dropdown)]]="","",VLOOKUP(Table255[[#This Row],[Affected CMS
(§63.567(o)(3)(viii))
(Select from dropdown)]],Table22[#Data],2,FALSE))</f>
        <v/>
      </c>
      <c r="D770" s="132"/>
      <c r="E770" s="140"/>
    </row>
    <row r="771" spans="2:5" x14ac:dyDescent="0.3">
      <c r="B771" s="278" t="str">
        <f>IF(Table255[[#This Row],[Affected CMS
(§63.567(o)(3)(viii))
(Select from dropdown)]]="","",VLOOKUP(Table255[[#This Row],[Affected CMS
(§63.567(o)(3)(viii))
(Select from dropdown)]],Table22[#Data],2,FALSE))</f>
        <v/>
      </c>
      <c r="D771" s="132"/>
      <c r="E771" s="140"/>
    </row>
    <row r="772" spans="2:5" x14ac:dyDescent="0.3">
      <c r="B772" s="278" t="str">
        <f>IF(Table255[[#This Row],[Affected CMS
(§63.567(o)(3)(viii))
(Select from dropdown)]]="","",VLOOKUP(Table255[[#This Row],[Affected CMS
(§63.567(o)(3)(viii))
(Select from dropdown)]],Table22[#Data],2,FALSE))</f>
        <v/>
      </c>
      <c r="D772" s="132"/>
      <c r="E772" s="140"/>
    </row>
    <row r="773" spans="2:5" x14ac:dyDescent="0.3">
      <c r="B773" s="278" t="str">
        <f>IF(Table255[[#This Row],[Affected CMS
(§63.567(o)(3)(viii))
(Select from dropdown)]]="","",VLOOKUP(Table255[[#This Row],[Affected CMS
(§63.567(o)(3)(viii))
(Select from dropdown)]],Table22[#Data],2,FALSE))</f>
        <v/>
      </c>
      <c r="D773" s="132"/>
      <c r="E773" s="140"/>
    </row>
    <row r="774" spans="2:5" x14ac:dyDescent="0.3">
      <c r="B774" s="278" t="str">
        <f>IF(Table255[[#This Row],[Affected CMS
(§63.567(o)(3)(viii))
(Select from dropdown)]]="","",VLOOKUP(Table255[[#This Row],[Affected CMS
(§63.567(o)(3)(viii))
(Select from dropdown)]],Table22[#Data],2,FALSE))</f>
        <v/>
      </c>
      <c r="D774" s="132"/>
      <c r="E774" s="140"/>
    </row>
    <row r="775" spans="2:5" x14ac:dyDescent="0.3">
      <c r="B775" s="278" t="str">
        <f>IF(Table255[[#This Row],[Affected CMS
(§63.567(o)(3)(viii))
(Select from dropdown)]]="","",VLOOKUP(Table255[[#This Row],[Affected CMS
(§63.567(o)(3)(viii))
(Select from dropdown)]],Table22[#Data],2,FALSE))</f>
        <v/>
      </c>
      <c r="D775" s="132"/>
      <c r="E775" s="140"/>
    </row>
    <row r="776" spans="2:5" x14ac:dyDescent="0.3">
      <c r="B776" s="278" t="str">
        <f>IF(Table255[[#This Row],[Affected CMS
(§63.567(o)(3)(viii))
(Select from dropdown)]]="","",VLOOKUP(Table255[[#This Row],[Affected CMS
(§63.567(o)(3)(viii))
(Select from dropdown)]],Table22[#Data],2,FALSE))</f>
        <v/>
      </c>
      <c r="D776" s="132"/>
      <c r="E776" s="140"/>
    </row>
    <row r="777" spans="2:5" x14ac:dyDescent="0.3">
      <c r="B777" s="278" t="str">
        <f>IF(Table255[[#This Row],[Affected CMS
(§63.567(o)(3)(viii))
(Select from dropdown)]]="","",VLOOKUP(Table255[[#This Row],[Affected CMS
(§63.567(o)(3)(viii))
(Select from dropdown)]],Table22[#Data],2,FALSE))</f>
        <v/>
      </c>
      <c r="D777" s="132"/>
      <c r="E777" s="140"/>
    </row>
    <row r="778" spans="2:5" x14ac:dyDescent="0.3">
      <c r="B778" s="278" t="str">
        <f>IF(Table255[[#This Row],[Affected CMS
(§63.567(o)(3)(viii))
(Select from dropdown)]]="","",VLOOKUP(Table255[[#This Row],[Affected CMS
(§63.567(o)(3)(viii))
(Select from dropdown)]],Table22[#Data],2,FALSE))</f>
        <v/>
      </c>
      <c r="D778" s="132"/>
      <c r="E778" s="140"/>
    </row>
    <row r="779" spans="2:5" x14ac:dyDescent="0.3">
      <c r="B779" s="278" t="str">
        <f>IF(Table255[[#This Row],[Affected CMS
(§63.567(o)(3)(viii))
(Select from dropdown)]]="","",VLOOKUP(Table255[[#This Row],[Affected CMS
(§63.567(o)(3)(viii))
(Select from dropdown)]],Table22[#Data],2,FALSE))</f>
        <v/>
      </c>
      <c r="D779" s="132"/>
      <c r="E779" s="140"/>
    </row>
    <row r="780" spans="2:5" x14ac:dyDescent="0.3">
      <c r="B780" s="278" t="str">
        <f>IF(Table255[[#This Row],[Affected CMS
(§63.567(o)(3)(viii))
(Select from dropdown)]]="","",VLOOKUP(Table255[[#This Row],[Affected CMS
(§63.567(o)(3)(viii))
(Select from dropdown)]],Table22[#Data],2,FALSE))</f>
        <v/>
      </c>
      <c r="D780" s="132"/>
      <c r="E780" s="140"/>
    </row>
    <row r="781" spans="2:5" x14ac:dyDescent="0.3">
      <c r="B781" s="278" t="str">
        <f>IF(Table255[[#This Row],[Affected CMS
(§63.567(o)(3)(viii))
(Select from dropdown)]]="","",VLOOKUP(Table255[[#This Row],[Affected CMS
(§63.567(o)(3)(viii))
(Select from dropdown)]],Table22[#Data],2,FALSE))</f>
        <v/>
      </c>
      <c r="D781" s="132"/>
      <c r="E781" s="140"/>
    </row>
    <row r="782" spans="2:5" x14ac:dyDescent="0.3">
      <c r="B782" s="278" t="str">
        <f>IF(Table255[[#This Row],[Affected CMS
(§63.567(o)(3)(viii))
(Select from dropdown)]]="","",VLOOKUP(Table255[[#This Row],[Affected CMS
(§63.567(o)(3)(viii))
(Select from dropdown)]],Table22[#Data],2,FALSE))</f>
        <v/>
      </c>
      <c r="D782" s="132"/>
      <c r="E782" s="140"/>
    </row>
    <row r="783" spans="2:5" x14ac:dyDescent="0.3">
      <c r="B783" s="278" t="str">
        <f>IF(Table255[[#This Row],[Affected CMS
(§63.567(o)(3)(viii))
(Select from dropdown)]]="","",VLOOKUP(Table255[[#This Row],[Affected CMS
(§63.567(o)(3)(viii))
(Select from dropdown)]],Table22[#Data],2,FALSE))</f>
        <v/>
      </c>
      <c r="D783" s="132"/>
      <c r="E783" s="140"/>
    </row>
    <row r="784" spans="2:5" x14ac:dyDescent="0.3">
      <c r="B784" s="278" t="str">
        <f>IF(Table255[[#This Row],[Affected CMS
(§63.567(o)(3)(viii))
(Select from dropdown)]]="","",VLOOKUP(Table255[[#This Row],[Affected CMS
(§63.567(o)(3)(viii))
(Select from dropdown)]],Table22[#Data],2,FALSE))</f>
        <v/>
      </c>
      <c r="D784" s="132"/>
      <c r="E784" s="140"/>
    </row>
    <row r="785" spans="2:5" x14ac:dyDescent="0.3">
      <c r="B785" s="278" t="str">
        <f>IF(Table255[[#This Row],[Affected CMS
(§63.567(o)(3)(viii))
(Select from dropdown)]]="","",VLOOKUP(Table255[[#This Row],[Affected CMS
(§63.567(o)(3)(viii))
(Select from dropdown)]],Table22[#Data],2,FALSE))</f>
        <v/>
      </c>
      <c r="D785" s="132"/>
      <c r="E785" s="140"/>
    </row>
    <row r="786" spans="2:5" x14ac:dyDescent="0.3">
      <c r="B786" s="278" t="str">
        <f>IF(Table255[[#This Row],[Affected CMS
(§63.567(o)(3)(viii))
(Select from dropdown)]]="","",VLOOKUP(Table255[[#This Row],[Affected CMS
(§63.567(o)(3)(viii))
(Select from dropdown)]],Table22[#Data],2,FALSE))</f>
        <v/>
      </c>
      <c r="D786" s="132"/>
      <c r="E786" s="140"/>
    </row>
    <row r="787" spans="2:5" x14ac:dyDescent="0.3">
      <c r="B787" s="278" t="str">
        <f>IF(Table255[[#This Row],[Affected CMS
(§63.567(o)(3)(viii))
(Select from dropdown)]]="","",VLOOKUP(Table255[[#This Row],[Affected CMS
(§63.567(o)(3)(viii))
(Select from dropdown)]],Table22[#Data],2,FALSE))</f>
        <v/>
      </c>
      <c r="D787" s="132"/>
      <c r="E787" s="140"/>
    </row>
    <row r="788" spans="2:5" x14ac:dyDescent="0.3">
      <c r="B788" s="278" t="str">
        <f>IF(Table255[[#This Row],[Affected CMS
(§63.567(o)(3)(viii))
(Select from dropdown)]]="","",VLOOKUP(Table255[[#This Row],[Affected CMS
(§63.567(o)(3)(viii))
(Select from dropdown)]],Table22[#Data],2,FALSE))</f>
        <v/>
      </c>
      <c r="D788" s="132"/>
      <c r="E788" s="140"/>
    </row>
    <row r="789" spans="2:5" x14ac:dyDescent="0.3">
      <c r="B789" s="278" t="str">
        <f>IF(Table255[[#This Row],[Affected CMS
(§63.567(o)(3)(viii))
(Select from dropdown)]]="","",VLOOKUP(Table255[[#This Row],[Affected CMS
(§63.567(o)(3)(viii))
(Select from dropdown)]],Table22[#Data],2,FALSE))</f>
        <v/>
      </c>
      <c r="D789" s="132"/>
      <c r="E789" s="140"/>
    </row>
    <row r="790" spans="2:5" x14ac:dyDescent="0.3">
      <c r="B790" s="278" t="str">
        <f>IF(Table255[[#This Row],[Affected CMS
(§63.567(o)(3)(viii))
(Select from dropdown)]]="","",VLOOKUP(Table255[[#This Row],[Affected CMS
(§63.567(o)(3)(viii))
(Select from dropdown)]],Table22[#Data],2,FALSE))</f>
        <v/>
      </c>
      <c r="D790" s="132"/>
      <c r="E790" s="140"/>
    </row>
    <row r="791" spans="2:5" x14ac:dyDescent="0.3">
      <c r="B791" s="278" t="str">
        <f>IF(Table255[[#This Row],[Affected CMS
(§63.567(o)(3)(viii))
(Select from dropdown)]]="","",VLOOKUP(Table255[[#This Row],[Affected CMS
(§63.567(o)(3)(viii))
(Select from dropdown)]],Table22[#Data],2,FALSE))</f>
        <v/>
      </c>
      <c r="D791" s="132"/>
      <c r="E791" s="140"/>
    </row>
    <row r="792" spans="2:5" x14ac:dyDescent="0.3">
      <c r="B792" s="278" t="str">
        <f>IF(Table255[[#This Row],[Affected CMS
(§63.567(o)(3)(viii))
(Select from dropdown)]]="","",VLOOKUP(Table255[[#This Row],[Affected CMS
(§63.567(o)(3)(viii))
(Select from dropdown)]],Table22[#Data],2,FALSE))</f>
        <v/>
      </c>
      <c r="D792" s="132"/>
      <c r="E792" s="140"/>
    </row>
    <row r="793" spans="2:5" x14ac:dyDescent="0.3">
      <c r="B793" s="278" t="str">
        <f>IF(Table255[[#This Row],[Affected CMS
(§63.567(o)(3)(viii))
(Select from dropdown)]]="","",VLOOKUP(Table255[[#This Row],[Affected CMS
(§63.567(o)(3)(viii))
(Select from dropdown)]],Table22[#Data],2,FALSE))</f>
        <v/>
      </c>
      <c r="D793" s="132"/>
      <c r="E793" s="140"/>
    </row>
    <row r="794" spans="2:5" x14ac:dyDescent="0.3">
      <c r="B794" s="278" t="str">
        <f>IF(Table255[[#This Row],[Affected CMS
(§63.567(o)(3)(viii))
(Select from dropdown)]]="","",VLOOKUP(Table255[[#This Row],[Affected CMS
(§63.567(o)(3)(viii))
(Select from dropdown)]],Table22[#Data],2,FALSE))</f>
        <v/>
      </c>
      <c r="D794" s="132"/>
      <c r="E794" s="140"/>
    </row>
    <row r="795" spans="2:5" x14ac:dyDescent="0.3">
      <c r="B795" s="278" t="str">
        <f>IF(Table255[[#This Row],[Affected CMS
(§63.567(o)(3)(viii))
(Select from dropdown)]]="","",VLOOKUP(Table255[[#This Row],[Affected CMS
(§63.567(o)(3)(viii))
(Select from dropdown)]],Table22[#Data],2,FALSE))</f>
        <v/>
      </c>
      <c r="D795" s="132"/>
      <c r="E795" s="140"/>
    </row>
    <row r="796" spans="2:5" x14ac:dyDescent="0.3">
      <c r="B796" s="278" t="str">
        <f>IF(Table255[[#This Row],[Affected CMS
(§63.567(o)(3)(viii))
(Select from dropdown)]]="","",VLOOKUP(Table255[[#This Row],[Affected CMS
(§63.567(o)(3)(viii))
(Select from dropdown)]],Table22[#Data],2,FALSE))</f>
        <v/>
      </c>
      <c r="D796" s="132"/>
      <c r="E796" s="140"/>
    </row>
    <row r="797" spans="2:5" x14ac:dyDescent="0.3">
      <c r="B797" s="278" t="str">
        <f>IF(Table255[[#This Row],[Affected CMS
(§63.567(o)(3)(viii))
(Select from dropdown)]]="","",VLOOKUP(Table255[[#This Row],[Affected CMS
(§63.567(o)(3)(viii))
(Select from dropdown)]],Table22[#Data],2,FALSE))</f>
        <v/>
      </c>
      <c r="D797" s="132"/>
      <c r="E797" s="140"/>
    </row>
    <row r="798" spans="2:5" x14ac:dyDescent="0.3">
      <c r="B798" s="278" t="str">
        <f>IF(Table255[[#This Row],[Affected CMS
(§63.567(o)(3)(viii))
(Select from dropdown)]]="","",VLOOKUP(Table255[[#This Row],[Affected CMS
(§63.567(o)(3)(viii))
(Select from dropdown)]],Table22[#Data],2,FALSE))</f>
        <v/>
      </c>
      <c r="D798" s="132"/>
      <c r="E798" s="140"/>
    </row>
    <row r="799" spans="2:5" x14ac:dyDescent="0.3">
      <c r="B799" s="278" t="str">
        <f>IF(Table255[[#This Row],[Affected CMS
(§63.567(o)(3)(viii))
(Select from dropdown)]]="","",VLOOKUP(Table255[[#This Row],[Affected CMS
(§63.567(o)(3)(viii))
(Select from dropdown)]],Table22[#Data],2,FALSE))</f>
        <v/>
      </c>
      <c r="D799" s="132"/>
      <c r="E799" s="140"/>
    </row>
    <row r="800" spans="2:5" x14ac:dyDescent="0.3">
      <c r="B800" s="278" t="str">
        <f>IF(Table255[[#This Row],[Affected CMS
(§63.567(o)(3)(viii))
(Select from dropdown)]]="","",VLOOKUP(Table255[[#This Row],[Affected CMS
(§63.567(o)(3)(viii))
(Select from dropdown)]],Table22[#Data],2,FALSE))</f>
        <v/>
      </c>
      <c r="D800" s="132"/>
      <c r="E800" s="140"/>
    </row>
    <row r="801" spans="2:5" x14ac:dyDescent="0.3">
      <c r="B801" s="278" t="str">
        <f>IF(Table255[[#This Row],[Affected CMS
(§63.567(o)(3)(viii))
(Select from dropdown)]]="","",VLOOKUP(Table255[[#This Row],[Affected CMS
(§63.567(o)(3)(viii))
(Select from dropdown)]],Table22[#Data],2,FALSE))</f>
        <v/>
      </c>
      <c r="D801" s="132"/>
      <c r="E801" s="140"/>
    </row>
    <row r="802" spans="2:5" x14ac:dyDescent="0.3">
      <c r="B802" s="278" t="str">
        <f>IF(Table255[[#This Row],[Affected CMS
(§63.567(o)(3)(viii))
(Select from dropdown)]]="","",VLOOKUP(Table255[[#This Row],[Affected CMS
(§63.567(o)(3)(viii))
(Select from dropdown)]],Table22[#Data],2,FALSE))</f>
        <v/>
      </c>
      <c r="D802" s="132"/>
      <c r="E802" s="140"/>
    </row>
    <row r="803" spans="2:5" x14ac:dyDescent="0.3">
      <c r="B803" s="278" t="str">
        <f>IF(Table255[[#This Row],[Affected CMS
(§63.567(o)(3)(viii))
(Select from dropdown)]]="","",VLOOKUP(Table255[[#This Row],[Affected CMS
(§63.567(o)(3)(viii))
(Select from dropdown)]],Table22[#Data],2,FALSE))</f>
        <v/>
      </c>
      <c r="D803" s="132"/>
      <c r="E803" s="140"/>
    </row>
    <row r="804" spans="2:5" x14ac:dyDescent="0.3">
      <c r="B804" s="278" t="str">
        <f>IF(Table255[[#This Row],[Affected CMS
(§63.567(o)(3)(viii))
(Select from dropdown)]]="","",VLOOKUP(Table255[[#This Row],[Affected CMS
(§63.567(o)(3)(viii))
(Select from dropdown)]],Table22[#Data],2,FALSE))</f>
        <v/>
      </c>
      <c r="D804" s="132"/>
      <c r="E804" s="140"/>
    </row>
    <row r="805" spans="2:5" x14ac:dyDescent="0.3">
      <c r="B805" s="278" t="str">
        <f>IF(Table255[[#This Row],[Affected CMS
(§63.567(o)(3)(viii))
(Select from dropdown)]]="","",VLOOKUP(Table255[[#This Row],[Affected CMS
(§63.567(o)(3)(viii))
(Select from dropdown)]],Table22[#Data],2,FALSE))</f>
        <v/>
      </c>
      <c r="D805" s="132"/>
      <c r="E805" s="140"/>
    </row>
    <row r="806" spans="2:5" x14ac:dyDescent="0.3">
      <c r="B806" s="278" t="str">
        <f>IF(Table255[[#This Row],[Affected CMS
(§63.567(o)(3)(viii))
(Select from dropdown)]]="","",VLOOKUP(Table255[[#This Row],[Affected CMS
(§63.567(o)(3)(viii))
(Select from dropdown)]],Table22[#Data],2,FALSE))</f>
        <v/>
      </c>
      <c r="D806" s="132"/>
      <c r="E806" s="140"/>
    </row>
    <row r="807" spans="2:5" x14ac:dyDescent="0.3">
      <c r="B807" s="278" t="str">
        <f>IF(Table255[[#This Row],[Affected CMS
(§63.567(o)(3)(viii))
(Select from dropdown)]]="","",VLOOKUP(Table255[[#This Row],[Affected CMS
(§63.567(o)(3)(viii))
(Select from dropdown)]],Table22[#Data],2,FALSE))</f>
        <v/>
      </c>
      <c r="D807" s="132"/>
      <c r="E807" s="140"/>
    </row>
    <row r="808" spans="2:5" x14ac:dyDescent="0.3">
      <c r="B808" s="278" t="str">
        <f>IF(Table255[[#This Row],[Affected CMS
(§63.567(o)(3)(viii))
(Select from dropdown)]]="","",VLOOKUP(Table255[[#This Row],[Affected CMS
(§63.567(o)(3)(viii))
(Select from dropdown)]],Table22[#Data],2,FALSE))</f>
        <v/>
      </c>
      <c r="D808" s="132"/>
      <c r="E808" s="140"/>
    </row>
    <row r="809" spans="2:5" x14ac:dyDescent="0.3">
      <c r="B809" s="278" t="str">
        <f>IF(Table255[[#This Row],[Affected CMS
(§63.567(o)(3)(viii))
(Select from dropdown)]]="","",VLOOKUP(Table255[[#This Row],[Affected CMS
(§63.567(o)(3)(viii))
(Select from dropdown)]],Table22[#Data],2,FALSE))</f>
        <v/>
      </c>
      <c r="D809" s="132"/>
      <c r="E809" s="140"/>
    </row>
    <row r="810" spans="2:5" x14ac:dyDescent="0.3">
      <c r="B810" s="278" t="str">
        <f>IF(Table255[[#This Row],[Affected CMS
(§63.567(o)(3)(viii))
(Select from dropdown)]]="","",VLOOKUP(Table255[[#This Row],[Affected CMS
(§63.567(o)(3)(viii))
(Select from dropdown)]],Table22[#Data],2,FALSE))</f>
        <v/>
      </c>
      <c r="D810" s="132"/>
      <c r="E810" s="140"/>
    </row>
    <row r="811" spans="2:5" x14ac:dyDescent="0.3">
      <c r="B811" s="278" t="str">
        <f>IF(Table255[[#This Row],[Affected CMS
(§63.567(o)(3)(viii))
(Select from dropdown)]]="","",VLOOKUP(Table255[[#This Row],[Affected CMS
(§63.567(o)(3)(viii))
(Select from dropdown)]],Table22[#Data],2,FALSE))</f>
        <v/>
      </c>
      <c r="D811" s="132"/>
      <c r="E811" s="140"/>
    </row>
    <row r="812" spans="2:5" x14ac:dyDescent="0.3">
      <c r="B812" s="278" t="str">
        <f>IF(Table255[[#This Row],[Affected CMS
(§63.567(o)(3)(viii))
(Select from dropdown)]]="","",VLOOKUP(Table255[[#This Row],[Affected CMS
(§63.567(o)(3)(viii))
(Select from dropdown)]],Table22[#Data],2,FALSE))</f>
        <v/>
      </c>
      <c r="D812" s="132"/>
      <c r="E812" s="140"/>
    </row>
    <row r="813" spans="2:5" x14ac:dyDescent="0.3">
      <c r="B813" s="278" t="str">
        <f>IF(Table255[[#This Row],[Affected CMS
(§63.567(o)(3)(viii))
(Select from dropdown)]]="","",VLOOKUP(Table255[[#This Row],[Affected CMS
(§63.567(o)(3)(viii))
(Select from dropdown)]],Table22[#Data],2,FALSE))</f>
        <v/>
      </c>
      <c r="D813" s="132"/>
      <c r="E813" s="140"/>
    </row>
    <row r="814" spans="2:5" x14ac:dyDescent="0.3">
      <c r="B814" s="278" t="str">
        <f>IF(Table255[[#This Row],[Affected CMS
(§63.567(o)(3)(viii))
(Select from dropdown)]]="","",VLOOKUP(Table255[[#This Row],[Affected CMS
(§63.567(o)(3)(viii))
(Select from dropdown)]],Table22[#Data],2,FALSE))</f>
        <v/>
      </c>
      <c r="D814" s="132"/>
      <c r="E814" s="140"/>
    </row>
    <row r="815" spans="2:5" x14ac:dyDescent="0.3">
      <c r="B815" s="278" t="str">
        <f>IF(Table255[[#This Row],[Affected CMS
(§63.567(o)(3)(viii))
(Select from dropdown)]]="","",VLOOKUP(Table255[[#This Row],[Affected CMS
(§63.567(o)(3)(viii))
(Select from dropdown)]],Table22[#Data],2,FALSE))</f>
        <v/>
      </c>
      <c r="D815" s="132"/>
      <c r="E815" s="140"/>
    </row>
    <row r="816" spans="2:5" x14ac:dyDescent="0.3">
      <c r="B816" s="278" t="str">
        <f>IF(Table255[[#This Row],[Affected CMS
(§63.567(o)(3)(viii))
(Select from dropdown)]]="","",VLOOKUP(Table255[[#This Row],[Affected CMS
(§63.567(o)(3)(viii))
(Select from dropdown)]],Table22[#Data],2,FALSE))</f>
        <v/>
      </c>
      <c r="D816" s="132"/>
      <c r="E816" s="140"/>
    </row>
    <row r="817" spans="2:5" x14ac:dyDescent="0.3">
      <c r="B817" s="278" t="str">
        <f>IF(Table255[[#This Row],[Affected CMS
(§63.567(o)(3)(viii))
(Select from dropdown)]]="","",VLOOKUP(Table255[[#This Row],[Affected CMS
(§63.567(o)(3)(viii))
(Select from dropdown)]],Table22[#Data],2,FALSE))</f>
        <v/>
      </c>
      <c r="D817" s="132"/>
      <c r="E817" s="140"/>
    </row>
    <row r="818" spans="2:5" x14ac:dyDescent="0.3">
      <c r="B818" s="278" t="str">
        <f>IF(Table255[[#This Row],[Affected CMS
(§63.567(o)(3)(viii))
(Select from dropdown)]]="","",VLOOKUP(Table255[[#This Row],[Affected CMS
(§63.567(o)(3)(viii))
(Select from dropdown)]],Table22[#Data],2,FALSE))</f>
        <v/>
      </c>
      <c r="D818" s="132"/>
      <c r="E818" s="140"/>
    </row>
    <row r="819" spans="2:5" x14ac:dyDescent="0.3">
      <c r="B819" s="278" t="str">
        <f>IF(Table255[[#This Row],[Affected CMS
(§63.567(o)(3)(viii))
(Select from dropdown)]]="","",VLOOKUP(Table255[[#This Row],[Affected CMS
(§63.567(o)(3)(viii))
(Select from dropdown)]],Table22[#Data],2,FALSE))</f>
        <v/>
      </c>
      <c r="D819" s="132"/>
      <c r="E819" s="140"/>
    </row>
    <row r="820" spans="2:5" x14ac:dyDescent="0.3">
      <c r="B820" s="278" t="str">
        <f>IF(Table255[[#This Row],[Affected CMS
(§63.567(o)(3)(viii))
(Select from dropdown)]]="","",VLOOKUP(Table255[[#This Row],[Affected CMS
(§63.567(o)(3)(viii))
(Select from dropdown)]],Table22[#Data],2,FALSE))</f>
        <v/>
      </c>
      <c r="D820" s="132"/>
      <c r="E820" s="140"/>
    </row>
    <row r="821" spans="2:5" x14ac:dyDescent="0.3">
      <c r="B821" s="278" t="str">
        <f>IF(Table255[[#This Row],[Affected CMS
(§63.567(o)(3)(viii))
(Select from dropdown)]]="","",VLOOKUP(Table255[[#This Row],[Affected CMS
(§63.567(o)(3)(viii))
(Select from dropdown)]],Table22[#Data],2,FALSE))</f>
        <v/>
      </c>
      <c r="D821" s="132"/>
      <c r="E821" s="140"/>
    </row>
    <row r="822" spans="2:5" x14ac:dyDescent="0.3">
      <c r="B822" s="278" t="str">
        <f>IF(Table255[[#This Row],[Affected CMS
(§63.567(o)(3)(viii))
(Select from dropdown)]]="","",VLOOKUP(Table255[[#This Row],[Affected CMS
(§63.567(o)(3)(viii))
(Select from dropdown)]],Table22[#Data],2,FALSE))</f>
        <v/>
      </c>
      <c r="D822" s="132"/>
      <c r="E822" s="140"/>
    </row>
    <row r="823" spans="2:5" x14ac:dyDescent="0.3">
      <c r="B823" s="278" t="str">
        <f>IF(Table255[[#This Row],[Affected CMS
(§63.567(o)(3)(viii))
(Select from dropdown)]]="","",VLOOKUP(Table255[[#This Row],[Affected CMS
(§63.567(o)(3)(viii))
(Select from dropdown)]],Table22[#Data],2,FALSE))</f>
        <v/>
      </c>
      <c r="D823" s="132"/>
      <c r="E823" s="140"/>
    </row>
    <row r="824" spans="2:5" x14ac:dyDescent="0.3">
      <c r="B824" s="278" t="str">
        <f>IF(Table255[[#This Row],[Affected CMS
(§63.567(o)(3)(viii))
(Select from dropdown)]]="","",VLOOKUP(Table255[[#This Row],[Affected CMS
(§63.567(o)(3)(viii))
(Select from dropdown)]],Table22[#Data],2,FALSE))</f>
        <v/>
      </c>
      <c r="D824" s="132"/>
      <c r="E824" s="140"/>
    </row>
    <row r="825" spans="2:5" x14ac:dyDescent="0.3">
      <c r="B825" s="278" t="str">
        <f>IF(Table255[[#This Row],[Affected CMS
(§63.567(o)(3)(viii))
(Select from dropdown)]]="","",VLOOKUP(Table255[[#This Row],[Affected CMS
(§63.567(o)(3)(viii))
(Select from dropdown)]],Table22[#Data],2,FALSE))</f>
        <v/>
      </c>
      <c r="D825" s="132"/>
      <c r="E825" s="140"/>
    </row>
    <row r="826" spans="2:5" x14ac:dyDescent="0.3">
      <c r="B826" s="278" t="str">
        <f>IF(Table255[[#This Row],[Affected CMS
(§63.567(o)(3)(viii))
(Select from dropdown)]]="","",VLOOKUP(Table255[[#This Row],[Affected CMS
(§63.567(o)(3)(viii))
(Select from dropdown)]],Table22[#Data],2,FALSE))</f>
        <v/>
      </c>
      <c r="D826" s="132"/>
      <c r="E826" s="140"/>
    </row>
    <row r="827" spans="2:5" x14ac:dyDescent="0.3">
      <c r="B827" s="278" t="str">
        <f>IF(Table255[[#This Row],[Affected CMS
(§63.567(o)(3)(viii))
(Select from dropdown)]]="","",VLOOKUP(Table255[[#This Row],[Affected CMS
(§63.567(o)(3)(viii))
(Select from dropdown)]],Table22[#Data],2,FALSE))</f>
        <v/>
      </c>
      <c r="D827" s="132"/>
      <c r="E827" s="140"/>
    </row>
    <row r="828" spans="2:5" x14ac:dyDescent="0.3">
      <c r="B828" s="278" t="str">
        <f>IF(Table255[[#This Row],[Affected CMS
(§63.567(o)(3)(viii))
(Select from dropdown)]]="","",VLOOKUP(Table255[[#This Row],[Affected CMS
(§63.567(o)(3)(viii))
(Select from dropdown)]],Table22[#Data],2,FALSE))</f>
        <v/>
      </c>
      <c r="D828" s="132"/>
      <c r="E828" s="140"/>
    </row>
    <row r="829" spans="2:5" x14ac:dyDescent="0.3">
      <c r="B829" s="278" t="str">
        <f>IF(Table255[[#This Row],[Affected CMS
(§63.567(o)(3)(viii))
(Select from dropdown)]]="","",VLOOKUP(Table255[[#This Row],[Affected CMS
(§63.567(o)(3)(viii))
(Select from dropdown)]],Table22[#Data],2,FALSE))</f>
        <v/>
      </c>
      <c r="D829" s="132"/>
      <c r="E829" s="140"/>
    </row>
    <row r="830" spans="2:5" x14ac:dyDescent="0.3">
      <c r="B830" s="278" t="str">
        <f>IF(Table255[[#This Row],[Affected CMS
(§63.567(o)(3)(viii))
(Select from dropdown)]]="","",VLOOKUP(Table255[[#This Row],[Affected CMS
(§63.567(o)(3)(viii))
(Select from dropdown)]],Table22[#Data],2,FALSE))</f>
        <v/>
      </c>
      <c r="D830" s="132"/>
      <c r="E830" s="140"/>
    </row>
    <row r="831" spans="2:5" x14ac:dyDescent="0.3">
      <c r="B831" s="278" t="str">
        <f>IF(Table255[[#This Row],[Affected CMS
(§63.567(o)(3)(viii))
(Select from dropdown)]]="","",VLOOKUP(Table255[[#This Row],[Affected CMS
(§63.567(o)(3)(viii))
(Select from dropdown)]],Table22[#Data],2,FALSE))</f>
        <v/>
      </c>
      <c r="D831" s="132"/>
      <c r="E831" s="140"/>
    </row>
    <row r="832" spans="2:5" x14ac:dyDescent="0.3">
      <c r="B832" s="278" t="str">
        <f>IF(Table255[[#This Row],[Affected CMS
(§63.567(o)(3)(viii))
(Select from dropdown)]]="","",VLOOKUP(Table255[[#This Row],[Affected CMS
(§63.567(o)(3)(viii))
(Select from dropdown)]],Table22[#Data],2,FALSE))</f>
        <v/>
      </c>
      <c r="D832" s="132"/>
      <c r="E832" s="140"/>
    </row>
    <row r="833" spans="2:5" x14ac:dyDescent="0.3">
      <c r="B833" s="278" t="str">
        <f>IF(Table255[[#This Row],[Affected CMS
(§63.567(o)(3)(viii))
(Select from dropdown)]]="","",VLOOKUP(Table255[[#This Row],[Affected CMS
(§63.567(o)(3)(viii))
(Select from dropdown)]],Table22[#Data],2,FALSE))</f>
        <v/>
      </c>
      <c r="D833" s="132"/>
      <c r="E833" s="140"/>
    </row>
    <row r="834" spans="2:5" x14ac:dyDescent="0.3">
      <c r="B834" s="278" t="str">
        <f>IF(Table255[[#This Row],[Affected CMS
(§63.567(o)(3)(viii))
(Select from dropdown)]]="","",VLOOKUP(Table255[[#This Row],[Affected CMS
(§63.567(o)(3)(viii))
(Select from dropdown)]],Table22[#Data],2,FALSE))</f>
        <v/>
      </c>
      <c r="D834" s="132"/>
      <c r="E834" s="140"/>
    </row>
    <row r="835" spans="2:5" x14ac:dyDescent="0.3">
      <c r="B835" s="278" t="str">
        <f>IF(Table255[[#This Row],[Affected CMS
(§63.567(o)(3)(viii))
(Select from dropdown)]]="","",VLOOKUP(Table255[[#This Row],[Affected CMS
(§63.567(o)(3)(viii))
(Select from dropdown)]],Table22[#Data],2,FALSE))</f>
        <v/>
      </c>
      <c r="D835" s="132"/>
      <c r="E835" s="140"/>
    </row>
    <row r="836" spans="2:5" x14ac:dyDescent="0.3">
      <c r="B836" s="278" t="str">
        <f>IF(Table255[[#This Row],[Affected CMS
(§63.567(o)(3)(viii))
(Select from dropdown)]]="","",VLOOKUP(Table255[[#This Row],[Affected CMS
(§63.567(o)(3)(viii))
(Select from dropdown)]],Table22[#Data],2,FALSE))</f>
        <v/>
      </c>
      <c r="D836" s="132"/>
      <c r="E836" s="140"/>
    </row>
    <row r="837" spans="2:5" x14ac:dyDescent="0.3">
      <c r="B837" s="278" t="str">
        <f>IF(Table255[[#This Row],[Affected CMS
(§63.567(o)(3)(viii))
(Select from dropdown)]]="","",VLOOKUP(Table255[[#This Row],[Affected CMS
(§63.567(o)(3)(viii))
(Select from dropdown)]],Table22[#Data],2,FALSE))</f>
        <v/>
      </c>
      <c r="D837" s="132"/>
      <c r="E837" s="140"/>
    </row>
    <row r="838" spans="2:5" x14ac:dyDescent="0.3">
      <c r="B838" s="278" t="str">
        <f>IF(Table255[[#This Row],[Affected CMS
(§63.567(o)(3)(viii))
(Select from dropdown)]]="","",VLOOKUP(Table255[[#This Row],[Affected CMS
(§63.567(o)(3)(viii))
(Select from dropdown)]],Table22[#Data],2,FALSE))</f>
        <v/>
      </c>
      <c r="D838" s="132"/>
      <c r="E838" s="140"/>
    </row>
    <row r="839" spans="2:5" x14ac:dyDescent="0.3">
      <c r="B839" s="278" t="str">
        <f>IF(Table255[[#This Row],[Affected CMS
(§63.567(o)(3)(viii))
(Select from dropdown)]]="","",VLOOKUP(Table255[[#This Row],[Affected CMS
(§63.567(o)(3)(viii))
(Select from dropdown)]],Table22[#Data],2,FALSE))</f>
        <v/>
      </c>
      <c r="D839" s="132"/>
      <c r="E839" s="140"/>
    </row>
    <row r="840" spans="2:5" x14ac:dyDescent="0.3">
      <c r="B840" s="278" t="str">
        <f>IF(Table255[[#This Row],[Affected CMS
(§63.567(o)(3)(viii))
(Select from dropdown)]]="","",VLOOKUP(Table255[[#This Row],[Affected CMS
(§63.567(o)(3)(viii))
(Select from dropdown)]],Table22[#Data],2,FALSE))</f>
        <v/>
      </c>
      <c r="D840" s="132"/>
      <c r="E840" s="140"/>
    </row>
    <row r="841" spans="2:5" x14ac:dyDescent="0.3">
      <c r="B841" s="278" t="str">
        <f>IF(Table255[[#This Row],[Affected CMS
(§63.567(o)(3)(viii))
(Select from dropdown)]]="","",VLOOKUP(Table255[[#This Row],[Affected CMS
(§63.567(o)(3)(viii))
(Select from dropdown)]],Table22[#Data],2,FALSE))</f>
        <v/>
      </c>
      <c r="D841" s="132"/>
      <c r="E841" s="140"/>
    </row>
    <row r="842" spans="2:5" x14ac:dyDescent="0.3">
      <c r="B842" s="278" t="str">
        <f>IF(Table255[[#This Row],[Affected CMS
(§63.567(o)(3)(viii))
(Select from dropdown)]]="","",VLOOKUP(Table255[[#This Row],[Affected CMS
(§63.567(o)(3)(viii))
(Select from dropdown)]],Table22[#Data],2,FALSE))</f>
        <v/>
      </c>
      <c r="D842" s="132"/>
      <c r="E842" s="140"/>
    </row>
    <row r="843" spans="2:5" x14ac:dyDescent="0.3">
      <c r="B843" s="278" t="str">
        <f>IF(Table255[[#This Row],[Affected CMS
(§63.567(o)(3)(viii))
(Select from dropdown)]]="","",VLOOKUP(Table255[[#This Row],[Affected CMS
(§63.567(o)(3)(viii))
(Select from dropdown)]],Table22[#Data],2,FALSE))</f>
        <v/>
      </c>
      <c r="D843" s="132"/>
      <c r="E843" s="140"/>
    </row>
    <row r="844" spans="2:5" x14ac:dyDescent="0.3">
      <c r="B844" s="278" t="str">
        <f>IF(Table255[[#This Row],[Affected CMS
(§63.567(o)(3)(viii))
(Select from dropdown)]]="","",VLOOKUP(Table255[[#This Row],[Affected CMS
(§63.567(o)(3)(viii))
(Select from dropdown)]],Table22[#Data],2,FALSE))</f>
        <v/>
      </c>
      <c r="D844" s="132"/>
      <c r="E844" s="140"/>
    </row>
    <row r="845" spans="2:5" x14ac:dyDescent="0.3">
      <c r="B845" s="278" t="str">
        <f>IF(Table255[[#This Row],[Affected CMS
(§63.567(o)(3)(viii))
(Select from dropdown)]]="","",VLOOKUP(Table255[[#This Row],[Affected CMS
(§63.567(o)(3)(viii))
(Select from dropdown)]],Table22[#Data],2,FALSE))</f>
        <v/>
      </c>
      <c r="D845" s="132"/>
      <c r="E845" s="140"/>
    </row>
    <row r="846" spans="2:5" x14ac:dyDescent="0.3">
      <c r="B846" s="278" t="str">
        <f>IF(Table255[[#This Row],[Affected CMS
(§63.567(o)(3)(viii))
(Select from dropdown)]]="","",VLOOKUP(Table255[[#This Row],[Affected CMS
(§63.567(o)(3)(viii))
(Select from dropdown)]],Table22[#Data],2,FALSE))</f>
        <v/>
      </c>
      <c r="D846" s="132"/>
      <c r="E846" s="140"/>
    </row>
    <row r="847" spans="2:5" x14ac:dyDescent="0.3">
      <c r="B847" s="278" t="str">
        <f>IF(Table255[[#This Row],[Affected CMS
(§63.567(o)(3)(viii))
(Select from dropdown)]]="","",VLOOKUP(Table255[[#This Row],[Affected CMS
(§63.567(o)(3)(viii))
(Select from dropdown)]],Table22[#Data],2,FALSE))</f>
        <v/>
      </c>
      <c r="D847" s="132"/>
      <c r="E847" s="140"/>
    </row>
    <row r="848" spans="2:5" x14ac:dyDescent="0.3">
      <c r="B848" s="278" t="str">
        <f>IF(Table255[[#This Row],[Affected CMS
(§63.567(o)(3)(viii))
(Select from dropdown)]]="","",VLOOKUP(Table255[[#This Row],[Affected CMS
(§63.567(o)(3)(viii))
(Select from dropdown)]],Table22[#Data],2,FALSE))</f>
        <v/>
      </c>
      <c r="D848" s="132"/>
      <c r="E848" s="140"/>
    </row>
    <row r="849" spans="2:5" x14ac:dyDescent="0.3">
      <c r="B849" s="278" t="str">
        <f>IF(Table255[[#This Row],[Affected CMS
(§63.567(o)(3)(viii))
(Select from dropdown)]]="","",VLOOKUP(Table255[[#This Row],[Affected CMS
(§63.567(o)(3)(viii))
(Select from dropdown)]],Table22[#Data],2,FALSE))</f>
        <v/>
      </c>
      <c r="D849" s="132"/>
      <c r="E849" s="140"/>
    </row>
    <row r="850" spans="2:5" x14ac:dyDescent="0.3">
      <c r="B850" s="278" t="str">
        <f>IF(Table255[[#This Row],[Affected CMS
(§63.567(o)(3)(viii))
(Select from dropdown)]]="","",VLOOKUP(Table255[[#This Row],[Affected CMS
(§63.567(o)(3)(viii))
(Select from dropdown)]],Table22[#Data],2,FALSE))</f>
        <v/>
      </c>
      <c r="D850" s="132"/>
      <c r="E850" s="140"/>
    </row>
    <row r="851" spans="2:5" x14ac:dyDescent="0.3">
      <c r="B851" s="278" t="str">
        <f>IF(Table255[[#This Row],[Affected CMS
(§63.567(o)(3)(viii))
(Select from dropdown)]]="","",VLOOKUP(Table255[[#This Row],[Affected CMS
(§63.567(o)(3)(viii))
(Select from dropdown)]],Table22[#Data],2,FALSE))</f>
        <v/>
      </c>
      <c r="D851" s="132"/>
      <c r="E851" s="140"/>
    </row>
    <row r="852" spans="2:5" x14ac:dyDescent="0.3">
      <c r="B852" s="278" t="str">
        <f>IF(Table255[[#This Row],[Affected CMS
(§63.567(o)(3)(viii))
(Select from dropdown)]]="","",VLOOKUP(Table255[[#This Row],[Affected CMS
(§63.567(o)(3)(viii))
(Select from dropdown)]],Table22[#Data],2,FALSE))</f>
        <v/>
      </c>
      <c r="D852" s="132"/>
      <c r="E852" s="140"/>
    </row>
    <row r="853" spans="2:5" x14ac:dyDescent="0.3">
      <c r="B853" s="278" t="str">
        <f>IF(Table255[[#This Row],[Affected CMS
(§63.567(o)(3)(viii))
(Select from dropdown)]]="","",VLOOKUP(Table255[[#This Row],[Affected CMS
(§63.567(o)(3)(viii))
(Select from dropdown)]],Table22[#Data],2,FALSE))</f>
        <v/>
      </c>
      <c r="D853" s="132"/>
      <c r="E853" s="140"/>
    </row>
    <row r="854" spans="2:5" x14ac:dyDescent="0.3">
      <c r="B854" s="278" t="str">
        <f>IF(Table255[[#This Row],[Affected CMS
(§63.567(o)(3)(viii))
(Select from dropdown)]]="","",VLOOKUP(Table255[[#This Row],[Affected CMS
(§63.567(o)(3)(viii))
(Select from dropdown)]],Table22[#Data],2,FALSE))</f>
        <v/>
      </c>
      <c r="D854" s="132"/>
      <c r="E854" s="140"/>
    </row>
    <row r="855" spans="2:5" x14ac:dyDescent="0.3">
      <c r="B855" s="278" t="str">
        <f>IF(Table255[[#This Row],[Affected CMS
(§63.567(o)(3)(viii))
(Select from dropdown)]]="","",VLOOKUP(Table255[[#This Row],[Affected CMS
(§63.567(o)(3)(viii))
(Select from dropdown)]],Table22[#Data],2,FALSE))</f>
        <v/>
      </c>
      <c r="D855" s="132"/>
      <c r="E855" s="140"/>
    </row>
    <row r="856" spans="2:5" x14ac:dyDescent="0.3">
      <c r="B856" s="278" t="str">
        <f>IF(Table255[[#This Row],[Affected CMS
(§63.567(o)(3)(viii))
(Select from dropdown)]]="","",VLOOKUP(Table255[[#This Row],[Affected CMS
(§63.567(o)(3)(viii))
(Select from dropdown)]],Table22[#Data],2,FALSE))</f>
        <v/>
      </c>
      <c r="D856" s="132"/>
      <c r="E856" s="140"/>
    </row>
    <row r="857" spans="2:5" x14ac:dyDescent="0.3">
      <c r="B857" s="278" t="str">
        <f>IF(Table255[[#This Row],[Affected CMS
(§63.567(o)(3)(viii))
(Select from dropdown)]]="","",VLOOKUP(Table255[[#This Row],[Affected CMS
(§63.567(o)(3)(viii))
(Select from dropdown)]],Table22[#Data],2,FALSE))</f>
        <v/>
      </c>
      <c r="D857" s="132"/>
      <c r="E857" s="140"/>
    </row>
    <row r="858" spans="2:5" x14ac:dyDescent="0.3">
      <c r="B858" s="278" t="str">
        <f>IF(Table255[[#This Row],[Affected CMS
(§63.567(o)(3)(viii))
(Select from dropdown)]]="","",VLOOKUP(Table255[[#This Row],[Affected CMS
(§63.567(o)(3)(viii))
(Select from dropdown)]],Table22[#Data],2,FALSE))</f>
        <v/>
      </c>
      <c r="D858" s="132"/>
      <c r="E858" s="140"/>
    </row>
    <row r="859" spans="2:5" x14ac:dyDescent="0.3">
      <c r="B859" s="278" t="str">
        <f>IF(Table255[[#This Row],[Affected CMS
(§63.567(o)(3)(viii))
(Select from dropdown)]]="","",VLOOKUP(Table255[[#This Row],[Affected CMS
(§63.567(o)(3)(viii))
(Select from dropdown)]],Table22[#Data],2,FALSE))</f>
        <v/>
      </c>
      <c r="D859" s="132"/>
      <c r="E859" s="140"/>
    </row>
    <row r="860" spans="2:5" x14ac:dyDescent="0.3">
      <c r="B860" s="278" t="str">
        <f>IF(Table255[[#This Row],[Affected CMS
(§63.567(o)(3)(viii))
(Select from dropdown)]]="","",VLOOKUP(Table255[[#This Row],[Affected CMS
(§63.567(o)(3)(viii))
(Select from dropdown)]],Table22[#Data],2,FALSE))</f>
        <v/>
      </c>
      <c r="D860" s="132"/>
      <c r="E860" s="140"/>
    </row>
    <row r="861" spans="2:5" x14ac:dyDescent="0.3">
      <c r="B861" s="278" t="str">
        <f>IF(Table255[[#This Row],[Affected CMS
(§63.567(o)(3)(viii))
(Select from dropdown)]]="","",VLOOKUP(Table255[[#This Row],[Affected CMS
(§63.567(o)(3)(viii))
(Select from dropdown)]],Table22[#Data],2,FALSE))</f>
        <v/>
      </c>
      <c r="D861" s="132"/>
      <c r="E861" s="140"/>
    </row>
    <row r="862" spans="2:5" x14ac:dyDescent="0.3">
      <c r="B862" s="278" t="str">
        <f>IF(Table255[[#This Row],[Affected CMS
(§63.567(o)(3)(viii))
(Select from dropdown)]]="","",VLOOKUP(Table255[[#This Row],[Affected CMS
(§63.567(o)(3)(viii))
(Select from dropdown)]],Table22[#Data],2,FALSE))</f>
        <v/>
      </c>
      <c r="D862" s="132"/>
      <c r="E862" s="140"/>
    </row>
    <row r="863" spans="2:5" x14ac:dyDescent="0.3">
      <c r="B863" s="278" t="str">
        <f>IF(Table255[[#This Row],[Affected CMS
(§63.567(o)(3)(viii))
(Select from dropdown)]]="","",VLOOKUP(Table255[[#This Row],[Affected CMS
(§63.567(o)(3)(viii))
(Select from dropdown)]],Table22[#Data],2,FALSE))</f>
        <v/>
      </c>
      <c r="D863" s="132"/>
      <c r="E863" s="140"/>
    </row>
    <row r="864" spans="2:5" x14ac:dyDescent="0.3">
      <c r="B864" s="278" t="str">
        <f>IF(Table255[[#This Row],[Affected CMS
(§63.567(o)(3)(viii))
(Select from dropdown)]]="","",VLOOKUP(Table255[[#This Row],[Affected CMS
(§63.567(o)(3)(viii))
(Select from dropdown)]],Table22[#Data],2,FALSE))</f>
        <v/>
      </c>
      <c r="D864" s="132"/>
      <c r="E864" s="140"/>
    </row>
    <row r="865" spans="2:5" x14ac:dyDescent="0.3">
      <c r="B865" s="278" t="str">
        <f>IF(Table255[[#This Row],[Affected CMS
(§63.567(o)(3)(viii))
(Select from dropdown)]]="","",VLOOKUP(Table255[[#This Row],[Affected CMS
(§63.567(o)(3)(viii))
(Select from dropdown)]],Table22[#Data],2,FALSE))</f>
        <v/>
      </c>
      <c r="D865" s="132"/>
      <c r="E865" s="140"/>
    </row>
    <row r="866" spans="2:5" x14ac:dyDescent="0.3">
      <c r="B866" s="278" t="str">
        <f>IF(Table255[[#This Row],[Affected CMS
(§63.567(o)(3)(viii))
(Select from dropdown)]]="","",VLOOKUP(Table255[[#This Row],[Affected CMS
(§63.567(o)(3)(viii))
(Select from dropdown)]],Table22[#Data],2,FALSE))</f>
        <v/>
      </c>
      <c r="D866" s="132"/>
      <c r="E866" s="140"/>
    </row>
    <row r="867" spans="2:5" x14ac:dyDescent="0.3">
      <c r="B867" s="278" t="str">
        <f>IF(Table255[[#This Row],[Affected CMS
(§63.567(o)(3)(viii))
(Select from dropdown)]]="","",VLOOKUP(Table255[[#This Row],[Affected CMS
(§63.567(o)(3)(viii))
(Select from dropdown)]],Table22[#Data],2,FALSE))</f>
        <v/>
      </c>
      <c r="D867" s="132"/>
      <c r="E867" s="140"/>
    </row>
    <row r="868" spans="2:5" x14ac:dyDescent="0.3">
      <c r="B868" s="278" t="str">
        <f>IF(Table255[[#This Row],[Affected CMS
(§63.567(o)(3)(viii))
(Select from dropdown)]]="","",VLOOKUP(Table255[[#This Row],[Affected CMS
(§63.567(o)(3)(viii))
(Select from dropdown)]],Table22[#Data],2,FALSE))</f>
        <v/>
      </c>
      <c r="D868" s="132"/>
      <c r="E868" s="140"/>
    </row>
    <row r="869" spans="2:5" x14ac:dyDescent="0.3">
      <c r="B869" s="278" t="str">
        <f>IF(Table255[[#This Row],[Affected CMS
(§63.567(o)(3)(viii))
(Select from dropdown)]]="","",VLOOKUP(Table255[[#This Row],[Affected CMS
(§63.567(o)(3)(viii))
(Select from dropdown)]],Table22[#Data],2,FALSE))</f>
        <v/>
      </c>
      <c r="D869" s="132"/>
      <c r="E869" s="140"/>
    </row>
    <row r="870" spans="2:5" x14ac:dyDescent="0.3">
      <c r="B870" s="278" t="str">
        <f>IF(Table255[[#This Row],[Affected CMS
(§63.567(o)(3)(viii))
(Select from dropdown)]]="","",VLOOKUP(Table255[[#This Row],[Affected CMS
(§63.567(o)(3)(viii))
(Select from dropdown)]],Table22[#Data],2,FALSE))</f>
        <v/>
      </c>
      <c r="D870" s="132"/>
      <c r="E870" s="140"/>
    </row>
    <row r="871" spans="2:5" x14ac:dyDescent="0.3">
      <c r="B871" s="278" t="str">
        <f>IF(Table255[[#This Row],[Affected CMS
(§63.567(o)(3)(viii))
(Select from dropdown)]]="","",VLOOKUP(Table255[[#This Row],[Affected CMS
(§63.567(o)(3)(viii))
(Select from dropdown)]],Table22[#Data],2,FALSE))</f>
        <v/>
      </c>
      <c r="D871" s="132"/>
      <c r="E871" s="140"/>
    </row>
    <row r="872" spans="2:5" x14ac:dyDescent="0.3">
      <c r="B872" s="278" t="str">
        <f>IF(Table255[[#This Row],[Affected CMS
(§63.567(o)(3)(viii))
(Select from dropdown)]]="","",VLOOKUP(Table255[[#This Row],[Affected CMS
(§63.567(o)(3)(viii))
(Select from dropdown)]],Table22[#Data],2,FALSE))</f>
        <v/>
      </c>
      <c r="D872" s="132"/>
      <c r="E872" s="140"/>
    </row>
    <row r="873" spans="2:5" x14ac:dyDescent="0.3">
      <c r="B873" s="278" t="str">
        <f>IF(Table255[[#This Row],[Affected CMS
(§63.567(o)(3)(viii))
(Select from dropdown)]]="","",VLOOKUP(Table255[[#This Row],[Affected CMS
(§63.567(o)(3)(viii))
(Select from dropdown)]],Table22[#Data],2,FALSE))</f>
        <v/>
      </c>
      <c r="D873" s="132"/>
      <c r="E873" s="140"/>
    </row>
    <row r="874" spans="2:5" x14ac:dyDescent="0.3">
      <c r="B874" s="278" t="str">
        <f>IF(Table255[[#This Row],[Affected CMS
(§63.567(o)(3)(viii))
(Select from dropdown)]]="","",VLOOKUP(Table255[[#This Row],[Affected CMS
(§63.567(o)(3)(viii))
(Select from dropdown)]],Table22[#Data],2,FALSE))</f>
        <v/>
      </c>
      <c r="D874" s="132"/>
      <c r="E874" s="140"/>
    </row>
    <row r="875" spans="2:5" x14ac:dyDescent="0.3">
      <c r="B875" s="278" t="str">
        <f>IF(Table255[[#This Row],[Affected CMS
(§63.567(o)(3)(viii))
(Select from dropdown)]]="","",VLOOKUP(Table255[[#This Row],[Affected CMS
(§63.567(o)(3)(viii))
(Select from dropdown)]],Table22[#Data],2,FALSE))</f>
        <v/>
      </c>
      <c r="D875" s="132"/>
      <c r="E875" s="140"/>
    </row>
    <row r="876" spans="2:5" x14ac:dyDescent="0.3">
      <c r="B876" s="278" t="str">
        <f>IF(Table255[[#This Row],[Affected CMS
(§63.567(o)(3)(viii))
(Select from dropdown)]]="","",VLOOKUP(Table255[[#This Row],[Affected CMS
(§63.567(o)(3)(viii))
(Select from dropdown)]],Table22[#Data],2,FALSE))</f>
        <v/>
      </c>
      <c r="D876" s="132"/>
      <c r="E876" s="140"/>
    </row>
    <row r="877" spans="2:5" x14ac:dyDescent="0.3">
      <c r="B877" s="278" t="str">
        <f>IF(Table255[[#This Row],[Affected CMS
(§63.567(o)(3)(viii))
(Select from dropdown)]]="","",VLOOKUP(Table255[[#This Row],[Affected CMS
(§63.567(o)(3)(viii))
(Select from dropdown)]],Table22[#Data],2,FALSE))</f>
        <v/>
      </c>
      <c r="D877" s="132"/>
      <c r="E877" s="140"/>
    </row>
    <row r="878" spans="2:5" x14ac:dyDescent="0.3">
      <c r="B878" s="278" t="str">
        <f>IF(Table255[[#This Row],[Affected CMS
(§63.567(o)(3)(viii))
(Select from dropdown)]]="","",VLOOKUP(Table255[[#This Row],[Affected CMS
(§63.567(o)(3)(viii))
(Select from dropdown)]],Table22[#Data],2,FALSE))</f>
        <v/>
      </c>
      <c r="D878" s="132"/>
      <c r="E878" s="140"/>
    </row>
    <row r="879" spans="2:5" x14ac:dyDescent="0.3">
      <c r="B879" s="278" t="str">
        <f>IF(Table255[[#This Row],[Affected CMS
(§63.567(o)(3)(viii))
(Select from dropdown)]]="","",VLOOKUP(Table255[[#This Row],[Affected CMS
(§63.567(o)(3)(viii))
(Select from dropdown)]],Table22[#Data],2,FALSE))</f>
        <v/>
      </c>
      <c r="D879" s="132"/>
      <c r="E879" s="140"/>
    </row>
    <row r="880" spans="2:5" x14ac:dyDescent="0.3">
      <c r="B880" s="278" t="str">
        <f>IF(Table255[[#This Row],[Affected CMS
(§63.567(o)(3)(viii))
(Select from dropdown)]]="","",VLOOKUP(Table255[[#This Row],[Affected CMS
(§63.567(o)(3)(viii))
(Select from dropdown)]],Table22[#Data],2,FALSE))</f>
        <v/>
      </c>
      <c r="D880" s="132"/>
      <c r="E880" s="140"/>
    </row>
    <row r="881" spans="2:5" x14ac:dyDescent="0.3">
      <c r="B881" s="278" t="str">
        <f>IF(Table255[[#This Row],[Affected CMS
(§63.567(o)(3)(viii))
(Select from dropdown)]]="","",VLOOKUP(Table255[[#This Row],[Affected CMS
(§63.567(o)(3)(viii))
(Select from dropdown)]],Table22[#Data],2,FALSE))</f>
        <v/>
      </c>
      <c r="D881" s="132"/>
      <c r="E881" s="140"/>
    </row>
    <row r="882" spans="2:5" x14ac:dyDescent="0.3">
      <c r="B882" s="278" t="str">
        <f>IF(Table255[[#This Row],[Affected CMS
(§63.567(o)(3)(viii))
(Select from dropdown)]]="","",VLOOKUP(Table255[[#This Row],[Affected CMS
(§63.567(o)(3)(viii))
(Select from dropdown)]],Table22[#Data],2,FALSE))</f>
        <v/>
      </c>
      <c r="D882" s="132"/>
      <c r="E882" s="140"/>
    </row>
    <row r="883" spans="2:5" x14ac:dyDescent="0.3">
      <c r="B883" s="278" t="str">
        <f>IF(Table255[[#This Row],[Affected CMS
(§63.567(o)(3)(viii))
(Select from dropdown)]]="","",VLOOKUP(Table255[[#This Row],[Affected CMS
(§63.567(o)(3)(viii))
(Select from dropdown)]],Table22[#Data],2,FALSE))</f>
        <v/>
      </c>
      <c r="D883" s="132"/>
      <c r="E883" s="140"/>
    </row>
    <row r="884" spans="2:5" x14ac:dyDescent="0.3">
      <c r="B884" s="278" t="str">
        <f>IF(Table255[[#This Row],[Affected CMS
(§63.567(o)(3)(viii))
(Select from dropdown)]]="","",VLOOKUP(Table255[[#This Row],[Affected CMS
(§63.567(o)(3)(viii))
(Select from dropdown)]],Table22[#Data],2,FALSE))</f>
        <v/>
      </c>
      <c r="D884" s="132"/>
      <c r="E884" s="140"/>
    </row>
    <row r="885" spans="2:5" x14ac:dyDescent="0.3">
      <c r="B885" s="278" t="str">
        <f>IF(Table255[[#This Row],[Affected CMS
(§63.567(o)(3)(viii))
(Select from dropdown)]]="","",VLOOKUP(Table255[[#This Row],[Affected CMS
(§63.567(o)(3)(viii))
(Select from dropdown)]],Table22[#Data],2,FALSE))</f>
        <v/>
      </c>
      <c r="D885" s="132"/>
      <c r="E885" s="140"/>
    </row>
    <row r="886" spans="2:5" x14ac:dyDescent="0.3">
      <c r="B886" s="278" t="str">
        <f>IF(Table255[[#This Row],[Affected CMS
(§63.567(o)(3)(viii))
(Select from dropdown)]]="","",VLOOKUP(Table255[[#This Row],[Affected CMS
(§63.567(o)(3)(viii))
(Select from dropdown)]],Table22[#Data],2,FALSE))</f>
        <v/>
      </c>
      <c r="D886" s="132"/>
      <c r="E886" s="140"/>
    </row>
    <row r="887" spans="2:5" x14ac:dyDescent="0.3">
      <c r="B887" s="278" t="str">
        <f>IF(Table255[[#This Row],[Affected CMS
(§63.567(o)(3)(viii))
(Select from dropdown)]]="","",VLOOKUP(Table255[[#This Row],[Affected CMS
(§63.567(o)(3)(viii))
(Select from dropdown)]],Table22[#Data],2,FALSE))</f>
        <v/>
      </c>
      <c r="D887" s="132"/>
      <c r="E887" s="140"/>
    </row>
    <row r="888" spans="2:5" x14ac:dyDescent="0.3">
      <c r="B888" s="278" t="str">
        <f>IF(Table255[[#This Row],[Affected CMS
(§63.567(o)(3)(viii))
(Select from dropdown)]]="","",VLOOKUP(Table255[[#This Row],[Affected CMS
(§63.567(o)(3)(viii))
(Select from dropdown)]],Table22[#Data],2,FALSE))</f>
        <v/>
      </c>
      <c r="D888" s="132"/>
      <c r="E888" s="140"/>
    </row>
    <row r="889" spans="2:5" x14ac:dyDescent="0.3">
      <c r="B889" s="278" t="str">
        <f>IF(Table255[[#This Row],[Affected CMS
(§63.567(o)(3)(viii))
(Select from dropdown)]]="","",VLOOKUP(Table255[[#This Row],[Affected CMS
(§63.567(o)(3)(viii))
(Select from dropdown)]],Table22[#Data],2,FALSE))</f>
        <v/>
      </c>
      <c r="D889" s="132"/>
      <c r="E889" s="140"/>
    </row>
    <row r="890" spans="2:5" x14ac:dyDescent="0.3">
      <c r="B890" s="278" t="str">
        <f>IF(Table255[[#This Row],[Affected CMS
(§63.567(o)(3)(viii))
(Select from dropdown)]]="","",VLOOKUP(Table255[[#This Row],[Affected CMS
(§63.567(o)(3)(viii))
(Select from dropdown)]],Table22[#Data],2,FALSE))</f>
        <v/>
      </c>
      <c r="D890" s="132"/>
      <c r="E890" s="140"/>
    </row>
    <row r="891" spans="2:5" x14ac:dyDescent="0.3">
      <c r="B891" s="278" t="str">
        <f>IF(Table255[[#This Row],[Affected CMS
(§63.567(o)(3)(viii))
(Select from dropdown)]]="","",VLOOKUP(Table255[[#This Row],[Affected CMS
(§63.567(o)(3)(viii))
(Select from dropdown)]],Table22[#Data],2,FALSE))</f>
        <v/>
      </c>
      <c r="D891" s="132"/>
      <c r="E891" s="140"/>
    </row>
    <row r="892" spans="2:5" x14ac:dyDescent="0.3">
      <c r="B892" s="278" t="str">
        <f>IF(Table255[[#This Row],[Affected CMS
(§63.567(o)(3)(viii))
(Select from dropdown)]]="","",VLOOKUP(Table255[[#This Row],[Affected CMS
(§63.567(o)(3)(viii))
(Select from dropdown)]],Table22[#Data],2,FALSE))</f>
        <v/>
      </c>
      <c r="D892" s="132"/>
      <c r="E892" s="140"/>
    </row>
    <row r="893" spans="2:5" x14ac:dyDescent="0.3">
      <c r="B893" s="278" t="str">
        <f>IF(Table255[[#This Row],[Affected CMS
(§63.567(o)(3)(viii))
(Select from dropdown)]]="","",VLOOKUP(Table255[[#This Row],[Affected CMS
(§63.567(o)(3)(viii))
(Select from dropdown)]],Table22[#Data],2,FALSE))</f>
        <v/>
      </c>
      <c r="D893" s="132"/>
      <c r="E893" s="140"/>
    </row>
    <row r="894" spans="2:5" x14ac:dyDescent="0.3">
      <c r="B894" s="278" t="str">
        <f>IF(Table255[[#This Row],[Affected CMS
(§63.567(o)(3)(viii))
(Select from dropdown)]]="","",VLOOKUP(Table255[[#This Row],[Affected CMS
(§63.567(o)(3)(viii))
(Select from dropdown)]],Table22[#Data],2,FALSE))</f>
        <v/>
      </c>
      <c r="D894" s="132"/>
      <c r="E894" s="140"/>
    </row>
    <row r="895" spans="2:5" x14ac:dyDescent="0.3">
      <c r="B895" s="278" t="str">
        <f>IF(Table255[[#This Row],[Affected CMS
(§63.567(o)(3)(viii))
(Select from dropdown)]]="","",VLOOKUP(Table255[[#This Row],[Affected CMS
(§63.567(o)(3)(viii))
(Select from dropdown)]],Table22[#Data],2,FALSE))</f>
        <v/>
      </c>
      <c r="D895" s="132"/>
      <c r="E895" s="140"/>
    </row>
    <row r="896" spans="2:5" x14ac:dyDescent="0.3">
      <c r="B896" s="278" t="str">
        <f>IF(Table255[[#This Row],[Affected CMS
(§63.567(o)(3)(viii))
(Select from dropdown)]]="","",VLOOKUP(Table255[[#This Row],[Affected CMS
(§63.567(o)(3)(viii))
(Select from dropdown)]],Table22[#Data],2,FALSE))</f>
        <v/>
      </c>
      <c r="D896" s="132"/>
      <c r="E896" s="140"/>
    </row>
    <row r="897" spans="2:5" x14ac:dyDescent="0.3">
      <c r="B897" s="278" t="str">
        <f>IF(Table255[[#This Row],[Affected CMS
(§63.567(o)(3)(viii))
(Select from dropdown)]]="","",VLOOKUP(Table255[[#This Row],[Affected CMS
(§63.567(o)(3)(viii))
(Select from dropdown)]],Table22[#Data],2,FALSE))</f>
        <v/>
      </c>
      <c r="D897" s="132"/>
      <c r="E897" s="140"/>
    </row>
    <row r="898" spans="2:5" x14ac:dyDescent="0.3">
      <c r="B898" s="278" t="str">
        <f>IF(Table255[[#This Row],[Affected CMS
(§63.567(o)(3)(viii))
(Select from dropdown)]]="","",VLOOKUP(Table255[[#This Row],[Affected CMS
(§63.567(o)(3)(viii))
(Select from dropdown)]],Table22[#Data],2,FALSE))</f>
        <v/>
      </c>
      <c r="D898" s="132"/>
      <c r="E898" s="140"/>
    </row>
    <row r="899" spans="2:5" x14ac:dyDescent="0.3">
      <c r="B899" s="278" t="str">
        <f>IF(Table255[[#This Row],[Affected CMS
(§63.567(o)(3)(viii))
(Select from dropdown)]]="","",VLOOKUP(Table255[[#This Row],[Affected CMS
(§63.567(o)(3)(viii))
(Select from dropdown)]],Table22[#Data],2,FALSE))</f>
        <v/>
      </c>
      <c r="D899" s="132"/>
      <c r="E899" s="140"/>
    </row>
    <row r="900" spans="2:5" x14ac:dyDescent="0.3">
      <c r="B900" s="278" t="str">
        <f>IF(Table255[[#This Row],[Affected CMS
(§63.567(o)(3)(viii))
(Select from dropdown)]]="","",VLOOKUP(Table255[[#This Row],[Affected CMS
(§63.567(o)(3)(viii))
(Select from dropdown)]],Table22[#Data],2,FALSE))</f>
        <v/>
      </c>
      <c r="D900" s="132"/>
      <c r="E900" s="140"/>
    </row>
    <row r="901" spans="2:5" x14ac:dyDescent="0.3">
      <c r="B901" s="278" t="str">
        <f>IF(Table255[[#This Row],[Affected CMS
(§63.567(o)(3)(viii))
(Select from dropdown)]]="","",VLOOKUP(Table255[[#This Row],[Affected CMS
(§63.567(o)(3)(viii))
(Select from dropdown)]],Table22[#Data],2,FALSE))</f>
        <v/>
      </c>
      <c r="D901" s="132"/>
      <c r="E901" s="140"/>
    </row>
    <row r="902" spans="2:5" x14ac:dyDescent="0.3">
      <c r="B902" s="278" t="str">
        <f>IF(Table255[[#This Row],[Affected CMS
(§63.567(o)(3)(viii))
(Select from dropdown)]]="","",VLOOKUP(Table255[[#This Row],[Affected CMS
(§63.567(o)(3)(viii))
(Select from dropdown)]],Table22[#Data],2,FALSE))</f>
        <v/>
      </c>
      <c r="D902" s="132"/>
      <c r="E902" s="140"/>
    </row>
    <row r="903" spans="2:5" x14ac:dyDescent="0.3">
      <c r="B903" s="278" t="str">
        <f>IF(Table255[[#This Row],[Affected CMS
(§63.567(o)(3)(viii))
(Select from dropdown)]]="","",VLOOKUP(Table255[[#This Row],[Affected CMS
(§63.567(o)(3)(viii))
(Select from dropdown)]],Table22[#Data],2,FALSE))</f>
        <v/>
      </c>
      <c r="D903" s="132"/>
      <c r="E903" s="140"/>
    </row>
    <row r="904" spans="2:5" x14ac:dyDescent="0.3">
      <c r="B904" s="278" t="str">
        <f>IF(Table255[[#This Row],[Affected CMS
(§63.567(o)(3)(viii))
(Select from dropdown)]]="","",VLOOKUP(Table255[[#This Row],[Affected CMS
(§63.567(o)(3)(viii))
(Select from dropdown)]],Table22[#Data],2,FALSE))</f>
        <v/>
      </c>
      <c r="D904" s="132"/>
      <c r="E904" s="140"/>
    </row>
    <row r="905" spans="2:5" x14ac:dyDescent="0.3">
      <c r="B905" s="278" t="str">
        <f>IF(Table255[[#This Row],[Affected CMS
(§63.567(o)(3)(viii))
(Select from dropdown)]]="","",VLOOKUP(Table255[[#This Row],[Affected CMS
(§63.567(o)(3)(viii))
(Select from dropdown)]],Table22[#Data],2,FALSE))</f>
        <v/>
      </c>
      <c r="D905" s="132"/>
      <c r="E905" s="140"/>
    </row>
    <row r="906" spans="2:5" x14ac:dyDescent="0.3">
      <c r="B906" s="278" t="str">
        <f>IF(Table255[[#This Row],[Affected CMS
(§63.567(o)(3)(viii))
(Select from dropdown)]]="","",VLOOKUP(Table255[[#This Row],[Affected CMS
(§63.567(o)(3)(viii))
(Select from dropdown)]],Table22[#Data],2,FALSE))</f>
        <v/>
      </c>
      <c r="D906" s="132"/>
      <c r="E906" s="140"/>
    </row>
    <row r="907" spans="2:5" x14ac:dyDescent="0.3">
      <c r="B907" s="278" t="str">
        <f>IF(Table255[[#This Row],[Affected CMS
(§63.567(o)(3)(viii))
(Select from dropdown)]]="","",VLOOKUP(Table255[[#This Row],[Affected CMS
(§63.567(o)(3)(viii))
(Select from dropdown)]],Table22[#Data],2,FALSE))</f>
        <v/>
      </c>
      <c r="D907" s="132"/>
      <c r="E907" s="140"/>
    </row>
    <row r="908" spans="2:5" x14ac:dyDescent="0.3">
      <c r="B908" s="278" t="str">
        <f>IF(Table255[[#This Row],[Affected CMS
(§63.567(o)(3)(viii))
(Select from dropdown)]]="","",VLOOKUP(Table255[[#This Row],[Affected CMS
(§63.567(o)(3)(viii))
(Select from dropdown)]],Table22[#Data],2,FALSE))</f>
        <v/>
      </c>
      <c r="D908" s="132"/>
      <c r="E908" s="140"/>
    </row>
    <row r="909" spans="2:5" x14ac:dyDescent="0.3">
      <c r="B909" s="278" t="str">
        <f>IF(Table255[[#This Row],[Affected CMS
(§63.567(o)(3)(viii))
(Select from dropdown)]]="","",VLOOKUP(Table255[[#This Row],[Affected CMS
(§63.567(o)(3)(viii))
(Select from dropdown)]],Table22[#Data],2,FALSE))</f>
        <v/>
      </c>
      <c r="D909" s="132"/>
      <c r="E909" s="140"/>
    </row>
    <row r="910" spans="2:5" x14ac:dyDescent="0.3">
      <c r="B910" s="278" t="str">
        <f>IF(Table255[[#This Row],[Affected CMS
(§63.567(o)(3)(viii))
(Select from dropdown)]]="","",VLOOKUP(Table255[[#This Row],[Affected CMS
(§63.567(o)(3)(viii))
(Select from dropdown)]],Table22[#Data],2,FALSE))</f>
        <v/>
      </c>
      <c r="D910" s="132"/>
      <c r="E910" s="140"/>
    </row>
    <row r="911" spans="2:5" x14ac:dyDescent="0.3">
      <c r="B911" s="278" t="str">
        <f>IF(Table255[[#This Row],[Affected CMS
(§63.567(o)(3)(viii))
(Select from dropdown)]]="","",VLOOKUP(Table255[[#This Row],[Affected CMS
(§63.567(o)(3)(viii))
(Select from dropdown)]],Table22[#Data],2,FALSE))</f>
        <v/>
      </c>
      <c r="D911" s="132"/>
      <c r="E911" s="140"/>
    </row>
    <row r="912" spans="2:5" x14ac:dyDescent="0.3">
      <c r="B912" s="278" t="str">
        <f>IF(Table255[[#This Row],[Affected CMS
(§63.567(o)(3)(viii))
(Select from dropdown)]]="","",VLOOKUP(Table255[[#This Row],[Affected CMS
(§63.567(o)(3)(viii))
(Select from dropdown)]],Table22[#Data],2,FALSE))</f>
        <v/>
      </c>
      <c r="D912" s="132"/>
      <c r="E912" s="140"/>
    </row>
    <row r="913" spans="2:5" x14ac:dyDescent="0.3">
      <c r="B913" s="278" t="str">
        <f>IF(Table255[[#This Row],[Affected CMS
(§63.567(o)(3)(viii))
(Select from dropdown)]]="","",VLOOKUP(Table255[[#This Row],[Affected CMS
(§63.567(o)(3)(viii))
(Select from dropdown)]],Table22[#Data],2,FALSE))</f>
        <v/>
      </c>
      <c r="D913" s="132"/>
      <c r="E913" s="140"/>
    </row>
    <row r="914" spans="2:5" x14ac:dyDescent="0.3">
      <c r="B914" s="278" t="str">
        <f>IF(Table255[[#This Row],[Affected CMS
(§63.567(o)(3)(viii))
(Select from dropdown)]]="","",VLOOKUP(Table255[[#This Row],[Affected CMS
(§63.567(o)(3)(viii))
(Select from dropdown)]],Table22[#Data],2,FALSE))</f>
        <v/>
      </c>
      <c r="D914" s="132"/>
      <c r="E914" s="140"/>
    </row>
    <row r="915" spans="2:5" x14ac:dyDescent="0.3">
      <c r="B915" s="278" t="str">
        <f>IF(Table255[[#This Row],[Affected CMS
(§63.567(o)(3)(viii))
(Select from dropdown)]]="","",VLOOKUP(Table255[[#This Row],[Affected CMS
(§63.567(o)(3)(viii))
(Select from dropdown)]],Table22[#Data],2,FALSE))</f>
        <v/>
      </c>
      <c r="D915" s="132"/>
      <c r="E915" s="140"/>
    </row>
    <row r="916" spans="2:5" x14ac:dyDescent="0.3">
      <c r="B916" s="278" t="str">
        <f>IF(Table255[[#This Row],[Affected CMS
(§63.567(o)(3)(viii))
(Select from dropdown)]]="","",VLOOKUP(Table255[[#This Row],[Affected CMS
(§63.567(o)(3)(viii))
(Select from dropdown)]],Table22[#Data],2,FALSE))</f>
        <v/>
      </c>
      <c r="D916" s="132"/>
      <c r="E916" s="140"/>
    </row>
    <row r="917" spans="2:5" x14ac:dyDescent="0.3">
      <c r="B917" s="278" t="str">
        <f>IF(Table255[[#This Row],[Affected CMS
(§63.567(o)(3)(viii))
(Select from dropdown)]]="","",VLOOKUP(Table255[[#This Row],[Affected CMS
(§63.567(o)(3)(viii))
(Select from dropdown)]],Table22[#Data],2,FALSE))</f>
        <v/>
      </c>
      <c r="D917" s="132"/>
      <c r="E917" s="140"/>
    </row>
    <row r="918" spans="2:5" x14ac:dyDescent="0.3">
      <c r="B918" s="278" t="str">
        <f>IF(Table255[[#This Row],[Affected CMS
(§63.567(o)(3)(viii))
(Select from dropdown)]]="","",VLOOKUP(Table255[[#This Row],[Affected CMS
(§63.567(o)(3)(viii))
(Select from dropdown)]],Table22[#Data],2,FALSE))</f>
        <v/>
      </c>
      <c r="D918" s="132"/>
      <c r="E918" s="140"/>
    </row>
    <row r="919" spans="2:5" x14ac:dyDescent="0.3">
      <c r="B919" s="278" t="str">
        <f>IF(Table255[[#This Row],[Affected CMS
(§63.567(o)(3)(viii))
(Select from dropdown)]]="","",VLOOKUP(Table255[[#This Row],[Affected CMS
(§63.567(o)(3)(viii))
(Select from dropdown)]],Table22[#Data],2,FALSE))</f>
        <v/>
      </c>
      <c r="D919" s="132"/>
      <c r="E919" s="140"/>
    </row>
    <row r="920" spans="2:5" x14ac:dyDescent="0.3">
      <c r="B920" s="278" t="str">
        <f>IF(Table255[[#This Row],[Affected CMS
(§63.567(o)(3)(viii))
(Select from dropdown)]]="","",VLOOKUP(Table255[[#This Row],[Affected CMS
(§63.567(o)(3)(viii))
(Select from dropdown)]],Table22[#Data],2,FALSE))</f>
        <v/>
      </c>
      <c r="D920" s="132"/>
      <c r="E920" s="140"/>
    </row>
    <row r="921" spans="2:5" x14ac:dyDescent="0.3">
      <c r="B921" s="278" t="str">
        <f>IF(Table255[[#This Row],[Affected CMS
(§63.567(o)(3)(viii))
(Select from dropdown)]]="","",VLOOKUP(Table255[[#This Row],[Affected CMS
(§63.567(o)(3)(viii))
(Select from dropdown)]],Table22[#Data],2,FALSE))</f>
        <v/>
      </c>
      <c r="D921" s="132"/>
      <c r="E921" s="140"/>
    </row>
    <row r="922" spans="2:5" x14ac:dyDescent="0.3">
      <c r="B922" s="278" t="str">
        <f>IF(Table255[[#This Row],[Affected CMS
(§63.567(o)(3)(viii))
(Select from dropdown)]]="","",VLOOKUP(Table255[[#This Row],[Affected CMS
(§63.567(o)(3)(viii))
(Select from dropdown)]],Table22[#Data],2,FALSE))</f>
        <v/>
      </c>
      <c r="D922" s="132"/>
      <c r="E922" s="140"/>
    </row>
    <row r="923" spans="2:5" x14ac:dyDescent="0.3">
      <c r="B923" s="278" t="str">
        <f>IF(Table255[[#This Row],[Affected CMS
(§63.567(o)(3)(viii))
(Select from dropdown)]]="","",VLOOKUP(Table255[[#This Row],[Affected CMS
(§63.567(o)(3)(viii))
(Select from dropdown)]],Table22[#Data],2,FALSE))</f>
        <v/>
      </c>
      <c r="D923" s="132"/>
      <c r="E923" s="140"/>
    </row>
    <row r="924" spans="2:5" x14ac:dyDescent="0.3">
      <c r="B924" s="278" t="str">
        <f>IF(Table255[[#This Row],[Affected CMS
(§63.567(o)(3)(viii))
(Select from dropdown)]]="","",VLOOKUP(Table255[[#This Row],[Affected CMS
(§63.567(o)(3)(viii))
(Select from dropdown)]],Table22[#Data],2,FALSE))</f>
        <v/>
      </c>
      <c r="D924" s="132"/>
      <c r="E924" s="140"/>
    </row>
    <row r="925" spans="2:5" x14ac:dyDescent="0.3">
      <c r="B925" s="278" t="str">
        <f>IF(Table255[[#This Row],[Affected CMS
(§63.567(o)(3)(viii))
(Select from dropdown)]]="","",VLOOKUP(Table255[[#This Row],[Affected CMS
(§63.567(o)(3)(viii))
(Select from dropdown)]],Table22[#Data],2,FALSE))</f>
        <v/>
      </c>
      <c r="D925" s="132"/>
      <c r="E925" s="140"/>
    </row>
    <row r="926" spans="2:5" x14ac:dyDescent="0.3">
      <c r="B926" s="278" t="str">
        <f>IF(Table255[[#This Row],[Affected CMS
(§63.567(o)(3)(viii))
(Select from dropdown)]]="","",VLOOKUP(Table255[[#This Row],[Affected CMS
(§63.567(o)(3)(viii))
(Select from dropdown)]],Table22[#Data],2,FALSE))</f>
        <v/>
      </c>
      <c r="D926" s="132"/>
      <c r="E926" s="140"/>
    </row>
    <row r="927" spans="2:5" x14ac:dyDescent="0.3">
      <c r="B927" s="278" t="str">
        <f>IF(Table255[[#This Row],[Affected CMS
(§63.567(o)(3)(viii))
(Select from dropdown)]]="","",VLOOKUP(Table255[[#This Row],[Affected CMS
(§63.567(o)(3)(viii))
(Select from dropdown)]],Table22[#Data],2,FALSE))</f>
        <v/>
      </c>
      <c r="D927" s="132"/>
      <c r="E927" s="140"/>
    </row>
    <row r="928" spans="2:5" x14ac:dyDescent="0.3">
      <c r="B928" s="278" t="str">
        <f>IF(Table255[[#This Row],[Affected CMS
(§63.567(o)(3)(viii))
(Select from dropdown)]]="","",VLOOKUP(Table255[[#This Row],[Affected CMS
(§63.567(o)(3)(viii))
(Select from dropdown)]],Table22[#Data],2,FALSE))</f>
        <v/>
      </c>
      <c r="D928" s="132"/>
      <c r="E928" s="140"/>
    </row>
    <row r="929" spans="2:5" x14ac:dyDescent="0.3">
      <c r="B929" s="278" t="str">
        <f>IF(Table255[[#This Row],[Affected CMS
(§63.567(o)(3)(viii))
(Select from dropdown)]]="","",VLOOKUP(Table255[[#This Row],[Affected CMS
(§63.567(o)(3)(viii))
(Select from dropdown)]],Table22[#Data],2,FALSE))</f>
        <v/>
      </c>
      <c r="D929" s="132"/>
      <c r="E929" s="140"/>
    </row>
    <row r="930" spans="2:5" x14ac:dyDescent="0.3">
      <c r="B930" s="278" t="str">
        <f>IF(Table255[[#This Row],[Affected CMS
(§63.567(o)(3)(viii))
(Select from dropdown)]]="","",VLOOKUP(Table255[[#This Row],[Affected CMS
(§63.567(o)(3)(viii))
(Select from dropdown)]],Table22[#Data],2,FALSE))</f>
        <v/>
      </c>
      <c r="D930" s="132"/>
      <c r="E930" s="140"/>
    </row>
    <row r="931" spans="2:5" x14ac:dyDescent="0.3">
      <c r="B931" s="278" t="str">
        <f>IF(Table255[[#This Row],[Affected CMS
(§63.567(o)(3)(viii))
(Select from dropdown)]]="","",VLOOKUP(Table255[[#This Row],[Affected CMS
(§63.567(o)(3)(viii))
(Select from dropdown)]],Table22[#Data],2,FALSE))</f>
        <v/>
      </c>
      <c r="D931" s="132"/>
      <c r="E931" s="140"/>
    </row>
    <row r="932" spans="2:5" x14ac:dyDescent="0.3">
      <c r="B932" s="278" t="str">
        <f>IF(Table255[[#This Row],[Affected CMS
(§63.567(o)(3)(viii))
(Select from dropdown)]]="","",VLOOKUP(Table255[[#This Row],[Affected CMS
(§63.567(o)(3)(viii))
(Select from dropdown)]],Table22[#Data],2,FALSE))</f>
        <v/>
      </c>
      <c r="D932" s="132"/>
      <c r="E932" s="140"/>
    </row>
    <row r="933" spans="2:5" x14ac:dyDescent="0.3">
      <c r="B933" s="278" t="str">
        <f>IF(Table255[[#This Row],[Affected CMS
(§63.567(o)(3)(viii))
(Select from dropdown)]]="","",VLOOKUP(Table255[[#This Row],[Affected CMS
(§63.567(o)(3)(viii))
(Select from dropdown)]],Table22[#Data],2,FALSE))</f>
        <v/>
      </c>
      <c r="D933" s="132"/>
      <c r="E933" s="140"/>
    </row>
    <row r="934" spans="2:5" x14ac:dyDescent="0.3">
      <c r="B934" s="278" t="str">
        <f>IF(Table255[[#This Row],[Affected CMS
(§63.567(o)(3)(viii))
(Select from dropdown)]]="","",VLOOKUP(Table255[[#This Row],[Affected CMS
(§63.567(o)(3)(viii))
(Select from dropdown)]],Table22[#Data],2,FALSE))</f>
        <v/>
      </c>
      <c r="D934" s="132"/>
      <c r="E934" s="140"/>
    </row>
    <row r="935" spans="2:5" x14ac:dyDescent="0.3">
      <c r="B935" s="278" t="str">
        <f>IF(Table255[[#This Row],[Affected CMS
(§63.567(o)(3)(viii))
(Select from dropdown)]]="","",VLOOKUP(Table255[[#This Row],[Affected CMS
(§63.567(o)(3)(viii))
(Select from dropdown)]],Table22[#Data],2,FALSE))</f>
        <v/>
      </c>
      <c r="D935" s="132"/>
      <c r="E935" s="140"/>
    </row>
    <row r="936" spans="2:5" x14ac:dyDescent="0.3">
      <c r="B936" s="278" t="str">
        <f>IF(Table255[[#This Row],[Affected CMS
(§63.567(o)(3)(viii))
(Select from dropdown)]]="","",VLOOKUP(Table255[[#This Row],[Affected CMS
(§63.567(o)(3)(viii))
(Select from dropdown)]],Table22[#Data],2,FALSE))</f>
        <v/>
      </c>
      <c r="D936" s="132"/>
      <c r="E936" s="140"/>
    </row>
    <row r="937" spans="2:5" x14ac:dyDescent="0.3">
      <c r="B937" s="278" t="str">
        <f>IF(Table255[[#This Row],[Affected CMS
(§63.567(o)(3)(viii))
(Select from dropdown)]]="","",VLOOKUP(Table255[[#This Row],[Affected CMS
(§63.567(o)(3)(viii))
(Select from dropdown)]],Table22[#Data],2,FALSE))</f>
        <v/>
      </c>
      <c r="D937" s="132"/>
      <c r="E937" s="140"/>
    </row>
    <row r="938" spans="2:5" x14ac:dyDescent="0.3">
      <c r="B938" s="278" t="str">
        <f>IF(Table255[[#This Row],[Affected CMS
(§63.567(o)(3)(viii))
(Select from dropdown)]]="","",VLOOKUP(Table255[[#This Row],[Affected CMS
(§63.567(o)(3)(viii))
(Select from dropdown)]],Table22[#Data],2,FALSE))</f>
        <v/>
      </c>
      <c r="D938" s="132"/>
      <c r="E938" s="140"/>
    </row>
    <row r="939" spans="2:5" x14ac:dyDescent="0.3">
      <c r="B939" s="278" t="str">
        <f>IF(Table255[[#This Row],[Affected CMS
(§63.567(o)(3)(viii))
(Select from dropdown)]]="","",VLOOKUP(Table255[[#This Row],[Affected CMS
(§63.567(o)(3)(viii))
(Select from dropdown)]],Table22[#Data],2,FALSE))</f>
        <v/>
      </c>
      <c r="D939" s="132"/>
      <c r="E939" s="140"/>
    </row>
    <row r="940" spans="2:5" x14ac:dyDescent="0.3">
      <c r="B940" s="278" t="str">
        <f>IF(Table255[[#This Row],[Affected CMS
(§63.567(o)(3)(viii))
(Select from dropdown)]]="","",VLOOKUP(Table255[[#This Row],[Affected CMS
(§63.567(o)(3)(viii))
(Select from dropdown)]],Table22[#Data],2,FALSE))</f>
        <v/>
      </c>
      <c r="D940" s="132"/>
      <c r="E940" s="140"/>
    </row>
    <row r="941" spans="2:5" x14ac:dyDescent="0.3">
      <c r="B941" s="278" t="str">
        <f>IF(Table255[[#This Row],[Affected CMS
(§63.567(o)(3)(viii))
(Select from dropdown)]]="","",VLOOKUP(Table255[[#This Row],[Affected CMS
(§63.567(o)(3)(viii))
(Select from dropdown)]],Table22[#Data],2,FALSE))</f>
        <v/>
      </c>
      <c r="D941" s="132"/>
      <c r="E941" s="140"/>
    </row>
    <row r="942" spans="2:5" x14ac:dyDescent="0.3">
      <c r="B942" s="278" t="str">
        <f>IF(Table255[[#This Row],[Affected CMS
(§63.567(o)(3)(viii))
(Select from dropdown)]]="","",VLOOKUP(Table255[[#This Row],[Affected CMS
(§63.567(o)(3)(viii))
(Select from dropdown)]],Table22[#Data],2,FALSE))</f>
        <v/>
      </c>
      <c r="D942" s="132"/>
      <c r="E942" s="140"/>
    </row>
    <row r="943" spans="2:5" x14ac:dyDescent="0.3">
      <c r="B943" s="278" t="str">
        <f>IF(Table255[[#This Row],[Affected CMS
(§63.567(o)(3)(viii))
(Select from dropdown)]]="","",VLOOKUP(Table255[[#This Row],[Affected CMS
(§63.567(o)(3)(viii))
(Select from dropdown)]],Table22[#Data],2,FALSE))</f>
        <v/>
      </c>
      <c r="D943" s="132"/>
      <c r="E943" s="140"/>
    </row>
    <row r="944" spans="2:5" x14ac:dyDescent="0.3">
      <c r="B944" s="278" t="str">
        <f>IF(Table255[[#This Row],[Affected CMS
(§63.567(o)(3)(viii))
(Select from dropdown)]]="","",VLOOKUP(Table255[[#This Row],[Affected CMS
(§63.567(o)(3)(viii))
(Select from dropdown)]],Table22[#Data],2,FALSE))</f>
        <v/>
      </c>
      <c r="D944" s="132"/>
      <c r="E944" s="140"/>
    </row>
    <row r="945" spans="2:5" x14ac:dyDescent="0.3">
      <c r="B945" s="278" t="str">
        <f>IF(Table255[[#This Row],[Affected CMS
(§63.567(o)(3)(viii))
(Select from dropdown)]]="","",VLOOKUP(Table255[[#This Row],[Affected CMS
(§63.567(o)(3)(viii))
(Select from dropdown)]],Table22[#Data],2,FALSE))</f>
        <v/>
      </c>
      <c r="D945" s="132"/>
      <c r="E945" s="140"/>
    </row>
    <row r="946" spans="2:5" x14ac:dyDescent="0.3">
      <c r="B946" s="278" t="str">
        <f>IF(Table255[[#This Row],[Affected CMS
(§63.567(o)(3)(viii))
(Select from dropdown)]]="","",VLOOKUP(Table255[[#This Row],[Affected CMS
(§63.567(o)(3)(viii))
(Select from dropdown)]],Table22[#Data],2,FALSE))</f>
        <v/>
      </c>
      <c r="D946" s="132"/>
      <c r="E946" s="140"/>
    </row>
    <row r="947" spans="2:5" x14ac:dyDescent="0.3">
      <c r="B947" s="278" t="str">
        <f>IF(Table255[[#This Row],[Affected CMS
(§63.567(o)(3)(viii))
(Select from dropdown)]]="","",VLOOKUP(Table255[[#This Row],[Affected CMS
(§63.567(o)(3)(viii))
(Select from dropdown)]],Table22[#Data],2,FALSE))</f>
        <v/>
      </c>
      <c r="D947" s="132"/>
      <c r="E947" s="140"/>
    </row>
    <row r="948" spans="2:5" x14ac:dyDescent="0.3">
      <c r="B948" s="278" t="str">
        <f>IF(Table255[[#This Row],[Affected CMS
(§63.567(o)(3)(viii))
(Select from dropdown)]]="","",VLOOKUP(Table255[[#This Row],[Affected CMS
(§63.567(o)(3)(viii))
(Select from dropdown)]],Table22[#Data],2,FALSE))</f>
        <v/>
      </c>
      <c r="D948" s="132"/>
      <c r="E948" s="140"/>
    </row>
    <row r="949" spans="2:5" x14ac:dyDescent="0.3">
      <c r="B949" s="278" t="str">
        <f>IF(Table255[[#This Row],[Affected CMS
(§63.567(o)(3)(viii))
(Select from dropdown)]]="","",VLOOKUP(Table255[[#This Row],[Affected CMS
(§63.567(o)(3)(viii))
(Select from dropdown)]],Table22[#Data],2,FALSE))</f>
        <v/>
      </c>
      <c r="D949" s="132"/>
      <c r="E949" s="140"/>
    </row>
    <row r="950" spans="2:5" x14ac:dyDescent="0.3">
      <c r="B950" s="278" t="str">
        <f>IF(Table255[[#This Row],[Affected CMS
(§63.567(o)(3)(viii))
(Select from dropdown)]]="","",VLOOKUP(Table255[[#This Row],[Affected CMS
(§63.567(o)(3)(viii))
(Select from dropdown)]],Table22[#Data],2,FALSE))</f>
        <v/>
      </c>
      <c r="D950" s="132"/>
      <c r="E950" s="140"/>
    </row>
    <row r="951" spans="2:5" x14ac:dyDescent="0.3">
      <c r="B951" s="278" t="str">
        <f>IF(Table255[[#This Row],[Affected CMS
(§63.567(o)(3)(viii))
(Select from dropdown)]]="","",VLOOKUP(Table255[[#This Row],[Affected CMS
(§63.567(o)(3)(viii))
(Select from dropdown)]],Table22[#Data],2,FALSE))</f>
        <v/>
      </c>
      <c r="D951" s="132"/>
      <c r="E951" s="140"/>
    </row>
    <row r="952" spans="2:5" x14ac:dyDescent="0.3">
      <c r="B952" s="278" t="str">
        <f>IF(Table255[[#This Row],[Affected CMS
(§63.567(o)(3)(viii))
(Select from dropdown)]]="","",VLOOKUP(Table255[[#This Row],[Affected CMS
(§63.567(o)(3)(viii))
(Select from dropdown)]],Table22[#Data],2,FALSE))</f>
        <v/>
      </c>
      <c r="D952" s="132"/>
      <c r="E952" s="140"/>
    </row>
    <row r="953" spans="2:5" x14ac:dyDescent="0.3">
      <c r="B953" s="278" t="str">
        <f>IF(Table255[[#This Row],[Affected CMS
(§63.567(o)(3)(viii))
(Select from dropdown)]]="","",VLOOKUP(Table255[[#This Row],[Affected CMS
(§63.567(o)(3)(viii))
(Select from dropdown)]],Table22[#Data],2,FALSE))</f>
        <v/>
      </c>
      <c r="D953" s="132"/>
      <c r="E953" s="140"/>
    </row>
    <row r="954" spans="2:5" x14ac:dyDescent="0.3">
      <c r="B954" s="278" t="str">
        <f>IF(Table255[[#This Row],[Affected CMS
(§63.567(o)(3)(viii))
(Select from dropdown)]]="","",VLOOKUP(Table255[[#This Row],[Affected CMS
(§63.567(o)(3)(viii))
(Select from dropdown)]],Table22[#Data],2,FALSE))</f>
        <v/>
      </c>
      <c r="D954" s="132"/>
      <c r="E954" s="140"/>
    </row>
    <row r="955" spans="2:5" x14ac:dyDescent="0.3">
      <c r="B955" s="278" t="str">
        <f>IF(Table255[[#This Row],[Affected CMS
(§63.567(o)(3)(viii))
(Select from dropdown)]]="","",VLOOKUP(Table255[[#This Row],[Affected CMS
(§63.567(o)(3)(viii))
(Select from dropdown)]],Table22[#Data],2,FALSE))</f>
        <v/>
      </c>
      <c r="D955" s="132"/>
      <c r="E955" s="140"/>
    </row>
    <row r="956" spans="2:5" x14ac:dyDescent="0.3">
      <c r="B956" s="278" t="str">
        <f>IF(Table255[[#This Row],[Affected CMS
(§63.567(o)(3)(viii))
(Select from dropdown)]]="","",VLOOKUP(Table255[[#This Row],[Affected CMS
(§63.567(o)(3)(viii))
(Select from dropdown)]],Table22[#Data],2,FALSE))</f>
        <v/>
      </c>
      <c r="D956" s="132"/>
      <c r="E956" s="140"/>
    </row>
    <row r="957" spans="2:5" x14ac:dyDescent="0.3">
      <c r="B957" s="278" t="str">
        <f>IF(Table255[[#This Row],[Affected CMS
(§63.567(o)(3)(viii))
(Select from dropdown)]]="","",VLOOKUP(Table255[[#This Row],[Affected CMS
(§63.567(o)(3)(viii))
(Select from dropdown)]],Table22[#Data],2,FALSE))</f>
        <v/>
      </c>
      <c r="D957" s="132"/>
      <c r="E957" s="140"/>
    </row>
    <row r="958" spans="2:5" x14ac:dyDescent="0.3">
      <c r="B958" s="278" t="str">
        <f>IF(Table255[[#This Row],[Affected CMS
(§63.567(o)(3)(viii))
(Select from dropdown)]]="","",VLOOKUP(Table255[[#This Row],[Affected CMS
(§63.567(o)(3)(viii))
(Select from dropdown)]],Table22[#Data],2,FALSE))</f>
        <v/>
      </c>
      <c r="D958" s="132"/>
      <c r="E958" s="140"/>
    </row>
    <row r="959" spans="2:5" x14ac:dyDescent="0.3">
      <c r="B959" s="278" t="str">
        <f>IF(Table255[[#This Row],[Affected CMS
(§63.567(o)(3)(viii))
(Select from dropdown)]]="","",VLOOKUP(Table255[[#This Row],[Affected CMS
(§63.567(o)(3)(viii))
(Select from dropdown)]],Table22[#Data],2,FALSE))</f>
        <v/>
      </c>
      <c r="D959" s="132"/>
      <c r="E959" s="140"/>
    </row>
    <row r="960" spans="2:5" x14ac:dyDescent="0.3">
      <c r="B960" s="278" t="str">
        <f>IF(Table255[[#This Row],[Affected CMS
(§63.567(o)(3)(viii))
(Select from dropdown)]]="","",VLOOKUP(Table255[[#This Row],[Affected CMS
(§63.567(o)(3)(viii))
(Select from dropdown)]],Table22[#Data],2,FALSE))</f>
        <v/>
      </c>
      <c r="D960" s="132"/>
      <c r="E960" s="140"/>
    </row>
    <row r="961" spans="2:5" x14ac:dyDescent="0.3">
      <c r="B961" s="278" t="str">
        <f>IF(Table255[[#This Row],[Affected CMS
(§63.567(o)(3)(viii))
(Select from dropdown)]]="","",VLOOKUP(Table255[[#This Row],[Affected CMS
(§63.567(o)(3)(viii))
(Select from dropdown)]],Table22[#Data],2,FALSE))</f>
        <v/>
      </c>
      <c r="D961" s="132"/>
      <c r="E961" s="140"/>
    </row>
    <row r="962" spans="2:5" x14ac:dyDescent="0.3">
      <c r="B962" s="278" t="str">
        <f>IF(Table255[[#This Row],[Affected CMS
(§63.567(o)(3)(viii))
(Select from dropdown)]]="","",VLOOKUP(Table255[[#This Row],[Affected CMS
(§63.567(o)(3)(viii))
(Select from dropdown)]],Table22[#Data],2,FALSE))</f>
        <v/>
      </c>
      <c r="D962" s="132"/>
      <c r="E962" s="140"/>
    </row>
    <row r="963" spans="2:5" x14ac:dyDescent="0.3">
      <c r="B963" s="278" t="str">
        <f>IF(Table255[[#This Row],[Affected CMS
(§63.567(o)(3)(viii))
(Select from dropdown)]]="","",VLOOKUP(Table255[[#This Row],[Affected CMS
(§63.567(o)(3)(viii))
(Select from dropdown)]],Table22[#Data],2,FALSE))</f>
        <v/>
      </c>
      <c r="D963" s="132"/>
      <c r="E963" s="140"/>
    </row>
    <row r="964" spans="2:5" x14ac:dyDescent="0.3">
      <c r="B964" s="278" t="str">
        <f>IF(Table255[[#This Row],[Affected CMS
(§63.567(o)(3)(viii))
(Select from dropdown)]]="","",VLOOKUP(Table255[[#This Row],[Affected CMS
(§63.567(o)(3)(viii))
(Select from dropdown)]],Table22[#Data],2,FALSE))</f>
        <v/>
      </c>
      <c r="D964" s="132"/>
      <c r="E964" s="140"/>
    </row>
    <row r="965" spans="2:5" x14ac:dyDescent="0.3">
      <c r="B965" s="278" t="str">
        <f>IF(Table255[[#This Row],[Affected CMS
(§63.567(o)(3)(viii))
(Select from dropdown)]]="","",VLOOKUP(Table255[[#This Row],[Affected CMS
(§63.567(o)(3)(viii))
(Select from dropdown)]],Table22[#Data],2,FALSE))</f>
        <v/>
      </c>
      <c r="D965" s="132"/>
      <c r="E965" s="140"/>
    </row>
    <row r="966" spans="2:5" x14ac:dyDescent="0.3">
      <c r="B966" s="278" t="str">
        <f>IF(Table255[[#This Row],[Affected CMS
(§63.567(o)(3)(viii))
(Select from dropdown)]]="","",VLOOKUP(Table255[[#This Row],[Affected CMS
(§63.567(o)(3)(viii))
(Select from dropdown)]],Table22[#Data],2,FALSE))</f>
        <v/>
      </c>
      <c r="D966" s="132"/>
      <c r="E966" s="140"/>
    </row>
    <row r="967" spans="2:5" x14ac:dyDescent="0.3">
      <c r="B967" s="278" t="str">
        <f>IF(Table255[[#This Row],[Affected CMS
(§63.567(o)(3)(viii))
(Select from dropdown)]]="","",VLOOKUP(Table255[[#This Row],[Affected CMS
(§63.567(o)(3)(viii))
(Select from dropdown)]],Table22[#Data],2,FALSE))</f>
        <v/>
      </c>
      <c r="D967" s="132"/>
      <c r="E967" s="140"/>
    </row>
    <row r="968" spans="2:5" x14ac:dyDescent="0.3">
      <c r="B968" s="278" t="str">
        <f>IF(Table255[[#This Row],[Affected CMS
(§63.567(o)(3)(viii))
(Select from dropdown)]]="","",VLOOKUP(Table255[[#This Row],[Affected CMS
(§63.567(o)(3)(viii))
(Select from dropdown)]],Table22[#Data],2,FALSE))</f>
        <v/>
      </c>
      <c r="D968" s="132"/>
      <c r="E968" s="140"/>
    </row>
    <row r="969" spans="2:5" x14ac:dyDescent="0.3">
      <c r="B969" s="278" t="str">
        <f>IF(Table255[[#This Row],[Affected CMS
(§63.567(o)(3)(viii))
(Select from dropdown)]]="","",VLOOKUP(Table255[[#This Row],[Affected CMS
(§63.567(o)(3)(viii))
(Select from dropdown)]],Table22[#Data],2,FALSE))</f>
        <v/>
      </c>
      <c r="D969" s="132"/>
      <c r="E969" s="140"/>
    </row>
    <row r="970" spans="2:5" x14ac:dyDescent="0.3">
      <c r="B970" s="278" t="str">
        <f>IF(Table255[[#This Row],[Affected CMS
(§63.567(o)(3)(viii))
(Select from dropdown)]]="","",VLOOKUP(Table255[[#This Row],[Affected CMS
(§63.567(o)(3)(viii))
(Select from dropdown)]],Table22[#Data],2,FALSE))</f>
        <v/>
      </c>
      <c r="D970" s="132"/>
      <c r="E970" s="140"/>
    </row>
    <row r="971" spans="2:5" x14ac:dyDescent="0.3">
      <c r="B971" s="278" t="str">
        <f>IF(Table255[[#This Row],[Affected CMS
(§63.567(o)(3)(viii))
(Select from dropdown)]]="","",VLOOKUP(Table255[[#This Row],[Affected CMS
(§63.567(o)(3)(viii))
(Select from dropdown)]],Table22[#Data],2,FALSE))</f>
        <v/>
      </c>
      <c r="D971" s="132"/>
      <c r="E971" s="140"/>
    </row>
    <row r="972" spans="2:5" x14ac:dyDescent="0.3">
      <c r="B972" s="278" t="str">
        <f>IF(Table255[[#This Row],[Affected CMS
(§63.567(o)(3)(viii))
(Select from dropdown)]]="","",VLOOKUP(Table255[[#This Row],[Affected CMS
(§63.567(o)(3)(viii))
(Select from dropdown)]],Table22[#Data],2,FALSE))</f>
        <v/>
      </c>
      <c r="D972" s="132"/>
      <c r="E972" s="140"/>
    </row>
    <row r="973" spans="2:5" x14ac:dyDescent="0.3">
      <c r="B973" s="278" t="str">
        <f>IF(Table255[[#This Row],[Affected CMS
(§63.567(o)(3)(viii))
(Select from dropdown)]]="","",VLOOKUP(Table255[[#This Row],[Affected CMS
(§63.567(o)(3)(viii))
(Select from dropdown)]],Table22[#Data],2,FALSE))</f>
        <v/>
      </c>
      <c r="D973" s="132"/>
      <c r="E973" s="140"/>
    </row>
    <row r="974" spans="2:5" x14ac:dyDescent="0.3">
      <c r="B974" s="278" t="str">
        <f>IF(Table255[[#This Row],[Affected CMS
(§63.567(o)(3)(viii))
(Select from dropdown)]]="","",VLOOKUP(Table255[[#This Row],[Affected CMS
(§63.567(o)(3)(viii))
(Select from dropdown)]],Table22[#Data],2,FALSE))</f>
        <v/>
      </c>
      <c r="D974" s="132"/>
      <c r="E974" s="140"/>
    </row>
    <row r="975" spans="2:5" x14ac:dyDescent="0.3">
      <c r="B975" s="278" t="str">
        <f>IF(Table255[[#This Row],[Affected CMS
(§63.567(o)(3)(viii))
(Select from dropdown)]]="","",VLOOKUP(Table255[[#This Row],[Affected CMS
(§63.567(o)(3)(viii))
(Select from dropdown)]],Table22[#Data],2,FALSE))</f>
        <v/>
      </c>
      <c r="D975" s="132"/>
      <c r="E975" s="140"/>
    </row>
    <row r="976" spans="2:5" x14ac:dyDescent="0.3">
      <c r="B976" s="278" t="str">
        <f>IF(Table255[[#This Row],[Affected CMS
(§63.567(o)(3)(viii))
(Select from dropdown)]]="","",VLOOKUP(Table255[[#This Row],[Affected CMS
(§63.567(o)(3)(viii))
(Select from dropdown)]],Table22[#Data],2,FALSE))</f>
        <v/>
      </c>
      <c r="D976" s="132"/>
      <c r="E976" s="140"/>
    </row>
    <row r="977" spans="2:5" x14ac:dyDescent="0.3">
      <c r="B977" s="278" t="str">
        <f>IF(Table255[[#This Row],[Affected CMS
(§63.567(o)(3)(viii))
(Select from dropdown)]]="","",VLOOKUP(Table255[[#This Row],[Affected CMS
(§63.567(o)(3)(viii))
(Select from dropdown)]],Table22[#Data],2,FALSE))</f>
        <v/>
      </c>
      <c r="D977" s="132"/>
      <c r="E977" s="140"/>
    </row>
    <row r="978" spans="2:5" x14ac:dyDescent="0.3">
      <c r="B978" s="278" t="str">
        <f>IF(Table255[[#This Row],[Affected CMS
(§63.567(o)(3)(viii))
(Select from dropdown)]]="","",VLOOKUP(Table255[[#This Row],[Affected CMS
(§63.567(o)(3)(viii))
(Select from dropdown)]],Table22[#Data],2,FALSE))</f>
        <v/>
      </c>
      <c r="D978" s="132"/>
      <c r="E978" s="140"/>
    </row>
    <row r="979" spans="2:5" x14ac:dyDescent="0.3">
      <c r="B979" s="278" t="str">
        <f>IF(Table255[[#This Row],[Affected CMS
(§63.567(o)(3)(viii))
(Select from dropdown)]]="","",VLOOKUP(Table255[[#This Row],[Affected CMS
(§63.567(o)(3)(viii))
(Select from dropdown)]],Table22[#Data],2,FALSE))</f>
        <v/>
      </c>
      <c r="D979" s="132"/>
      <c r="E979" s="140"/>
    </row>
    <row r="980" spans="2:5" x14ac:dyDescent="0.3">
      <c r="B980" s="278" t="str">
        <f>IF(Table255[[#This Row],[Affected CMS
(§63.567(o)(3)(viii))
(Select from dropdown)]]="","",VLOOKUP(Table255[[#This Row],[Affected CMS
(§63.567(o)(3)(viii))
(Select from dropdown)]],Table22[#Data],2,FALSE))</f>
        <v/>
      </c>
      <c r="D980" s="132"/>
      <c r="E980" s="140"/>
    </row>
    <row r="981" spans="2:5" x14ac:dyDescent="0.3">
      <c r="B981" s="278" t="str">
        <f>IF(Table255[[#This Row],[Affected CMS
(§63.567(o)(3)(viii))
(Select from dropdown)]]="","",VLOOKUP(Table255[[#This Row],[Affected CMS
(§63.567(o)(3)(viii))
(Select from dropdown)]],Table22[#Data],2,FALSE))</f>
        <v/>
      </c>
      <c r="D981" s="132"/>
      <c r="E981" s="140"/>
    </row>
    <row r="982" spans="2:5" x14ac:dyDescent="0.3">
      <c r="B982" s="278" t="str">
        <f>IF(Table255[[#This Row],[Affected CMS
(§63.567(o)(3)(viii))
(Select from dropdown)]]="","",VLOOKUP(Table255[[#This Row],[Affected CMS
(§63.567(o)(3)(viii))
(Select from dropdown)]],Table22[#Data],2,FALSE))</f>
        <v/>
      </c>
      <c r="D982" s="132"/>
      <c r="E982" s="140"/>
    </row>
    <row r="983" spans="2:5" x14ac:dyDescent="0.3">
      <c r="B983" s="278" t="str">
        <f>IF(Table255[[#This Row],[Affected CMS
(§63.567(o)(3)(viii))
(Select from dropdown)]]="","",VLOOKUP(Table255[[#This Row],[Affected CMS
(§63.567(o)(3)(viii))
(Select from dropdown)]],Table22[#Data],2,FALSE))</f>
        <v/>
      </c>
      <c r="D983" s="132"/>
      <c r="E983" s="140"/>
    </row>
    <row r="984" spans="2:5" x14ac:dyDescent="0.3">
      <c r="B984" s="278" t="str">
        <f>IF(Table255[[#This Row],[Affected CMS
(§63.567(o)(3)(viii))
(Select from dropdown)]]="","",VLOOKUP(Table255[[#This Row],[Affected CMS
(§63.567(o)(3)(viii))
(Select from dropdown)]],Table22[#Data],2,FALSE))</f>
        <v/>
      </c>
      <c r="D984" s="132"/>
      <c r="E984" s="140"/>
    </row>
    <row r="985" spans="2:5" x14ac:dyDescent="0.3">
      <c r="B985" s="278" t="str">
        <f>IF(Table255[[#This Row],[Affected CMS
(§63.567(o)(3)(viii))
(Select from dropdown)]]="","",VLOOKUP(Table255[[#This Row],[Affected CMS
(§63.567(o)(3)(viii))
(Select from dropdown)]],Table22[#Data],2,FALSE))</f>
        <v/>
      </c>
      <c r="D985" s="132"/>
      <c r="E985" s="140"/>
    </row>
    <row r="986" spans="2:5" x14ac:dyDescent="0.3">
      <c r="B986" s="278" t="str">
        <f>IF(Table255[[#This Row],[Affected CMS
(§63.567(o)(3)(viii))
(Select from dropdown)]]="","",VLOOKUP(Table255[[#This Row],[Affected CMS
(§63.567(o)(3)(viii))
(Select from dropdown)]],Table22[#Data],2,FALSE))</f>
        <v/>
      </c>
      <c r="D986" s="132"/>
      <c r="E986" s="140"/>
    </row>
    <row r="987" spans="2:5" x14ac:dyDescent="0.3">
      <c r="B987" s="278" t="str">
        <f>IF(Table255[[#This Row],[Affected CMS
(§63.567(o)(3)(viii))
(Select from dropdown)]]="","",VLOOKUP(Table255[[#This Row],[Affected CMS
(§63.567(o)(3)(viii))
(Select from dropdown)]],Table22[#Data],2,FALSE))</f>
        <v/>
      </c>
      <c r="D987" s="132"/>
      <c r="E987" s="140"/>
    </row>
    <row r="988" spans="2:5" x14ac:dyDescent="0.3">
      <c r="B988" s="278" t="str">
        <f>IF(Table255[[#This Row],[Affected CMS
(§63.567(o)(3)(viii))
(Select from dropdown)]]="","",VLOOKUP(Table255[[#This Row],[Affected CMS
(§63.567(o)(3)(viii))
(Select from dropdown)]],Table22[#Data],2,FALSE))</f>
        <v/>
      </c>
      <c r="D988" s="132"/>
      <c r="E988" s="140"/>
    </row>
    <row r="989" spans="2:5" x14ac:dyDescent="0.3">
      <c r="B989" s="278" t="str">
        <f>IF(Table255[[#This Row],[Affected CMS
(§63.567(o)(3)(viii))
(Select from dropdown)]]="","",VLOOKUP(Table255[[#This Row],[Affected CMS
(§63.567(o)(3)(viii))
(Select from dropdown)]],Table22[#Data],2,FALSE))</f>
        <v/>
      </c>
      <c r="D989" s="132"/>
      <c r="E989" s="140"/>
    </row>
    <row r="990" spans="2:5" x14ac:dyDescent="0.3">
      <c r="B990" s="278" t="str">
        <f>IF(Table255[[#This Row],[Affected CMS
(§63.567(o)(3)(viii))
(Select from dropdown)]]="","",VLOOKUP(Table255[[#This Row],[Affected CMS
(§63.567(o)(3)(viii))
(Select from dropdown)]],Table22[#Data],2,FALSE))</f>
        <v/>
      </c>
      <c r="D990" s="132"/>
      <c r="E990" s="140"/>
    </row>
    <row r="991" spans="2:5" x14ac:dyDescent="0.3">
      <c r="B991" s="278" t="str">
        <f>IF(Table255[[#This Row],[Affected CMS
(§63.567(o)(3)(viii))
(Select from dropdown)]]="","",VLOOKUP(Table255[[#This Row],[Affected CMS
(§63.567(o)(3)(viii))
(Select from dropdown)]],Table22[#Data],2,FALSE))</f>
        <v/>
      </c>
      <c r="D991" s="132"/>
      <c r="E991" s="140"/>
    </row>
    <row r="992" spans="2:5" x14ac:dyDescent="0.3">
      <c r="B992" s="278" t="str">
        <f>IF(Table255[[#This Row],[Affected CMS
(§63.567(o)(3)(viii))
(Select from dropdown)]]="","",VLOOKUP(Table255[[#This Row],[Affected CMS
(§63.567(o)(3)(viii))
(Select from dropdown)]],Table22[#Data],2,FALSE))</f>
        <v/>
      </c>
      <c r="D992" s="132"/>
      <c r="E992" s="140"/>
    </row>
    <row r="993" spans="2:5" x14ac:dyDescent="0.3">
      <c r="B993" s="278" t="str">
        <f>IF(Table255[[#This Row],[Affected CMS
(§63.567(o)(3)(viii))
(Select from dropdown)]]="","",VLOOKUP(Table255[[#This Row],[Affected CMS
(§63.567(o)(3)(viii))
(Select from dropdown)]],Table22[#Data],2,FALSE))</f>
        <v/>
      </c>
      <c r="D993" s="132"/>
      <c r="E993" s="140"/>
    </row>
    <row r="994" spans="2:5" x14ac:dyDescent="0.3">
      <c r="B994" s="278" t="str">
        <f>IF(Table255[[#This Row],[Affected CMS
(§63.567(o)(3)(viii))
(Select from dropdown)]]="","",VLOOKUP(Table255[[#This Row],[Affected CMS
(§63.567(o)(3)(viii))
(Select from dropdown)]],Table22[#Data],2,FALSE))</f>
        <v/>
      </c>
      <c r="D994" s="132"/>
      <c r="E994" s="140"/>
    </row>
    <row r="995" spans="2:5" x14ac:dyDescent="0.3">
      <c r="B995" s="278" t="str">
        <f>IF(Table255[[#This Row],[Affected CMS
(§63.567(o)(3)(viii))
(Select from dropdown)]]="","",VLOOKUP(Table255[[#This Row],[Affected CMS
(§63.567(o)(3)(viii))
(Select from dropdown)]],Table22[#Data],2,FALSE))</f>
        <v/>
      </c>
      <c r="D995" s="132"/>
      <c r="E995" s="140"/>
    </row>
    <row r="996" spans="2:5" x14ac:dyDescent="0.3">
      <c r="B996" s="278" t="str">
        <f>IF(Table255[[#This Row],[Affected CMS
(§63.567(o)(3)(viii))
(Select from dropdown)]]="","",VLOOKUP(Table255[[#This Row],[Affected CMS
(§63.567(o)(3)(viii))
(Select from dropdown)]],Table22[#Data],2,FALSE))</f>
        <v/>
      </c>
      <c r="D996" s="132"/>
      <c r="E996" s="140"/>
    </row>
    <row r="997" spans="2:5" x14ac:dyDescent="0.3">
      <c r="B997" s="278" t="str">
        <f>IF(Table255[[#This Row],[Affected CMS
(§63.567(o)(3)(viii))
(Select from dropdown)]]="","",VLOOKUP(Table255[[#This Row],[Affected CMS
(§63.567(o)(3)(viii))
(Select from dropdown)]],Table22[#Data],2,FALSE))</f>
        <v/>
      </c>
      <c r="D997" s="132"/>
      <c r="E997" s="140"/>
    </row>
    <row r="998" spans="2:5" x14ac:dyDescent="0.3">
      <c r="B998" s="278" t="str">
        <f>IF(Table255[[#This Row],[Affected CMS
(§63.567(o)(3)(viii))
(Select from dropdown)]]="","",VLOOKUP(Table255[[#This Row],[Affected CMS
(§63.567(o)(3)(viii))
(Select from dropdown)]],Table22[#Data],2,FALSE))</f>
        <v/>
      </c>
      <c r="D998" s="132"/>
      <c r="E998" s="140"/>
    </row>
    <row r="999" spans="2:5" x14ac:dyDescent="0.3">
      <c r="B999" s="278" t="str">
        <f>IF(Table255[[#This Row],[Affected CMS
(§63.567(o)(3)(viii))
(Select from dropdown)]]="","",VLOOKUP(Table255[[#This Row],[Affected CMS
(§63.567(o)(3)(viii))
(Select from dropdown)]],Table22[#Data],2,FALSE))</f>
        <v/>
      </c>
      <c r="D999" s="132"/>
      <c r="E999" s="140"/>
    </row>
    <row r="1000" spans="2:5" x14ac:dyDescent="0.3">
      <c r="B1000" s="278" t="str">
        <f>IF(Table255[[#This Row],[Affected CMS
(§63.567(o)(3)(viii))
(Select from dropdown)]]="","",VLOOKUP(Table255[[#This Row],[Affected CMS
(§63.567(o)(3)(viii))
(Select from dropdown)]],Table22[#Data],2,FALSE))</f>
        <v/>
      </c>
      <c r="D1000" s="132"/>
      <c r="E1000" s="140"/>
    </row>
    <row r="1001" spans="2:5" x14ac:dyDescent="0.3">
      <c r="B1001" s="278" t="str">
        <f>IF(Table255[[#This Row],[Affected CMS
(§63.567(o)(3)(viii))
(Select from dropdown)]]="","",VLOOKUP(Table255[[#This Row],[Affected CMS
(§63.567(o)(3)(viii))
(Select from dropdown)]],Table22[#Data],2,FALSE))</f>
        <v/>
      </c>
      <c r="D1001" s="132"/>
      <c r="E1001" s="140"/>
    </row>
    <row r="1002" spans="2:5" x14ac:dyDescent="0.3">
      <c r="B1002" s="278" t="str">
        <f>IF(Table255[[#This Row],[Affected CMS
(§63.567(o)(3)(viii))
(Select from dropdown)]]="","",VLOOKUP(Table255[[#This Row],[Affected CMS
(§63.567(o)(3)(viii))
(Select from dropdown)]],Table22[#Data],2,FALSE))</f>
        <v/>
      </c>
      <c r="D1002" s="132"/>
      <c r="E1002" s="140"/>
    </row>
    <row r="1003" spans="2:5" x14ac:dyDescent="0.3">
      <c r="B1003" s="278" t="str">
        <f>IF(Table255[[#This Row],[Affected CMS
(§63.567(o)(3)(viii))
(Select from dropdown)]]="","",VLOOKUP(Table255[[#This Row],[Affected CMS
(§63.567(o)(3)(viii))
(Select from dropdown)]],Table22[#Data],2,FALSE))</f>
        <v/>
      </c>
      <c r="D1003" s="132"/>
      <c r="E1003" s="140"/>
    </row>
    <row r="1004" spans="2:5" x14ac:dyDescent="0.3">
      <c r="B1004" s="278" t="str">
        <f>IF(Table255[[#This Row],[Affected CMS
(§63.567(o)(3)(viii))
(Select from dropdown)]]="","",VLOOKUP(Table255[[#This Row],[Affected CMS
(§63.567(o)(3)(viii))
(Select from dropdown)]],Table22[#Data],2,FALSE))</f>
        <v/>
      </c>
      <c r="D1004" s="132"/>
      <c r="E1004" s="140"/>
    </row>
    <row r="1005" spans="2:5" x14ac:dyDescent="0.3">
      <c r="B1005" s="278" t="str">
        <f>IF(Table255[[#This Row],[Affected CMS
(§63.567(o)(3)(viii))
(Select from dropdown)]]="","",VLOOKUP(Table255[[#This Row],[Affected CMS
(§63.567(o)(3)(viii))
(Select from dropdown)]],Table22[#Data],2,FALSE))</f>
        <v/>
      </c>
      <c r="D1005" s="132"/>
      <c r="E1005" s="140"/>
    </row>
    <row r="1006" spans="2:5" x14ac:dyDescent="0.3">
      <c r="B1006" s="278" t="str">
        <f>IF(Table255[[#This Row],[Affected CMS
(§63.567(o)(3)(viii))
(Select from dropdown)]]="","",VLOOKUP(Table255[[#This Row],[Affected CMS
(§63.567(o)(3)(viii))
(Select from dropdown)]],Table22[#Data],2,FALSE))</f>
        <v/>
      </c>
      <c r="D1006" s="132"/>
      <c r="E1006" s="140"/>
    </row>
    <row r="1007" spans="2:5" x14ac:dyDescent="0.3">
      <c r="B1007" s="278" t="str">
        <f>IF(Table255[[#This Row],[Affected CMS
(§63.567(o)(3)(viii))
(Select from dropdown)]]="","",VLOOKUP(Table255[[#This Row],[Affected CMS
(§63.567(o)(3)(viii))
(Select from dropdown)]],Table22[#Data],2,FALSE))</f>
        <v/>
      </c>
      <c r="D1007" s="132"/>
      <c r="E1007" s="140"/>
    </row>
    <row r="1008" spans="2:5" x14ac:dyDescent="0.3">
      <c r="B1008" s="278" t="str">
        <f>IF(Table255[[#This Row],[Affected CMS
(§63.567(o)(3)(viii))
(Select from dropdown)]]="","",VLOOKUP(Table255[[#This Row],[Affected CMS
(§63.567(o)(3)(viii))
(Select from dropdown)]],Table22[#Data],2,FALSE))</f>
        <v/>
      </c>
      <c r="D1008" s="132"/>
      <c r="E1008" s="140"/>
    </row>
    <row r="1009" spans="2:5" x14ac:dyDescent="0.3">
      <c r="B1009" s="278" t="str">
        <f>IF(Table255[[#This Row],[Affected CMS
(§63.567(o)(3)(viii))
(Select from dropdown)]]="","",VLOOKUP(Table255[[#This Row],[Affected CMS
(§63.567(o)(3)(viii))
(Select from dropdown)]],Table22[#Data],2,FALSE))</f>
        <v/>
      </c>
      <c r="D1009" s="132"/>
      <c r="E1009" s="140"/>
    </row>
    <row r="1010" spans="2:5" x14ac:dyDescent="0.3">
      <c r="B1010" s="278" t="str">
        <f>IF(Table255[[#This Row],[Affected CMS
(§63.567(o)(3)(viii))
(Select from dropdown)]]="","",VLOOKUP(Table255[[#This Row],[Affected CMS
(§63.567(o)(3)(viii))
(Select from dropdown)]],Table22[#Data],2,FALSE))</f>
        <v/>
      </c>
      <c r="D1010" s="132"/>
      <c r="E1010" s="140"/>
    </row>
    <row r="1011" spans="2:5" x14ac:dyDescent="0.3">
      <c r="B1011" s="278" t="str">
        <f>IF(Table255[[#This Row],[Affected CMS
(§63.567(o)(3)(viii))
(Select from dropdown)]]="","",VLOOKUP(Table255[[#This Row],[Affected CMS
(§63.567(o)(3)(viii))
(Select from dropdown)]],Table22[#Data],2,FALSE))</f>
        <v/>
      </c>
      <c r="D1011" s="132"/>
      <c r="E1011" s="140"/>
    </row>
    <row r="1012" spans="2:5" x14ac:dyDescent="0.3">
      <c r="B1012" s="278" t="str">
        <f>IF(Table255[[#This Row],[Affected CMS
(§63.567(o)(3)(viii))
(Select from dropdown)]]="","",VLOOKUP(Table255[[#This Row],[Affected CMS
(§63.567(o)(3)(viii))
(Select from dropdown)]],Table22[#Data],2,FALSE))</f>
        <v/>
      </c>
      <c r="D1012" s="132"/>
      <c r="E1012" s="140"/>
    </row>
    <row r="1013" spans="2:5" x14ac:dyDescent="0.3">
      <c r="B1013" s="278" t="str">
        <f>IF(Table255[[#This Row],[Affected CMS
(§63.567(o)(3)(viii))
(Select from dropdown)]]="","",VLOOKUP(Table255[[#This Row],[Affected CMS
(§63.567(o)(3)(viii))
(Select from dropdown)]],Table22[#Data],2,FALSE))</f>
        <v/>
      </c>
      <c r="D1013" s="132"/>
      <c r="E1013" s="140"/>
    </row>
    <row r="1014" spans="2:5" x14ac:dyDescent="0.3">
      <c r="B1014" s="278" t="str">
        <f>IF(Table255[[#This Row],[Affected CMS
(§63.567(o)(3)(viii))
(Select from dropdown)]]="","",VLOOKUP(Table255[[#This Row],[Affected CMS
(§63.567(o)(3)(viii))
(Select from dropdown)]],Table22[#Data],2,FALSE))</f>
        <v/>
      </c>
      <c r="D1014" s="132"/>
      <c r="E1014" s="140"/>
    </row>
    <row r="1015" spans="2:5" x14ac:dyDescent="0.3">
      <c r="B1015" s="278" t="str">
        <f>IF(Table255[[#This Row],[Affected CMS
(§63.567(o)(3)(viii))
(Select from dropdown)]]="","",VLOOKUP(Table255[[#This Row],[Affected CMS
(§63.567(o)(3)(viii))
(Select from dropdown)]],Table22[#Data],2,FALSE))</f>
        <v/>
      </c>
      <c r="D1015" s="132"/>
      <c r="E1015" s="140"/>
    </row>
    <row r="1016" spans="2:5" x14ac:dyDescent="0.3">
      <c r="B1016" s="278" t="str">
        <f>IF(Table255[[#This Row],[Affected CMS
(§63.567(o)(3)(viii))
(Select from dropdown)]]="","",VLOOKUP(Table255[[#This Row],[Affected CMS
(§63.567(o)(3)(viii))
(Select from dropdown)]],Table22[#Data],2,FALSE))</f>
        <v/>
      </c>
      <c r="D1016" s="132"/>
      <c r="E1016" s="140"/>
    </row>
    <row r="1017" spans="2:5" x14ac:dyDescent="0.3">
      <c r="B1017" s="278" t="str">
        <f>IF(Table255[[#This Row],[Affected CMS
(§63.567(o)(3)(viii))
(Select from dropdown)]]="","",VLOOKUP(Table255[[#This Row],[Affected CMS
(§63.567(o)(3)(viii))
(Select from dropdown)]],Table22[#Data],2,FALSE))</f>
        <v/>
      </c>
      <c r="D1017" s="132"/>
      <c r="E1017" s="140"/>
    </row>
    <row r="1018" spans="2:5" x14ac:dyDescent="0.3">
      <c r="B1018" s="278" t="str">
        <f>IF(Table255[[#This Row],[Affected CMS
(§63.567(o)(3)(viii))
(Select from dropdown)]]="","",VLOOKUP(Table255[[#This Row],[Affected CMS
(§63.567(o)(3)(viii))
(Select from dropdown)]],Table22[#Data],2,FALSE))</f>
        <v/>
      </c>
      <c r="D1018" s="132"/>
      <c r="E1018" s="140"/>
    </row>
    <row r="1019" spans="2:5" x14ac:dyDescent="0.3">
      <c r="B1019" s="278" t="str">
        <f>IF(Table255[[#This Row],[Affected CMS
(§63.567(o)(3)(viii))
(Select from dropdown)]]="","",VLOOKUP(Table255[[#This Row],[Affected CMS
(§63.567(o)(3)(viii))
(Select from dropdown)]],Table22[#Data],2,FALSE))</f>
        <v/>
      </c>
      <c r="D1019" s="132"/>
      <c r="E1019" s="140"/>
    </row>
    <row r="1020" spans="2:5" x14ac:dyDescent="0.3">
      <c r="B1020" s="278" t="str">
        <f>IF(Table255[[#This Row],[Affected CMS
(§63.567(o)(3)(viii))
(Select from dropdown)]]="","",VLOOKUP(Table255[[#This Row],[Affected CMS
(§63.567(o)(3)(viii))
(Select from dropdown)]],Table22[#Data],2,FALSE))</f>
        <v/>
      </c>
      <c r="D1020" s="132"/>
      <c r="E1020" s="140"/>
    </row>
    <row r="1021" spans="2:5" x14ac:dyDescent="0.3">
      <c r="B1021" s="278" t="str">
        <f>IF(Table255[[#This Row],[Affected CMS
(§63.567(o)(3)(viii))
(Select from dropdown)]]="","",VLOOKUP(Table255[[#This Row],[Affected CMS
(§63.567(o)(3)(viii))
(Select from dropdown)]],Table22[#Data],2,FALSE))</f>
        <v/>
      </c>
      <c r="D1021" s="132"/>
      <c r="E1021" s="140"/>
    </row>
    <row r="1022" spans="2:5" x14ac:dyDescent="0.3">
      <c r="B1022" s="278" t="str">
        <f>IF(Table255[[#This Row],[Affected CMS
(§63.567(o)(3)(viii))
(Select from dropdown)]]="","",VLOOKUP(Table255[[#This Row],[Affected CMS
(§63.567(o)(3)(viii))
(Select from dropdown)]],Table22[#Data],2,FALSE))</f>
        <v/>
      </c>
      <c r="D1022" s="132"/>
      <c r="E1022" s="140"/>
    </row>
    <row r="1023" spans="2:5" x14ac:dyDescent="0.3">
      <c r="B1023" s="278" t="str">
        <f>IF(Table255[[#This Row],[Affected CMS
(§63.567(o)(3)(viii))
(Select from dropdown)]]="","",VLOOKUP(Table255[[#This Row],[Affected CMS
(§63.567(o)(3)(viii))
(Select from dropdown)]],Table22[#Data],2,FALSE))</f>
        <v/>
      </c>
      <c r="D1023" s="132"/>
      <c r="E1023" s="140"/>
    </row>
  </sheetData>
  <sheetProtection sort="0" autoFilter="0"/>
  <dataValidations count="3">
    <dataValidation type="decimal" operator="greaterThanOrEqual" allowBlank="1" showInputMessage="1" showErrorMessage="1" sqref="F24:G1048576" xr:uid="{86CFC3E6-21AF-4B41-973D-6992134E9185}">
      <formula1>0</formula1>
    </dataValidation>
    <dataValidation type="date" operator="greaterThanOrEqual" allowBlank="1" showInputMessage="1" showErrorMessage="1" sqref="D24:D1023" xr:uid="{FD580ECA-A207-4201-A4F0-7A370E462017}">
      <formula1>43831</formula1>
    </dataValidation>
    <dataValidation type="list" allowBlank="1" showInputMessage="1" showErrorMessage="1" sqref="C24:C1023" xr:uid="{14C117BE-EAD9-4EDB-8238-B025196D1A51}">
      <formula1>CMS</formula1>
    </dataValidation>
  </dataValidations>
  <pageMargins left="0.25" right="0.25" top="0.75" bottom="0.75" header="0.3" footer="0.3"/>
  <pageSetup scale="50" pageOrder="overThenDown" orientation="landscape" r:id="rId1"/>
  <headerFooter>
    <oddHeader>&amp;C&amp;10 40 CFR Part 63, Subpart EEEE National Emission Standards for Hazardous Air Pollutants: Organic Liquids Distribution (Non-Gasoline) - Compliance Report</oddHeader>
    <oddFooter>&amp;L&amp;10&amp;A&amp;R&amp;10Page &amp;P</oddFooter>
  </headerFooter>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errorTitle="Invalid Entry!" error="Please select from the dropdown menu." promptTitle="Cause of Deviation" prompt="Please select from the dropdown menu." xr:uid="{0702780B-0A13-440B-8B3D-1619B1199FAB}">
          <x14:formula1>
            <xm:f>Lists!$B$36:$B$40</xm:f>
          </x14:formula1>
          <xm:sqref>H24:H1023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04DD4-03D3-4369-BD09-E3365C7B0F62}">
  <sheetPr codeName="Sheet4">
    <tabColor theme="9" tint="0.59999389629810485"/>
    <pageSetUpPr fitToPage="1"/>
  </sheetPr>
  <dimension ref="A1:AC1023"/>
  <sheetViews>
    <sheetView showGridLines="0" topLeftCell="C7" zoomScaleNormal="100" workbookViewId="0">
      <selection activeCell="C33" sqref="C33"/>
    </sheetView>
  </sheetViews>
  <sheetFormatPr defaultColWidth="0" defaultRowHeight="14.4" zeroHeight="1" x14ac:dyDescent="0.3"/>
  <cols>
    <col min="1" max="1" width="9.109375" style="42" hidden="1" customWidth="1"/>
    <col min="2" max="2" width="15" style="42" hidden="1" customWidth="1"/>
    <col min="3" max="3" width="55.6640625" style="51" customWidth="1"/>
    <col min="4" max="4" width="21.88671875" style="51" customWidth="1"/>
    <col min="5" max="5" width="24.5546875" style="133" bestFit="1" customWidth="1"/>
    <col min="6" max="6" width="21.88671875" style="141" bestFit="1" customWidth="1"/>
    <col min="7" max="7" width="24" style="141" customWidth="1"/>
    <col min="8" max="8" width="48" style="141" customWidth="1"/>
    <col min="9" max="9" width="51.109375" style="51" bestFit="1" customWidth="1"/>
    <col min="10" max="10" width="51.109375" style="51" customWidth="1"/>
    <col min="11" max="11" width="54.109375" style="50" customWidth="1"/>
    <col min="12" max="12" width="38.5546875" style="51" hidden="1" customWidth="1"/>
    <col min="13" max="19" width="23.44140625" style="51" hidden="1" customWidth="1"/>
    <col min="20" max="21" width="15.5546875" style="51" hidden="1" customWidth="1"/>
    <col min="22" max="22" width="29.33203125" style="51" hidden="1" customWidth="1"/>
    <col min="23" max="23" width="15.5546875" style="51" hidden="1" customWidth="1"/>
    <col min="24" max="29" width="33.6640625" style="51" hidden="1" customWidth="1"/>
    <col min="30" max="16384" width="9.109375" style="51" hidden="1"/>
  </cols>
  <sheetData>
    <row r="1" spans="1:17" s="94" customFormat="1" ht="24.75" hidden="1" customHeight="1" x14ac:dyDescent="0.3">
      <c r="A1" s="73"/>
      <c r="B1" s="2" t="s">
        <v>0</v>
      </c>
      <c r="C1" s="2"/>
      <c r="D1" s="2"/>
      <c r="E1" s="2"/>
      <c r="F1" s="2"/>
      <c r="G1" s="2"/>
      <c r="H1" s="2"/>
      <c r="I1" s="2"/>
      <c r="J1" s="2"/>
      <c r="K1" s="2"/>
      <c r="L1" s="2"/>
    </row>
    <row r="2" spans="1:17" s="88" customFormat="1" ht="13.8" hidden="1" x14ac:dyDescent="0.3">
      <c r="B2" s="3" t="s">
        <v>1</v>
      </c>
      <c r="C2" s="3" t="str">
        <f>Welcome!B2</f>
        <v>63.567(o) Periodic Report (Spreadsheet Template)</v>
      </c>
      <c r="D2" s="3"/>
      <c r="E2" s="3"/>
      <c r="F2" s="3"/>
      <c r="G2" s="3"/>
      <c r="H2" s="3"/>
      <c r="I2" s="3"/>
      <c r="J2" s="3"/>
      <c r="K2" s="3"/>
      <c r="L2" s="3"/>
    </row>
    <row r="3" spans="1:17" s="88" customFormat="1" ht="13.8" hidden="1" x14ac:dyDescent="0.3">
      <c r="B3" s="3" t="s">
        <v>2</v>
      </c>
      <c r="C3" s="3" t="str">
        <f>Welcome!B3</f>
        <v>63.567(o)</v>
      </c>
      <c r="D3" s="16"/>
      <c r="E3" s="16"/>
      <c r="F3" s="16"/>
      <c r="G3" s="16"/>
      <c r="H3" s="16"/>
      <c r="I3" s="16"/>
      <c r="J3" s="16"/>
      <c r="K3" s="16"/>
      <c r="L3" s="16"/>
    </row>
    <row r="4" spans="1:17" s="88" customFormat="1" ht="13.8" hidden="1" x14ac:dyDescent="0.3">
      <c r="B4" s="3" t="s">
        <v>3</v>
      </c>
      <c r="C4" s="3" t="str">
        <f>Welcome!B4</f>
        <v>PROPOSAL DRAFT</v>
      </c>
      <c r="D4" s="54"/>
      <c r="E4" s="54"/>
      <c r="F4" s="54"/>
      <c r="G4" s="54"/>
      <c r="H4" s="54"/>
      <c r="I4" s="54"/>
      <c r="J4" s="54"/>
      <c r="K4" s="54"/>
      <c r="L4" s="54"/>
    </row>
    <row r="5" spans="1:17" s="88" customFormat="1" ht="13.8" hidden="1" x14ac:dyDescent="0.3">
      <c r="B5" s="3" t="s">
        <v>4</v>
      </c>
      <c r="C5" s="32">
        <f>Welcome!B5</f>
        <v>45911</v>
      </c>
      <c r="D5" s="55"/>
      <c r="E5" s="55"/>
      <c r="F5" s="55"/>
      <c r="G5" s="55"/>
      <c r="H5" s="55"/>
      <c r="I5" s="55"/>
      <c r="J5" s="55"/>
      <c r="K5" s="55"/>
      <c r="L5" s="55"/>
    </row>
    <row r="6" spans="1:17" s="56" customFormat="1" hidden="1" x14ac:dyDescent="0.3">
      <c r="K6" s="90"/>
    </row>
    <row r="7" spans="1:17" s="56" customFormat="1" x14ac:dyDescent="0.3">
      <c r="C7" s="10" t="str">
        <f>Company_Information!B7</f>
        <v>40 CFR Part 63, Subpart Y National Emission Standards for Hazardous Air Pollutants: Marine Tank Vessel Loading Operations</v>
      </c>
      <c r="D7" s="57"/>
      <c r="E7" s="57"/>
      <c r="F7" s="57"/>
      <c r="G7" s="57"/>
      <c r="H7" s="57"/>
      <c r="I7" s="57"/>
      <c r="J7" s="57"/>
      <c r="K7" s="58"/>
      <c r="L7" s="57"/>
      <c r="M7" s="57"/>
      <c r="N7" s="57"/>
      <c r="O7" s="57"/>
      <c r="P7" s="57"/>
      <c r="Q7" s="57"/>
    </row>
    <row r="8" spans="1:17" s="56" customFormat="1" x14ac:dyDescent="0.3">
      <c r="C8" s="10" t="str">
        <f>Company_Information!B8</f>
        <v>§63.567(o) Periodic Report Spreadsheet Template</v>
      </c>
      <c r="D8" s="58"/>
      <c r="E8" s="58"/>
      <c r="F8" s="58"/>
      <c r="G8" s="58"/>
      <c r="H8" s="58"/>
      <c r="I8" s="58"/>
      <c r="J8" s="58"/>
      <c r="K8" s="58"/>
      <c r="L8" s="58"/>
      <c r="M8" s="57"/>
      <c r="N8" s="57"/>
      <c r="O8" s="57"/>
      <c r="P8" s="57"/>
      <c r="Q8" s="57"/>
    </row>
    <row r="9" spans="1:17" s="56" customFormat="1" ht="33" customHeight="1" x14ac:dyDescent="0.3">
      <c r="C9" s="59" t="s">
        <v>360</v>
      </c>
      <c r="D9" s="59"/>
      <c r="E9" s="59"/>
      <c r="F9" s="59"/>
      <c r="G9" s="59"/>
      <c r="H9" s="59"/>
      <c r="I9" s="59"/>
      <c r="J9" s="59"/>
      <c r="K9" s="59"/>
      <c r="L9" s="59"/>
      <c r="M9" s="58"/>
      <c r="N9" s="58"/>
      <c r="O9" s="58"/>
      <c r="P9" s="58"/>
      <c r="Q9" s="58"/>
    </row>
    <row r="10" spans="1:17" s="56" customFormat="1" x14ac:dyDescent="0.3">
      <c r="C10" s="99" t="s">
        <v>146</v>
      </c>
      <c r="D10" s="91"/>
      <c r="E10" s="91"/>
      <c r="F10" s="91"/>
      <c r="G10" s="91"/>
      <c r="H10" s="91"/>
      <c r="I10" s="91"/>
      <c r="J10" s="91"/>
      <c r="K10" s="102"/>
      <c r="L10" s="91"/>
      <c r="M10" s="59"/>
      <c r="N10" s="59"/>
      <c r="O10" s="59"/>
      <c r="P10" s="59"/>
      <c r="Q10" s="59"/>
    </row>
    <row r="11" spans="1:17" s="56" customFormat="1" ht="15" thickBot="1" x14ac:dyDescent="0.35">
      <c r="C11" s="57"/>
      <c r="D11" s="107"/>
      <c r="E11" s="57"/>
      <c r="F11" s="57"/>
      <c r="G11" s="57"/>
      <c r="H11" s="57"/>
      <c r="I11" s="57"/>
      <c r="J11" s="57"/>
      <c r="K11" s="58"/>
      <c r="L11" s="57"/>
    </row>
    <row r="12" spans="1:17" s="92" customFormat="1" ht="72.599999999999994" thickBot="1" x14ac:dyDescent="0.35">
      <c r="A12" s="60"/>
      <c r="B12" s="142" t="s">
        <v>160</v>
      </c>
      <c r="C12" s="21" t="s">
        <v>387</v>
      </c>
      <c r="D12" s="18" t="s">
        <v>388</v>
      </c>
      <c r="E12" s="18" t="s">
        <v>389</v>
      </c>
      <c r="F12" s="18" t="s">
        <v>390</v>
      </c>
      <c r="G12" s="18" t="s">
        <v>418</v>
      </c>
      <c r="H12" s="18" t="s">
        <v>419</v>
      </c>
      <c r="I12" s="151" t="s">
        <v>420</v>
      </c>
      <c r="J12" s="151" t="s">
        <v>421</v>
      </c>
      <c r="K12" s="18" t="s">
        <v>118</v>
      </c>
    </row>
    <row r="13" spans="1:17" s="100" customFormat="1" x14ac:dyDescent="0.3">
      <c r="B13" s="108" t="s">
        <v>190</v>
      </c>
      <c r="C13" s="108" t="s">
        <v>143</v>
      </c>
      <c r="D13" s="109" t="s">
        <v>152</v>
      </c>
      <c r="E13" s="109" t="s">
        <v>153</v>
      </c>
      <c r="F13" s="109" t="s">
        <v>154</v>
      </c>
      <c r="G13" s="109" t="s">
        <v>155</v>
      </c>
      <c r="H13" s="109" t="s">
        <v>371</v>
      </c>
      <c r="I13" s="109" t="s">
        <v>163</v>
      </c>
      <c r="J13" s="211" t="s">
        <v>246</v>
      </c>
      <c r="K13" s="104" t="s">
        <v>156</v>
      </c>
    </row>
    <row r="14" spans="1:17" s="44" customFormat="1" x14ac:dyDescent="0.3">
      <c r="B14" s="143" t="s">
        <v>5</v>
      </c>
      <c r="C14" s="136" t="s">
        <v>113</v>
      </c>
      <c r="D14" s="98" t="s">
        <v>147</v>
      </c>
      <c r="E14" s="98" t="s">
        <v>148</v>
      </c>
      <c r="F14" s="98" t="s">
        <v>149</v>
      </c>
      <c r="G14" s="98" t="s">
        <v>150</v>
      </c>
      <c r="H14" s="144" t="s">
        <v>244</v>
      </c>
      <c r="I14" s="98" t="s">
        <v>151</v>
      </c>
      <c r="J14" s="63" t="s">
        <v>247</v>
      </c>
      <c r="K14" s="103" t="s">
        <v>107</v>
      </c>
    </row>
    <row r="15" spans="1:17" s="42" customFormat="1" hidden="1" x14ac:dyDescent="0.3">
      <c r="B15" s="101"/>
      <c r="C15" s="101" t="s">
        <v>188</v>
      </c>
      <c r="D15" s="98" t="s">
        <v>188</v>
      </c>
      <c r="E15" s="98" t="s">
        <v>188</v>
      </c>
      <c r="F15" s="98" t="s">
        <v>188</v>
      </c>
      <c r="G15" s="98" t="s">
        <v>188</v>
      </c>
      <c r="H15" s="98"/>
      <c r="I15" s="98" t="s">
        <v>188</v>
      </c>
      <c r="J15" s="98"/>
      <c r="K15" s="98" t="s">
        <v>188</v>
      </c>
    </row>
    <row r="16" spans="1:17" s="42" customFormat="1" hidden="1" x14ac:dyDescent="0.3">
      <c r="B16" s="101"/>
      <c r="C16" s="101" t="s">
        <v>188</v>
      </c>
      <c r="D16" s="98" t="s">
        <v>188</v>
      </c>
      <c r="E16" s="98" t="s">
        <v>188</v>
      </c>
      <c r="F16" s="98" t="s">
        <v>188</v>
      </c>
      <c r="G16" s="98" t="s">
        <v>188</v>
      </c>
      <c r="H16" s="98"/>
      <c r="I16" s="98" t="s">
        <v>188</v>
      </c>
      <c r="J16" s="98"/>
      <c r="K16" s="98" t="s">
        <v>188</v>
      </c>
    </row>
    <row r="17" spans="1:11" s="42" customFormat="1" hidden="1" x14ac:dyDescent="0.3">
      <c r="B17" s="101"/>
      <c r="C17" s="101" t="s">
        <v>188</v>
      </c>
      <c r="D17" s="98" t="s">
        <v>188</v>
      </c>
      <c r="E17" s="98" t="s">
        <v>188</v>
      </c>
      <c r="F17" s="98" t="s">
        <v>188</v>
      </c>
      <c r="G17" s="98" t="s">
        <v>188</v>
      </c>
      <c r="H17" s="98"/>
      <c r="I17" s="98" t="s">
        <v>188</v>
      </c>
      <c r="J17" s="98"/>
      <c r="K17" s="98" t="s">
        <v>188</v>
      </c>
    </row>
    <row r="18" spans="1:11" s="42" customFormat="1" hidden="1" x14ac:dyDescent="0.3">
      <c r="B18" s="101"/>
      <c r="C18" s="101" t="s">
        <v>188</v>
      </c>
      <c r="D18" s="98" t="s">
        <v>188</v>
      </c>
      <c r="E18" s="98" t="s">
        <v>188</v>
      </c>
      <c r="F18" s="98" t="s">
        <v>188</v>
      </c>
      <c r="G18" s="98" t="s">
        <v>188</v>
      </c>
      <c r="H18" s="98"/>
      <c r="I18" s="98" t="s">
        <v>188</v>
      </c>
      <c r="J18" s="98"/>
      <c r="K18" s="98" t="s">
        <v>188</v>
      </c>
    </row>
    <row r="19" spans="1:11" s="42" customFormat="1" hidden="1" x14ac:dyDescent="0.3">
      <c r="B19" s="101"/>
      <c r="C19" s="101" t="s">
        <v>188</v>
      </c>
      <c r="D19" s="98" t="s">
        <v>188</v>
      </c>
      <c r="E19" s="98" t="s">
        <v>188</v>
      </c>
      <c r="F19" s="98" t="s">
        <v>188</v>
      </c>
      <c r="G19" s="98" t="s">
        <v>188</v>
      </c>
      <c r="H19" s="98"/>
      <c r="I19" s="98" t="s">
        <v>188</v>
      </c>
      <c r="J19" s="98"/>
      <c r="K19" s="98" t="s">
        <v>188</v>
      </c>
    </row>
    <row r="20" spans="1:11" s="42" customFormat="1" hidden="1" x14ac:dyDescent="0.3">
      <c r="B20" s="101"/>
      <c r="C20" s="101" t="s">
        <v>188</v>
      </c>
      <c r="D20" s="98" t="s">
        <v>188</v>
      </c>
      <c r="E20" s="98" t="s">
        <v>188</v>
      </c>
      <c r="F20" s="98" t="s">
        <v>188</v>
      </c>
      <c r="G20" s="98" t="s">
        <v>188</v>
      </c>
      <c r="H20" s="98"/>
      <c r="I20" s="98" t="s">
        <v>188</v>
      </c>
      <c r="J20" s="98"/>
      <c r="K20" s="98" t="s">
        <v>188</v>
      </c>
    </row>
    <row r="21" spans="1:11" s="42" customFormat="1" hidden="1" x14ac:dyDescent="0.3">
      <c r="B21" s="101"/>
      <c r="C21" s="101" t="s">
        <v>188</v>
      </c>
      <c r="D21" s="98" t="s">
        <v>188</v>
      </c>
      <c r="E21" s="98" t="s">
        <v>188</v>
      </c>
      <c r="F21" s="98" t="s">
        <v>188</v>
      </c>
      <c r="G21" s="98" t="s">
        <v>188</v>
      </c>
      <c r="H21" s="98"/>
      <c r="I21" s="98" t="s">
        <v>188</v>
      </c>
      <c r="J21" s="98"/>
      <c r="K21" s="98" t="s">
        <v>188</v>
      </c>
    </row>
    <row r="22" spans="1:11" s="42" customFormat="1" hidden="1" x14ac:dyDescent="0.3">
      <c r="B22" s="101"/>
      <c r="C22" s="101" t="s">
        <v>188</v>
      </c>
      <c r="D22" s="98" t="s">
        <v>188</v>
      </c>
      <c r="E22" s="98" t="s">
        <v>188</v>
      </c>
      <c r="F22" s="98" t="s">
        <v>188</v>
      </c>
      <c r="G22" s="98" t="s">
        <v>188</v>
      </c>
      <c r="H22" s="98"/>
      <c r="I22" s="98" t="s">
        <v>188</v>
      </c>
      <c r="J22" s="98"/>
      <c r="K22" s="98" t="s">
        <v>188</v>
      </c>
    </row>
    <row r="23" spans="1:11" s="42" customFormat="1" hidden="1" x14ac:dyDescent="0.3">
      <c r="B23" s="101"/>
      <c r="C23" s="101" t="s">
        <v>188</v>
      </c>
      <c r="D23" s="98" t="s">
        <v>188</v>
      </c>
      <c r="E23" s="98" t="s">
        <v>188</v>
      </c>
      <c r="F23" s="98" t="s">
        <v>188</v>
      </c>
      <c r="G23" s="98" t="s">
        <v>188</v>
      </c>
      <c r="H23" s="98"/>
      <c r="I23" s="98" t="s">
        <v>188</v>
      </c>
      <c r="J23" s="98"/>
      <c r="K23" s="98" t="s">
        <v>188</v>
      </c>
    </row>
    <row r="24" spans="1:11" s="53" customFormat="1" x14ac:dyDescent="0.3">
      <c r="A24" s="149"/>
      <c r="B24" s="150" t="str">
        <f>IF(Table24[[#This Row],[Affected CMS
(§63.567(o)(3)(ix), §63.567(o)(6)(ii))
(Select from dropdown)]]="","",VLOOKUP(Table24[[#This Row],[Affected CMS
(§63.567(o)(3)(ix), §63.567(o)(6)(ii))
(Select from dropdown)]],Table22[],2,FALSE))</f>
        <v/>
      </c>
      <c r="C24" s="129"/>
      <c r="D24" s="129"/>
      <c r="E24" s="131"/>
      <c r="F24" s="139"/>
      <c r="G24" s="145"/>
      <c r="H24" s="145"/>
      <c r="I24" s="129"/>
      <c r="J24" s="129"/>
      <c r="K24" s="146"/>
    </row>
    <row r="25" spans="1:11" s="53" customFormat="1" x14ac:dyDescent="0.3">
      <c r="A25" s="149"/>
      <c r="B25" s="150" t="str">
        <f>IF(Table24[[#This Row],[Affected CMS
(§63.567(o)(3)(ix), §63.567(o)(6)(ii))
(Select from dropdown)]]="","",VLOOKUP(Table24[[#This Row],[Affected CMS
(§63.567(o)(3)(ix), §63.567(o)(6)(ii))
(Select from dropdown)]],Table22[],2,FALSE))</f>
        <v/>
      </c>
      <c r="C25" s="129"/>
      <c r="D25" s="129"/>
      <c r="E25" s="131"/>
      <c r="F25" s="139"/>
      <c r="G25" s="145"/>
      <c r="H25" s="145"/>
      <c r="I25" s="129"/>
      <c r="J25" s="129"/>
      <c r="K25" s="146"/>
    </row>
    <row r="26" spans="1:11" s="53" customFormat="1" x14ac:dyDescent="0.3">
      <c r="A26" s="149"/>
      <c r="B26" s="150" t="str">
        <f>IF(Table24[[#This Row],[Affected CMS
(§63.567(o)(3)(ix), §63.567(o)(6)(ii))
(Select from dropdown)]]="","",VLOOKUP(Table24[[#This Row],[Affected CMS
(§63.567(o)(3)(ix), §63.567(o)(6)(ii))
(Select from dropdown)]],Table22[],2,FALSE))</f>
        <v/>
      </c>
      <c r="C26" s="129"/>
      <c r="D26" s="129"/>
      <c r="E26" s="131"/>
      <c r="F26" s="139"/>
      <c r="G26" s="145"/>
      <c r="H26" s="145"/>
      <c r="I26" s="129"/>
      <c r="J26" s="129"/>
      <c r="K26" s="146"/>
    </row>
    <row r="27" spans="1:11" s="53" customFormat="1" x14ac:dyDescent="0.3">
      <c r="A27" s="149"/>
      <c r="B27" s="150" t="str">
        <f>IF(Table24[[#This Row],[Affected CMS
(§63.567(o)(3)(ix), §63.567(o)(6)(ii))
(Select from dropdown)]]="","",VLOOKUP(Table24[[#This Row],[Affected CMS
(§63.567(o)(3)(ix), §63.567(o)(6)(ii))
(Select from dropdown)]],Table22[],2,FALSE))</f>
        <v/>
      </c>
      <c r="C27" s="129"/>
      <c r="D27" s="129"/>
      <c r="E27" s="131"/>
      <c r="F27" s="139"/>
      <c r="G27" s="145"/>
      <c r="H27" s="145"/>
      <c r="I27" s="129"/>
      <c r="J27" s="129"/>
      <c r="K27" s="146"/>
    </row>
    <row r="28" spans="1:11" s="53" customFormat="1" x14ac:dyDescent="0.3">
      <c r="A28" s="149"/>
      <c r="B28" s="150" t="str">
        <f>IF(Table24[[#This Row],[Affected CMS
(§63.567(o)(3)(ix), §63.567(o)(6)(ii))
(Select from dropdown)]]="","",VLOOKUP(Table24[[#This Row],[Affected CMS
(§63.567(o)(3)(ix), §63.567(o)(6)(ii))
(Select from dropdown)]],Table22[],2,FALSE))</f>
        <v/>
      </c>
      <c r="C28" s="129"/>
      <c r="D28" s="129"/>
      <c r="E28" s="131"/>
      <c r="F28" s="139"/>
      <c r="G28" s="145"/>
      <c r="H28" s="145"/>
      <c r="I28" s="129"/>
      <c r="J28" s="129"/>
      <c r="K28" s="146"/>
    </row>
    <row r="29" spans="1:11" s="53" customFormat="1" x14ac:dyDescent="0.3">
      <c r="A29" s="149"/>
      <c r="B29" s="150" t="str">
        <f>IF(Table24[[#This Row],[Affected CMS
(§63.567(o)(3)(ix), §63.567(o)(6)(ii))
(Select from dropdown)]]="","",VLOOKUP(Table24[[#This Row],[Affected CMS
(§63.567(o)(3)(ix), §63.567(o)(6)(ii))
(Select from dropdown)]],Table22[],2,FALSE))</f>
        <v/>
      </c>
      <c r="C29" s="129"/>
      <c r="D29" s="129"/>
      <c r="E29" s="131"/>
      <c r="F29" s="139"/>
      <c r="G29" s="145"/>
      <c r="H29" s="145"/>
      <c r="I29" s="129"/>
      <c r="J29" s="129"/>
      <c r="K29" s="146"/>
    </row>
    <row r="30" spans="1:11" s="53" customFormat="1" x14ac:dyDescent="0.3">
      <c r="A30" s="149"/>
      <c r="B30" s="150" t="str">
        <f>IF(Table24[[#This Row],[Affected CMS
(§63.567(o)(3)(ix), §63.567(o)(6)(ii))
(Select from dropdown)]]="","",VLOOKUP(Table24[[#This Row],[Affected CMS
(§63.567(o)(3)(ix), §63.567(o)(6)(ii))
(Select from dropdown)]],Table22[],2,FALSE))</f>
        <v/>
      </c>
      <c r="C30" s="129"/>
      <c r="D30" s="129"/>
      <c r="E30" s="131"/>
      <c r="F30" s="139"/>
      <c r="G30" s="145"/>
      <c r="H30" s="145"/>
      <c r="I30" s="129"/>
      <c r="J30" s="129"/>
      <c r="K30" s="146"/>
    </row>
    <row r="31" spans="1:11" s="53" customFormat="1" x14ac:dyDescent="0.3">
      <c r="A31" s="149"/>
      <c r="B31" s="150" t="str">
        <f>IF(Table24[[#This Row],[Affected CMS
(§63.567(o)(3)(ix), §63.567(o)(6)(ii))
(Select from dropdown)]]="","",VLOOKUP(Table24[[#This Row],[Affected CMS
(§63.567(o)(3)(ix), §63.567(o)(6)(ii))
(Select from dropdown)]],Table22[],2,FALSE))</f>
        <v/>
      </c>
      <c r="C31" s="129"/>
      <c r="D31" s="129"/>
      <c r="E31" s="131"/>
      <c r="F31" s="139"/>
      <c r="G31" s="145"/>
      <c r="H31" s="145"/>
      <c r="I31" s="129"/>
      <c r="J31" s="129"/>
      <c r="K31" s="146"/>
    </row>
    <row r="32" spans="1:11" s="53" customFormat="1" x14ac:dyDescent="0.3">
      <c r="A32" s="149"/>
      <c r="B32" s="150" t="str">
        <f>IF(Table24[[#This Row],[Affected CMS
(§63.567(o)(3)(ix), §63.567(o)(6)(ii))
(Select from dropdown)]]="","",VLOOKUP(Table24[[#This Row],[Affected CMS
(§63.567(o)(3)(ix), §63.567(o)(6)(ii))
(Select from dropdown)]],Table22[],2,FALSE))</f>
        <v/>
      </c>
      <c r="C32" s="129"/>
      <c r="D32" s="129"/>
      <c r="E32" s="131"/>
      <c r="F32" s="139"/>
      <c r="G32" s="145"/>
      <c r="H32" s="145"/>
      <c r="I32" s="129"/>
      <c r="J32" s="129"/>
      <c r="K32" s="146"/>
    </row>
    <row r="33" spans="1:11" s="53" customFormat="1" x14ac:dyDescent="0.3">
      <c r="A33" s="149"/>
      <c r="B33" s="150" t="str">
        <f>IF(Table24[[#This Row],[Affected CMS
(§63.567(o)(3)(ix), §63.567(o)(6)(ii))
(Select from dropdown)]]="","",VLOOKUP(Table24[[#This Row],[Affected CMS
(§63.567(o)(3)(ix), §63.567(o)(6)(ii))
(Select from dropdown)]],Table22[],2,FALSE))</f>
        <v/>
      </c>
      <c r="C33" s="129"/>
      <c r="D33" s="129"/>
      <c r="E33" s="131"/>
      <c r="F33" s="139"/>
      <c r="G33" s="145"/>
      <c r="H33" s="145"/>
      <c r="I33" s="129"/>
      <c r="J33" s="129"/>
      <c r="K33" s="146"/>
    </row>
    <row r="34" spans="1:11" s="53" customFormat="1" x14ac:dyDescent="0.3">
      <c r="A34" s="149"/>
      <c r="B34" s="150" t="str">
        <f>IF(Table24[[#This Row],[Affected CMS
(§63.567(o)(3)(ix), §63.567(o)(6)(ii))
(Select from dropdown)]]="","",VLOOKUP(Table24[[#This Row],[Affected CMS
(§63.567(o)(3)(ix), §63.567(o)(6)(ii))
(Select from dropdown)]],Table22[],2,FALSE))</f>
        <v/>
      </c>
      <c r="C34" s="129"/>
      <c r="D34" s="129"/>
      <c r="E34" s="131"/>
      <c r="F34" s="139"/>
      <c r="G34" s="145"/>
      <c r="H34" s="145"/>
      <c r="I34" s="129"/>
      <c r="J34" s="129"/>
      <c r="K34" s="146"/>
    </row>
    <row r="35" spans="1:11" s="53" customFormat="1" x14ac:dyDescent="0.3">
      <c r="A35" s="149"/>
      <c r="B35" s="150" t="str">
        <f>IF(Table24[[#This Row],[Affected CMS
(§63.567(o)(3)(ix), §63.567(o)(6)(ii))
(Select from dropdown)]]="","",VLOOKUP(Table24[[#This Row],[Affected CMS
(§63.567(o)(3)(ix), §63.567(o)(6)(ii))
(Select from dropdown)]],Table22[],2,FALSE))</f>
        <v/>
      </c>
      <c r="C35" s="129"/>
      <c r="D35" s="129"/>
      <c r="E35" s="131"/>
      <c r="F35" s="139"/>
      <c r="G35" s="145"/>
      <c r="H35" s="145"/>
      <c r="I35" s="129"/>
      <c r="J35" s="129"/>
      <c r="K35" s="146"/>
    </row>
    <row r="36" spans="1:11" s="53" customFormat="1" x14ac:dyDescent="0.3">
      <c r="A36" s="149"/>
      <c r="B36" s="150" t="str">
        <f>IF(Table24[[#This Row],[Affected CMS
(§63.567(o)(3)(ix), §63.567(o)(6)(ii))
(Select from dropdown)]]="","",VLOOKUP(Table24[[#This Row],[Affected CMS
(§63.567(o)(3)(ix), §63.567(o)(6)(ii))
(Select from dropdown)]],Table22[],2,FALSE))</f>
        <v/>
      </c>
      <c r="C36" s="129"/>
      <c r="D36" s="129"/>
      <c r="E36" s="131"/>
      <c r="F36" s="139"/>
      <c r="G36" s="145"/>
      <c r="H36" s="145"/>
      <c r="I36" s="129"/>
      <c r="J36" s="129"/>
      <c r="K36" s="146"/>
    </row>
    <row r="37" spans="1:11" s="53" customFormat="1" x14ac:dyDescent="0.3">
      <c r="A37" s="149"/>
      <c r="B37" s="150" t="str">
        <f>IF(Table24[[#This Row],[Affected CMS
(§63.567(o)(3)(ix), §63.567(o)(6)(ii))
(Select from dropdown)]]="","",VLOOKUP(Table24[[#This Row],[Affected CMS
(§63.567(o)(3)(ix), §63.567(o)(6)(ii))
(Select from dropdown)]],Table22[],2,FALSE))</f>
        <v/>
      </c>
      <c r="C37" s="129"/>
      <c r="D37" s="129"/>
      <c r="E37" s="131"/>
      <c r="F37" s="139"/>
      <c r="G37" s="145"/>
      <c r="H37" s="145"/>
      <c r="I37" s="129"/>
      <c r="J37" s="129"/>
      <c r="K37" s="146"/>
    </row>
    <row r="38" spans="1:11" s="53" customFormat="1" x14ac:dyDescent="0.3">
      <c r="A38" s="149"/>
      <c r="B38" s="150" t="str">
        <f>IF(Table24[[#This Row],[Affected CMS
(§63.567(o)(3)(ix), §63.567(o)(6)(ii))
(Select from dropdown)]]="","",VLOOKUP(Table24[[#This Row],[Affected CMS
(§63.567(o)(3)(ix), §63.567(o)(6)(ii))
(Select from dropdown)]],Table22[],2,FALSE))</f>
        <v/>
      </c>
      <c r="C38" s="129"/>
      <c r="D38" s="129"/>
      <c r="E38" s="131"/>
      <c r="F38" s="139"/>
      <c r="G38" s="145"/>
      <c r="H38" s="145"/>
      <c r="I38" s="129"/>
      <c r="J38" s="129"/>
      <c r="K38" s="146"/>
    </row>
    <row r="39" spans="1:11" s="53" customFormat="1" x14ac:dyDescent="0.3">
      <c r="A39" s="149"/>
      <c r="B39" s="150" t="str">
        <f>IF(Table24[[#This Row],[Affected CMS
(§63.567(o)(3)(ix), §63.567(o)(6)(ii))
(Select from dropdown)]]="","",VLOOKUP(Table24[[#This Row],[Affected CMS
(§63.567(o)(3)(ix), §63.567(o)(6)(ii))
(Select from dropdown)]],Table22[],2,FALSE))</f>
        <v/>
      </c>
      <c r="C39" s="129"/>
      <c r="D39" s="129"/>
      <c r="E39" s="131"/>
      <c r="F39" s="139"/>
      <c r="G39" s="145"/>
      <c r="H39" s="145"/>
      <c r="I39" s="129"/>
      <c r="J39" s="129"/>
      <c r="K39" s="146"/>
    </row>
    <row r="40" spans="1:11" s="53" customFormat="1" x14ac:dyDescent="0.3">
      <c r="A40" s="149"/>
      <c r="B40" s="150" t="str">
        <f>IF(Table24[[#This Row],[Affected CMS
(§63.567(o)(3)(ix), §63.567(o)(6)(ii))
(Select from dropdown)]]="","",VLOOKUP(Table24[[#This Row],[Affected CMS
(§63.567(o)(3)(ix), §63.567(o)(6)(ii))
(Select from dropdown)]],Table22[],2,FALSE))</f>
        <v/>
      </c>
      <c r="C40" s="129"/>
      <c r="D40" s="129"/>
      <c r="E40" s="131"/>
      <c r="F40" s="139"/>
      <c r="G40" s="145"/>
      <c r="H40" s="145"/>
      <c r="I40" s="129"/>
      <c r="J40" s="129"/>
      <c r="K40" s="146"/>
    </row>
    <row r="41" spans="1:11" s="53" customFormat="1" x14ac:dyDescent="0.3">
      <c r="A41" s="149"/>
      <c r="B41" s="150" t="str">
        <f>IF(Table24[[#This Row],[Affected CMS
(§63.567(o)(3)(ix), §63.567(o)(6)(ii))
(Select from dropdown)]]="","",VLOOKUP(Table24[[#This Row],[Affected CMS
(§63.567(o)(3)(ix), §63.567(o)(6)(ii))
(Select from dropdown)]],Table22[],2,FALSE))</f>
        <v/>
      </c>
      <c r="C41" s="129"/>
      <c r="D41" s="129"/>
      <c r="E41" s="131"/>
      <c r="F41" s="139"/>
      <c r="G41" s="145"/>
      <c r="H41" s="145"/>
      <c r="I41" s="129"/>
      <c r="J41" s="129"/>
      <c r="K41" s="146"/>
    </row>
    <row r="42" spans="1:11" s="53" customFormat="1" x14ac:dyDescent="0.3">
      <c r="A42" s="149"/>
      <c r="B42" s="150" t="str">
        <f>IF(Table24[[#This Row],[Affected CMS
(§63.567(o)(3)(ix), §63.567(o)(6)(ii))
(Select from dropdown)]]="","",VLOOKUP(Table24[[#This Row],[Affected CMS
(§63.567(o)(3)(ix), §63.567(o)(6)(ii))
(Select from dropdown)]],Table22[],2,FALSE))</f>
        <v/>
      </c>
      <c r="C42" s="129"/>
      <c r="D42" s="129"/>
      <c r="E42" s="131"/>
      <c r="F42" s="139"/>
      <c r="G42" s="145"/>
      <c r="H42" s="145"/>
      <c r="I42" s="129"/>
      <c r="J42" s="129"/>
      <c r="K42" s="146"/>
    </row>
    <row r="43" spans="1:11" s="53" customFormat="1" x14ac:dyDescent="0.3">
      <c r="A43" s="149"/>
      <c r="B43" s="150" t="str">
        <f>IF(Table24[[#This Row],[Affected CMS
(§63.567(o)(3)(ix), §63.567(o)(6)(ii))
(Select from dropdown)]]="","",VLOOKUP(Table24[[#This Row],[Affected CMS
(§63.567(o)(3)(ix), §63.567(o)(6)(ii))
(Select from dropdown)]],Table22[],2,FALSE))</f>
        <v/>
      </c>
      <c r="C43" s="129"/>
      <c r="D43" s="129"/>
      <c r="E43" s="131"/>
      <c r="F43" s="139"/>
      <c r="G43" s="145"/>
      <c r="H43" s="145"/>
      <c r="I43" s="129"/>
      <c r="J43" s="129"/>
      <c r="K43" s="146"/>
    </row>
    <row r="44" spans="1:11" s="53" customFormat="1" x14ac:dyDescent="0.3">
      <c r="A44" s="149"/>
      <c r="B44" s="150" t="str">
        <f>IF(Table24[[#This Row],[Affected CMS
(§63.567(o)(3)(ix), §63.567(o)(6)(ii))
(Select from dropdown)]]="","",VLOOKUP(Table24[[#This Row],[Affected CMS
(§63.567(o)(3)(ix), §63.567(o)(6)(ii))
(Select from dropdown)]],Table22[],2,FALSE))</f>
        <v/>
      </c>
      <c r="C44" s="129"/>
      <c r="D44" s="129"/>
      <c r="E44" s="131"/>
      <c r="F44" s="139"/>
      <c r="G44" s="145"/>
      <c r="H44" s="145"/>
      <c r="I44" s="129"/>
      <c r="J44" s="129"/>
      <c r="K44" s="146"/>
    </row>
    <row r="45" spans="1:11" s="53" customFormat="1" x14ac:dyDescent="0.3">
      <c r="A45" s="149"/>
      <c r="B45" s="150" t="str">
        <f>IF(Table24[[#This Row],[Affected CMS
(§63.567(o)(3)(ix), §63.567(o)(6)(ii))
(Select from dropdown)]]="","",VLOOKUP(Table24[[#This Row],[Affected CMS
(§63.567(o)(3)(ix), §63.567(o)(6)(ii))
(Select from dropdown)]],Table22[],2,FALSE))</f>
        <v/>
      </c>
      <c r="C45" s="129"/>
      <c r="D45" s="129"/>
      <c r="E45" s="131"/>
      <c r="F45" s="139"/>
      <c r="G45" s="145"/>
      <c r="H45" s="145"/>
      <c r="I45" s="129"/>
      <c r="J45" s="129"/>
      <c r="K45" s="146"/>
    </row>
    <row r="46" spans="1:11" s="53" customFormat="1" x14ac:dyDescent="0.3">
      <c r="A46" s="149"/>
      <c r="B46" s="150" t="str">
        <f>IF(Table24[[#This Row],[Affected CMS
(§63.567(o)(3)(ix), §63.567(o)(6)(ii))
(Select from dropdown)]]="","",VLOOKUP(Table24[[#This Row],[Affected CMS
(§63.567(o)(3)(ix), §63.567(o)(6)(ii))
(Select from dropdown)]],Table22[],2,FALSE))</f>
        <v/>
      </c>
      <c r="C46" s="129"/>
      <c r="D46" s="129"/>
      <c r="E46" s="131"/>
      <c r="F46" s="139"/>
      <c r="G46" s="145"/>
      <c r="H46" s="145"/>
      <c r="I46" s="129"/>
      <c r="J46" s="129"/>
      <c r="K46" s="146"/>
    </row>
    <row r="47" spans="1:11" s="53" customFormat="1" x14ac:dyDescent="0.3">
      <c r="A47" s="149"/>
      <c r="B47" s="150" t="str">
        <f>IF(Table24[[#This Row],[Affected CMS
(§63.567(o)(3)(ix), §63.567(o)(6)(ii))
(Select from dropdown)]]="","",VLOOKUP(Table24[[#This Row],[Affected CMS
(§63.567(o)(3)(ix), §63.567(o)(6)(ii))
(Select from dropdown)]],Table22[],2,FALSE))</f>
        <v/>
      </c>
      <c r="C47" s="129"/>
      <c r="D47" s="129"/>
      <c r="E47" s="131"/>
      <c r="F47" s="139"/>
      <c r="G47" s="145"/>
      <c r="H47" s="145"/>
      <c r="I47" s="129"/>
      <c r="J47" s="129"/>
      <c r="K47" s="146"/>
    </row>
    <row r="48" spans="1:11" s="53" customFormat="1" x14ac:dyDescent="0.3">
      <c r="A48" s="149"/>
      <c r="B48" s="150" t="str">
        <f>IF(Table24[[#This Row],[Affected CMS
(§63.567(o)(3)(ix), §63.567(o)(6)(ii))
(Select from dropdown)]]="","",VLOOKUP(Table24[[#This Row],[Affected CMS
(§63.567(o)(3)(ix), §63.567(o)(6)(ii))
(Select from dropdown)]],Table22[],2,FALSE))</f>
        <v/>
      </c>
      <c r="C48" s="129"/>
      <c r="D48" s="129"/>
      <c r="E48" s="131"/>
      <c r="F48" s="139"/>
      <c r="G48" s="145"/>
      <c r="H48" s="145"/>
      <c r="I48" s="129"/>
      <c r="J48" s="129"/>
      <c r="K48" s="146"/>
    </row>
    <row r="49" spans="1:11" s="53" customFormat="1" x14ac:dyDescent="0.3">
      <c r="A49" s="149"/>
      <c r="B49" s="150" t="str">
        <f>IF(Table24[[#This Row],[Affected CMS
(§63.567(o)(3)(ix), §63.567(o)(6)(ii))
(Select from dropdown)]]="","",VLOOKUP(Table24[[#This Row],[Affected CMS
(§63.567(o)(3)(ix), §63.567(o)(6)(ii))
(Select from dropdown)]],Table22[],2,FALSE))</f>
        <v/>
      </c>
      <c r="C49" s="129"/>
      <c r="D49" s="129"/>
      <c r="E49" s="131"/>
      <c r="F49" s="139"/>
      <c r="G49" s="145"/>
      <c r="H49" s="145"/>
      <c r="I49" s="129"/>
      <c r="J49" s="129"/>
      <c r="K49" s="146"/>
    </row>
    <row r="50" spans="1:11" s="53" customFormat="1" x14ac:dyDescent="0.3">
      <c r="A50" s="149"/>
      <c r="B50" s="150" t="str">
        <f>IF(Table24[[#This Row],[Affected CMS
(§63.567(o)(3)(ix), §63.567(o)(6)(ii))
(Select from dropdown)]]="","",VLOOKUP(Table24[[#This Row],[Affected CMS
(§63.567(o)(3)(ix), §63.567(o)(6)(ii))
(Select from dropdown)]],Table22[],2,FALSE))</f>
        <v/>
      </c>
      <c r="C50" s="129"/>
      <c r="D50" s="129"/>
      <c r="E50" s="131"/>
      <c r="F50" s="139"/>
      <c r="G50" s="145"/>
      <c r="H50" s="145"/>
      <c r="I50" s="129"/>
      <c r="J50" s="129"/>
      <c r="K50" s="146"/>
    </row>
    <row r="51" spans="1:11" s="53" customFormat="1" x14ac:dyDescent="0.3">
      <c r="A51" s="149"/>
      <c r="B51" s="150" t="str">
        <f>IF(Table24[[#This Row],[Affected CMS
(§63.567(o)(3)(ix), §63.567(o)(6)(ii))
(Select from dropdown)]]="","",VLOOKUP(Table24[[#This Row],[Affected CMS
(§63.567(o)(3)(ix), §63.567(o)(6)(ii))
(Select from dropdown)]],Table22[],2,FALSE))</f>
        <v/>
      </c>
      <c r="C51" s="129"/>
      <c r="D51" s="129"/>
      <c r="E51" s="131"/>
      <c r="F51" s="139"/>
      <c r="G51" s="145"/>
      <c r="H51" s="145"/>
      <c r="I51" s="129"/>
      <c r="J51" s="129"/>
      <c r="K51" s="146"/>
    </row>
    <row r="52" spans="1:11" s="53" customFormat="1" x14ac:dyDescent="0.3">
      <c r="A52" s="149"/>
      <c r="B52" s="150" t="str">
        <f>IF(Table24[[#This Row],[Affected CMS
(§63.567(o)(3)(ix), §63.567(o)(6)(ii))
(Select from dropdown)]]="","",VLOOKUP(Table24[[#This Row],[Affected CMS
(§63.567(o)(3)(ix), §63.567(o)(6)(ii))
(Select from dropdown)]],Table22[],2,FALSE))</f>
        <v/>
      </c>
      <c r="C52" s="129"/>
      <c r="D52" s="129"/>
      <c r="E52" s="131"/>
      <c r="F52" s="139"/>
      <c r="G52" s="145"/>
      <c r="H52" s="145"/>
      <c r="I52" s="129"/>
      <c r="J52" s="129"/>
      <c r="K52" s="146"/>
    </row>
    <row r="53" spans="1:11" s="53" customFormat="1" x14ac:dyDescent="0.3">
      <c r="A53" s="149"/>
      <c r="B53" s="150" t="str">
        <f>IF(Table24[[#This Row],[Affected CMS
(§63.567(o)(3)(ix), §63.567(o)(6)(ii))
(Select from dropdown)]]="","",VLOOKUP(Table24[[#This Row],[Affected CMS
(§63.567(o)(3)(ix), §63.567(o)(6)(ii))
(Select from dropdown)]],Table22[],2,FALSE))</f>
        <v/>
      </c>
      <c r="C53" s="129"/>
      <c r="D53" s="129"/>
      <c r="E53" s="131"/>
      <c r="F53" s="139"/>
      <c r="G53" s="145"/>
      <c r="H53" s="145"/>
      <c r="I53" s="129"/>
      <c r="J53" s="129"/>
      <c r="K53" s="146"/>
    </row>
    <row r="54" spans="1:11" s="53" customFormat="1" x14ac:dyDescent="0.3">
      <c r="A54" s="149"/>
      <c r="B54" s="150" t="str">
        <f>IF(Table24[[#This Row],[Affected CMS
(§63.567(o)(3)(ix), §63.567(o)(6)(ii))
(Select from dropdown)]]="","",VLOOKUP(Table24[[#This Row],[Affected CMS
(§63.567(o)(3)(ix), §63.567(o)(6)(ii))
(Select from dropdown)]],Table22[],2,FALSE))</f>
        <v/>
      </c>
      <c r="C54" s="129"/>
      <c r="D54" s="129"/>
      <c r="E54" s="131"/>
      <c r="F54" s="139"/>
      <c r="G54" s="145"/>
      <c r="H54" s="145"/>
      <c r="I54" s="129"/>
      <c r="J54" s="129"/>
      <c r="K54" s="146"/>
    </row>
    <row r="55" spans="1:11" s="53" customFormat="1" x14ac:dyDescent="0.3">
      <c r="A55" s="149"/>
      <c r="B55" s="150" t="str">
        <f>IF(Table24[[#This Row],[Affected CMS
(§63.567(o)(3)(ix), §63.567(o)(6)(ii))
(Select from dropdown)]]="","",VLOOKUP(Table24[[#This Row],[Affected CMS
(§63.567(o)(3)(ix), §63.567(o)(6)(ii))
(Select from dropdown)]],Table22[],2,FALSE))</f>
        <v/>
      </c>
      <c r="C55" s="129"/>
      <c r="D55" s="129"/>
      <c r="E55" s="131"/>
      <c r="F55" s="139"/>
      <c r="G55" s="145"/>
      <c r="H55" s="145"/>
      <c r="I55" s="129"/>
      <c r="J55" s="129"/>
      <c r="K55" s="146"/>
    </row>
    <row r="56" spans="1:11" s="53" customFormat="1" x14ac:dyDescent="0.3">
      <c r="A56" s="149"/>
      <c r="B56" s="150" t="str">
        <f>IF(Table24[[#This Row],[Affected CMS
(§63.567(o)(3)(ix), §63.567(o)(6)(ii))
(Select from dropdown)]]="","",VLOOKUP(Table24[[#This Row],[Affected CMS
(§63.567(o)(3)(ix), §63.567(o)(6)(ii))
(Select from dropdown)]],Table22[],2,FALSE))</f>
        <v/>
      </c>
      <c r="C56" s="129"/>
      <c r="D56" s="129"/>
      <c r="E56" s="131"/>
      <c r="F56" s="139"/>
      <c r="G56" s="145"/>
      <c r="H56" s="145"/>
      <c r="I56" s="129"/>
      <c r="J56" s="129"/>
      <c r="K56" s="146"/>
    </row>
    <row r="57" spans="1:11" s="53" customFormat="1" x14ac:dyDescent="0.3">
      <c r="A57" s="149"/>
      <c r="B57" s="150" t="str">
        <f>IF(Table24[[#This Row],[Affected CMS
(§63.567(o)(3)(ix), §63.567(o)(6)(ii))
(Select from dropdown)]]="","",VLOOKUP(Table24[[#This Row],[Affected CMS
(§63.567(o)(3)(ix), §63.567(o)(6)(ii))
(Select from dropdown)]],Table22[],2,FALSE))</f>
        <v/>
      </c>
      <c r="C57" s="129"/>
      <c r="D57" s="129"/>
      <c r="E57" s="131"/>
      <c r="F57" s="139"/>
      <c r="G57" s="145"/>
      <c r="H57" s="145"/>
      <c r="I57" s="129"/>
      <c r="J57" s="129"/>
      <c r="K57" s="146"/>
    </row>
    <row r="58" spans="1:11" s="53" customFormat="1" x14ac:dyDescent="0.3">
      <c r="A58" s="149"/>
      <c r="B58" s="150" t="str">
        <f>IF(Table24[[#This Row],[Affected CMS
(§63.567(o)(3)(ix), §63.567(o)(6)(ii))
(Select from dropdown)]]="","",VLOOKUP(Table24[[#This Row],[Affected CMS
(§63.567(o)(3)(ix), §63.567(o)(6)(ii))
(Select from dropdown)]],Table22[],2,FALSE))</f>
        <v/>
      </c>
      <c r="C58" s="129"/>
      <c r="D58" s="129"/>
      <c r="E58" s="131"/>
      <c r="F58" s="139"/>
      <c r="G58" s="145"/>
      <c r="H58" s="145"/>
      <c r="I58" s="129"/>
      <c r="J58" s="129"/>
      <c r="K58" s="146"/>
    </row>
    <row r="59" spans="1:11" s="53" customFormat="1" x14ac:dyDescent="0.3">
      <c r="A59" s="149"/>
      <c r="B59" s="150" t="str">
        <f>IF(Table24[[#This Row],[Affected CMS
(§63.567(o)(3)(ix), §63.567(o)(6)(ii))
(Select from dropdown)]]="","",VLOOKUP(Table24[[#This Row],[Affected CMS
(§63.567(o)(3)(ix), §63.567(o)(6)(ii))
(Select from dropdown)]],Table22[],2,FALSE))</f>
        <v/>
      </c>
      <c r="C59" s="129"/>
      <c r="D59" s="129"/>
      <c r="E59" s="131"/>
      <c r="F59" s="139"/>
      <c r="G59" s="145"/>
      <c r="H59" s="145"/>
      <c r="I59" s="129"/>
      <c r="J59" s="129"/>
      <c r="K59" s="146"/>
    </row>
    <row r="60" spans="1:11" s="53" customFormat="1" x14ac:dyDescent="0.3">
      <c r="A60" s="149"/>
      <c r="B60" s="150" t="str">
        <f>IF(Table24[[#This Row],[Affected CMS
(§63.567(o)(3)(ix), §63.567(o)(6)(ii))
(Select from dropdown)]]="","",VLOOKUP(Table24[[#This Row],[Affected CMS
(§63.567(o)(3)(ix), §63.567(o)(6)(ii))
(Select from dropdown)]],Table22[],2,FALSE))</f>
        <v/>
      </c>
      <c r="C60" s="129"/>
      <c r="D60" s="129"/>
      <c r="E60" s="131"/>
      <c r="F60" s="139"/>
      <c r="G60" s="145"/>
      <c r="H60" s="145"/>
      <c r="I60" s="129"/>
      <c r="J60" s="129"/>
      <c r="K60" s="146"/>
    </row>
    <row r="61" spans="1:11" s="53" customFormat="1" x14ac:dyDescent="0.3">
      <c r="A61" s="149"/>
      <c r="B61" s="150" t="str">
        <f>IF(Table24[[#This Row],[Affected CMS
(§63.567(o)(3)(ix), §63.567(o)(6)(ii))
(Select from dropdown)]]="","",VLOOKUP(Table24[[#This Row],[Affected CMS
(§63.567(o)(3)(ix), §63.567(o)(6)(ii))
(Select from dropdown)]],Table22[],2,FALSE))</f>
        <v/>
      </c>
      <c r="C61" s="129"/>
      <c r="D61" s="129"/>
      <c r="E61" s="131"/>
      <c r="F61" s="139"/>
      <c r="G61" s="145"/>
      <c r="H61" s="145"/>
      <c r="I61" s="129"/>
      <c r="J61" s="129"/>
      <c r="K61" s="146"/>
    </row>
    <row r="62" spans="1:11" s="53" customFormat="1" x14ac:dyDescent="0.3">
      <c r="A62" s="149"/>
      <c r="B62" s="150" t="str">
        <f>IF(Table24[[#This Row],[Affected CMS
(§63.567(o)(3)(ix), §63.567(o)(6)(ii))
(Select from dropdown)]]="","",VLOOKUP(Table24[[#This Row],[Affected CMS
(§63.567(o)(3)(ix), §63.567(o)(6)(ii))
(Select from dropdown)]],Table22[],2,FALSE))</f>
        <v/>
      </c>
      <c r="C62" s="129"/>
      <c r="D62" s="129"/>
      <c r="E62" s="131"/>
      <c r="F62" s="139"/>
      <c r="G62" s="145"/>
      <c r="H62" s="145"/>
      <c r="I62" s="129"/>
      <c r="J62" s="129"/>
      <c r="K62" s="146"/>
    </row>
    <row r="63" spans="1:11" s="53" customFormat="1" x14ac:dyDescent="0.3">
      <c r="A63" s="149"/>
      <c r="B63" s="150" t="str">
        <f>IF(Table24[[#This Row],[Affected CMS
(§63.567(o)(3)(ix), §63.567(o)(6)(ii))
(Select from dropdown)]]="","",VLOOKUP(Table24[[#This Row],[Affected CMS
(§63.567(o)(3)(ix), §63.567(o)(6)(ii))
(Select from dropdown)]],Table22[],2,FALSE))</f>
        <v/>
      </c>
      <c r="C63" s="129"/>
      <c r="D63" s="129"/>
      <c r="E63" s="131"/>
      <c r="F63" s="139"/>
      <c r="G63" s="145"/>
      <c r="H63" s="145"/>
      <c r="I63" s="129"/>
      <c r="J63" s="129"/>
      <c r="K63" s="146"/>
    </row>
    <row r="64" spans="1:11" s="53" customFormat="1" x14ac:dyDescent="0.3">
      <c r="A64" s="149"/>
      <c r="B64" s="150" t="str">
        <f>IF(Table24[[#This Row],[Affected CMS
(§63.567(o)(3)(ix), §63.567(o)(6)(ii))
(Select from dropdown)]]="","",VLOOKUP(Table24[[#This Row],[Affected CMS
(§63.567(o)(3)(ix), §63.567(o)(6)(ii))
(Select from dropdown)]],Table22[],2,FALSE))</f>
        <v/>
      </c>
      <c r="C64" s="129"/>
      <c r="D64" s="129"/>
      <c r="E64" s="131"/>
      <c r="F64" s="139"/>
      <c r="G64" s="145"/>
      <c r="H64" s="145"/>
      <c r="I64" s="129"/>
      <c r="J64" s="129"/>
      <c r="K64" s="146"/>
    </row>
    <row r="65" spans="1:11" s="53" customFormat="1" x14ac:dyDescent="0.3">
      <c r="A65" s="149"/>
      <c r="B65" s="150" t="str">
        <f>IF(Table24[[#This Row],[Affected CMS
(§63.567(o)(3)(ix), §63.567(o)(6)(ii))
(Select from dropdown)]]="","",VLOOKUP(Table24[[#This Row],[Affected CMS
(§63.567(o)(3)(ix), §63.567(o)(6)(ii))
(Select from dropdown)]],Table22[],2,FALSE))</f>
        <v/>
      </c>
      <c r="C65" s="129"/>
      <c r="D65" s="129"/>
      <c r="E65" s="131"/>
      <c r="F65" s="139"/>
      <c r="G65" s="145"/>
      <c r="H65" s="145"/>
      <c r="I65" s="129"/>
      <c r="J65" s="129"/>
      <c r="K65" s="146"/>
    </row>
    <row r="66" spans="1:11" s="53" customFormat="1" x14ac:dyDescent="0.3">
      <c r="A66" s="149"/>
      <c r="B66" s="150" t="str">
        <f>IF(Table24[[#This Row],[Affected CMS
(§63.567(o)(3)(ix), §63.567(o)(6)(ii))
(Select from dropdown)]]="","",VLOOKUP(Table24[[#This Row],[Affected CMS
(§63.567(o)(3)(ix), §63.567(o)(6)(ii))
(Select from dropdown)]],Table22[],2,FALSE))</f>
        <v/>
      </c>
      <c r="C66" s="129"/>
      <c r="D66" s="129"/>
      <c r="E66" s="131"/>
      <c r="F66" s="139"/>
      <c r="G66" s="145"/>
      <c r="H66" s="145"/>
      <c r="I66" s="129"/>
      <c r="J66" s="129"/>
      <c r="K66" s="146"/>
    </row>
    <row r="67" spans="1:11" s="53" customFormat="1" x14ac:dyDescent="0.3">
      <c r="A67" s="149"/>
      <c r="B67" s="150" t="str">
        <f>IF(Table24[[#This Row],[Affected CMS
(§63.567(o)(3)(ix), §63.567(o)(6)(ii))
(Select from dropdown)]]="","",VLOOKUP(Table24[[#This Row],[Affected CMS
(§63.567(o)(3)(ix), §63.567(o)(6)(ii))
(Select from dropdown)]],Table22[],2,FALSE))</f>
        <v/>
      </c>
      <c r="C67" s="129"/>
      <c r="D67" s="129"/>
      <c r="E67" s="131"/>
      <c r="F67" s="139"/>
      <c r="G67" s="145"/>
      <c r="H67" s="145"/>
      <c r="I67" s="129"/>
      <c r="J67" s="129"/>
      <c r="K67" s="146"/>
    </row>
    <row r="68" spans="1:11" s="53" customFormat="1" x14ac:dyDescent="0.3">
      <c r="A68" s="149"/>
      <c r="B68" s="150" t="str">
        <f>IF(Table24[[#This Row],[Affected CMS
(§63.567(o)(3)(ix), §63.567(o)(6)(ii))
(Select from dropdown)]]="","",VLOOKUP(Table24[[#This Row],[Affected CMS
(§63.567(o)(3)(ix), §63.567(o)(6)(ii))
(Select from dropdown)]],Table22[],2,FALSE))</f>
        <v/>
      </c>
      <c r="C68" s="129"/>
      <c r="D68" s="129"/>
      <c r="E68" s="131"/>
      <c r="F68" s="139"/>
      <c r="G68" s="145"/>
      <c r="H68" s="145"/>
      <c r="I68" s="129"/>
      <c r="J68" s="129"/>
      <c r="K68" s="146"/>
    </row>
    <row r="69" spans="1:11" s="53" customFormat="1" x14ac:dyDescent="0.3">
      <c r="A69" s="149"/>
      <c r="B69" s="150" t="str">
        <f>IF(Table24[[#This Row],[Affected CMS
(§63.567(o)(3)(ix), §63.567(o)(6)(ii))
(Select from dropdown)]]="","",VLOOKUP(Table24[[#This Row],[Affected CMS
(§63.567(o)(3)(ix), §63.567(o)(6)(ii))
(Select from dropdown)]],Table22[],2,FALSE))</f>
        <v/>
      </c>
      <c r="C69" s="129"/>
      <c r="D69" s="129"/>
      <c r="E69" s="131"/>
      <c r="F69" s="139"/>
      <c r="G69" s="145"/>
      <c r="H69" s="145"/>
      <c r="I69" s="129"/>
      <c r="J69" s="129"/>
      <c r="K69" s="146"/>
    </row>
    <row r="70" spans="1:11" s="53" customFormat="1" x14ac:dyDescent="0.3">
      <c r="A70" s="149"/>
      <c r="B70" s="150" t="str">
        <f>IF(Table24[[#This Row],[Affected CMS
(§63.567(o)(3)(ix), §63.567(o)(6)(ii))
(Select from dropdown)]]="","",VLOOKUP(Table24[[#This Row],[Affected CMS
(§63.567(o)(3)(ix), §63.567(o)(6)(ii))
(Select from dropdown)]],Table22[],2,FALSE))</f>
        <v/>
      </c>
      <c r="C70" s="129"/>
      <c r="D70" s="129"/>
      <c r="E70" s="131"/>
      <c r="F70" s="139"/>
      <c r="G70" s="145"/>
      <c r="H70" s="145"/>
      <c r="I70" s="129"/>
      <c r="J70" s="129"/>
      <c r="K70" s="146"/>
    </row>
    <row r="71" spans="1:11" s="53" customFormat="1" x14ac:dyDescent="0.3">
      <c r="A71" s="149"/>
      <c r="B71" s="150" t="str">
        <f>IF(Table24[[#This Row],[Affected CMS
(§63.567(o)(3)(ix), §63.567(o)(6)(ii))
(Select from dropdown)]]="","",VLOOKUP(Table24[[#This Row],[Affected CMS
(§63.567(o)(3)(ix), §63.567(o)(6)(ii))
(Select from dropdown)]],Table22[],2,FALSE))</f>
        <v/>
      </c>
      <c r="C71" s="129"/>
      <c r="D71" s="129"/>
      <c r="E71" s="131"/>
      <c r="F71" s="139"/>
      <c r="G71" s="145"/>
      <c r="H71" s="145"/>
      <c r="I71" s="129"/>
      <c r="J71" s="129"/>
      <c r="K71" s="146"/>
    </row>
    <row r="72" spans="1:11" s="53" customFormat="1" x14ac:dyDescent="0.3">
      <c r="A72" s="149"/>
      <c r="B72" s="150" t="str">
        <f>IF(Table24[[#This Row],[Affected CMS
(§63.567(o)(3)(ix), §63.567(o)(6)(ii))
(Select from dropdown)]]="","",VLOOKUP(Table24[[#This Row],[Affected CMS
(§63.567(o)(3)(ix), §63.567(o)(6)(ii))
(Select from dropdown)]],Table22[],2,FALSE))</f>
        <v/>
      </c>
      <c r="C72" s="129"/>
      <c r="D72" s="129"/>
      <c r="E72" s="131"/>
      <c r="F72" s="139"/>
      <c r="G72" s="145"/>
      <c r="H72" s="145"/>
      <c r="I72" s="129"/>
      <c r="J72" s="129"/>
      <c r="K72" s="146"/>
    </row>
    <row r="73" spans="1:11" s="53" customFormat="1" x14ac:dyDescent="0.3">
      <c r="A73" s="149"/>
      <c r="B73" s="150" t="str">
        <f>IF(Table24[[#This Row],[Affected CMS
(§63.567(o)(3)(ix), §63.567(o)(6)(ii))
(Select from dropdown)]]="","",VLOOKUP(Table24[[#This Row],[Affected CMS
(§63.567(o)(3)(ix), §63.567(o)(6)(ii))
(Select from dropdown)]],Table22[],2,FALSE))</f>
        <v/>
      </c>
      <c r="C73" s="129"/>
      <c r="D73" s="129"/>
      <c r="E73" s="131"/>
      <c r="F73" s="139"/>
      <c r="G73" s="145"/>
      <c r="H73" s="145"/>
      <c r="I73" s="129"/>
      <c r="J73" s="129"/>
      <c r="K73" s="146"/>
    </row>
    <row r="74" spans="1:11" s="53" customFormat="1" x14ac:dyDescent="0.3">
      <c r="A74" s="149"/>
      <c r="B74" s="150" t="str">
        <f>IF(Table24[[#This Row],[Affected CMS
(§63.567(o)(3)(ix), §63.567(o)(6)(ii))
(Select from dropdown)]]="","",VLOOKUP(Table24[[#This Row],[Affected CMS
(§63.567(o)(3)(ix), §63.567(o)(6)(ii))
(Select from dropdown)]],Table22[],2,FALSE))</f>
        <v/>
      </c>
      <c r="C74" s="129"/>
      <c r="D74" s="129"/>
      <c r="E74" s="131"/>
      <c r="F74" s="139"/>
      <c r="G74" s="145"/>
      <c r="H74" s="145"/>
      <c r="I74" s="129"/>
      <c r="J74" s="129"/>
      <c r="K74" s="146"/>
    </row>
    <row r="75" spans="1:11" s="53" customFormat="1" x14ac:dyDescent="0.3">
      <c r="A75" s="149"/>
      <c r="B75" s="150" t="str">
        <f>IF(Table24[[#This Row],[Affected CMS
(§63.567(o)(3)(ix), §63.567(o)(6)(ii))
(Select from dropdown)]]="","",VLOOKUP(Table24[[#This Row],[Affected CMS
(§63.567(o)(3)(ix), §63.567(o)(6)(ii))
(Select from dropdown)]],Table22[],2,FALSE))</f>
        <v/>
      </c>
      <c r="C75" s="129"/>
      <c r="D75" s="129"/>
      <c r="E75" s="131"/>
      <c r="F75" s="139"/>
      <c r="G75" s="145"/>
      <c r="H75" s="145"/>
      <c r="I75" s="129"/>
      <c r="J75" s="129"/>
      <c r="K75" s="146"/>
    </row>
    <row r="76" spans="1:11" s="53" customFormat="1" x14ac:dyDescent="0.3">
      <c r="A76" s="149"/>
      <c r="B76" s="150" t="str">
        <f>IF(Table24[[#This Row],[Affected CMS
(§63.567(o)(3)(ix), §63.567(o)(6)(ii))
(Select from dropdown)]]="","",VLOOKUP(Table24[[#This Row],[Affected CMS
(§63.567(o)(3)(ix), §63.567(o)(6)(ii))
(Select from dropdown)]],Table22[],2,FALSE))</f>
        <v/>
      </c>
      <c r="C76" s="129"/>
      <c r="D76" s="129"/>
      <c r="E76" s="131"/>
      <c r="F76" s="139"/>
      <c r="G76" s="145"/>
      <c r="H76" s="145"/>
      <c r="I76" s="129"/>
      <c r="J76" s="129"/>
      <c r="K76" s="146"/>
    </row>
    <row r="77" spans="1:11" s="53" customFormat="1" x14ac:dyDescent="0.3">
      <c r="A77" s="149"/>
      <c r="B77" s="150" t="str">
        <f>IF(Table24[[#This Row],[Affected CMS
(§63.567(o)(3)(ix), §63.567(o)(6)(ii))
(Select from dropdown)]]="","",VLOOKUP(Table24[[#This Row],[Affected CMS
(§63.567(o)(3)(ix), §63.567(o)(6)(ii))
(Select from dropdown)]],Table22[],2,FALSE))</f>
        <v/>
      </c>
      <c r="C77" s="129"/>
      <c r="D77" s="129"/>
      <c r="E77" s="131"/>
      <c r="F77" s="139"/>
      <c r="G77" s="145"/>
      <c r="H77" s="145"/>
      <c r="I77" s="129"/>
      <c r="J77" s="129"/>
      <c r="K77" s="146"/>
    </row>
    <row r="78" spans="1:11" s="53" customFormat="1" x14ac:dyDescent="0.3">
      <c r="A78" s="149"/>
      <c r="B78" s="150" t="str">
        <f>IF(Table24[[#This Row],[Affected CMS
(§63.567(o)(3)(ix), §63.567(o)(6)(ii))
(Select from dropdown)]]="","",VLOOKUP(Table24[[#This Row],[Affected CMS
(§63.567(o)(3)(ix), §63.567(o)(6)(ii))
(Select from dropdown)]],Table22[],2,FALSE))</f>
        <v/>
      </c>
      <c r="C78" s="129"/>
      <c r="D78" s="129"/>
      <c r="E78" s="131"/>
      <c r="F78" s="139"/>
      <c r="G78" s="145"/>
      <c r="H78" s="145"/>
      <c r="I78" s="129"/>
      <c r="J78" s="129"/>
      <c r="K78" s="146"/>
    </row>
    <row r="79" spans="1:11" s="53" customFormat="1" x14ac:dyDescent="0.3">
      <c r="A79" s="149"/>
      <c r="B79" s="150" t="str">
        <f>IF(Table24[[#This Row],[Affected CMS
(§63.567(o)(3)(ix), §63.567(o)(6)(ii))
(Select from dropdown)]]="","",VLOOKUP(Table24[[#This Row],[Affected CMS
(§63.567(o)(3)(ix), §63.567(o)(6)(ii))
(Select from dropdown)]],Table22[],2,FALSE))</f>
        <v/>
      </c>
      <c r="C79" s="129"/>
      <c r="D79" s="129"/>
      <c r="E79" s="131"/>
      <c r="F79" s="139"/>
      <c r="G79" s="145"/>
      <c r="H79" s="145"/>
      <c r="I79" s="129"/>
      <c r="J79" s="129"/>
      <c r="K79" s="146"/>
    </row>
    <row r="80" spans="1:11" s="53" customFormat="1" x14ac:dyDescent="0.3">
      <c r="A80" s="149"/>
      <c r="B80" s="150" t="str">
        <f>IF(Table24[[#This Row],[Affected CMS
(§63.567(o)(3)(ix), §63.567(o)(6)(ii))
(Select from dropdown)]]="","",VLOOKUP(Table24[[#This Row],[Affected CMS
(§63.567(o)(3)(ix), §63.567(o)(6)(ii))
(Select from dropdown)]],Table22[],2,FALSE))</f>
        <v/>
      </c>
      <c r="C80" s="129"/>
      <c r="D80" s="129"/>
      <c r="E80" s="131"/>
      <c r="F80" s="139"/>
      <c r="G80" s="145"/>
      <c r="H80" s="145"/>
      <c r="I80" s="129"/>
      <c r="J80" s="129"/>
      <c r="K80" s="146"/>
    </row>
    <row r="81" spans="1:11" s="53" customFormat="1" x14ac:dyDescent="0.3">
      <c r="A81" s="149"/>
      <c r="B81" s="150" t="str">
        <f>IF(Table24[[#This Row],[Affected CMS
(§63.567(o)(3)(ix), §63.567(o)(6)(ii))
(Select from dropdown)]]="","",VLOOKUP(Table24[[#This Row],[Affected CMS
(§63.567(o)(3)(ix), §63.567(o)(6)(ii))
(Select from dropdown)]],Table22[],2,FALSE))</f>
        <v/>
      </c>
      <c r="C81" s="129"/>
      <c r="D81" s="129"/>
      <c r="E81" s="131"/>
      <c r="F81" s="139"/>
      <c r="G81" s="145"/>
      <c r="H81" s="145"/>
      <c r="I81" s="129"/>
      <c r="J81" s="129"/>
      <c r="K81" s="146"/>
    </row>
    <row r="82" spans="1:11" s="53" customFormat="1" x14ac:dyDescent="0.3">
      <c r="A82" s="149"/>
      <c r="B82" s="150" t="str">
        <f>IF(Table24[[#This Row],[Affected CMS
(§63.567(o)(3)(ix), §63.567(o)(6)(ii))
(Select from dropdown)]]="","",VLOOKUP(Table24[[#This Row],[Affected CMS
(§63.567(o)(3)(ix), §63.567(o)(6)(ii))
(Select from dropdown)]],Table22[],2,FALSE))</f>
        <v/>
      </c>
      <c r="C82" s="129"/>
      <c r="D82" s="129"/>
      <c r="E82" s="131"/>
      <c r="F82" s="139"/>
      <c r="G82" s="145"/>
      <c r="H82" s="145"/>
      <c r="I82" s="129"/>
      <c r="J82" s="129"/>
      <c r="K82" s="146"/>
    </row>
    <row r="83" spans="1:11" s="53" customFormat="1" x14ac:dyDescent="0.3">
      <c r="A83" s="149"/>
      <c r="B83" s="150" t="str">
        <f>IF(Table24[[#This Row],[Affected CMS
(§63.567(o)(3)(ix), §63.567(o)(6)(ii))
(Select from dropdown)]]="","",VLOOKUP(Table24[[#This Row],[Affected CMS
(§63.567(o)(3)(ix), §63.567(o)(6)(ii))
(Select from dropdown)]],Table22[],2,FALSE))</f>
        <v/>
      </c>
      <c r="C83" s="129"/>
      <c r="D83" s="129"/>
      <c r="E83" s="131"/>
      <c r="F83" s="139"/>
      <c r="G83" s="145"/>
      <c r="H83" s="145"/>
      <c r="I83" s="129"/>
      <c r="J83" s="129"/>
      <c r="K83" s="146"/>
    </row>
    <row r="84" spans="1:11" s="53" customFormat="1" x14ac:dyDescent="0.3">
      <c r="A84" s="149"/>
      <c r="B84" s="150" t="str">
        <f>IF(Table24[[#This Row],[Affected CMS
(§63.567(o)(3)(ix), §63.567(o)(6)(ii))
(Select from dropdown)]]="","",VLOOKUP(Table24[[#This Row],[Affected CMS
(§63.567(o)(3)(ix), §63.567(o)(6)(ii))
(Select from dropdown)]],Table22[],2,FALSE))</f>
        <v/>
      </c>
      <c r="C84" s="129"/>
      <c r="D84" s="129"/>
      <c r="E84" s="131"/>
      <c r="F84" s="139"/>
      <c r="G84" s="145"/>
      <c r="H84" s="145"/>
      <c r="I84" s="129"/>
      <c r="J84" s="129"/>
      <c r="K84" s="146"/>
    </row>
    <row r="85" spans="1:11" s="53" customFormat="1" x14ac:dyDescent="0.3">
      <c r="A85" s="149"/>
      <c r="B85" s="150" t="str">
        <f>IF(Table24[[#This Row],[Affected CMS
(§63.567(o)(3)(ix), §63.567(o)(6)(ii))
(Select from dropdown)]]="","",VLOOKUP(Table24[[#This Row],[Affected CMS
(§63.567(o)(3)(ix), §63.567(o)(6)(ii))
(Select from dropdown)]],Table22[],2,FALSE))</f>
        <v/>
      </c>
      <c r="C85" s="129"/>
      <c r="D85" s="129"/>
      <c r="E85" s="131"/>
      <c r="F85" s="139"/>
      <c r="G85" s="145"/>
      <c r="H85" s="145"/>
      <c r="I85" s="129"/>
      <c r="J85" s="129"/>
      <c r="K85" s="146"/>
    </row>
    <row r="86" spans="1:11" s="53" customFormat="1" x14ac:dyDescent="0.3">
      <c r="A86" s="149"/>
      <c r="B86" s="150" t="str">
        <f>IF(Table24[[#This Row],[Affected CMS
(§63.567(o)(3)(ix), §63.567(o)(6)(ii))
(Select from dropdown)]]="","",VLOOKUP(Table24[[#This Row],[Affected CMS
(§63.567(o)(3)(ix), §63.567(o)(6)(ii))
(Select from dropdown)]],Table22[],2,FALSE))</f>
        <v/>
      </c>
      <c r="C86" s="129"/>
      <c r="D86" s="129"/>
      <c r="E86" s="131"/>
      <c r="F86" s="139"/>
      <c r="G86" s="145"/>
      <c r="H86" s="145"/>
      <c r="I86" s="129"/>
      <c r="J86" s="129"/>
      <c r="K86" s="146"/>
    </row>
    <row r="87" spans="1:11" s="53" customFormat="1" x14ac:dyDescent="0.3">
      <c r="A87" s="149"/>
      <c r="B87" s="150" t="str">
        <f>IF(Table24[[#This Row],[Affected CMS
(§63.567(o)(3)(ix), §63.567(o)(6)(ii))
(Select from dropdown)]]="","",VLOOKUP(Table24[[#This Row],[Affected CMS
(§63.567(o)(3)(ix), §63.567(o)(6)(ii))
(Select from dropdown)]],Table22[],2,FALSE))</f>
        <v/>
      </c>
      <c r="C87" s="129"/>
      <c r="D87" s="129"/>
      <c r="E87" s="131"/>
      <c r="F87" s="139"/>
      <c r="G87" s="145"/>
      <c r="H87" s="145"/>
      <c r="I87" s="129"/>
      <c r="J87" s="129"/>
      <c r="K87" s="146"/>
    </row>
    <row r="88" spans="1:11" s="53" customFormat="1" x14ac:dyDescent="0.3">
      <c r="A88" s="149"/>
      <c r="B88" s="150" t="str">
        <f>IF(Table24[[#This Row],[Affected CMS
(§63.567(o)(3)(ix), §63.567(o)(6)(ii))
(Select from dropdown)]]="","",VLOOKUP(Table24[[#This Row],[Affected CMS
(§63.567(o)(3)(ix), §63.567(o)(6)(ii))
(Select from dropdown)]],Table22[],2,FALSE))</f>
        <v/>
      </c>
      <c r="C88" s="129"/>
      <c r="D88" s="129"/>
      <c r="E88" s="131"/>
      <c r="F88" s="139"/>
      <c r="G88" s="145"/>
      <c r="H88" s="145"/>
      <c r="I88" s="129"/>
      <c r="J88" s="129"/>
      <c r="K88" s="146"/>
    </row>
    <row r="89" spans="1:11" s="53" customFormat="1" x14ac:dyDescent="0.3">
      <c r="A89" s="149"/>
      <c r="B89" s="150" t="str">
        <f>IF(Table24[[#This Row],[Affected CMS
(§63.567(o)(3)(ix), §63.567(o)(6)(ii))
(Select from dropdown)]]="","",VLOOKUP(Table24[[#This Row],[Affected CMS
(§63.567(o)(3)(ix), §63.567(o)(6)(ii))
(Select from dropdown)]],Table22[],2,FALSE))</f>
        <v/>
      </c>
      <c r="C89" s="129"/>
      <c r="D89" s="129"/>
      <c r="E89" s="131"/>
      <c r="F89" s="139"/>
      <c r="G89" s="145"/>
      <c r="H89" s="145"/>
      <c r="I89" s="129"/>
      <c r="J89" s="129"/>
      <c r="K89" s="146"/>
    </row>
    <row r="90" spans="1:11" s="53" customFormat="1" x14ac:dyDescent="0.3">
      <c r="A90" s="149"/>
      <c r="B90" s="150" t="str">
        <f>IF(Table24[[#This Row],[Affected CMS
(§63.567(o)(3)(ix), §63.567(o)(6)(ii))
(Select from dropdown)]]="","",VLOOKUP(Table24[[#This Row],[Affected CMS
(§63.567(o)(3)(ix), §63.567(o)(6)(ii))
(Select from dropdown)]],Table22[],2,FALSE))</f>
        <v/>
      </c>
      <c r="C90" s="129"/>
      <c r="D90" s="129"/>
      <c r="E90" s="131"/>
      <c r="F90" s="139"/>
      <c r="G90" s="145"/>
      <c r="H90" s="145"/>
      <c r="I90" s="129"/>
      <c r="J90" s="129"/>
      <c r="K90" s="146"/>
    </row>
    <row r="91" spans="1:11" s="53" customFormat="1" x14ac:dyDescent="0.3">
      <c r="A91" s="149"/>
      <c r="B91" s="150" t="str">
        <f>IF(Table24[[#This Row],[Affected CMS
(§63.567(o)(3)(ix), §63.567(o)(6)(ii))
(Select from dropdown)]]="","",VLOOKUP(Table24[[#This Row],[Affected CMS
(§63.567(o)(3)(ix), §63.567(o)(6)(ii))
(Select from dropdown)]],Table22[],2,FALSE))</f>
        <v/>
      </c>
      <c r="C91" s="129"/>
      <c r="D91" s="129"/>
      <c r="E91" s="131"/>
      <c r="F91" s="139"/>
      <c r="G91" s="145"/>
      <c r="H91" s="145"/>
      <c r="I91" s="129"/>
      <c r="J91" s="129"/>
      <c r="K91" s="146"/>
    </row>
    <row r="92" spans="1:11" s="53" customFormat="1" x14ac:dyDescent="0.3">
      <c r="A92" s="149"/>
      <c r="B92" s="150" t="str">
        <f>IF(Table24[[#This Row],[Affected CMS
(§63.567(o)(3)(ix), §63.567(o)(6)(ii))
(Select from dropdown)]]="","",VLOOKUP(Table24[[#This Row],[Affected CMS
(§63.567(o)(3)(ix), §63.567(o)(6)(ii))
(Select from dropdown)]],Table22[],2,FALSE))</f>
        <v/>
      </c>
      <c r="C92" s="129"/>
      <c r="D92" s="129"/>
      <c r="E92" s="131"/>
      <c r="F92" s="139"/>
      <c r="G92" s="145"/>
      <c r="H92" s="145"/>
      <c r="I92" s="129"/>
      <c r="J92" s="129"/>
      <c r="K92" s="146"/>
    </row>
    <row r="93" spans="1:11" s="53" customFormat="1" x14ac:dyDescent="0.3">
      <c r="A93" s="149"/>
      <c r="B93" s="150" t="str">
        <f>IF(Table24[[#This Row],[Affected CMS
(§63.567(o)(3)(ix), §63.567(o)(6)(ii))
(Select from dropdown)]]="","",VLOOKUP(Table24[[#This Row],[Affected CMS
(§63.567(o)(3)(ix), §63.567(o)(6)(ii))
(Select from dropdown)]],Table22[],2,FALSE))</f>
        <v/>
      </c>
      <c r="C93" s="129"/>
      <c r="D93" s="129"/>
      <c r="E93" s="131"/>
      <c r="F93" s="139"/>
      <c r="G93" s="145"/>
      <c r="H93" s="145"/>
      <c r="I93" s="129"/>
      <c r="J93" s="129"/>
      <c r="K93" s="146"/>
    </row>
    <row r="94" spans="1:11" s="53" customFormat="1" x14ac:dyDescent="0.3">
      <c r="A94" s="149"/>
      <c r="B94" s="150" t="str">
        <f>IF(Table24[[#This Row],[Affected CMS
(§63.567(o)(3)(ix), §63.567(o)(6)(ii))
(Select from dropdown)]]="","",VLOOKUP(Table24[[#This Row],[Affected CMS
(§63.567(o)(3)(ix), §63.567(o)(6)(ii))
(Select from dropdown)]],Table22[],2,FALSE))</f>
        <v/>
      </c>
      <c r="C94" s="129"/>
      <c r="D94" s="129"/>
      <c r="E94" s="131"/>
      <c r="F94" s="139"/>
      <c r="G94" s="145"/>
      <c r="H94" s="145"/>
      <c r="I94" s="129"/>
      <c r="J94" s="129"/>
      <c r="K94" s="146"/>
    </row>
    <row r="95" spans="1:11" s="53" customFormat="1" x14ac:dyDescent="0.3">
      <c r="A95" s="149"/>
      <c r="B95" s="150" t="str">
        <f>IF(Table24[[#This Row],[Affected CMS
(§63.567(o)(3)(ix), §63.567(o)(6)(ii))
(Select from dropdown)]]="","",VLOOKUP(Table24[[#This Row],[Affected CMS
(§63.567(o)(3)(ix), §63.567(o)(6)(ii))
(Select from dropdown)]],Table22[],2,FALSE))</f>
        <v/>
      </c>
      <c r="C95" s="129"/>
      <c r="D95" s="129"/>
      <c r="E95" s="131"/>
      <c r="F95" s="139"/>
      <c r="G95" s="145"/>
      <c r="H95" s="145"/>
      <c r="I95" s="129"/>
      <c r="J95" s="129"/>
      <c r="K95" s="146"/>
    </row>
    <row r="96" spans="1:11" s="53" customFormat="1" x14ac:dyDescent="0.3">
      <c r="A96" s="149"/>
      <c r="B96" s="150" t="str">
        <f>IF(Table24[[#This Row],[Affected CMS
(§63.567(o)(3)(ix), §63.567(o)(6)(ii))
(Select from dropdown)]]="","",VLOOKUP(Table24[[#This Row],[Affected CMS
(§63.567(o)(3)(ix), §63.567(o)(6)(ii))
(Select from dropdown)]],Table22[],2,FALSE))</f>
        <v/>
      </c>
      <c r="C96" s="129"/>
      <c r="D96" s="129"/>
      <c r="E96" s="131"/>
      <c r="F96" s="139"/>
      <c r="G96" s="145"/>
      <c r="H96" s="145"/>
      <c r="I96" s="129"/>
      <c r="J96" s="129"/>
      <c r="K96" s="146"/>
    </row>
    <row r="97" spans="1:11" s="53" customFormat="1" x14ac:dyDescent="0.3">
      <c r="A97" s="149"/>
      <c r="B97" s="150" t="str">
        <f>IF(Table24[[#This Row],[Affected CMS
(§63.567(o)(3)(ix), §63.567(o)(6)(ii))
(Select from dropdown)]]="","",VLOOKUP(Table24[[#This Row],[Affected CMS
(§63.567(o)(3)(ix), §63.567(o)(6)(ii))
(Select from dropdown)]],Table22[],2,FALSE))</f>
        <v/>
      </c>
      <c r="C97" s="129"/>
      <c r="D97" s="129"/>
      <c r="E97" s="131"/>
      <c r="F97" s="139"/>
      <c r="G97" s="145"/>
      <c r="H97" s="145"/>
      <c r="I97" s="129"/>
      <c r="J97" s="129"/>
      <c r="K97" s="146"/>
    </row>
    <row r="98" spans="1:11" s="53" customFormat="1" x14ac:dyDescent="0.3">
      <c r="A98" s="149"/>
      <c r="B98" s="150" t="str">
        <f>IF(Table24[[#This Row],[Affected CMS
(§63.567(o)(3)(ix), §63.567(o)(6)(ii))
(Select from dropdown)]]="","",VLOOKUP(Table24[[#This Row],[Affected CMS
(§63.567(o)(3)(ix), §63.567(o)(6)(ii))
(Select from dropdown)]],Table22[],2,FALSE))</f>
        <v/>
      </c>
      <c r="C98" s="129"/>
      <c r="D98" s="129"/>
      <c r="E98" s="131"/>
      <c r="F98" s="139"/>
      <c r="G98" s="145"/>
      <c r="H98" s="145"/>
      <c r="I98" s="129"/>
      <c r="J98" s="129"/>
      <c r="K98" s="146"/>
    </row>
    <row r="99" spans="1:11" s="53" customFormat="1" x14ac:dyDescent="0.3">
      <c r="A99" s="149"/>
      <c r="B99" s="150" t="str">
        <f>IF(Table24[[#This Row],[Affected CMS
(§63.567(o)(3)(ix), §63.567(o)(6)(ii))
(Select from dropdown)]]="","",VLOOKUP(Table24[[#This Row],[Affected CMS
(§63.567(o)(3)(ix), §63.567(o)(6)(ii))
(Select from dropdown)]],Table22[],2,FALSE))</f>
        <v/>
      </c>
      <c r="C99" s="129"/>
      <c r="D99" s="129"/>
      <c r="E99" s="131"/>
      <c r="F99" s="139"/>
      <c r="G99" s="145"/>
      <c r="H99" s="145"/>
      <c r="I99" s="129"/>
      <c r="J99" s="129"/>
      <c r="K99" s="146"/>
    </row>
    <row r="100" spans="1:11" s="53" customFormat="1" x14ac:dyDescent="0.3">
      <c r="A100" s="149"/>
      <c r="B100" s="150" t="str">
        <f>IF(Table24[[#This Row],[Affected CMS
(§63.567(o)(3)(ix), §63.567(o)(6)(ii))
(Select from dropdown)]]="","",VLOOKUP(Table24[[#This Row],[Affected CMS
(§63.567(o)(3)(ix), §63.567(o)(6)(ii))
(Select from dropdown)]],Table22[],2,FALSE))</f>
        <v/>
      </c>
      <c r="C100" s="129"/>
      <c r="D100" s="129"/>
      <c r="E100" s="131"/>
      <c r="F100" s="139"/>
      <c r="G100" s="145"/>
      <c r="H100" s="145"/>
      <c r="I100" s="129"/>
      <c r="J100" s="129"/>
      <c r="K100" s="146"/>
    </row>
    <row r="101" spans="1:11" s="53" customFormat="1" x14ac:dyDescent="0.3">
      <c r="A101" s="149"/>
      <c r="B101" s="150" t="str">
        <f>IF(Table24[[#This Row],[Affected CMS
(§63.567(o)(3)(ix), §63.567(o)(6)(ii))
(Select from dropdown)]]="","",VLOOKUP(Table24[[#This Row],[Affected CMS
(§63.567(o)(3)(ix), §63.567(o)(6)(ii))
(Select from dropdown)]],Table22[],2,FALSE))</f>
        <v/>
      </c>
      <c r="C101" s="129"/>
      <c r="D101" s="129"/>
      <c r="E101" s="131"/>
      <c r="F101" s="139"/>
      <c r="G101" s="145"/>
      <c r="H101" s="145"/>
      <c r="I101" s="129"/>
      <c r="J101" s="129"/>
      <c r="K101" s="146"/>
    </row>
    <row r="102" spans="1:11" s="53" customFormat="1" x14ac:dyDescent="0.3">
      <c r="A102" s="149"/>
      <c r="B102" s="150" t="str">
        <f>IF(Table24[[#This Row],[Affected CMS
(§63.567(o)(3)(ix), §63.567(o)(6)(ii))
(Select from dropdown)]]="","",VLOOKUP(Table24[[#This Row],[Affected CMS
(§63.567(o)(3)(ix), §63.567(o)(6)(ii))
(Select from dropdown)]],Table22[],2,FALSE))</f>
        <v/>
      </c>
      <c r="C102" s="129"/>
      <c r="D102" s="129"/>
      <c r="E102" s="131"/>
      <c r="F102" s="139"/>
      <c r="G102" s="145"/>
      <c r="H102" s="145"/>
      <c r="I102" s="129"/>
      <c r="J102" s="129"/>
      <c r="K102" s="146"/>
    </row>
    <row r="103" spans="1:11" s="53" customFormat="1" x14ac:dyDescent="0.3">
      <c r="A103" s="149"/>
      <c r="B103" s="150" t="str">
        <f>IF(Table24[[#This Row],[Affected CMS
(§63.567(o)(3)(ix), §63.567(o)(6)(ii))
(Select from dropdown)]]="","",VLOOKUP(Table24[[#This Row],[Affected CMS
(§63.567(o)(3)(ix), §63.567(o)(6)(ii))
(Select from dropdown)]],Table22[],2,FALSE))</f>
        <v/>
      </c>
      <c r="C103" s="129"/>
      <c r="D103" s="129"/>
      <c r="E103" s="131"/>
      <c r="F103" s="139"/>
      <c r="G103" s="145"/>
      <c r="H103" s="145"/>
      <c r="I103" s="129"/>
      <c r="J103" s="129"/>
      <c r="K103" s="146"/>
    </row>
    <row r="104" spans="1:11" s="53" customFormat="1" x14ac:dyDescent="0.3">
      <c r="A104" s="149"/>
      <c r="B104" s="150" t="str">
        <f>IF(Table24[[#This Row],[Affected CMS
(§63.567(o)(3)(ix), §63.567(o)(6)(ii))
(Select from dropdown)]]="","",VLOOKUP(Table24[[#This Row],[Affected CMS
(§63.567(o)(3)(ix), §63.567(o)(6)(ii))
(Select from dropdown)]],Table22[],2,FALSE))</f>
        <v/>
      </c>
      <c r="C104" s="129"/>
      <c r="D104" s="129"/>
      <c r="E104" s="131"/>
      <c r="F104" s="139"/>
      <c r="G104" s="145"/>
      <c r="H104" s="145"/>
      <c r="I104" s="129"/>
      <c r="J104" s="129"/>
      <c r="K104" s="146"/>
    </row>
    <row r="105" spans="1:11" s="53" customFormat="1" x14ac:dyDescent="0.3">
      <c r="A105" s="149"/>
      <c r="B105" s="150" t="str">
        <f>IF(Table24[[#This Row],[Affected CMS
(§63.567(o)(3)(ix), §63.567(o)(6)(ii))
(Select from dropdown)]]="","",VLOOKUP(Table24[[#This Row],[Affected CMS
(§63.567(o)(3)(ix), §63.567(o)(6)(ii))
(Select from dropdown)]],Table22[],2,FALSE))</f>
        <v/>
      </c>
      <c r="C105" s="129"/>
      <c r="D105" s="129"/>
      <c r="E105" s="131"/>
      <c r="F105" s="139"/>
      <c r="G105" s="145"/>
      <c r="H105" s="145"/>
      <c r="I105" s="129"/>
      <c r="J105" s="129"/>
      <c r="K105" s="146"/>
    </row>
    <row r="106" spans="1:11" s="53" customFormat="1" x14ac:dyDescent="0.3">
      <c r="A106" s="149"/>
      <c r="B106" s="150" t="str">
        <f>IF(Table24[[#This Row],[Affected CMS
(§63.567(o)(3)(ix), §63.567(o)(6)(ii))
(Select from dropdown)]]="","",VLOOKUP(Table24[[#This Row],[Affected CMS
(§63.567(o)(3)(ix), §63.567(o)(6)(ii))
(Select from dropdown)]],Table22[],2,FALSE))</f>
        <v/>
      </c>
      <c r="C106" s="129"/>
      <c r="D106" s="129"/>
      <c r="E106" s="131"/>
      <c r="F106" s="139"/>
      <c r="G106" s="145"/>
      <c r="H106" s="145"/>
      <c r="I106" s="129"/>
      <c r="J106" s="129"/>
      <c r="K106" s="146"/>
    </row>
    <row r="107" spans="1:11" s="53" customFormat="1" x14ac:dyDescent="0.3">
      <c r="A107" s="149"/>
      <c r="B107" s="150" t="str">
        <f>IF(Table24[[#This Row],[Affected CMS
(§63.567(o)(3)(ix), §63.567(o)(6)(ii))
(Select from dropdown)]]="","",VLOOKUP(Table24[[#This Row],[Affected CMS
(§63.567(o)(3)(ix), §63.567(o)(6)(ii))
(Select from dropdown)]],Table22[],2,FALSE))</f>
        <v/>
      </c>
      <c r="C107" s="129"/>
      <c r="D107" s="129"/>
      <c r="E107" s="131"/>
      <c r="F107" s="139"/>
      <c r="G107" s="145"/>
      <c r="H107" s="145"/>
      <c r="I107" s="129"/>
      <c r="J107" s="129"/>
      <c r="K107" s="146"/>
    </row>
    <row r="108" spans="1:11" s="53" customFormat="1" x14ac:dyDescent="0.3">
      <c r="A108" s="149"/>
      <c r="B108" s="150" t="str">
        <f>IF(Table24[[#This Row],[Affected CMS
(§63.567(o)(3)(ix), §63.567(o)(6)(ii))
(Select from dropdown)]]="","",VLOOKUP(Table24[[#This Row],[Affected CMS
(§63.567(o)(3)(ix), §63.567(o)(6)(ii))
(Select from dropdown)]],Table22[],2,FALSE))</f>
        <v/>
      </c>
      <c r="C108" s="129"/>
      <c r="D108" s="129"/>
      <c r="E108" s="131"/>
      <c r="F108" s="139"/>
      <c r="G108" s="145"/>
      <c r="H108" s="145"/>
      <c r="I108" s="129"/>
      <c r="J108" s="129"/>
      <c r="K108" s="146"/>
    </row>
    <row r="109" spans="1:11" s="53" customFormat="1" x14ac:dyDescent="0.3">
      <c r="A109" s="149"/>
      <c r="B109" s="150" t="str">
        <f>IF(Table24[[#This Row],[Affected CMS
(§63.567(o)(3)(ix), §63.567(o)(6)(ii))
(Select from dropdown)]]="","",VLOOKUP(Table24[[#This Row],[Affected CMS
(§63.567(o)(3)(ix), §63.567(o)(6)(ii))
(Select from dropdown)]],Table22[],2,FALSE))</f>
        <v/>
      </c>
      <c r="C109" s="129"/>
      <c r="D109" s="129"/>
      <c r="E109" s="131"/>
      <c r="F109" s="139"/>
      <c r="G109" s="145"/>
      <c r="H109" s="145"/>
      <c r="I109" s="129"/>
      <c r="J109" s="129"/>
      <c r="K109" s="146"/>
    </row>
    <row r="110" spans="1:11" s="53" customFormat="1" x14ac:dyDescent="0.3">
      <c r="A110" s="149"/>
      <c r="B110" s="150" t="str">
        <f>IF(Table24[[#This Row],[Affected CMS
(§63.567(o)(3)(ix), §63.567(o)(6)(ii))
(Select from dropdown)]]="","",VLOOKUP(Table24[[#This Row],[Affected CMS
(§63.567(o)(3)(ix), §63.567(o)(6)(ii))
(Select from dropdown)]],Table22[],2,FALSE))</f>
        <v/>
      </c>
      <c r="C110" s="129"/>
      <c r="D110" s="129"/>
      <c r="E110" s="131"/>
      <c r="F110" s="139"/>
      <c r="G110" s="145"/>
      <c r="H110" s="145"/>
      <c r="I110" s="129"/>
      <c r="J110" s="129"/>
      <c r="K110" s="146"/>
    </row>
    <row r="111" spans="1:11" s="53" customFormat="1" x14ac:dyDescent="0.3">
      <c r="A111" s="149"/>
      <c r="B111" s="150" t="str">
        <f>IF(Table24[[#This Row],[Affected CMS
(§63.567(o)(3)(ix), §63.567(o)(6)(ii))
(Select from dropdown)]]="","",VLOOKUP(Table24[[#This Row],[Affected CMS
(§63.567(o)(3)(ix), §63.567(o)(6)(ii))
(Select from dropdown)]],Table22[],2,FALSE))</f>
        <v/>
      </c>
      <c r="C111" s="129"/>
      <c r="D111" s="129"/>
      <c r="E111" s="131"/>
      <c r="F111" s="139"/>
      <c r="G111" s="145"/>
      <c r="H111" s="145"/>
      <c r="I111" s="129"/>
      <c r="J111" s="129"/>
      <c r="K111" s="146"/>
    </row>
    <row r="112" spans="1:11" s="53" customFormat="1" x14ac:dyDescent="0.3">
      <c r="A112" s="149"/>
      <c r="B112" s="150" t="str">
        <f>IF(Table24[[#This Row],[Affected CMS
(§63.567(o)(3)(ix), §63.567(o)(6)(ii))
(Select from dropdown)]]="","",VLOOKUP(Table24[[#This Row],[Affected CMS
(§63.567(o)(3)(ix), §63.567(o)(6)(ii))
(Select from dropdown)]],Table22[],2,FALSE))</f>
        <v/>
      </c>
      <c r="C112" s="129"/>
      <c r="D112" s="129"/>
      <c r="E112" s="131"/>
      <c r="F112" s="139"/>
      <c r="G112" s="145"/>
      <c r="H112" s="145"/>
      <c r="I112" s="129"/>
      <c r="J112" s="129"/>
      <c r="K112" s="146"/>
    </row>
    <row r="113" spans="1:11" s="53" customFormat="1" x14ac:dyDescent="0.3">
      <c r="A113" s="149"/>
      <c r="B113" s="150" t="str">
        <f>IF(Table24[[#This Row],[Affected CMS
(§63.567(o)(3)(ix), §63.567(o)(6)(ii))
(Select from dropdown)]]="","",VLOOKUP(Table24[[#This Row],[Affected CMS
(§63.567(o)(3)(ix), §63.567(o)(6)(ii))
(Select from dropdown)]],Table22[],2,FALSE))</f>
        <v/>
      </c>
      <c r="C113" s="129"/>
      <c r="D113" s="129"/>
      <c r="E113" s="131"/>
      <c r="F113" s="139"/>
      <c r="G113" s="145"/>
      <c r="H113" s="145"/>
      <c r="I113" s="129"/>
      <c r="J113" s="129"/>
      <c r="K113" s="146"/>
    </row>
    <row r="114" spans="1:11" s="53" customFormat="1" x14ac:dyDescent="0.3">
      <c r="A114" s="149"/>
      <c r="B114" s="150" t="str">
        <f>IF(Table24[[#This Row],[Affected CMS
(§63.567(o)(3)(ix), §63.567(o)(6)(ii))
(Select from dropdown)]]="","",VLOOKUP(Table24[[#This Row],[Affected CMS
(§63.567(o)(3)(ix), §63.567(o)(6)(ii))
(Select from dropdown)]],Table22[],2,FALSE))</f>
        <v/>
      </c>
      <c r="C114" s="129"/>
      <c r="D114" s="129"/>
      <c r="E114" s="131"/>
      <c r="F114" s="139"/>
      <c r="G114" s="145"/>
      <c r="H114" s="145"/>
      <c r="I114" s="129"/>
      <c r="J114" s="129"/>
      <c r="K114" s="146"/>
    </row>
    <row r="115" spans="1:11" s="53" customFormat="1" x14ac:dyDescent="0.3">
      <c r="A115" s="149"/>
      <c r="B115" s="150" t="str">
        <f>IF(Table24[[#This Row],[Affected CMS
(§63.567(o)(3)(ix), §63.567(o)(6)(ii))
(Select from dropdown)]]="","",VLOOKUP(Table24[[#This Row],[Affected CMS
(§63.567(o)(3)(ix), §63.567(o)(6)(ii))
(Select from dropdown)]],Table22[],2,FALSE))</f>
        <v/>
      </c>
      <c r="C115" s="129"/>
      <c r="D115" s="129"/>
      <c r="E115" s="131"/>
      <c r="F115" s="139"/>
      <c r="G115" s="145"/>
      <c r="H115" s="145"/>
      <c r="I115" s="129"/>
      <c r="J115" s="129"/>
      <c r="K115" s="146"/>
    </row>
    <row r="116" spans="1:11" s="53" customFormat="1" x14ac:dyDescent="0.3">
      <c r="A116" s="149"/>
      <c r="B116" s="150" t="str">
        <f>IF(Table24[[#This Row],[Affected CMS
(§63.567(o)(3)(ix), §63.567(o)(6)(ii))
(Select from dropdown)]]="","",VLOOKUP(Table24[[#This Row],[Affected CMS
(§63.567(o)(3)(ix), §63.567(o)(6)(ii))
(Select from dropdown)]],Table22[],2,FALSE))</f>
        <v/>
      </c>
      <c r="C116" s="129"/>
      <c r="D116" s="129"/>
      <c r="E116" s="131"/>
      <c r="F116" s="139"/>
      <c r="G116" s="145"/>
      <c r="H116" s="145"/>
      <c r="I116" s="129"/>
      <c r="J116" s="129"/>
      <c r="K116" s="146"/>
    </row>
    <row r="117" spans="1:11" s="53" customFormat="1" x14ac:dyDescent="0.3">
      <c r="A117" s="149"/>
      <c r="B117" s="150" t="str">
        <f>IF(Table24[[#This Row],[Affected CMS
(§63.567(o)(3)(ix), §63.567(o)(6)(ii))
(Select from dropdown)]]="","",VLOOKUP(Table24[[#This Row],[Affected CMS
(§63.567(o)(3)(ix), §63.567(o)(6)(ii))
(Select from dropdown)]],Table22[],2,FALSE))</f>
        <v/>
      </c>
      <c r="C117" s="129"/>
      <c r="D117" s="129"/>
      <c r="E117" s="131"/>
      <c r="F117" s="139"/>
      <c r="G117" s="145"/>
      <c r="H117" s="145"/>
      <c r="I117" s="129"/>
      <c r="J117" s="129"/>
      <c r="K117" s="146"/>
    </row>
    <row r="118" spans="1:11" s="53" customFormat="1" x14ac:dyDescent="0.3">
      <c r="A118" s="149"/>
      <c r="B118" s="150" t="str">
        <f>IF(Table24[[#This Row],[Affected CMS
(§63.567(o)(3)(ix), §63.567(o)(6)(ii))
(Select from dropdown)]]="","",VLOOKUP(Table24[[#This Row],[Affected CMS
(§63.567(o)(3)(ix), §63.567(o)(6)(ii))
(Select from dropdown)]],Table22[],2,FALSE))</f>
        <v/>
      </c>
      <c r="C118" s="129"/>
      <c r="D118" s="129"/>
      <c r="E118" s="131"/>
      <c r="F118" s="139"/>
      <c r="G118" s="145"/>
      <c r="H118" s="145"/>
      <c r="I118" s="129"/>
      <c r="J118" s="129"/>
      <c r="K118" s="146"/>
    </row>
    <row r="119" spans="1:11" s="53" customFormat="1" x14ac:dyDescent="0.3">
      <c r="A119" s="149"/>
      <c r="B119" s="150" t="str">
        <f>IF(Table24[[#This Row],[Affected CMS
(§63.567(o)(3)(ix), §63.567(o)(6)(ii))
(Select from dropdown)]]="","",VLOOKUP(Table24[[#This Row],[Affected CMS
(§63.567(o)(3)(ix), §63.567(o)(6)(ii))
(Select from dropdown)]],Table22[],2,FALSE))</f>
        <v/>
      </c>
      <c r="C119" s="129"/>
      <c r="D119" s="129"/>
      <c r="E119" s="131"/>
      <c r="F119" s="139"/>
      <c r="G119" s="145"/>
      <c r="H119" s="145"/>
      <c r="I119" s="129"/>
      <c r="J119" s="129"/>
      <c r="K119" s="146"/>
    </row>
    <row r="120" spans="1:11" s="53" customFormat="1" x14ac:dyDescent="0.3">
      <c r="A120" s="149"/>
      <c r="B120" s="150" t="str">
        <f>IF(Table24[[#This Row],[Affected CMS
(§63.567(o)(3)(ix), §63.567(o)(6)(ii))
(Select from dropdown)]]="","",VLOOKUP(Table24[[#This Row],[Affected CMS
(§63.567(o)(3)(ix), §63.567(o)(6)(ii))
(Select from dropdown)]],Table22[],2,FALSE))</f>
        <v/>
      </c>
      <c r="C120" s="129"/>
      <c r="D120" s="129"/>
      <c r="E120" s="131"/>
      <c r="F120" s="139"/>
      <c r="G120" s="145"/>
      <c r="H120" s="145"/>
      <c r="I120" s="129"/>
      <c r="J120" s="129"/>
      <c r="K120" s="146"/>
    </row>
    <row r="121" spans="1:11" s="53" customFormat="1" x14ac:dyDescent="0.3">
      <c r="A121" s="149"/>
      <c r="B121" s="150" t="str">
        <f>IF(Table24[[#This Row],[Affected CMS
(§63.567(o)(3)(ix), §63.567(o)(6)(ii))
(Select from dropdown)]]="","",VLOOKUP(Table24[[#This Row],[Affected CMS
(§63.567(o)(3)(ix), §63.567(o)(6)(ii))
(Select from dropdown)]],Table22[],2,FALSE))</f>
        <v/>
      </c>
      <c r="C121" s="129"/>
      <c r="D121" s="129"/>
      <c r="E121" s="131"/>
      <c r="F121" s="139"/>
      <c r="G121" s="145"/>
      <c r="H121" s="145"/>
      <c r="I121" s="129"/>
      <c r="J121" s="129"/>
      <c r="K121" s="146"/>
    </row>
    <row r="122" spans="1:11" s="53" customFormat="1" x14ac:dyDescent="0.3">
      <c r="A122" s="149"/>
      <c r="B122" s="150" t="str">
        <f>IF(Table24[[#This Row],[Affected CMS
(§63.567(o)(3)(ix), §63.567(o)(6)(ii))
(Select from dropdown)]]="","",VLOOKUP(Table24[[#This Row],[Affected CMS
(§63.567(o)(3)(ix), §63.567(o)(6)(ii))
(Select from dropdown)]],Table22[],2,FALSE))</f>
        <v/>
      </c>
      <c r="C122" s="129"/>
      <c r="D122" s="129"/>
      <c r="E122" s="131"/>
      <c r="F122" s="139"/>
      <c r="G122" s="145"/>
      <c r="H122" s="145"/>
      <c r="I122" s="129"/>
      <c r="J122" s="129"/>
      <c r="K122" s="146"/>
    </row>
    <row r="123" spans="1:11" s="53" customFormat="1" x14ac:dyDescent="0.3">
      <c r="A123" s="149"/>
      <c r="B123" s="150" t="str">
        <f>IF(Table24[[#This Row],[Affected CMS
(§63.567(o)(3)(ix), §63.567(o)(6)(ii))
(Select from dropdown)]]="","",VLOOKUP(Table24[[#This Row],[Affected CMS
(§63.567(o)(3)(ix), §63.567(o)(6)(ii))
(Select from dropdown)]],Table22[],2,FALSE))</f>
        <v/>
      </c>
      <c r="C123" s="129"/>
      <c r="D123" s="129"/>
      <c r="E123" s="131"/>
      <c r="F123" s="139"/>
      <c r="G123" s="145"/>
      <c r="H123" s="145"/>
      <c r="I123" s="129"/>
      <c r="J123" s="129"/>
      <c r="K123" s="146"/>
    </row>
    <row r="124" spans="1:11" s="53" customFormat="1" x14ac:dyDescent="0.3">
      <c r="A124" s="149"/>
      <c r="B124" s="150" t="str">
        <f>IF(Table24[[#This Row],[Affected CMS
(§63.567(o)(3)(ix), §63.567(o)(6)(ii))
(Select from dropdown)]]="","",VLOOKUP(Table24[[#This Row],[Affected CMS
(§63.567(o)(3)(ix), §63.567(o)(6)(ii))
(Select from dropdown)]],Table22[],2,FALSE))</f>
        <v/>
      </c>
      <c r="C124" s="129"/>
      <c r="D124" s="129"/>
      <c r="E124" s="131"/>
      <c r="F124" s="139"/>
      <c r="G124" s="145"/>
      <c r="H124" s="145"/>
      <c r="I124" s="129"/>
      <c r="J124" s="129"/>
      <c r="K124" s="146"/>
    </row>
    <row r="125" spans="1:11" s="53" customFormat="1" x14ac:dyDescent="0.3">
      <c r="A125" s="149"/>
      <c r="B125" s="150" t="str">
        <f>IF(Table24[[#This Row],[Affected CMS
(§63.567(o)(3)(ix), §63.567(o)(6)(ii))
(Select from dropdown)]]="","",VLOOKUP(Table24[[#This Row],[Affected CMS
(§63.567(o)(3)(ix), §63.567(o)(6)(ii))
(Select from dropdown)]],Table22[],2,FALSE))</f>
        <v/>
      </c>
      <c r="C125" s="129"/>
      <c r="D125" s="129"/>
      <c r="E125" s="131"/>
      <c r="F125" s="139"/>
      <c r="G125" s="145"/>
      <c r="H125" s="145"/>
      <c r="I125" s="129"/>
      <c r="J125" s="129"/>
      <c r="K125" s="146"/>
    </row>
    <row r="126" spans="1:11" s="53" customFormat="1" x14ac:dyDescent="0.3">
      <c r="A126" s="149"/>
      <c r="B126" s="150" t="str">
        <f>IF(Table24[[#This Row],[Affected CMS
(§63.567(o)(3)(ix), §63.567(o)(6)(ii))
(Select from dropdown)]]="","",VLOOKUP(Table24[[#This Row],[Affected CMS
(§63.567(o)(3)(ix), §63.567(o)(6)(ii))
(Select from dropdown)]],Table22[],2,FALSE))</f>
        <v/>
      </c>
      <c r="C126" s="129"/>
      <c r="D126" s="129"/>
      <c r="E126" s="131"/>
      <c r="F126" s="139"/>
      <c r="G126" s="145"/>
      <c r="H126" s="145"/>
      <c r="I126" s="129"/>
      <c r="J126" s="129"/>
      <c r="K126" s="146"/>
    </row>
    <row r="127" spans="1:11" s="53" customFormat="1" x14ac:dyDescent="0.3">
      <c r="A127" s="149"/>
      <c r="B127" s="150" t="str">
        <f>IF(Table24[[#This Row],[Affected CMS
(§63.567(o)(3)(ix), §63.567(o)(6)(ii))
(Select from dropdown)]]="","",VLOOKUP(Table24[[#This Row],[Affected CMS
(§63.567(o)(3)(ix), §63.567(o)(6)(ii))
(Select from dropdown)]],Table22[],2,FALSE))</f>
        <v/>
      </c>
      <c r="C127" s="129"/>
      <c r="D127" s="129"/>
      <c r="E127" s="131"/>
      <c r="F127" s="139"/>
      <c r="G127" s="145"/>
      <c r="H127" s="145"/>
      <c r="I127" s="129"/>
      <c r="J127" s="129"/>
      <c r="K127" s="146"/>
    </row>
    <row r="128" spans="1:11" s="53" customFormat="1" x14ac:dyDescent="0.3">
      <c r="A128" s="149"/>
      <c r="B128" s="150" t="str">
        <f>IF(Table24[[#This Row],[Affected CMS
(§63.567(o)(3)(ix), §63.567(o)(6)(ii))
(Select from dropdown)]]="","",VLOOKUP(Table24[[#This Row],[Affected CMS
(§63.567(o)(3)(ix), §63.567(o)(6)(ii))
(Select from dropdown)]],Table22[],2,FALSE))</f>
        <v/>
      </c>
      <c r="C128" s="129"/>
      <c r="D128" s="129"/>
      <c r="E128" s="131"/>
      <c r="F128" s="139"/>
      <c r="G128" s="145"/>
      <c r="H128" s="145"/>
      <c r="I128" s="129"/>
      <c r="J128" s="129"/>
      <c r="K128" s="146"/>
    </row>
    <row r="129" spans="1:11" s="53" customFormat="1" x14ac:dyDescent="0.3">
      <c r="A129" s="149"/>
      <c r="B129" s="150" t="str">
        <f>IF(Table24[[#This Row],[Affected CMS
(§63.567(o)(3)(ix), §63.567(o)(6)(ii))
(Select from dropdown)]]="","",VLOOKUP(Table24[[#This Row],[Affected CMS
(§63.567(o)(3)(ix), §63.567(o)(6)(ii))
(Select from dropdown)]],Table22[],2,FALSE))</f>
        <v/>
      </c>
      <c r="C129" s="129"/>
      <c r="D129" s="129"/>
      <c r="E129" s="131"/>
      <c r="F129" s="139"/>
      <c r="G129" s="145"/>
      <c r="H129" s="145"/>
      <c r="I129" s="129"/>
      <c r="J129" s="129"/>
      <c r="K129" s="146"/>
    </row>
    <row r="130" spans="1:11" s="53" customFormat="1" x14ac:dyDescent="0.3">
      <c r="A130" s="149"/>
      <c r="B130" s="150" t="str">
        <f>IF(Table24[[#This Row],[Affected CMS
(§63.567(o)(3)(ix), §63.567(o)(6)(ii))
(Select from dropdown)]]="","",VLOOKUP(Table24[[#This Row],[Affected CMS
(§63.567(o)(3)(ix), §63.567(o)(6)(ii))
(Select from dropdown)]],Table22[],2,FALSE))</f>
        <v/>
      </c>
      <c r="C130" s="129"/>
      <c r="D130" s="129"/>
      <c r="E130" s="131"/>
      <c r="F130" s="139"/>
      <c r="G130" s="145"/>
      <c r="H130" s="145"/>
      <c r="I130" s="129"/>
      <c r="J130" s="129"/>
      <c r="K130" s="146"/>
    </row>
    <row r="131" spans="1:11" s="53" customFormat="1" x14ac:dyDescent="0.3">
      <c r="A131" s="149"/>
      <c r="B131" s="150" t="str">
        <f>IF(Table24[[#This Row],[Affected CMS
(§63.567(o)(3)(ix), §63.567(o)(6)(ii))
(Select from dropdown)]]="","",VLOOKUP(Table24[[#This Row],[Affected CMS
(§63.567(o)(3)(ix), §63.567(o)(6)(ii))
(Select from dropdown)]],Table22[],2,FALSE))</f>
        <v/>
      </c>
      <c r="C131" s="129"/>
      <c r="D131" s="129"/>
      <c r="E131" s="131"/>
      <c r="F131" s="139"/>
      <c r="G131" s="145"/>
      <c r="H131" s="145"/>
      <c r="I131" s="129"/>
      <c r="J131" s="129"/>
      <c r="K131" s="146"/>
    </row>
    <row r="132" spans="1:11" s="53" customFormat="1" x14ac:dyDescent="0.3">
      <c r="A132" s="149"/>
      <c r="B132" s="150" t="str">
        <f>IF(Table24[[#This Row],[Affected CMS
(§63.567(o)(3)(ix), §63.567(o)(6)(ii))
(Select from dropdown)]]="","",VLOOKUP(Table24[[#This Row],[Affected CMS
(§63.567(o)(3)(ix), §63.567(o)(6)(ii))
(Select from dropdown)]],Table22[],2,FALSE))</f>
        <v/>
      </c>
      <c r="C132" s="129"/>
      <c r="D132" s="129"/>
      <c r="E132" s="131"/>
      <c r="F132" s="139"/>
      <c r="G132" s="145"/>
      <c r="H132" s="145"/>
      <c r="I132" s="129"/>
      <c r="J132" s="129"/>
      <c r="K132" s="146"/>
    </row>
    <row r="133" spans="1:11" s="53" customFormat="1" x14ac:dyDescent="0.3">
      <c r="A133" s="149"/>
      <c r="B133" s="150" t="str">
        <f>IF(Table24[[#This Row],[Affected CMS
(§63.567(o)(3)(ix), §63.567(o)(6)(ii))
(Select from dropdown)]]="","",VLOOKUP(Table24[[#This Row],[Affected CMS
(§63.567(o)(3)(ix), §63.567(o)(6)(ii))
(Select from dropdown)]],Table22[],2,FALSE))</f>
        <v/>
      </c>
      <c r="C133" s="129"/>
      <c r="D133" s="129"/>
      <c r="E133" s="131"/>
      <c r="F133" s="139"/>
      <c r="G133" s="145"/>
      <c r="H133" s="145"/>
      <c r="I133" s="129"/>
      <c r="J133" s="129"/>
      <c r="K133" s="146"/>
    </row>
    <row r="134" spans="1:11" s="53" customFormat="1" x14ac:dyDescent="0.3">
      <c r="A134" s="149"/>
      <c r="B134" s="150" t="str">
        <f>IF(Table24[[#This Row],[Affected CMS
(§63.567(o)(3)(ix), §63.567(o)(6)(ii))
(Select from dropdown)]]="","",VLOOKUP(Table24[[#This Row],[Affected CMS
(§63.567(o)(3)(ix), §63.567(o)(6)(ii))
(Select from dropdown)]],Table22[],2,FALSE))</f>
        <v/>
      </c>
      <c r="C134" s="129"/>
      <c r="D134" s="129"/>
      <c r="E134" s="131"/>
      <c r="F134" s="139"/>
      <c r="G134" s="145"/>
      <c r="H134" s="145"/>
      <c r="I134" s="129"/>
      <c r="J134" s="129"/>
      <c r="K134" s="146"/>
    </row>
    <row r="135" spans="1:11" s="53" customFormat="1" x14ac:dyDescent="0.3">
      <c r="A135" s="149"/>
      <c r="B135" s="150" t="str">
        <f>IF(Table24[[#This Row],[Affected CMS
(§63.567(o)(3)(ix), §63.567(o)(6)(ii))
(Select from dropdown)]]="","",VLOOKUP(Table24[[#This Row],[Affected CMS
(§63.567(o)(3)(ix), §63.567(o)(6)(ii))
(Select from dropdown)]],Table22[],2,FALSE))</f>
        <v/>
      </c>
      <c r="C135" s="129"/>
      <c r="D135" s="129"/>
      <c r="E135" s="131"/>
      <c r="F135" s="139"/>
      <c r="G135" s="145"/>
      <c r="H135" s="145"/>
      <c r="I135" s="129"/>
      <c r="J135" s="129"/>
      <c r="K135" s="146"/>
    </row>
    <row r="136" spans="1:11" s="53" customFormat="1" x14ac:dyDescent="0.3">
      <c r="A136" s="149"/>
      <c r="B136" s="150" t="str">
        <f>IF(Table24[[#This Row],[Affected CMS
(§63.567(o)(3)(ix), §63.567(o)(6)(ii))
(Select from dropdown)]]="","",VLOOKUP(Table24[[#This Row],[Affected CMS
(§63.567(o)(3)(ix), §63.567(o)(6)(ii))
(Select from dropdown)]],Table22[],2,FALSE))</f>
        <v/>
      </c>
      <c r="C136" s="129"/>
      <c r="D136" s="129"/>
      <c r="E136" s="131"/>
      <c r="F136" s="139"/>
      <c r="G136" s="145"/>
      <c r="H136" s="145"/>
      <c r="I136" s="129"/>
      <c r="J136" s="129"/>
      <c r="K136" s="146"/>
    </row>
    <row r="137" spans="1:11" s="53" customFormat="1" x14ac:dyDescent="0.3">
      <c r="A137" s="149"/>
      <c r="B137" s="150" t="str">
        <f>IF(Table24[[#This Row],[Affected CMS
(§63.567(o)(3)(ix), §63.567(o)(6)(ii))
(Select from dropdown)]]="","",VLOOKUP(Table24[[#This Row],[Affected CMS
(§63.567(o)(3)(ix), §63.567(o)(6)(ii))
(Select from dropdown)]],Table22[],2,FALSE))</f>
        <v/>
      </c>
      <c r="C137" s="129"/>
      <c r="D137" s="129"/>
      <c r="E137" s="131"/>
      <c r="F137" s="139"/>
      <c r="G137" s="145"/>
      <c r="H137" s="145"/>
      <c r="I137" s="129"/>
      <c r="J137" s="129"/>
      <c r="K137" s="146"/>
    </row>
    <row r="138" spans="1:11" s="53" customFormat="1" x14ac:dyDescent="0.3">
      <c r="A138" s="149"/>
      <c r="B138" s="150" t="str">
        <f>IF(Table24[[#This Row],[Affected CMS
(§63.567(o)(3)(ix), §63.567(o)(6)(ii))
(Select from dropdown)]]="","",VLOOKUP(Table24[[#This Row],[Affected CMS
(§63.567(o)(3)(ix), §63.567(o)(6)(ii))
(Select from dropdown)]],Table22[],2,FALSE))</f>
        <v/>
      </c>
      <c r="C138" s="129"/>
      <c r="D138" s="129"/>
      <c r="E138" s="131"/>
      <c r="F138" s="139"/>
      <c r="G138" s="145"/>
      <c r="H138" s="145"/>
      <c r="I138" s="129"/>
      <c r="J138" s="129"/>
      <c r="K138" s="146"/>
    </row>
    <row r="139" spans="1:11" s="53" customFormat="1" x14ac:dyDescent="0.3">
      <c r="A139" s="149"/>
      <c r="B139" s="150" t="str">
        <f>IF(Table24[[#This Row],[Affected CMS
(§63.567(o)(3)(ix), §63.567(o)(6)(ii))
(Select from dropdown)]]="","",VLOOKUP(Table24[[#This Row],[Affected CMS
(§63.567(o)(3)(ix), §63.567(o)(6)(ii))
(Select from dropdown)]],Table22[],2,FALSE))</f>
        <v/>
      </c>
      <c r="C139" s="129"/>
      <c r="D139" s="129"/>
      <c r="E139" s="131"/>
      <c r="F139" s="139"/>
      <c r="G139" s="145"/>
      <c r="H139" s="145"/>
      <c r="I139" s="129"/>
      <c r="J139" s="129"/>
      <c r="K139" s="146"/>
    </row>
    <row r="140" spans="1:11" s="53" customFormat="1" x14ac:dyDescent="0.3">
      <c r="A140" s="149"/>
      <c r="B140" s="150" t="str">
        <f>IF(Table24[[#This Row],[Affected CMS
(§63.567(o)(3)(ix), §63.567(o)(6)(ii))
(Select from dropdown)]]="","",VLOOKUP(Table24[[#This Row],[Affected CMS
(§63.567(o)(3)(ix), §63.567(o)(6)(ii))
(Select from dropdown)]],Table22[],2,FALSE))</f>
        <v/>
      </c>
      <c r="C140" s="129"/>
      <c r="D140" s="129"/>
      <c r="E140" s="131"/>
      <c r="F140" s="139"/>
      <c r="G140" s="145"/>
      <c r="H140" s="145"/>
      <c r="I140" s="129"/>
      <c r="J140" s="129"/>
      <c r="K140" s="146"/>
    </row>
    <row r="141" spans="1:11" s="53" customFormat="1" x14ac:dyDescent="0.3">
      <c r="A141" s="149"/>
      <c r="B141" s="150" t="str">
        <f>IF(Table24[[#This Row],[Affected CMS
(§63.567(o)(3)(ix), §63.567(o)(6)(ii))
(Select from dropdown)]]="","",VLOOKUP(Table24[[#This Row],[Affected CMS
(§63.567(o)(3)(ix), §63.567(o)(6)(ii))
(Select from dropdown)]],Table22[],2,FALSE))</f>
        <v/>
      </c>
      <c r="C141" s="129"/>
      <c r="D141" s="129"/>
      <c r="E141" s="131"/>
      <c r="F141" s="139"/>
      <c r="G141" s="145"/>
      <c r="H141" s="145"/>
      <c r="I141" s="129"/>
      <c r="J141" s="129"/>
      <c r="K141" s="146"/>
    </row>
    <row r="142" spans="1:11" s="53" customFormat="1" x14ac:dyDescent="0.3">
      <c r="A142" s="149"/>
      <c r="B142" s="150" t="str">
        <f>IF(Table24[[#This Row],[Affected CMS
(§63.567(o)(3)(ix), §63.567(o)(6)(ii))
(Select from dropdown)]]="","",VLOOKUP(Table24[[#This Row],[Affected CMS
(§63.567(o)(3)(ix), §63.567(o)(6)(ii))
(Select from dropdown)]],Table22[],2,FALSE))</f>
        <v/>
      </c>
      <c r="C142" s="129"/>
      <c r="D142" s="129"/>
      <c r="E142" s="131"/>
      <c r="F142" s="139"/>
      <c r="G142" s="145"/>
      <c r="H142" s="145"/>
      <c r="I142" s="129"/>
      <c r="J142" s="129"/>
      <c r="K142" s="146"/>
    </row>
    <row r="143" spans="1:11" s="53" customFormat="1" x14ac:dyDescent="0.3">
      <c r="A143" s="149"/>
      <c r="B143" s="150" t="str">
        <f>IF(Table24[[#This Row],[Affected CMS
(§63.567(o)(3)(ix), §63.567(o)(6)(ii))
(Select from dropdown)]]="","",VLOOKUP(Table24[[#This Row],[Affected CMS
(§63.567(o)(3)(ix), §63.567(o)(6)(ii))
(Select from dropdown)]],Table22[],2,FALSE))</f>
        <v/>
      </c>
      <c r="C143" s="129"/>
      <c r="D143" s="129"/>
      <c r="E143" s="131"/>
      <c r="F143" s="139"/>
      <c r="G143" s="145"/>
      <c r="H143" s="145"/>
      <c r="I143" s="129"/>
      <c r="J143" s="129"/>
      <c r="K143" s="146"/>
    </row>
    <row r="144" spans="1:11" s="53" customFormat="1" x14ac:dyDescent="0.3">
      <c r="A144" s="149"/>
      <c r="B144" s="150" t="str">
        <f>IF(Table24[[#This Row],[Affected CMS
(§63.567(o)(3)(ix), §63.567(o)(6)(ii))
(Select from dropdown)]]="","",VLOOKUP(Table24[[#This Row],[Affected CMS
(§63.567(o)(3)(ix), §63.567(o)(6)(ii))
(Select from dropdown)]],Table22[],2,FALSE))</f>
        <v/>
      </c>
      <c r="C144" s="129"/>
      <c r="D144" s="129"/>
      <c r="E144" s="131"/>
      <c r="F144" s="139"/>
      <c r="G144" s="145"/>
      <c r="H144" s="145"/>
      <c r="I144" s="129"/>
      <c r="J144" s="129"/>
      <c r="K144" s="146"/>
    </row>
    <row r="145" spans="1:11" s="53" customFormat="1" x14ac:dyDescent="0.3">
      <c r="A145" s="149"/>
      <c r="B145" s="150" t="str">
        <f>IF(Table24[[#This Row],[Affected CMS
(§63.567(o)(3)(ix), §63.567(o)(6)(ii))
(Select from dropdown)]]="","",VLOOKUP(Table24[[#This Row],[Affected CMS
(§63.567(o)(3)(ix), §63.567(o)(6)(ii))
(Select from dropdown)]],Table22[],2,FALSE))</f>
        <v/>
      </c>
      <c r="C145" s="129"/>
      <c r="D145" s="129"/>
      <c r="E145" s="131"/>
      <c r="F145" s="139"/>
      <c r="G145" s="145"/>
      <c r="H145" s="145"/>
      <c r="I145" s="129"/>
      <c r="J145" s="129"/>
      <c r="K145" s="146"/>
    </row>
    <row r="146" spans="1:11" s="53" customFormat="1" x14ac:dyDescent="0.3">
      <c r="A146" s="149"/>
      <c r="B146" s="150" t="str">
        <f>IF(Table24[[#This Row],[Affected CMS
(§63.567(o)(3)(ix), §63.567(o)(6)(ii))
(Select from dropdown)]]="","",VLOOKUP(Table24[[#This Row],[Affected CMS
(§63.567(o)(3)(ix), §63.567(o)(6)(ii))
(Select from dropdown)]],Table22[],2,FALSE))</f>
        <v/>
      </c>
      <c r="C146" s="129"/>
      <c r="D146" s="129"/>
      <c r="E146" s="131"/>
      <c r="F146" s="139"/>
      <c r="G146" s="145"/>
      <c r="H146" s="145"/>
      <c r="I146" s="129"/>
      <c r="J146" s="129"/>
      <c r="K146" s="146"/>
    </row>
    <row r="147" spans="1:11" s="53" customFormat="1" x14ac:dyDescent="0.3">
      <c r="A147" s="149"/>
      <c r="B147" s="150" t="str">
        <f>IF(Table24[[#This Row],[Affected CMS
(§63.567(o)(3)(ix), §63.567(o)(6)(ii))
(Select from dropdown)]]="","",VLOOKUP(Table24[[#This Row],[Affected CMS
(§63.567(o)(3)(ix), §63.567(o)(6)(ii))
(Select from dropdown)]],Table22[],2,FALSE))</f>
        <v/>
      </c>
      <c r="C147" s="129"/>
      <c r="D147" s="129"/>
      <c r="E147" s="131"/>
      <c r="F147" s="139"/>
      <c r="G147" s="145"/>
      <c r="H147" s="145"/>
      <c r="I147" s="129"/>
      <c r="J147" s="129"/>
      <c r="K147" s="146"/>
    </row>
    <row r="148" spans="1:11" s="53" customFormat="1" x14ac:dyDescent="0.3">
      <c r="A148" s="149"/>
      <c r="B148" s="150" t="str">
        <f>IF(Table24[[#This Row],[Affected CMS
(§63.567(o)(3)(ix), §63.567(o)(6)(ii))
(Select from dropdown)]]="","",VLOOKUP(Table24[[#This Row],[Affected CMS
(§63.567(o)(3)(ix), §63.567(o)(6)(ii))
(Select from dropdown)]],Table22[],2,FALSE))</f>
        <v/>
      </c>
      <c r="C148" s="129"/>
      <c r="D148" s="129"/>
      <c r="E148" s="131"/>
      <c r="F148" s="139"/>
      <c r="G148" s="145"/>
      <c r="H148" s="145"/>
      <c r="I148" s="129"/>
      <c r="J148" s="129"/>
      <c r="K148" s="146"/>
    </row>
    <row r="149" spans="1:11" s="53" customFormat="1" x14ac:dyDescent="0.3">
      <c r="A149" s="149"/>
      <c r="B149" s="150" t="str">
        <f>IF(Table24[[#This Row],[Affected CMS
(§63.567(o)(3)(ix), §63.567(o)(6)(ii))
(Select from dropdown)]]="","",VLOOKUP(Table24[[#This Row],[Affected CMS
(§63.567(o)(3)(ix), §63.567(o)(6)(ii))
(Select from dropdown)]],Table22[],2,FALSE))</f>
        <v/>
      </c>
      <c r="C149" s="129"/>
      <c r="D149" s="129"/>
      <c r="E149" s="131"/>
      <c r="F149" s="139"/>
      <c r="G149" s="145"/>
      <c r="H149" s="145"/>
      <c r="I149" s="129"/>
      <c r="J149" s="129"/>
      <c r="K149" s="146"/>
    </row>
    <row r="150" spans="1:11" s="53" customFormat="1" x14ac:dyDescent="0.3">
      <c r="A150" s="149"/>
      <c r="B150" s="150" t="str">
        <f>IF(Table24[[#This Row],[Affected CMS
(§63.567(o)(3)(ix), §63.567(o)(6)(ii))
(Select from dropdown)]]="","",VLOOKUP(Table24[[#This Row],[Affected CMS
(§63.567(o)(3)(ix), §63.567(o)(6)(ii))
(Select from dropdown)]],Table22[],2,FALSE))</f>
        <v/>
      </c>
      <c r="C150" s="129"/>
      <c r="D150" s="129"/>
      <c r="E150" s="131"/>
      <c r="F150" s="139"/>
      <c r="G150" s="145"/>
      <c r="H150" s="145"/>
      <c r="I150" s="129"/>
      <c r="J150" s="129"/>
      <c r="K150" s="146"/>
    </row>
    <row r="151" spans="1:11" s="53" customFormat="1" x14ac:dyDescent="0.3">
      <c r="A151" s="149"/>
      <c r="B151" s="150" t="str">
        <f>IF(Table24[[#This Row],[Affected CMS
(§63.567(o)(3)(ix), §63.567(o)(6)(ii))
(Select from dropdown)]]="","",VLOOKUP(Table24[[#This Row],[Affected CMS
(§63.567(o)(3)(ix), §63.567(o)(6)(ii))
(Select from dropdown)]],Table22[],2,FALSE))</f>
        <v/>
      </c>
      <c r="C151" s="129"/>
      <c r="D151" s="129"/>
      <c r="E151" s="131"/>
      <c r="F151" s="139"/>
      <c r="G151" s="145"/>
      <c r="H151" s="145"/>
      <c r="I151" s="129"/>
      <c r="J151" s="129"/>
      <c r="K151" s="146"/>
    </row>
    <row r="152" spans="1:11" s="53" customFormat="1" x14ac:dyDescent="0.3">
      <c r="A152" s="149"/>
      <c r="B152" s="150" t="str">
        <f>IF(Table24[[#This Row],[Affected CMS
(§63.567(o)(3)(ix), §63.567(o)(6)(ii))
(Select from dropdown)]]="","",VLOOKUP(Table24[[#This Row],[Affected CMS
(§63.567(o)(3)(ix), §63.567(o)(6)(ii))
(Select from dropdown)]],Table22[],2,FALSE))</f>
        <v/>
      </c>
      <c r="C152" s="129"/>
      <c r="D152" s="129"/>
      <c r="E152" s="131"/>
      <c r="F152" s="139"/>
      <c r="G152" s="145"/>
      <c r="H152" s="145"/>
      <c r="I152" s="129"/>
      <c r="J152" s="129"/>
      <c r="K152" s="146"/>
    </row>
    <row r="153" spans="1:11" s="53" customFormat="1" x14ac:dyDescent="0.3">
      <c r="A153" s="149"/>
      <c r="B153" s="150" t="str">
        <f>IF(Table24[[#This Row],[Affected CMS
(§63.567(o)(3)(ix), §63.567(o)(6)(ii))
(Select from dropdown)]]="","",VLOOKUP(Table24[[#This Row],[Affected CMS
(§63.567(o)(3)(ix), §63.567(o)(6)(ii))
(Select from dropdown)]],Table22[],2,FALSE))</f>
        <v/>
      </c>
      <c r="C153" s="129"/>
      <c r="D153" s="129"/>
      <c r="E153" s="131"/>
      <c r="F153" s="139"/>
      <c r="G153" s="145"/>
      <c r="H153" s="145"/>
      <c r="I153" s="129"/>
      <c r="J153" s="129"/>
      <c r="K153" s="146"/>
    </row>
    <row r="154" spans="1:11" s="53" customFormat="1" x14ac:dyDescent="0.3">
      <c r="A154" s="149"/>
      <c r="B154" s="150" t="str">
        <f>IF(Table24[[#This Row],[Affected CMS
(§63.567(o)(3)(ix), §63.567(o)(6)(ii))
(Select from dropdown)]]="","",VLOOKUP(Table24[[#This Row],[Affected CMS
(§63.567(o)(3)(ix), §63.567(o)(6)(ii))
(Select from dropdown)]],Table22[],2,FALSE))</f>
        <v/>
      </c>
      <c r="C154" s="129"/>
      <c r="D154" s="129"/>
      <c r="E154" s="131"/>
      <c r="F154" s="139"/>
      <c r="G154" s="145"/>
      <c r="H154" s="145"/>
      <c r="I154" s="129"/>
      <c r="J154" s="129"/>
      <c r="K154" s="146"/>
    </row>
    <row r="155" spans="1:11" s="53" customFormat="1" x14ac:dyDescent="0.3">
      <c r="A155" s="149"/>
      <c r="B155" s="150" t="str">
        <f>IF(Table24[[#This Row],[Affected CMS
(§63.567(o)(3)(ix), §63.567(o)(6)(ii))
(Select from dropdown)]]="","",VLOOKUP(Table24[[#This Row],[Affected CMS
(§63.567(o)(3)(ix), §63.567(o)(6)(ii))
(Select from dropdown)]],Table22[],2,FALSE))</f>
        <v/>
      </c>
      <c r="C155" s="129"/>
      <c r="D155" s="129"/>
      <c r="E155" s="131"/>
      <c r="F155" s="139"/>
      <c r="G155" s="145"/>
      <c r="H155" s="145"/>
      <c r="I155" s="129"/>
      <c r="J155" s="129"/>
      <c r="K155" s="146"/>
    </row>
    <row r="156" spans="1:11" s="53" customFormat="1" x14ac:dyDescent="0.3">
      <c r="A156" s="149"/>
      <c r="B156" s="150" t="str">
        <f>IF(Table24[[#This Row],[Affected CMS
(§63.567(o)(3)(ix), §63.567(o)(6)(ii))
(Select from dropdown)]]="","",VLOOKUP(Table24[[#This Row],[Affected CMS
(§63.567(o)(3)(ix), §63.567(o)(6)(ii))
(Select from dropdown)]],Table22[],2,FALSE))</f>
        <v/>
      </c>
      <c r="C156" s="129"/>
      <c r="D156" s="129"/>
      <c r="E156" s="131"/>
      <c r="F156" s="139"/>
      <c r="G156" s="145"/>
      <c r="H156" s="145"/>
      <c r="I156" s="129"/>
      <c r="J156" s="129"/>
      <c r="K156" s="146"/>
    </row>
    <row r="157" spans="1:11" s="53" customFormat="1" x14ac:dyDescent="0.3">
      <c r="A157" s="149"/>
      <c r="B157" s="150" t="str">
        <f>IF(Table24[[#This Row],[Affected CMS
(§63.567(o)(3)(ix), §63.567(o)(6)(ii))
(Select from dropdown)]]="","",VLOOKUP(Table24[[#This Row],[Affected CMS
(§63.567(o)(3)(ix), §63.567(o)(6)(ii))
(Select from dropdown)]],Table22[],2,FALSE))</f>
        <v/>
      </c>
      <c r="C157" s="129"/>
      <c r="D157" s="129"/>
      <c r="E157" s="131"/>
      <c r="F157" s="139"/>
      <c r="G157" s="145"/>
      <c r="H157" s="145"/>
      <c r="I157" s="129"/>
      <c r="J157" s="129"/>
      <c r="K157" s="146"/>
    </row>
    <row r="158" spans="1:11" s="53" customFormat="1" x14ac:dyDescent="0.3">
      <c r="A158" s="149"/>
      <c r="B158" s="150" t="str">
        <f>IF(Table24[[#This Row],[Affected CMS
(§63.567(o)(3)(ix), §63.567(o)(6)(ii))
(Select from dropdown)]]="","",VLOOKUP(Table24[[#This Row],[Affected CMS
(§63.567(o)(3)(ix), §63.567(o)(6)(ii))
(Select from dropdown)]],Table22[],2,FALSE))</f>
        <v/>
      </c>
      <c r="C158" s="129"/>
      <c r="D158" s="129"/>
      <c r="E158" s="131"/>
      <c r="F158" s="139"/>
      <c r="G158" s="145"/>
      <c r="H158" s="145"/>
      <c r="I158" s="129"/>
      <c r="J158" s="129"/>
      <c r="K158" s="146"/>
    </row>
    <row r="159" spans="1:11" s="53" customFormat="1" x14ac:dyDescent="0.3">
      <c r="A159" s="149"/>
      <c r="B159" s="150" t="str">
        <f>IF(Table24[[#This Row],[Affected CMS
(§63.567(o)(3)(ix), §63.567(o)(6)(ii))
(Select from dropdown)]]="","",VLOOKUP(Table24[[#This Row],[Affected CMS
(§63.567(o)(3)(ix), §63.567(o)(6)(ii))
(Select from dropdown)]],Table22[],2,FALSE))</f>
        <v/>
      </c>
      <c r="C159" s="129"/>
      <c r="D159" s="129"/>
      <c r="E159" s="131"/>
      <c r="F159" s="139"/>
      <c r="G159" s="145"/>
      <c r="H159" s="145"/>
      <c r="I159" s="129"/>
      <c r="J159" s="129"/>
      <c r="K159" s="146"/>
    </row>
    <row r="160" spans="1:11" s="53" customFormat="1" x14ac:dyDescent="0.3">
      <c r="A160" s="149"/>
      <c r="B160" s="150" t="str">
        <f>IF(Table24[[#This Row],[Affected CMS
(§63.567(o)(3)(ix), §63.567(o)(6)(ii))
(Select from dropdown)]]="","",VLOOKUP(Table24[[#This Row],[Affected CMS
(§63.567(o)(3)(ix), §63.567(o)(6)(ii))
(Select from dropdown)]],Table22[],2,FALSE))</f>
        <v/>
      </c>
      <c r="C160" s="129"/>
      <c r="D160" s="129"/>
      <c r="E160" s="131"/>
      <c r="F160" s="139"/>
      <c r="G160" s="145"/>
      <c r="H160" s="145"/>
      <c r="I160" s="129"/>
      <c r="J160" s="129"/>
      <c r="K160" s="146"/>
    </row>
    <row r="161" spans="1:11" s="53" customFormat="1" x14ac:dyDescent="0.3">
      <c r="A161" s="149"/>
      <c r="B161" s="150" t="str">
        <f>IF(Table24[[#This Row],[Affected CMS
(§63.567(o)(3)(ix), §63.567(o)(6)(ii))
(Select from dropdown)]]="","",VLOOKUP(Table24[[#This Row],[Affected CMS
(§63.567(o)(3)(ix), §63.567(o)(6)(ii))
(Select from dropdown)]],Table22[],2,FALSE))</f>
        <v/>
      </c>
      <c r="C161" s="129"/>
      <c r="D161" s="129"/>
      <c r="E161" s="131"/>
      <c r="F161" s="139"/>
      <c r="G161" s="145"/>
      <c r="H161" s="145"/>
      <c r="I161" s="129"/>
      <c r="J161" s="129"/>
      <c r="K161" s="146"/>
    </row>
    <row r="162" spans="1:11" s="53" customFormat="1" x14ac:dyDescent="0.3">
      <c r="A162" s="149"/>
      <c r="B162" s="150" t="str">
        <f>IF(Table24[[#This Row],[Affected CMS
(§63.567(o)(3)(ix), §63.567(o)(6)(ii))
(Select from dropdown)]]="","",VLOOKUP(Table24[[#This Row],[Affected CMS
(§63.567(o)(3)(ix), §63.567(o)(6)(ii))
(Select from dropdown)]],Table22[],2,FALSE))</f>
        <v/>
      </c>
      <c r="C162" s="129"/>
      <c r="D162" s="129"/>
      <c r="E162" s="131"/>
      <c r="F162" s="139"/>
      <c r="G162" s="145"/>
      <c r="H162" s="145"/>
      <c r="I162" s="129"/>
      <c r="J162" s="129"/>
      <c r="K162" s="146"/>
    </row>
    <row r="163" spans="1:11" s="53" customFormat="1" x14ac:dyDescent="0.3">
      <c r="A163" s="149"/>
      <c r="B163" s="150" t="str">
        <f>IF(Table24[[#This Row],[Affected CMS
(§63.567(o)(3)(ix), §63.567(o)(6)(ii))
(Select from dropdown)]]="","",VLOOKUP(Table24[[#This Row],[Affected CMS
(§63.567(o)(3)(ix), §63.567(o)(6)(ii))
(Select from dropdown)]],Table22[],2,FALSE))</f>
        <v/>
      </c>
      <c r="C163" s="129"/>
      <c r="D163" s="129"/>
      <c r="E163" s="131"/>
      <c r="F163" s="139"/>
      <c r="G163" s="145"/>
      <c r="H163" s="145"/>
      <c r="I163" s="129"/>
      <c r="J163" s="129"/>
      <c r="K163" s="146"/>
    </row>
    <row r="164" spans="1:11" s="53" customFormat="1" x14ac:dyDescent="0.3">
      <c r="A164" s="149"/>
      <c r="B164" s="150" t="str">
        <f>IF(Table24[[#This Row],[Affected CMS
(§63.567(o)(3)(ix), §63.567(o)(6)(ii))
(Select from dropdown)]]="","",VLOOKUP(Table24[[#This Row],[Affected CMS
(§63.567(o)(3)(ix), §63.567(o)(6)(ii))
(Select from dropdown)]],Table22[],2,FALSE))</f>
        <v/>
      </c>
      <c r="C164" s="129"/>
      <c r="D164" s="129"/>
      <c r="E164" s="131"/>
      <c r="F164" s="139"/>
      <c r="G164" s="145"/>
      <c r="H164" s="145"/>
      <c r="I164" s="129"/>
      <c r="J164" s="129"/>
      <c r="K164" s="146"/>
    </row>
    <row r="165" spans="1:11" s="53" customFormat="1" x14ac:dyDescent="0.3">
      <c r="A165" s="149"/>
      <c r="B165" s="150" t="str">
        <f>IF(Table24[[#This Row],[Affected CMS
(§63.567(o)(3)(ix), §63.567(o)(6)(ii))
(Select from dropdown)]]="","",VLOOKUP(Table24[[#This Row],[Affected CMS
(§63.567(o)(3)(ix), §63.567(o)(6)(ii))
(Select from dropdown)]],Table22[],2,FALSE))</f>
        <v/>
      </c>
      <c r="C165" s="129"/>
      <c r="D165" s="129"/>
      <c r="E165" s="131"/>
      <c r="F165" s="139"/>
      <c r="G165" s="145"/>
      <c r="H165" s="145"/>
      <c r="I165" s="129"/>
      <c r="J165" s="129"/>
      <c r="K165" s="146"/>
    </row>
    <row r="166" spans="1:11" s="53" customFormat="1" x14ac:dyDescent="0.3">
      <c r="A166" s="149"/>
      <c r="B166" s="150" t="str">
        <f>IF(Table24[[#This Row],[Affected CMS
(§63.567(o)(3)(ix), §63.567(o)(6)(ii))
(Select from dropdown)]]="","",VLOOKUP(Table24[[#This Row],[Affected CMS
(§63.567(o)(3)(ix), §63.567(o)(6)(ii))
(Select from dropdown)]],Table22[],2,FALSE))</f>
        <v/>
      </c>
      <c r="C166" s="129"/>
      <c r="D166" s="129"/>
      <c r="E166" s="131"/>
      <c r="F166" s="139"/>
      <c r="G166" s="145"/>
      <c r="H166" s="145"/>
      <c r="I166" s="129"/>
      <c r="J166" s="129"/>
      <c r="K166" s="146"/>
    </row>
    <row r="167" spans="1:11" s="53" customFormat="1" x14ac:dyDescent="0.3">
      <c r="A167" s="149"/>
      <c r="B167" s="150" t="str">
        <f>IF(Table24[[#This Row],[Affected CMS
(§63.567(o)(3)(ix), §63.567(o)(6)(ii))
(Select from dropdown)]]="","",VLOOKUP(Table24[[#This Row],[Affected CMS
(§63.567(o)(3)(ix), §63.567(o)(6)(ii))
(Select from dropdown)]],Table22[],2,FALSE))</f>
        <v/>
      </c>
      <c r="C167" s="129"/>
      <c r="D167" s="129"/>
      <c r="E167" s="131"/>
      <c r="F167" s="139"/>
      <c r="G167" s="145"/>
      <c r="H167" s="145"/>
      <c r="I167" s="129"/>
      <c r="J167" s="129"/>
      <c r="K167" s="146"/>
    </row>
    <row r="168" spans="1:11" s="53" customFormat="1" x14ac:dyDescent="0.3">
      <c r="A168" s="149"/>
      <c r="B168" s="150" t="str">
        <f>IF(Table24[[#This Row],[Affected CMS
(§63.567(o)(3)(ix), §63.567(o)(6)(ii))
(Select from dropdown)]]="","",VLOOKUP(Table24[[#This Row],[Affected CMS
(§63.567(o)(3)(ix), §63.567(o)(6)(ii))
(Select from dropdown)]],Table22[],2,FALSE))</f>
        <v/>
      </c>
      <c r="C168" s="129"/>
      <c r="D168" s="129"/>
      <c r="E168" s="131"/>
      <c r="F168" s="139"/>
      <c r="G168" s="145"/>
      <c r="H168" s="145"/>
      <c r="I168" s="129"/>
      <c r="J168" s="129"/>
      <c r="K168" s="146"/>
    </row>
    <row r="169" spans="1:11" s="53" customFormat="1" x14ac:dyDescent="0.3">
      <c r="A169" s="149"/>
      <c r="B169" s="150" t="str">
        <f>IF(Table24[[#This Row],[Affected CMS
(§63.567(o)(3)(ix), §63.567(o)(6)(ii))
(Select from dropdown)]]="","",VLOOKUP(Table24[[#This Row],[Affected CMS
(§63.567(o)(3)(ix), §63.567(o)(6)(ii))
(Select from dropdown)]],Table22[],2,FALSE))</f>
        <v/>
      </c>
      <c r="C169" s="129"/>
      <c r="D169" s="129"/>
      <c r="E169" s="131"/>
      <c r="F169" s="139"/>
      <c r="G169" s="145"/>
      <c r="H169" s="145"/>
      <c r="I169" s="129"/>
      <c r="J169" s="129"/>
      <c r="K169" s="146"/>
    </row>
    <row r="170" spans="1:11" s="53" customFormat="1" x14ac:dyDescent="0.3">
      <c r="A170" s="149"/>
      <c r="B170" s="150" t="str">
        <f>IF(Table24[[#This Row],[Affected CMS
(§63.567(o)(3)(ix), §63.567(o)(6)(ii))
(Select from dropdown)]]="","",VLOOKUP(Table24[[#This Row],[Affected CMS
(§63.567(o)(3)(ix), §63.567(o)(6)(ii))
(Select from dropdown)]],Table22[],2,FALSE))</f>
        <v/>
      </c>
      <c r="C170" s="129"/>
      <c r="D170" s="129"/>
      <c r="E170" s="131"/>
      <c r="F170" s="139"/>
      <c r="G170" s="145"/>
      <c r="H170" s="145"/>
      <c r="I170" s="129"/>
      <c r="J170" s="129"/>
      <c r="K170" s="146"/>
    </row>
    <row r="171" spans="1:11" s="53" customFormat="1" x14ac:dyDescent="0.3">
      <c r="A171" s="149"/>
      <c r="B171" s="150" t="str">
        <f>IF(Table24[[#This Row],[Affected CMS
(§63.567(o)(3)(ix), §63.567(o)(6)(ii))
(Select from dropdown)]]="","",VLOOKUP(Table24[[#This Row],[Affected CMS
(§63.567(o)(3)(ix), §63.567(o)(6)(ii))
(Select from dropdown)]],Table22[],2,FALSE))</f>
        <v/>
      </c>
      <c r="C171" s="129"/>
      <c r="D171" s="129"/>
      <c r="E171" s="131"/>
      <c r="F171" s="139"/>
      <c r="G171" s="145"/>
      <c r="H171" s="145"/>
      <c r="I171" s="129"/>
      <c r="J171" s="129"/>
      <c r="K171" s="146"/>
    </row>
    <row r="172" spans="1:11" s="53" customFormat="1" x14ac:dyDescent="0.3">
      <c r="A172" s="149"/>
      <c r="B172" s="150" t="str">
        <f>IF(Table24[[#This Row],[Affected CMS
(§63.567(o)(3)(ix), §63.567(o)(6)(ii))
(Select from dropdown)]]="","",VLOOKUP(Table24[[#This Row],[Affected CMS
(§63.567(o)(3)(ix), §63.567(o)(6)(ii))
(Select from dropdown)]],Table22[],2,FALSE))</f>
        <v/>
      </c>
      <c r="C172" s="129"/>
      <c r="D172" s="129"/>
      <c r="E172" s="131"/>
      <c r="F172" s="139"/>
      <c r="G172" s="145"/>
      <c r="H172" s="145"/>
      <c r="I172" s="129"/>
      <c r="J172" s="129"/>
      <c r="K172" s="146"/>
    </row>
    <row r="173" spans="1:11" s="53" customFormat="1" x14ac:dyDescent="0.3">
      <c r="A173" s="149"/>
      <c r="B173" s="150" t="str">
        <f>IF(Table24[[#This Row],[Affected CMS
(§63.567(o)(3)(ix), §63.567(o)(6)(ii))
(Select from dropdown)]]="","",VLOOKUP(Table24[[#This Row],[Affected CMS
(§63.567(o)(3)(ix), §63.567(o)(6)(ii))
(Select from dropdown)]],Table22[],2,FALSE))</f>
        <v/>
      </c>
      <c r="C173" s="129"/>
      <c r="D173" s="129"/>
      <c r="E173" s="131"/>
      <c r="F173" s="139"/>
      <c r="G173" s="145"/>
      <c r="H173" s="145"/>
      <c r="I173" s="129"/>
      <c r="J173" s="129"/>
      <c r="K173" s="146"/>
    </row>
    <row r="174" spans="1:11" s="53" customFormat="1" x14ac:dyDescent="0.3">
      <c r="A174" s="149"/>
      <c r="B174" s="150" t="str">
        <f>IF(Table24[[#This Row],[Affected CMS
(§63.567(o)(3)(ix), §63.567(o)(6)(ii))
(Select from dropdown)]]="","",VLOOKUP(Table24[[#This Row],[Affected CMS
(§63.567(o)(3)(ix), §63.567(o)(6)(ii))
(Select from dropdown)]],Table22[],2,FALSE))</f>
        <v/>
      </c>
      <c r="C174" s="129"/>
      <c r="D174" s="129"/>
      <c r="E174" s="131"/>
      <c r="F174" s="139"/>
      <c r="G174" s="145"/>
      <c r="H174" s="145"/>
      <c r="I174" s="129"/>
      <c r="J174" s="129"/>
      <c r="K174" s="146"/>
    </row>
    <row r="175" spans="1:11" s="53" customFormat="1" x14ac:dyDescent="0.3">
      <c r="A175" s="149"/>
      <c r="B175" s="150" t="str">
        <f>IF(Table24[[#This Row],[Affected CMS
(§63.567(o)(3)(ix), §63.567(o)(6)(ii))
(Select from dropdown)]]="","",VLOOKUP(Table24[[#This Row],[Affected CMS
(§63.567(o)(3)(ix), §63.567(o)(6)(ii))
(Select from dropdown)]],Table22[],2,FALSE))</f>
        <v/>
      </c>
      <c r="C175" s="129"/>
      <c r="D175" s="129"/>
      <c r="E175" s="131"/>
      <c r="F175" s="139"/>
      <c r="G175" s="145"/>
      <c r="H175" s="145"/>
      <c r="I175" s="129"/>
      <c r="J175" s="129"/>
      <c r="K175" s="146"/>
    </row>
    <row r="176" spans="1:11" s="53" customFormat="1" x14ac:dyDescent="0.3">
      <c r="A176" s="149"/>
      <c r="B176" s="150" t="str">
        <f>IF(Table24[[#This Row],[Affected CMS
(§63.567(o)(3)(ix), §63.567(o)(6)(ii))
(Select from dropdown)]]="","",VLOOKUP(Table24[[#This Row],[Affected CMS
(§63.567(o)(3)(ix), §63.567(o)(6)(ii))
(Select from dropdown)]],Table22[],2,FALSE))</f>
        <v/>
      </c>
      <c r="C176" s="129"/>
      <c r="D176" s="129"/>
      <c r="E176" s="131"/>
      <c r="F176" s="139"/>
      <c r="G176" s="145"/>
      <c r="H176" s="145"/>
      <c r="I176" s="129"/>
      <c r="J176" s="129"/>
      <c r="K176" s="146"/>
    </row>
    <row r="177" spans="1:11" s="53" customFormat="1" x14ac:dyDescent="0.3">
      <c r="A177" s="149"/>
      <c r="B177" s="150" t="str">
        <f>IF(Table24[[#This Row],[Affected CMS
(§63.567(o)(3)(ix), §63.567(o)(6)(ii))
(Select from dropdown)]]="","",VLOOKUP(Table24[[#This Row],[Affected CMS
(§63.567(o)(3)(ix), §63.567(o)(6)(ii))
(Select from dropdown)]],Table22[],2,FALSE))</f>
        <v/>
      </c>
      <c r="C177" s="129"/>
      <c r="D177" s="129"/>
      <c r="E177" s="131"/>
      <c r="F177" s="139"/>
      <c r="G177" s="145"/>
      <c r="H177" s="145"/>
      <c r="I177" s="129"/>
      <c r="J177" s="129"/>
      <c r="K177" s="146"/>
    </row>
    <row r="178" spans="1:11" s="53" customFormat="1" x14ac:dyDescent="0.3">
      <c r="A178" s="149"/>
      <c r="B178" s="150" t="str">
        <f>IF(Table24[[#This Row],[Affected CMS
(§63.567(o)(3)(ix), §63.567(o)(6)(ii))
(Select from dropdown)]]="","",VLOOKUP(Table24[[#This Row],[Affected CMS
(§63.567(o)(3)(ix), §63.567(o)(6)(ii))
(Select from dropdown)]],Table22[],2,FALSE))</f>
        <v/>
      </c>
      <c r="C178" s="129"/>
      <c r="D178" s="129"/>
      <c r="E178" s="131"/>
      <c r="F178" s="139"/>
      <c r="G178" s="145"/>
      <c r="H178" s="145"/>
      <c r="I178" s="129"/>
      <c r="J178" s="129"/>
      <c r="K178" s="146"/>
    </row>
    <row r="179" spans="1:11" s="53" customFormat="1" x14ac:dyDescent="0.3">
      <c r="A179" s="149"/>
      <c r="B179" s="150" t="str">
        <f>IF(Table24[[#This Row],[Affected CMS
(§63.567(o)(3)(ix), §63.567(o)(6)(ii))
(Select from dropdown)]]="","",VLOOKUP(Table24[[#This Row],[Affected CMS
(§63.567(o)(3)(ix), §63.567(o)(6)(ii))
(Select from dropdown)]],Table22[],2,FALSE))</f>
        <v/>
      </c>
      <c r="C179" s="129"/>
      <c r="D179" s="129"/>
      <c r="E179" s="131"/>
      <c r="F179" s="139"/>
      <c r="G179" s="145"/>
      <c r="H179" s="145"/>
      <c r="I179" s="129"/>
      <c r="J179" s="129"/>
      <c r="K179" s="146"/>
    </row>
    <row r="180" spans="1:11" s="53" customFormat="1" x14ac:dyDescent="0.3">
      <c r="A180" s="149"/>
      <c r="B180" s="150" t="str">
        <f>IF(Table24[[#This Row],[Affected CMS
(§63.567(o)(3)(ix), §63.567(o)(6)(ii))
(Select from dropdown)]]="","",VLOOKUP(Table24[[#This Row],[Affected CMS
(§63.567(o)(3)(ix), §63.567(o)(6)(ii))
(Select from dropdown)]],Table22[],2,FALSE))</f>
        <v/>
      </c>
      <c r="C180" s="129"/>
      <c r="D180" s="129"/>
      <c r="E180" s="131"/>
      <c r="F180" s="139"/>
      <c r="G180" s="145"/>
      <c r="H180" s="145"/>
      <c r="I180" s="129"/>
      <c r="J180" s="129"/>
      <c r="K180" s="146"/>
    </row>
    <row r="181" spans="1:11" s="53" customFormat="1" x14ac:dyDescent="0.3">
      <c r="A181" s="149"/>
      <c r="B181" s="150" t="str">
        <f>IF(Table24[[#This Row],[Affected CMS
(§63.567(o)(3)(ix), §63.567(o)(6)(ii))
(Select from dropdown)]]="","",VLOOKUP(Table24[[#This Row],[Affected CMS
(§63.567(o)(3)(ix), §63.567(o)(6)(ii))
(Select from dropdown)]],Table22[],2,FALSE))</f>
        <v/>
      </c>
      <c r="C181" s="129"/>
      <c r="D181" s="129"/>
      <c r="E181" s="131"/>
      <c r="F181" s="139"/>
      <c r="G181" s="145"/>
      <c r="H181" s="145"/>
      <c r="I181" s="129"/>
      <c r="J181" s="129"/>
      <c r="K181" s="146"/>
    </row>
    <row r="182" spans="1:11" s="53" customFormat="1" x14ac:dyDescent="0.3">
      <c r="A182" s="149"/>
      <c r="B182" s="150" t="str">
        <f>IF(Table24[[#This Row],[Affected CMS
(§63.567(o)(3)(ix), §63.567(o)(6)(ii))
(Select from dropdown)]]="","",VLOOKUP(Table24[[#This Row],[Affected CMS
(§63.567(o)(3)(ix), §63.567(o)(6)(ii))
(Select from dropdown)]],Table22[],2,FALSE))</f>
        <v/>
      </c>
      <c r="C182" s="129"/>
      <c r="D182" s="129"/>
      <c r="E182" s="131"/>
      <c r="F182" s="139"/>
      <c r="G182" s="145"/>
      <c r="H182" s="145"/>
      <c r="I182" s="129"/>
      <c r="J182" s="129"/>
      <c r="K182" s="146"/>
    </row>
    <row r="183" spans="1:11" s="53" customFormat="1" x14ac:dyDescent="0.3">
      <c r="A183" s="149"/>
      <c r="B183" s="150" t="str">
        <f>IF(Table24[[#This Row],[Affected CMS
(§63.567(o)(3)(ix), §63.567(o)(6)(ii))
(Select from dropdown)]]="","",VLOOKUP(Table24[[#This Row],[Affected CMS
(§63.567(o)(3)(ix), §63.567(o)(6)(ii))
(Select from dropdown)]],Table22[],2,FALSE))</f>
        <v/>
      </c>
      <c r="C183" s="129"/>
      <c r="D183" s="129"/>
      <c r="E183" s="131"/>
      <c r="F183" s="139"/>
      <c r="G183" s="145"/>
      <c r="H183" s="145"/>
      <c r="I183" s="129"/>
      <c r="J183" s="129"/>
      <c r="K183" s="146"/>
    </row>
    <row r="184" spans="1:11" s="53" customFormat="1" x14ac:dyDescent="0.3">
      <c r="A184" s="149"/>
      <c r="B184" s="150" t="str">
        <f>IF(Table24[[#This Row],[Affected CMS
(§63.567(o)(3)(ix), §63.567(o)(6)(ii))
(Select from dropdown)]]="","",VLOOKUP(Table24[[#This Row],[Affected CMS
(§63.567(o)(3)(ix), §63.567(o)(6)(ii))
(Select from dropdown)]],Table22[],2,FALSE))</f>
        <v/>
      </c>
      <c r="C184" s="129"/>
      <c r="D184" s="129"/>
      <c r="E184" s="131"/>
      <c r="F184" s="139"/>
      <c r="G184" s="145"/>
      <c r="H184" s="145"/>
      <c r="I184" s="129"/>
      <c r="J184" s="129"/>
      <c r="K184" s="146"/>
    </row>
    <row r="185" spans="1:11" s="53" customFormat="1" x14ac:dyDescent="0.3">
      <c r="A185" s="149"/>
      <c r="B185" s="150" t="str">
        <f>IF(Table24[[#This Row],[Affected CMS
(§63.567(o)(3)(ix), §63.567(o)(6)(ii))
(Select from dropdown)]]="","",VLOOKUP(Table24[[#This Row],[Affected CMS
(§63.567(o)(3)(ix), §63.567(o)(6)(ii))
(Select from dropdown)]],Table22[],2,FALSE))</f>
        <v/>
      </c>
      <c r="C185" s="129"/>
      <c r="D185" s="129"/>
      <c r="E185" s="131"/>
      <c r="F185" s="139"/>
      <c r="G185" s="145"/>
      <c r="H185" s="145"/>
      <c r="I185" s="129"/>
      <c r="J185" s="129"/>
      <c r="K185" s="146"/>
    </row>
    <row r="186" spans="1:11" s="53" customFormat="1" x14ac:dyDescent="0.3">
      <c r="A186" s="149"/>
      <c r="B186" s="150" t="str">
        <f>IF(Table24[[#This Row],[Affected CMS
(§63.567(o)(3)(ix), §63.567(o)(6)(ii))
(Select from dropdown)]]="","",VLOOKUP(Table24[[#This Row],[Affected CMS
(§63.567(o)(3)(ix), §63.567(o)(6)(ii))
(Select from dropdown)]],Table22[],2,FALSE))</f>
        <v/>
      </c>
      <c r="C186" s="129"/>
      <c r="D186" s="129"/>
      <c r="E186" s="131"/>
      <c r="F186" s="139"/>
      <c r="G186" s="145"/>
      <c r="H186" s="145"/>
      <c r="I186" s="129"/>
      <c r="J186" s="129"/>
      <c r="K186" s="146"/>
    </row>
    <row r="187" spans="1:11" s="53" customFormat="1" x14ac:dyDescent="0.3">
      <c r="A187" s="149"/>
      <c r="B187" s="150" t="str">
        <f>IF(Table24[[#This Row],[Affected CMS
(§63.567(o)(3)(ix), §63.567(o)(6)(ii))
(Select from dropdown)]]="","",VLOOKUP(Table24[[#This Row],[Affected CMS
(§63.567(o)(3)(ix), §63.567(o)(6)(ii))
(Select from dropdown)]],Table22[],2,FALSE))</f>
        <v/>
      </c>
      <c r="C187" s="129"/>
      <c r="D187" s="129"/>
      <c r="E187" s="131"/>
      <c r="F187" s="139"/>
      <c r="G187" s="145"/>
      <c r="H187" s="145"/>
      <c r="I187" s="129"/>
      <c r="J187" s="129"/>
      <c r="K187" s="146"/>
    </row>
    <row r="188" spans="1:11" s="53" customFormat="1" x14ac:dyDescent="0.3">
      <c r="A188" s="149"/>
      <c r="B188" s="150" t="str">
        <f>IF(Table24[[#This Row],[Affected CMS
(§63.567(o)(3)(ix), §63.567(o)(6)(ii))
(Select from dropdown)]]="","",VLOOKUP(Table24[[#This Row],[Affected CMS
(§63.567(o)(3)(ix), §63.567(o)(6)(ii))
(Select from dropdown)]],Table22[],2,FALSE))</f>
        <v/>
      </c>
      <c r="C188" s="129"/>
      <c r="D188" s="129"/>
      <c r="E188" s="131"/>
      <c r="F188" s="139"/>
      <c r="G188" s="145"/>
      <c r="H188" s="145"/>
      <c r="I188" s="129"/>
      <c r="J188" s="129"/>
      <c r="K188" s="146"/>
    </row>
    <row r="189" spans="1:11" s="53" customFormat="1" x14ac:dyDescent="0.3">
      <c r="A189" s="149"/>
      <c r="B189" s="150" t="str">
        <f>IF(Table24[[#This Row],[Affected CMS
(§63.567(o)(3)(ix), §63.567(o)(6)(ii))
(Select from dropdown)]]="","",VLOOKUP(Table24[[#This Row],[Affected CMS
(§63.567(o)(3)(ix), §63.567(o)(6)(ii))
(Select from dropdown)]],Table22[],2,FALSE))</f>
        <v/>
      </c>
      <c r="C189" s="129"/>
      <c r="D189" s="129"/>
      <c r="E189" s="131"/>
      <c r="F189" s="139"/>
      <c r="G189" s="145"/>
      <c r="H189" s="145"/>
      <c r="I189" s="129"/>
      <c r="J189" s="129"/>
      <c r="K189" s="146"/>
    </row>
    <row r="190" spans="1:11" s="53" customFormat="1" x14ac:dyDescent="0.3">
      <c r="A190" s="149"/>
      <c r="B190" s="150" t="str">
        <f>IF(Table24[[#This Row],[Affected CMS
(§63.567(o)(3)(ix), §63.567(o)(6)(ii))
(Select from dropdown)]]="","",VLOOKUP(Table24[[#This Row],[Affected CMS
(§63.567(o)(3)(ix), §63.567(o)(6)(ii))
(Select from dropdown)]],Table22[],2,FALSE))</f>
        <v/>
      </c>
      <c r="C190" s="129"/>
      <c r="D190" s="129"/>
      <c r="E190" s="131"/>
      <c r="F190" s="139"/>
      <c r="G190" s="145"/>
      <c r="H190" s="145"/>
      <c r="I190" s="129"/>
      <c r="J190" s="129"/>
      <c r="K190" s="146"/>
    </row>
    <row r="191" spans="1:11" s="53" customFormat="1" x14ac:dyDescent="0.3">
      <c r="A191" s="149"/>
      <c r="B191" s="150" t="str">
        <f>IF(Table24[[#This Row],[Affected CMS
(§63.567(o)(3)(ix), §63.567(o)(6)(ii))
(Select from dropdown)]]="","",VLOOKUP(Table24[[#This Row],[Affected CMS
(§63.567(o)(3)(ix), §63.567(o)(6)(ii))
(Select from dropdown)]],Table22[],2,FALSE))</f>
        <v/>
      </c>
      <c r="C191" s="129"/>
      <c r="D191" s="129"/>
      <c r="E191" s="131"/>
      <c r="F191" s="139"/>
      <c r="G191" s="145"/>
      <c r="H191" s="145"/>
      <c r="I191" s="129"/>
      <c r="J191" s="129"/>
      <c r="K191" s="146"/>
    </row>
    <row r="192" spans="1:11" s="53" customFormat="1" x14ac:dyDescent="0.3">
      <c r="A192" s="149"/>
      <c r="B192" s="150" t="str">
        <f>IF(Table24[[#This Row],[Affected CMS
(§63.567(o)(3)(ix), §63.567(o)(6)(ii))
(Select from dropdown)]]="","",VLOOKUP(Table24[[#This Row],[Affected CMS
(§63.567(o)(3)(ix), §63.567(o)(6)(ii))
(Select from dropdown)]],Table22[],2,FALSE))</f>
        <v/>
      </c>
      <c r="C192" s="129"/>
      <c r="D192" s="129"/>
      <c r="E192" s="131"/>
      <c r="F192" s="139"/>
      <c r="G192" s="145"/>
      <c r="H192" s="145"/>
      <c r="I192" s="129"/>
      <c r="J192" s="129"/>
      <c r="K192" s="146"/>
    </row>
    <row r="193" spans="1:11" s="53" customFormat="1" x14ac:dyDescent="0.3">
      <c r="A193" s="149"/>
      <c r="B193" s="150" t="str">
        <f>IF(Table24[[#This Row],[Affected CMS
(§63.567(o)(3)(ix), §63.567(o)(6)(ii))
(Select from dropdown)]]="","",VLOOKUP(Table24[[#This Row],[Affected CMS
(§63.567(o)(3)(ix), §63.567(o)(6)(ii))
(Select from dropdown)]],Table22[],2,FALSE))</f>
        <v/>
      </c>
      <c r="C193" s="129"/>
      <c r="D193" s="129"/>
      <c r="E193" s="131"/>
      <c r="F193" s="139"/>
      <c r="G193" s="145"/>
      <c r="H193" s="145"/>
      <c r="I193" s="129"/>
      <c r="J193" s="129"/>
      <c r="K193" s="146"/>
    </row>
    <row r="194" spans="1:11" s="53" customFormat="1" x14ac:dyDescent="0.3">
      <c r="A194" s="149"/>
      <c r="B194" s="150" t="str">
        <f>IF(Table24[[#This Row],[Affected CMS
(§63.567(o)(3)(ix), §63.567(o)(6)(ii))
(Select from dropdown)]]="","",VLOOKUP(Table24[[#This Row],[Affected CMS
(§63.567(o)(3)(ix), §63.567(o)(6)(ii))
(Select from dropdown)]],Table22[],2,FALSE))</f>
        <v/>
      </c>
      <c r="C194" s="129"/>
      <c r="D194" s="129"/>
      <c r="E194" s="131"/>
      <c r="F194" s="139"/>
      <c r="G194" s="145"/>
      <c r="H194" s="145"/>
      <c r="I194" s="129"/>
      <c r="J194" s="129"/>
      <c r="K194" s="146"/>
    </row>
    <row r="195" spans="1:11" s="53" customFormat="1" x14ac:dyDescent="0.3">
      <c r="A195" s="149"/>
      <c r="B195" s="150" t="str">
        <f>IF(Table24[[#This Row],[Affected CMS
(§63.567(o)(3)(ix), §63.567(o)(6)(ii))
(Select from dropdown)]]="","",VLOOKUP(Table24[[#This Row],[Affected CMS
(§63.567(o)(3)(ix), §63.567(o)(6)(ii))
(Select from dropdown)]],Table22[],2,FALSE))</f>
        <v/>
      </c>
      <c r="C195" s="129"/>
      <c r="D195" s="129"/>
      <c r="E195" s="131"/>
      <c r="F195" s="139"/>
      <c r="G195" s="145"/>
      <c r="H195" s="145"/>
      <c r="I195" s="129"/>
      <c r="J195" s="129"/>
      <c r="K195" s="146"/>
    </row>
    <row r="196" spans="1:11" s="53" customFormat="1" x14ac:dyDescent="0.3">
      <c r="A196" s="149"/>
      <c r="B196" s="150" t="str">
        <f>IF(Table24[[#This Row],[Affected CMS
(§63.567(o)(3)(ix), §63.567(o)(6)(ii))
(Select from dropdown)]]="","",VLOOKUP(Table24[[#This Row],[Affected CMS
(§63.567(o)(3)(ix), §63.567(o)(6)(ii))
(Select from dropdown)]],Table22[],2,FALSE))</f>
        <v/>
      </c>
      <c r="C196" s="129"/>
      <c r="D196" s="129"/>
      <c r="E196" s="131"/>
      <c r="F196" s="139"/>
      <c r="G196" s="145"/>
      <c r="H196" s="145"/>
      <c r="I196" s="129"/>
      <c r="J196" s="129"/>
      <c r="K196" s="146"/>
    </row>
    <row r="197" spans="1:11" s="53" customFormat="1" x14ac:dyDescent="0.3">
      <c r="A197" s="149"/>
      <c r="B197" s="150" t="str">
        <f>IF(Table24[[#This Row],[Affected CMS
(§63.567(o)(3)(ix), §63.567(o)(6)(ii))
(Select from dropdown)]]="","",VLOOKUP(Table24[[#This Row],[Affected CMS
(§63.567(o)(3)(ix), §63.567(o)(6)(ii))
(Select from dropdown)]],Table22[],2,FALSE))</f>
        <v/>
      </c>
      <c r="C197" s="129"/>
      <c r="D197" s="129"/>
      <c r="E197" s="131"/>
      <c r="F197" s="139"/>
      <c r="G197" s="145"/>
      <c r="H197" s="145"/>
      <c r="I197" s="129"/>
      <c r="J197" s="129"/>
      <c r="K197" s="146"/>
    </row>
    <row r="198" spans="1:11" s="53" customFormat="1" x14ac:dyDescent="0.3">
      <c r="A198" s="149"/>
      <c r="B198" s="150" t="str">
        <f>IF(Table24[[#This Row],[Affected CMS
(§63.567(o)(3)(ix), §63.567(o)(6)(ii))
(Select from dropdown)]]="","",VLOOKUP(Table24[[#This Row],[Affected CMS
(§63.567(o)(3)(ix), §63.567(o)(6)(ii))
(Select from dropdown)]],Table22[],2,FALSE))</f>
        <v/>
      </c>
      <c r="C198" s="129"/>
      <c r="D198" s="129"/>
      <c r="E198" s="131"/>
      <c r="F198" s="139"/>
      <c r="G198" s="145"/>
      <c r="H198" s="145"/>
      <c r="I198" s="129"/>
      <c r="J198" s="129"/>
      <c r="K198" s="146"/>
    </row>
    <row r="199" spans="1:11" s="53" customFormat="1" x14ac:dyDescent="0.3">
      <c r="A199" s="149"/>
      <c r="B199" s="150" t="str">
        <f>IF(Table24[[#This Row],[Affected CMS
(§63.567(o)(3)(ix), §63.567(o)(6)(ii))
(Select from dropdown)]]="","",VLOOKUP(Table24[[#This Row],[Affected CMS
(§63.567(o)(3)(ix), §63.567(o)(6)(ii))
(Select from dropdown)]],Table22[],2,FALSE))</f>
        <v/>
      </c>
      <c r="C199" s="129"/>
      <c r="D199" s="129"/>
      <c r="E199" s="131"/>
      <c r="F199" s="139"/>
      <c r="G199" s="145"/>
      <c r="H199" s="145"/>
      <c r="I199" s="129"/>
      <c r="J199" s="129"/>
      <c r="K199" s="146"/>
    </row>
    <row r="200" spans="1:11" s="53" customFormat="1" x14ac:dyDescent="0.3">
      <c r="A200" s="149"/>
      <c r="B200" s="150" t="str">
        <f>IF(Table24[[#This Row],[Affected CMS
(§63.567(o)(3)(ix), §63.567(o)(6)(ii))
(Select from dropdown)]]="","",VLOOKUP(Table24[[#This Row],[Affected CMS
(§63.567(o)(3)(ix), §63.567(o)(6)(ii))
(Select from dropdown)]],Table22[],2,FALSE))</f>
        <v/>
      </c>
      <c r="C200" s="129"/>
      <c r="D200" s="129"/>
      <c r="E200" s="131"/>
      <c r="F200" s="139"/>
      <c r="G200" s="145"/>
      <c r="H200" s="145"/>
      <c r="I200" s="129"/>
      <c r="J200" s="129"/>
      <c r="K200" s="146"/>
    </row>
    <row r="201" spans="1:11" s="53" customFormat="1" x14ac:dyDescent="0.3">
      <c r="A201" s="149"/>
      <c r="B201" s="150" t="str">
        <f>IF(Table24[[#This Row],[Affected CMS
(§63.567(o)(3)(ix), §63.567(o)(6)(ii))
(Select from dropdown)]]="","",VLOOKUP(Table24[[#This Row],[Affected CMS
(§63.567(o)(3)(ix), §63.567(o)(6)(ii))
(Select from dropdown)]],Table22[],2,FALSE))</f>
        <v/>
      </c>
      <c r="C201" s="129"/>
      <c r="D201" s="129"/>
      <c r="E201" s="131"/>
      <c r="F201" s="139"/>
      <c r="G201" s="145"/>
      <c r="H201" s="145"/>
      <c r="I201" s="129"/>
      <c r="J201" s="129"/>
      <c r="K201" s="146"/>
    </row>
    <row r="202" spans="1:11" s="53" customFormat="1" x14ac:dyDescent="0.3">
      <c r="A202" s="149"/>
      <c r="B202" s="150" t="str">
        <f>IF(Table24[[#This Row],[Affected CMS
(§63.567(o)(3)(ix), §63.567(o)(6)(ii))
(Select from dropdown)]]="","",VLOOKUP(Table24[[#This Row],[Affected CMS
(§63.567(o)(3)(ix), §63.567(o)(6)(ii))
(Select from dropdown)]],Table22[],2,FALSE))</f>
        <v/>
      </c>
      <c r="C202" s="129"/>
      <c r="D202" s="129"/>
      <c r="E202" s="131"/>
      <c r="F202" s="139"/>
      <c r="G202" s="145"/>
      <c r="H202" s="145"/>
      <c r="I202" s="129"/>
      <c r="J202" s="129"/>
      <c r="K202" s="146"/>
    </row>
    <row r="203" spans="1:11" s="53" customFormat="1" x14ac:dyDescent="0.3">
      <c r="A203" s="149"/>
      <c r="B203" s="150" t="str">
        <f>IF(Table24[[#This Row],[Affected CMS
(§63.567(o)(3)(ix), §63.567(o)(6)(ii))
(Select from dropdown)]]="","",VLOOKUP(Table24[[#This Row],[Affected CMS
(§63.567(o)(3)(ix), §63.567(o)(6)(ii))
(Select from dropdown)]],Table22[],2,FALSE))</f>
        <v/>
      </c>
      <c r="C203" s="129"/>
      <c r="D203" s="129"/>
      <c r="E203" s="131"/>
      <c r="F203" s="139"/>
      <c r="G203" s="145"/>
      <c r="H203" s="145"/>
      <c r="I203" s="129"/>
      <c r="J203" s="129"/>
      <c r="K203" s="146"/>
    </row>
    <row r="204" spans="1:11" s="53" customFormat="1" x14ac:dyDescent="0.3">
      <c r="A204" s="149"/>
      <c r="B204" s="150" t="str">
        <f>IF(Table24[[#This Row],[Affected CMS
(§63.567(o)(3)(ix), §63.567(o)(6)(ii))
(Select from dropdown)]]="","",VLOOKUP(Table24[[#This Row],[Affected CMS
(§63.567(o)(3)(ix), §63.567(o)(6)(ii))
(Select from dropdown)]],Table22[],2,FALSE))</f>
        <v/>
      </c>
      <c r="C204" s="129"/>
      <c r="D204" s="129"/>
      <c r="E204" s="131"/>
      <c r="F204" s="139"/>
      <c r="G204" s="145"/>
      <c r="H204" s="145"/>
      <c r="I204" s="129"/>
      <c r="J204" s="129"/>
      <c r="K204" s="146"/>
    </row>
    <row r="205" spans="1:11" s="53" customFormat="1" x14ac:dyDescent="0.3">
      <c r="A205" s="149"/>
      <c r="B205" s="150" t="str">
        <f>IF(Table24[[#This Row],[Affected CMS
(§63.567(o)(3)(ix), §63.567(o)(6)(ii))
(Select from dropdown)]]="","",VLOOKUP(Table24[[#This Row],[Affected CMS
(§63.567(o)(3)(ix), §63.567(o)(6)(ii))
(Select from dropdown)]],Table22[],2,FALSE))</f>
        <v/>
      </c>
      <c r="C205" s="129"/>
      <c r="D205" s="129"/>
      <c r="E205" s="131"/>
      <c r="F205" s="139"/>
      <c r="G205" s="145"/>
      <c r="H205" s="145"/>
      <c r="I205" s="129"/>
      <c r="J205" s="129"/>
      <c r="K205" s="146"/>
    </row>
    <row r="206" spans="1:11" s="53" customFormat="1" x14ac:dyDescent="0.3">
      <c r="A206" s="149"/>
      <c r="B206" s="150" t="str">
        <f>IF(Table24[[#This Row],[Affected CMS
(§63.567(o)(3)(ix), §63.567(o)(6)(ii))
(Select from dropdown)]]="","",VLOOKUP(Table24[[#This Row],[Affected CMS
(§63.567(o)(3)(ix), §63.567(o)(6)(ii))
(Select from dropdown)]],Table22[],2,FALSE))</f>
        <v/>
      </c>
      <c r="C206" s="129"/>
      <c r="D206" s="129"/>
      <c r="E206" s="131"/>
      <c r="F206" s="139"/>
      <c r="G206" s="145"/>
      <c r="H206" s="145"/>
      <c r="I206" s="129"/>
      <c r="J206" s="129"/>
      <c r="K206" s="146"/>
    </row>
    <row r="207" spans="1:11" s="53" customFormat="1" x14ac:dyDescent="0.3">
      <c r="A207" s="149"/>
      <c r="B207" s="150" t="str">
        <f>IF(Table24[[#This Row],[Affected CMS
(§63.567(o)(3)(ix), §63.567(o)(6)(ii))
(Select from dropdown)]]="","",VLOOKUP(Table24[[#This Row],[Affected CMS
(§63.567(o)(3)(ix), §63.567(o)(6)(ii))
(Select from dropdown)]],Table22[],2,FALSE))</f>
        <v/>
      </c>
      <c r="C207" s="129"/>
      <c r="D207" s="129"/>
      <c r="E207" s="131"/>
      <c r="F207" s="139"/>
      <c r="G207" s="145"/>
      <c r="H207" s="145"/>
      <c r="I207" s="129"/>
      <c r="J207" s="129"/>
      <c r="K207" s="146"/>
    </row>
    <row r="208" spans="1:11" s="53" customFormat="1" x14ac:dyDescent="0.3">
      <c r="A208" s="149"/>
      <c r="B208" s="150" t="str">
        <f>IF(Table24[[#This Row],[Affected CMS
(§63.567(o)(3)(ix), §63.567(o)(6)(ii))
(Select from dropdown)]]="","",VLOOKUP(Table24[[#This Row],[Affected CMS
(§63.567(o)(3)(ix), §63.567(o)(6)(ii))
(Select from dropdown)]],Table22[],2,FALSE))</f>
        <v/>
      </c>
      <c r="C208" s="129"/>
      <c r="D208" s="129"/>
      <c r="E208" s="131"/>
      <c r="F208" s="139"/>
      <c r="G208" s="145"/>
      <c r="H208" s="145"/>
      <c r="I208" s="129"/>
      <c r="J208" s="129"/>
      <c r="K208" s="146"/>
    </row>
    <row r="209" spans="1:11" s="53" customFormat="1" x14ac:dyDescent="0.3">
      <c r="A209" s="149"/>
      <c r="B209" s="150" t="str">
        <f>IF(Table24[[#This Row],[Affected CMS
(§63.567(o)(3)(ix), §63.567(o)(6)(ii))
(Select from dropdown)]]="","",VLOOKUP(Table24[[#This Row],[Affected CMS
(§63.567(o)(3)(ix), §63.567(o)(6)(ii))
(Select from dropdown)]],Table22[],2,FALSE))</f>
        <v/>
      </c>
      <c r="C209" s="129"/>
      <c r="D209" s="129"/>
      <c r="E209" s="131"/>
      <c r="F209" s="139"/>
      <c r="G209" s="145"/>
      <c r="H209" s="145"/>
      <c r="I209" s="129"/>
      <c r="J209" s="129"/>
      <c r="K209" s="146"/>
    </row>
    <row r="210" spans="1:11" s="53" customFormat="1" x14ac:dyDescent="0.3">
      <c r="A210" s="149"/>
      <c r="B210" s="150" t="str">
        <f>IF(Table24[[#This Row],[Affected CMS
(§63.567(o)(3)(ix), §63.567(o)(6)(ii))
(Select from dropdown)]]="","",VLOOKUP(Table24[[#This Row],[Affected CMS
(§63.567(o)(3)(ix), §63.567(o)(6)(ii))
(Select from dropdown)]],Table22[],2,FALSE))</f>
        <v/>
      </c>
      <c r="C210" s="129"/>
      <c r="D210" s="129"/>
      <c r="E210" s="131"/>
      <c r="F210" s="139"/>
      <c r="G210" s="145"/>
      <c r="H210" s="145"/>
      <c r="I210" s="129"/>
      <c r="J210" s="129"/>
      <c r="K210" s="146"/>
    </row>
    <row r="211" spans="1:11" s="53" customFormat="1" x14ac:dyDescent="0.3">
      <c r="A211" s="149"/>
      <c r="B211" s="150" t="str">
        <f>IF(Table24[[#This Row],[Affected CMS
(§63.567(o)(3)(ix), §63.567(o)(6)(ii))
(Select from dropdown)]]="","",VLOOKUP(Table24[[#This Row],[Affected CMS
(§63.567(o)(3)(ix), §63.567(o)(6)(ii))
(Select from dropdown)]],Table22[],2,FALSE))</f>
        <v/>
      </c>
      <c r="C211" s="129"/>
      <c r="D211" s="129"/>
      <c r="E211" s="131"/>
      <c r="F211" s="139"/>
      <c r="G211" s="145"/>
      <c r="H211" s="145"/>
      <c r="I211" s="129"/>
      <c r="J211" s="129"/>
      <c r="K211" s="146"/>
    </row>
    <row r="212" spans="1:11" s="53" customFormat="1" x14ac:dyDescent="0.3">
      <c r="A212" s="149"/>
      <c r="B212" s="150" t="str">
        <f>IF(Table24[[#This Row],[Affected CMS
(§63.567(o)(3)(ix), §63.567(o)(6)(ii))
(Select from dropdown)]]="","",VLOOKUP(Table24[[#This Row],[Affected CMS
(§63.567(o)(3)(ix), §63.567(o)(6)(ii))
(Select from dropdown)]],Table22[],2,FALSE))</f>
        <v/>
      </c>
      <c r="C212" s="129"/>
      <c r="D212" s="129"/>
      <c r="E212" s="131"/>
      <c r="F212" s="139"/>
      <c r="G212" s="145"/>
      <c r="H212" s="145"/>
      <c r="I212" s="129"/>
      <c r="J212" s="129"/>
      <c r="K212" s="146"/>
    </row>
    <row r="213" spans="1:11" s="53" customFormat="1" x14ac:dyDescent="0.3">
      <c r="A213" s="149"/>
      <c r="B213" s="150" t="str">
        <f>IF(Table24[[#This Row],[Affected CMS
(§63.567(o)(3)(ix), §63.567(o)(6)(ii))
(Select from dropdown)]]="","",VLOOKUP(Table24[[#This Row],[Affected CMS
(§63.567(o)(3)(ix), §63.567(o)(6)(ii))
(Select from dropdown)]],Table22[],2,FALSE))</f>
        <v/>
      </c>
      <c r="C213" s="129"/>
      <c r="D213" s="129"/>
      <c r="E213" s="131"/>
      <c r="F213" s="139"/>
      <c r="G213" s="145"/>
      <c r="H213" s="145"/>
      <c r="I213" s="129"/>
      <c r="J213" s="129"/>
      <c r="K213" s="146"/>
    </row>
    <row r="214" spans="1:11" s="53" customFormat="1" x14ac:dyDescent="0.3">
      <c r="A214" s="149"/>
      <c r="B214" s="150" t="str">
        <f>IF(Table24[[#This Row],[Affected CMS
(§63.567(o)(3)(ix), §63.567(o)(6)(ii))
(Select from dropdown)]]="","",VLOOKUP(Table24[[#This Row],[Affected CMS
(§63.567(o)(3)(ix), §63.567(o)(6)(ii))
(Select from dropdown)]],Table22[],2,FALSE))</f>
        <v/>
      </c>
      <c r="C214" s="129"/>
      <c r="D214" s="129"/>
      <c r="E214" s="131"/>
      <c r="F214" s="139"/>
      <c r="G214" s="145"/>
      <c r="H214" s="145"/>
      <c r="I214" s="129"/>
      <c r="J214" s="129"/>
      <c r="K214" s="146"/>
    </row>
    <row r="215" spans="1:11" s="53" customFormat="1" x14ac:dyDescent="0.3">
      <c r="A215" s="149"/>
      <c r="B215" s="150" t="str">
        <f>IF(Table24[[#This Row],[Affected CMS
(§63.567(o)(3)(ix), §63.567(o)(6)(ii))
(Select from dropdown)]]="","",VLOOKUP(Table24[[#This Row],[Affected CMS
(§63.567(o)(3)(ix), §63.567(o)(6)(ii))
(Select from dropdown)]],Table22[],2,FALSE))</f>
        <v/>
      </c>
      <c r="C215" s="129"/>
      <c r="D215" s="129"/>
      <c r="E215" s="131"/>
      <c r="F215" s="139"/>
      <c r="G215" s="145"/>
      <c r="H215" s="145"/>
      <c r="I215" s="129"/>
      <c r="J215" s="129"/>
      <c r="K215" s="146"/>
    </row>
    <row r="216" spans="1:11" s="53" customFormat="1" x14ac:dyDescent="0.3">
      <c r="A216" s="149"/>
      <c r="B216" s="150" t="str">
        <f>IF(Table24[[#This Row],[Affected CMS
(§63.567(o)(3)(ix), §63.567(o)(6)(ii))
(Select from dropdown)]]="","",VLOOKUP(Table24[[#This Row],[Affected CMS
(§63.567(o)(3)(ix), §63.567(o)(6)(ii))
(Select from dropdown)]],Table22[],2,FALSE))</f>
        <v/>
      </c>
      <c r="C216" s="129"/>
      <c r="D216" s="129"/>
      <c r="E216" s="131"/>
      <c r="F216" s="139"/>
      <c r="G216" s="145"/>
      <c r="H216" s="145"/>
      <c r="I216" s="129"/>
      <c r="J216" s="129"/>
      <c r="K216" s="146"/>
    </row>
    <row r="217" spans="1:11" s="53" customFormat="1" x14ac:dyDescent="0.3">
      <c r="A217" s="149"/>
      <c r="B217" s="150" t="str">
        <f>IF(Table24[[#This Row],[Affected CMS
(§63.567(o)(3)(ix), §63.567(o)(6)(ii))
(Select from dropdown)]]="","",VLOOKUP(Table24[[#This Row],[Affected CMS
(§63.567(o)(3)(ix), §63.567(o)(6)(ii))
(Select from dropdown)]],Table22[],2,FALSE))</f>
        <v/>
      </c>
      <c r="C217" s="129"/>
      <c r="D217" s="129"/>
      <c r="E217" s="131"/>
      <c r="F217" s="139"/>
      <c r="G217" s="145"/>
      <c r="H217" s="145"/>
      <c r="I217" s="129"/>
      <c r="J217" s="129"/>
      <c r="K217" s="146"/>
    </row>
    <row r="218" spans="1:11" s="53" customFormat="1" x14ac:dyDescent="0.3">
      <c r="A218" s="149"/>
      <c r="B218" s="150" t="str">
        <f>IF(Table24[[#This Row],[Affected CMS
(§63.567(o)(3)(ix), §63.567(o)(6)(ii))
(Select from dropdown)]]="","",VLOOKUP(Table24[[#This Row],[Affected CMS
(§63.567(o)(3)(ix), §63.567(o)(6)(ii))
(Select from dropdown)]],Table22[],2,FALSE))</f>
        <v/>
      </c>
      <c r="C218" s="129"/>
      <c r="D218" s="129"/>
      <c r="E218" s="131"/>
      <c r="F218" s="139"/>
      <c r="G218" s="145"/>
      <c r="H218" s="145"/>
      <c r="I218" s="129"/>
      <c r="J218" s="129"/>
      <c r="K218" s="146"/>
    </row>
    <row r="219" spans="1:11" s="53" customFormat="1" x14ac:dyDescent="0.3">
      <c r="A219" s="149"/>
      <c r="B219" s="150" t="str">
        <f>IF(Table24[[#This Row],[Affected CMS
(§63.567(o)(3)(ix), §63.567(o)(6)(ii))
(Select from dropdown)]]="","",VLOOKUP(Table24[[#This Row],[Affected CMS
(§63.567(o)(3)(ix), §63.567(o)(6)(ii))
(Select from dropdown)]],Table22[],2,FALSE))</f>
        <v/>
      </c>
      <c r="C219" s="129"/>
      <c r="D219" s="129"/>
      <c r="E219" s="131"/>
      <c r="F219" s="139"/>
      <c r="G219" s="145"/>
      <c r="H219" s="145"/>
      <c r="I219" s="129"/>
      <c r="J219" s="129"/>
      <c r="K219" s="146"/>
    </row>
    <row r="220" spans="1:11" s="53" customFormat="1" x14ac:dyDescent="0.3">
      <c r="A220" s="149"/>
      <c r="B220" s="150" t="str">
        <f>IF(Table24[[#This Row],[Affected CMS
(§63.567(o)(3)(ix), §63.567(o)(6)(ii))
(Select from dropdown)]]="","",VLOOKUP(Table24[[#This Row],[Affected CMS
(§63.567(o)(3)(ix), §63.567(o)(6)(ii))
(Select from dropdown)]],Table22[],2,FALSE))</f>
        <v/>
      </c>
      <c r="C220" s="129"/>
      <c r="D220" s="129"/>
      <c r="E220" s="131"/>
      <c r="F220" s="139"/>
      <c r="G220" s="145"/>
      <c r="H220" s="145"/>
      <c r="I220" s="129"/>
      <c r="J220" s="129"/>
      <c r="K220" s="146"/>
    </row>
    <row r="221" spans="1:11" s="53" customFormat="1" x14ac:dyDescent="0.3">
      <c r="A221" s="149"/>
      <c r="B221" s="150" t="str">
        <f>IF(Table24[[#This Row],[Affected CMS
(§63.567(o)(3)(ix), §63.567(o)(6)(ii))
(Select from dropdown)]]="","",VLOOKUP(Table24[[#This Row],[Affected CMS
(§63.567(o)(3)(ix), §63.567(o)(6)(ii))
(Select from dropdown)]],Table22[],2,FALSE))</f>
        <v/>
      </c>
      <c r="C221" s="129"/>
      <c r="D221" s="129"/>
      <c r="E221" s="131"/>
      <c r="F221" s="139"/>
      <c r="G221" s="145"/>
      <c r="H221" s="145"/>
      <c r="I221" s="129"/>
      <c r="J221" s="129"/>
      <c r="K221" s="146"/>
    </row>
    <row r="222" spans="1:11" s="53" customFormat="1" x14ac:dyDescent="0.3">
      <c r="A222" s="149"/>
      <c r="B222" s="150" t="str">
        <f>IF(Table24[[#This Row],[Affected CMS
(§63.567(o)(3)(ix), §63.567(o)(6)(ii))
(Select from dropdown)]]="","",VLOOKUP(Table24[[#This Row],[Affected CMS
(§63.567(o)(3)(ix), §63.567(o)(6)(ii))
(Select from dropdown)]],Table22[],2,FALSE))</f>
        <v/>
      </c>
      <c r="C222" s="129"/>
      <c r="D222" s="129"/>
      <c r="E222" s="131"/>
      <c r="F222" s="139"/>
      <c r="G222" s="145"/>
      <c r="H222" s="145"/>
      <c r="I222" s="129"/>
      <c r="J222" s="129"/>
      <c r="K222" s="146"/>
    </row>
    <row r="223" spans="1:11" s="53" customFormat="1" x14ac:dyDescent="0.3">
      <c r="A223" s="149"/>
      <c r="B223" s="150" t="str">
        <f>IF(Table24[[#This Row],[Affected CMS
(§63.567(o)(3)(ix), §63.567(o)(6)(ii))
(Select from dropdown)]]="","",VLOOKUP(Table24[[#This Row],[Affected CMS
(§63.567(o)(3)(ix), §63.567(o)(6)(ii))
(Select from dropdown)]],Table22[],2,FALSE))</f>
        <v/>
      </c>
      <c r="C223" s="129"/>
      <c r="D223" s="129"/>
      <c r="E223" s="131"/>
      <c r="F223" s="139"/>
      <c r="G223" s="145"/>
      <c r="H223" s="145"/>
      <c r="I223" s="129"/>
      <c r="J223" s="129"/>
      <c r="K223" s="146"/>
    </row>
    <row r="224" spans="1:11" s="53" customFormat="1" x14ac:dyDescent="0.3">
      <c r="A224" s="149"/>
      <c r="B224" s="150" t="str">
        <f>IF(Table24[[#This Row],[Affected CMS
(§63.567(o)(3)(ix), §63.567(o)(6)(ii))
(Select from dropdown)]]="","",VLOOKUP(Table24[[#This Row],[Affected CMS
(§63.567(o)(3)(ix), §63.567(o)(6)(ii))
(Select from dropdown)]],Table22[],2,FALSE))</f>
        <v/>
      </c>
      <c r="C224" s="129"/>
      <c r="D224" s="129"/>
      <c r="E224" s="131"/>
      <c r="F224" s="139"/>
      <c r="G224" s="145"/>
      <c r="H224" s="145"/>
      <c r="I224" s="129"/>
      <c r="J224" s="129"/>
      <c r="K224" s="146"/>
    </row>
    <row r="225" spans="1:11" s="53" customFormat="1" x14ac:dyDescent="0.3">
      <c r="A225" s="149"/>
      <c r="B225" s="150" t="str">
        <f>IF(Table24[[#This Row],[Affected CMS
(§63.567(o)(3)(ix), §63.567(o)(6)(ii))
(Select from dropdown)]]="","",VLOOKUP(Table24[[#This Row],[Affected CMS
(§63.567(o)(3)(ix), §63.567(o)(6)(ii))
(Select from dropdown)]],Table22[],2,FALSE))</f>
        <v/>
      </c>
      <c r="C225" s="129"/>
      <c r="D225" s="129"/>
      <c r="E225" s="131"/>
      <c r="F225" s="139"/>
      <c r="G225" s="145"/>
      <c r="H225" s="145"/>
      <c r="I225" s="129"/>
      <c r="J225" s="129"/>
      <c r="K225" s="146"/>
    </row>
    <row r="226" spans="1:11" s="53" customFormat="1" x14ac:dyDescent="0.3">
      <c r="A226" s="149"/>
      <c r="B226" s="150" t="str">
        <f>IF(Table24[[#This Row],[Affected CMS
(§63.567(o)(3)(ix), §63.567(o)(6)(ii))
(Select from dropdown)]]="","",VLOOKUP(Table24[[#This Row],[Affected CMS
(§63.567(o)(3)(ix), §63.567(o)(6)(ii))
(Select from dropdown)]],Table22[],2,FALSE))</f>
        <v/>
      </c>
      <c r="C226" s="129"/>
      <c r="D226" s="129"/>
      <c r="E226" s="131"/>
      <c r="F226" s="139"/>
      <c r="G226" s="145"/>
      <c r="H226" s="145"/>
      <c r="I226" s="129"/>
      <c r="J226" s="129"/>
      <c r="K226" s="146"/>
    </row>
    <row r="227" spans="1:11" s="53" customFormat="1" x14ac:dyDescent="0.3">
      <c r="A227" s="149"/>
      <c r="B227" s="150" t="str">
        <f>IF(Table24[[#This Row],[Affected CMS
(§63.567(o)(3)(ix), §63.567(o)(6)(ii))
(Select from dropdown)]]="","",VLOOKUP(Table24[[#This Row],[Affected CMS
(§63.567(o)(3)(ix), §63.567(o)(6)(ii))
(Select from dropdown)]],Table22[],2,FALSE))</f>
        <v/>
      </c>
      <c r="C227" s="129"/>
      <c r="D227" s="129"/>
      <c r="E227" s="131"/>
      <c r="F227" s="139"/>
      <c r="G227" s="145"/>
      <c r="H227" s="145"/>
      <c r="I227" s="129"/>
      <c r="J227" s="129"/>
      <c r="K227" s="146"/>
    </row>
    <row r="228" spans="1:11" s="53" customFormat="1" x14ac:dyDescent="0.3">
      <c r="A228" s="149"/>
      <c r="B228" s="150" t="str">
        <f>IF(Table24[[#This Row],[Affected CMS
(§63.567(o)(3)(ix), §63.567(o)(6)(ii))
(Select from dropdown)]]="","",VLOOKUP(Table24[[#This Row],[Affected CMS
(§63.567(o)(3)(ix), §63.567(o)(6)(ii))
(Select from dropdown)]],Table22[],2,FALSE))</f>
        <v/>
      </c>
      <c r="C228" s="129"/>
      <c r="D228" s="129"/>
      <c r="E228" s="131"/>
      <c r="F228" s="139"/>
      <c r="G228" s="145"/>
      <c r="H228" s="145"/>
      <c r="I228" s="129"/>
      <c r="J228" s="129"/>
      <c r="K228" s="146"/>
    </row>
    <row r="229" spans="1:11" s="53" customFormat="1" x14ac:dyDescent="0.3">
      <c r="A229" s="149"/>
      <c r="B229" s="150" t="str">
        <f>IF(Table24[[#This Row],[Affected CMS
(§63.567(o)(3)(ix), §63.567(o)(6)(ii))
(Select from dropdown)]]="","",VLOOKUP(Table24[[#This Row],[Affected CMS
(§63.567(o)(3)(ix), §63.567(o)(6)(ii))
(Select from dropdown)]],Table22[],2,FALSE))</f>
        <v/>
      </c>
      <c r="C229" s="129"/>
      <c r="D229" s="129"/>
      <c r="E229" s="131"/>
      <c r="F229" s="139"/>
      <c r="G229" s="145"/>
      <c r="H229" s="145"/>
      <c r="I229" s="129"/>
      <c r="J229" s="129"/>
      <c r="K229" s="146"/>
    </row>
    <row r="230" spans="1:11" s="53" customFormat="1" x14ac:dyDescent="0.3">
      <c r="A230" s="149"/>
      <c r="B230" s="150" t="str">
        <f>IF(Table24[[#This Row],[Affected CMS
(§63.567(o)(3)(ix), §63.567(o)(6)(ii))
(Select from dropdown)]]="","",VLOOKUP(Table24[[#This Row],[Affected CMS
(§63.567(o)(3)(ix), §63.567(o)(6)(ii))
(Select from dropdown)]],Table22[],2,FALSE))</f>
        <v/>
      </c>
      <c r="C230" s="129"/>
      <c r="D230" s="129"/>
      <c r="E230" s="131"/>
      <c r="F230" s="139"/>
      <c r="G230" s="145"/>
      <c r="H230" s="145"/>
      <c r="I230" s="129"/>
      <c r="J230" s="129"/>
      <c r="K230" s="146"/>
    </row>
    <row r="231" spans="1:11" s="53" customFormat="1" x14ac:dyDescent="0.3">
      <c r="A231" s="149"/>
      <c r="B231" s="150" t="str">
        <f>IF(Table24[[#This Row],[Affected CMS
(§63.567(o)(3)(ix), §63.567(o)(6)(ii))
(Select from dropdown)]]="","",VLOOKUP(Table24[[#This Row],[Affected CMS
(§63.567(o)(3)(ix), §63.567(o)(6)(ii))
(Select from dropdown)]],Table22[],2,FALSE))</f>
        <v/>
      </c>
      <c r="C231" s="129"/>
      <c r="D231" s="129"/>
      <c r="E231" s="131"/>
      <c r="F231" s="139"/>
      <c r="G231" s="145"/>
      <c r="H231" s="145"/>
      <c r="I231" s="129"/>
      <c r="J231" s="129"/>
      <c r="K231" s="146"/>
    </row>
    <row r="232" spans="1:11" s="53" customFormat="1" x14ac:dyDescent="0.3">
      <c r="A232" s="149"/>
      <c r="B232" s="150" t="str">
        <f>IF(Table24[[#This Row],[Affected CMS
(§63.567(o)(3)(ix), §63.567(o)(6)(ii))
(Select from dropdown)]]="","",VLOOKUP(Table24[[#This Row],[Affected CMS
(§63.567(o)(3)(ix), §63.567(o)(6)(ii))
(Select from dropdown)]],Table22[],2,FALSE))</f>
        <v/>
      </c>
      <c r="C232" s="129"/>
      <c r="D232" s="129"/>
      <c r="E232" s="131"/>
      <c r="F232" s="139"/>
      <c r="G232" s="145"/>
      <c r="H232" s="145"/>
      <c r="I232" s="129"/>
      <c r="J232" s="129"/>
      <c r="K232" s="146"/>
    </row>
    <row r="233" spans="1:11" s="53" customFormat="1" x14ac:dyDescent="0.3">
      <c r="A233" s="149"/>
      <c r="B233" s="150" t="str">
        <f>IF(Table24[[#This Row],[Affected CMS
(§63.567(o)(3)(ix), §63.567(o)(6)(ii))
(Select from dropdown)]]="","",VLOOKUP(Table24[[#This Row],[Affected CMS
(§63.567(o)(3)(ix), §63.567(o)(6)(ii))
(Select from dropdown)]],Table22[],2,FALSE))</f>
        <v/>
      </c>
      <c r="C233" s="129"/>
      <c r="D233" s="129"/>
      <c r="E233" s="131"/>
      <c r="F233" s="139"/>
      <c r="G233" s="145"/>
      <c r="H233" s="145"/>
      <c r="I233" s="129"/>
      <c r="J233" s="129"/>
      <c r="K233" s="146"/>
    </row>
    <row r="234" spans="1:11" s="53" customFormat="1" x14ac:dyDescent="0.3">
      <c r="A234" s="149"/>
      <c r="B234" s="150" t="str">
        <f>IF(Table24[[#This Row],[Affected CMS
(§63.567(o)(3)(ix), §63.567(o)(6)(ii))
(Select from dropdown)]]="","",VLOOKUP(Table24[[#This Row],[Affected CMS
(§63.567(o)(3)(ix), §63.567(o)(6)(ii))
(Select from dropdown)]],Table22[],2,FALSE))</f>
        <v/>
      </c>
      <c r="C234" s="129"/>
      <c r="D234" s="129"/>
      <c r="E234" s="131"/>
      <c r="F234" s="139"/>
      <c r="G234" s="145"/>
      <c r="H234" s="145"/>
      <c r="I234" s="129"/>
      <c r="J234" s="129"/>
      <c r="K234" s="146"/>
    </row>
    <row r="235" spans="1:11" s="53" customFormat="1" x14ac:dyDescent="0.3">
      <c r="A235" s="149"/>
      <c r="B235" s="150" t="str">
        <f>IF(Table24[[#This Row],[Affected CMS
(§63.567(o)(3)(ix), §63.567(o)(6)(ii))
(Select from dropdown)]]="","",VLOOKUP(Table24[[#This Row],[Affected CMS
(§63.567(o)(3)(ix), §63.567(o)(6)(ii))
(Select from dropdown)]],Table22[],2,FALSE))</f>
        <v/>
      </c>
      <c r="C235" s="129"/>
      <c r="D235" s="129"/>
      <c r="E235" s="131"/>
      <c r="F235" s="139"/>
      <c r="G235" s="145"/>
      <c r="H235" s="145"/>
      <c r="I235" s="129"/>
      <c r="J235" s="129"/>
      <c r="K235" s="146"/>
    </row>
    <row r="236" spans="1:11" s="53" customFormat="1" x14ac:dyDescent="0.3">
      <c r="A236" s="149"/>
      <c r="B236" s="150" t="str">
        <f>IF(Table24[[#This Row],[Affected CMS
(§63.567(o)(3)(ix), §63.567(o)(6)(ii))
(Select from dropdown)]]="","",VLOOKUP(Table24[[#This Row],[Affected CMS
(§63.567(o)(3)(ix), §63.567(o)(6)(ii))
(Select from dropdown)]],Table22[],2,FALSE))</f>
        <v/>
      </c>
      <c r="C236" s="129"/>
      <c r="D236" s="129"/>
      <c r="E236" s="131"/>
      <c r="F236" s="139"/>
      <c r="G236" s="145"/>
      <c r="H236" s="145"/>
      <c r="I236" s="129"/>
      <c r="J236" s="129"/>
      <c r="K236" s="146"/>
    </row>
    <row r="237" spans="1:11" s="53" customFormat="1" x14ac:dyDescent="0.3">
      <c r="A237" s="149"/>
      <c r="B237" s="150" t="str">
        <f>IF(Table24[[#This Row],[Affected CMS
(§63.567(o)(3)(ix), §63.567(o)(6)(ii))
(Select from dropdown)]]="","",VLOOKUP(Table24[[#This Row],[Affected CMS
(§63.567(o)(3)(ix), §63.567(o)(6)(ii))
(Select from dropdown)]],Table22[],2,FALSE))</f>
        <v/>
      </c>
      <c r="C237" s="129"/>
      <c r="D237" s="129"/>
      <c r="E237" s="131"/>
      <c r="F237" s="139"/>
      <c r="G237" s="145"/>
      <c r="H237" s="145"/>
      <c r="I237" s="129"/>
      <c r="J237" s="129"/>
      <c r="K237" s="146"/>
    </row>
    <row r="238" spans="1:11" s="53" customFormat="1" x14ac:dyDescent="0.3">
      <c r="A238" s="149"/>
      <c r="B238" s="150" t="str">
        <f>IF(Table24[[#This Row],[Affected CMS
(§63.567(o)(3)(ix), §63.567(o)(6)(ii))
(Select from dropdown)]]="","",VLOOKUP(Table24[[#This Row],[Affected CMS
(§63.567(o)(3)(ix), §63.567(o)(6)(ii))
(Select from dropdown)]],Table22[],2,FALSE))</f>
        <v/>
      </c>
      <c r="C238" s="129"/>
      <c r="D238" s="129"/>
      <c r="E238" s="131"/>
      <c r="F238" s="139"/>
      <c r="G238" s="145"/>
      <c r="H238" s="145"/>
      <c r="I238" s="129"/>
      <c r="J238" s="129"/>
      <c r="K238" s="146"/>
    </row>
    <row r="239" spans="1:11" s="53" customFormat="1" x14ac:dyDescent="0.3">
      <c r="A239" s="149"/>
      <c r="B239" s="150" t="str">
        <f>IF(Table24[[#This Row],[Affected CMS
(§63.567(o)(3)(ix), §63.567(o)(6)(ii))
(Select from dropdown)]]="","",VLOOKUP(Table24[[#This Row],[Affected CMS
(§63.567(o)(3)(ix), §63.567(o)(6)(ii))
(Select from dropdown)]],Table22[],2,FALSE))</f>
        <v/>
      </c>
      <c r="C239" s="129"/>
      <c r="D239" s="129"/>
      <c r="E239" s="131"/>
      <c r="F239" s="139"/>
      <c r="G239" s="145"/>
      <c r="H239" s="145"/>
      <c r="I239" s="129"/>
      <c r="J239" s="129"/>
      <c r="K239" s="146"/>
    </row>
    <row r="240" spans="1:11" s="53" customFormat="1" x14ac:dyDescent="0.3">
      <c r="A240" s="149"/>
      <c r="B240" s="150" t="str">
        <f>IF(Table24[[#This Row],[Affected CMS
(§63.567(o)(3)(ix), §63.567(o)(6)(ii))
(Select from dropdown)]]="","",VLOOKUP(Table24[[#This Row],[Affected CMS
(§63.567(o)(3)(ix), §63.567(o)(6)(ii))
(Select from dropdown)]],Table22[],2,FALSE))</f>
        <v/>
      </c>
      <c r="C240" s="129"/>
      <c r="D240" s="129"/>
      <c r="E240" s="131"/>
      <c r="F240" s="139"/>
      <c r="G240" s="145"/>
      <c r="H240" s="145"/>
      <c r="I240" s="129"/>
      <c r="J240" s="129"/>
      <c r="K240" s="146"/>
    </row>
    <row r="241" spans="1:11" s="53" customFormat="1" x14ac:dyDescent="0.3">
      <c r="A241" s="149"/>
      <c r="B241" s="150" t="str">
        <f>IF(Table24[[#This Row],[Affected CMS
(§63.567(o)(3)(ix), §63.567(o)(6)(ii))
(Select from dropdown)]]="","",VLOOKUP(Table24[[#This Row],[Affected CMS
(§63.567(o)(3)(ix), §63.567(o)(6)(ii))
(Select from dropdown)]],Table22[],2,FALSE))</f>
        <v/>
      </c>
      <c r="C241" s="129"/>
      <c r="D241" s="129"/>
      <c r="E241" s="131"/>
      <c r="F241" s="139"/>
      <c r="G241" s="145"/>
      <c r="H241" s="145"/>
      <c r="I241" s="129"/>
      <c r="J241" s="129"/>
      <c r="K241" s="146"/>
    </row>
    <row r="242" spans="1:11" s="53" customFormat="1" x14ac:dyDescent="0.3">
      <c r="A242" s="149"/>
      <c r="B242" s="150" t="str">
        <f>IF(Table24[[#This Row],[Affected CMS
(§63.567(o)(3)(ix), §63.567(o)(6)(ii))
(Select from dropdown)]]="","",VLOOKUP(Table24[[#This Row],[Affected CMS
(§63.567(o)(3)(ix), §63.567(o)(6)(ii))
(Select from dropdown)]],Table22[],2,FALSE))</f>
        <v/>
      </c>
      <c r="C242" s="129"/>
      <c r="D242" s="129"/>
      <c r="E242" s="131"/>
      <c r="F242" s="139"/>
      <c r="G242" s="145"/>
      <c r="H242" s="145"/>
      <c r="I242" s="129"/>
      <c r="J242" s="129"/>
      <c r="K242" s="146"/>
    </row>
    <row r="243" spans="1:11" s="53" customFormat="1" x14ac:dyDescent="0.3">
      <c r="A243" s="149"/>
      <c r="B243" s="150" t="str">
        <f>IF(Table24[[#This Row],[Affected CMS
(§63.567(o)(3)(ix), §63.567(o)(6)(ii))
(Select from dropdown)]]="","",VLOOKUP(Table24[[#This Row],[Affected CMS
(§63.567(o)(3)(ix), §63.567(o)(6)(ii))
(Select from dropdown)]],Table22[],2,FALSE))</f>
        <v/>
      </c>
      <c r="C243" s="129"/>
      <c r="D243" s="129"/>
      <c r="E243" s="131"/>
      <c r="F243" s="139"/>
      <c r="G243" s="145"/>
      <c r="H243" s="145"/>
      <c r="I243" s="129"/>
      <c r="J243" s="129"/>
      <c r="K243" s="146"/>
    </row>
    <row r="244" spans="1:11" s="53" customFormat="1" x14ac:dyDescent="0.3">
      <c r="A244" s="149"/>
      <c r="B244" s="150" t="str">
        <f>IF(Table24[[#This Row],[Affected CMS
(§63.567(o)(3)(ix), §63.567(o)(6)(ii))
(Select from dropdown)]]="","",VLOOKUP(Table24[[#This Row],[Affected CMS
(§63.567(o)(3)(ix), §63.567(o)(6)(ii))
(Select from dropdown)]],Table22[],2,FALSE))</f>
        <v/>
      </c>
      <c r="C244" s="129"/>
      <c r="D244" s="129"/>
      <c r="E244" s="131"/>
      <c r="F244" s="139"/>
      <c r="G244" s="145"/>
      <c r="H244" s="145"/>
      <c r="I244" s="129"/>
      <c r="J244" s="129"/>
      <c r="K244" s="146"/>
    </row>
    <row r="245" spans="1:11" s="53" customFormat="1" x14ac:dyDescent="0.3">
      <c r="A245" s="149"/>
      <c r="B245" s="150" t="str">
        <f>IF(Table24[[#This Row],[Affected CMS
(§63.567(o)(3)(ix), §63.567(o)(6)(ii))
(Select from dropdown)]]="","",VLOOKUP(Table24[[#This Row],[Affected CMS
(§63.567(o)(3)(ix), §63.567(o)(6)(ii))
(Select from dropdown)]],Table22[],2,FALSE))</f>
        <v/>
      </c>
      <c r="C245" s="129"/>
      <c r="D245" s="129"/>
      <c r="E245" s="131"/>
      <c r="F245" s="139"/>
      <c r="G245" s="145"/>
      <c r="H245" s="145"/>
      <c r="I245" s="129"/>
      <c r="J245" s="129"/>
      <c r="K245" s="146"/>
    </row>
    <row r="246" spans="1:11" s="53" customFormat="1" x14ac:dyDescent="0.3">
      <c r="A246" s="149"/>
      <c r="B246" s="150" t="str">
        <f>IF(Table24[[#This Row],[Affected CMS
(§63.567(o)(3)(ix), §63.567(o)(6)(ii))
(Select from dropdown)]]="","",VLOOKUP(Table24[[#This Row],[Affected CMS
(§63.567(o)(3)(ix), §63.567(o)(6)(ii))
(Select from dropdown)]],Table22[],2,FALSE))</f>
        <v/>
      </c>
      <c r="C246" s="129"/>
      <c r="D246" s="129"/>
      <c r="E246" s="131"/>
      <c r="F246" s="139"/>
      <c r="G246" s="145"/>
      <c r="H246" s="145"/>
      <c r="I246" s="129"/>
      <c r="J246" s="129"/>
      <c r="K246" s="146"/>
    </row>
    <row r="247" spans="1:11" s="53" customFormat="1" x14ac:dyDescent="0.3">
      <c r="A247" s="149"/>
      <c r="B247" s="150" t="str">
        <f>IF(Table24[[#This Row],[Affected CMS
(§63.567(o)(3)(ix), §63.567(o)(6)(ii))
(Select from dropdown)]]="","",VLOOKUP(Table24[[#This Row],[Affected CMS
(§63.567(o)(3)(ix), §63.567(o)(6)(ii))
(Select from dropdown)]],Table22[],2,FALSE))</f>
        <v/>
      </c>
      <c r="C247" s="129"/>
      <c r="D247" s="129"/>
      <c r="E247" s="131"/>
      <c r="F247" s="139"/>
      <c r="G247" s="145"/>
      <c r="H247" s="145"/>
      <c r="I247" s="129"/>
      <c r="J247" s="129"/>
      <c r="K247" s="146"/>
    </row>
    <row r="248" spans="1:11" s="53" customFormat="1" x14ac:dyDescent="0.3">
      <c r="A248" s="149"/>
      <c r="B248" s="150" t="str">
        <f>IF(Table24[[#This Row],[Affected CMS
(§63.567(o)(3)(ix), §63.567(o)(6)(ii))
(Select from dropdown)]]="","",VLOOKUP(Table24[[#This Row],[Affected CMS
(§63.567(o)(3)(ix), §63.567(o)(6)(ii))
(Select from dropdown)]],Table22[],2,FALSE))</f>
        <v/>
      </c>
      <c r="C248" s="129"/>
      <c r="D248" s="129"/>
      <c r="E248" s="131"/>
      <c r="F248" s="139"/>
      <c r="G248" s="145"/>
      <c r="H248" s="145"/>
      <c r="I248" s="129"/>
      <c r="J248" s="129"/>
      <c r="K248" s="146"/>
    </row>
    <row r="249" spans="1:11" s="53" customFormat="1" x14ac:dyDescent="0.3">
      <c r="A249" s="149"/>
      <c r="B249" s="150" t="str">
        <f>IF(Table24[[#This Row],[Affected CMS
(§63.567(o)(3)(ix), §63.567(o)(6)(ii))
(Select from dropdown)]]="","",VLOOKUP(Table24[[#This Row],[Affected CMS
(§63.567(o)(3)(ix), §63.567(o)(6)(ii))
(Select from dropdown)]],Table22[],2,FALSE))</f>
        <v/>
      </c>
      <c r="C249" s="129"/>
      <c r="D249" s="129"/>
      <c r="E249" s="131"/>
      <c r="F249" s="139"/>
      <c r="G249" s="145"/>
      <c r="H249" s="145"/>
      <c r="I249" s="129"/>
      <c r="J249" s="129"/>
      <c r="K249" s="146"/>
    </row>
    <row r="250" spans="1:11" s="53" customFormat="1" x14ac:dyDescent="0.3">
      <c r="A250" s="149"/>
      <c r="B250" s="150" t="str">
        <f>IF(Table24[[#This Row],[Affected CMS
(§63.567(o)(3)(ix), §63.567(o)(6)(ii))
(Select from dropdown)]]="","",VLOOKUP(Table24[[#This Row],[Affected CMS
(§63.567(o)(3)(ix), §63.567(o)(6)(ii))
(Select from dropdown)]],Table22[],2,FALSE))</f>
        <v/>
      </c>
      <c r="C250" s="129"/>
      <c r="D250" s="129"/>
      <c r="E250" s="131"/>
      <c r="F250" s="139"/>
      <c r="G250" s="145"/>
      <c r="H250" s="145"/>
      <c r="I250" s="129"/>
      <c r="J250" s="129"/>
      <c r="K250" s="146"/>
    </row>
    <row r="251" spans="1:11" s="53" customFormat="1" x14ac:dyDescent="0.3">
      <c r="A251" s="149"/>
      <c r="B251" s="150" t="str">
        <f>IF(Table24[[#This Row],[Affected CMS
(§63.567(o)(3)(ix), §63.567(o)(6)(ii))
(Select from dropdown)]]="","",VLOOKUP(Table24[[#This Row],[Affected CMS
(§63.567(o)(3)(ix), §63.567(o)(6)(ii))
(Select from dropdown)]],Table22[],2,FALSE))</f>
        <v/>
      </c>
      <c r="C251" s="129"/>
      <c r="D251" s="129"/>
      <c r="E251" s="131"/>
      <c r="F251" s="139"/>
      <c r="G251" s="145"/>
      <c r="H251" s="145"/>
      <c r="I251" s="129"/>
      <c r="J251" s="129"/>
      <c r="K251" s="146"/>
    </row>
    <row r="252" spans="1:11" s="53" customFormat="1" x14ac:dyDescent="0.3">
      <c r="A252" s="149"/>
      <c r="B252" s="150" t="str">
        <f>IF(Table24[[#This Row],[Affected CMS
(§63.567(o)(3)(ix), §63.567(o)(6)(ii))
(Select from dropdown)]]="","",VLOOKUP(Table24[[#This Row],[Affected CMS
(§63.567(o)(3)(ix), §63.567(o)(6)(ii))
(Select from dropdown)]],Table22[],2,FALSE))</f>
        <v/>
      </c>
      <c r="C252" s="129"/>
      <c r="D252" s="129"/>
      <c r="E252" s="131"/>
      <c r="F252" s="139"/>
      <c r="G252" s="145"/>
      <c r="H252" s="145"/>
      <c r="I252" s="129"/>
      <c r="J252" s="129"/>
      <c r="K252" s="146"/>
    </row>
    <row r="253" spans="1:11" s="53" customFormat="1" x14ac:dyDescent="0.3">
      <c r="A253" s="149"/>
      <c r="B253" s="150" t="str">
        <f>IF(Table24[[#This Row],[Affected CMS
(§63.567(o)(3)(ix), §63.567(o)(6)(ii))
(Select from dropdown)]]="","",VLOOKUP(Table24[[#This Row],[Affected CMS
(§63.567(o)(3)(ix), §63.567(o)(6)(ii))
(Select from dropdown)]],Table22[],2,FALSE))</f>
        <v/>
      </c>
      <c r="C253" s="129"/>
      <c r="D253" s="129"/>
      <c r="E253" s="131"/>
      <c r="F253" s="139"/>
      <c r="G253" s="145"/>
      <c r="H253" s="145"/>
      <c r="I253" s="129"/>
      <c r="J253" s="129"/>
      <c r="K253" s="146"/>
    </row>
    <row r="254" spans="1:11" s="53" customFormat="1" x14ac:dyDescent="0.3">
      <c r="A254" s="149"/>
      <c r="B254" s="150" t="str">
        <f>IF(Table24[[#This Row],[Affected CMS
(§63.567(o)(3)(ix), §63.567(o)(6)(ii))
(Select from dropdown)]]="","",VLOOKUP(Table24[[#This Row],[Affected CMS
(§63.567(o)(3)(ix), §63.567(o)(6)(ii))
(Select from dropdown)]],Table22[],2,FALSE))</f>
        <v/>
      </c>
      <c r="C254" s="129"/>
      <c r="D254" s="129"/>
      <c r="E254" s="131"/>
      <c r="F254" s="139"/>
      <c r="G254" s="145"/>
      <c r="H254" s="145"/>
      <c r="I254" s="129"/>
      <c r="J254" s="129"/>
      <c r="K254" s="146"/>
    </row>
    <row r="255" spans="1:11" s="53" customFormat="1" x14ac:dyDescent="0.3">
      <c r="A255" s="149"/>
      <c r="B255" s="150" t="str">
        <f>IF(Table24[[#This Row],[Affected CMS
(§63.567(o)(3)(ix), §63.567(o)(6)(ii))
(Select from dropdown)]]="","",VLOOKUP(Table24[[#This Row],[Affected CMS
(§63.567(o)(3)(ix), §63.567(o)(6)(ii))
(Select from dropdown)]],Table22[],2,FALSE))</f>
        <v/>
      </c>
      <c r="C255" s="129"/>
      <c r="D255" s="129"/>
      <c r="E255" s="131"/>
      <c r="F255" s="139"/>
      <c r="G255" s="145"/>
      <c r="H255" s="145"/>
      <c r="I255" s="129"/>
      <c r="J255" s="129"/>
      <c r="K255" s="146"/>
    </row>
    <row r="256" spans="1:11" s="53" customFormat="1" x14ac:dyDescent="0.3">
      <c r="A256" s="149"/>
      <c r="B256" s="150" t="str">
        <f>IF(Table24[[#This Row],[Affected CMS
(§63.567(o)(3)(ix), §63.567(o)(6)(ii))
(Select from dropdown)]]="","",VLOOKUP(Table24[[#This Row],[Affected CMS
(§63.567(o)(3)(ix), §63.567(o)(6)(ii))
(Select from dropdown)]],Table22[],2,FALSE))</f>
        <v/>
      </c>
      <c r="C256" s="129"/>
      <c r="D256" s="129"/>
      <c r="E256" s="131"/>
      <c r="F256" s="139"/>
      <c r="G256" s="145"/>
      <c r="H256" s="145"/>
      <c r="I256" s="129"/>
      <c r="J256" s="129"/>
      <c r="K256" s="146"/>
    </row>
    <row r="257" spans="1:11" s="53" customFormat="1" x14ac:dyDescent="0.3">
      <c r="A257" s="149"/>
      <c r="B257" s="150" t="str">
        <f>IF(Table24[[#This Row],[Affected CMS
(§63.567(o)(3)(ix), §63.567(o)(6)(ii))
(Select from dropdown)]]="","",VLOOKUP(Table24[[#This Row],[Affected CMS
(§63.567(o)(3)(ix), §63.567(o)(6)(ii))
(Select from dropdown)]],Table22[],2,FALSE))</f>
        <v/>
      </c>
      <c r="C257" s="129"/>
      <c r="D257" s="129"/>
      <c r="E257" s="131"/>
      <c r="F257" s="139"/>
      <c r="G257" s="145"/>
      <c r="H257" s="145"/>
      <c r="I257" s="129"/>
      <c r="J257" s="129"/>
      <c r="K257" s="146"/>
    </row>
    <row r="258" spans="1:11" s="53" customFormat="1" x14ac:dyDescent="0.3">
      <c r="A258" s="149"/>
      <c r="B258" s="150" t="str">
        <f>IF(Table24[[#This Row],[Affected CMS
(§63.567(o)(3)(ix), §63.567(o)(6)(ii))
(Select from dropdown)]]="","",VLOOKUP(Table24[[#This Row],[Affected CMS
(§63.567(o)(3)(ix), §63.567(o)(6)(ii))
(Select from dropdown)]],Table22[],2,FALSE))</f>
        <v/>
      </c>
      <c r="C258" s="129"/>
      <c r="D258" s="129"/>
      <c r="E258" s="131"/>
      <c r="F258" s="139"/>
      <c r="G258" s="145"/>
      <c r="H258" s="145"/>
      <c r="I258" s="129"/>
      <c r="J258" s="129"/>
      <c r="K258" s="146"/>
    </row>
    <row r="259" spans="1:11" s="53" customFormat="1" x14ac:dyDescent="0.3">
      <c r="A259" s="149"/>
      <c r="B259" s="150" t="str">
        <f>IF(Table24[[#This Row],[Affected CMS
(§63.567(o)(3)(ix), §63.567(o)(6)(ii))
(Select from dropdown)]]="","",VLOOKUP(Table24[[#This Row],[Affected CMS
(§63.567(o)(3)(ix), §63.567(o)(6)(ii))
(Select from dropdown)]],Table22[],2,FALSE))</f>
        <v/>
      </c>
      <c r="C259" s="129"/>
      <c r="D259" s="129"/>
      <c r="E259" s="131"/>
      <c r="F259" s="139"/>
      <c r="G259" s="145"/>
      <c r="H259" s="145"/>
      <c r="I259" s="129"/>
      <c r="J259" s="129"/>
      <c r="K259" s="146"/>
    </row>
    <row r="260" spans="1:11" s="53" customFormat="1" x14ac:dyDescent="0.3">
      <c r="A260" s="149"/>
      <c r="B260" s="150" t="str">
        <f>IF(Table24[[#This Row],[Affected CMS
(§63.567(o)(3)(ix), §63.567(o)(6)(ii))
(Select from dropdown)]]="","",VLOOKUP(Table24[[#This Row],[Affected CMS
(§63.567(o)(3)(ix), §63.567(o)(6)(ii))
(Select from dropdown)]],Table22[],2,FALSE))</f>
        <v/>
      </c>
      <c r="C260" s="129"/>
      <c r="D260" s="129"/>
      <c r="E260" s="131"/>
      <c r="F260" s="139"/>
      <c r="G260" s="145"/>
      <c r="H260" s="145"/>
      <c r="I260" s="129"/>
      <c r="J260" s="129"/>
      <c r="K260" s="146"/>
    </row>
    <row r="261" spans="1:11" s="53" customFormat="1" x14ac:dyDescent="0.3">
      <c r="A261" s="149"/>
      <c r="B261" s="150" t="str">
        <f>IF(Table24[[#This Row],[Affected CMS
(§63.567(o)(3)(ix), §63.567(o)(6)(ii))
(Select from dropdown)]]="","",VLOOKUP(Table24[[#This Row],[Affected CMS
(§63.567(o)(3)(ix), §63.567(o)(6)(ii))
(Select from dropdown)]],Table22[],2,FALSE))</f>
        <v/>
      </c>
      <c r="C261" s="129"/>
      <c r="D261" s="129"/>
      <c r="E261" s="131"/>
      <c r="F261" s="139"/>
      <c r="G261" s="145"/>
      <c r="H261" s="145"/>
      <c r="I261" s="129"/>
      <c r="J261" s="129"/>
      <c r="K261" s="146"/>
    </row>
    <row r="262" spans="1:11" s="53" customFormat="1" x14ac:dyDescent="0.3">
      <c r="A262" s="149"/>
      <c r="B262" s="150" t="str">
        <f>IF(Table24[[#This Row],[Affected CMS
(§63.567(o)(3)(ix), §63.567(o)(6)(ii))
(Select from dropdown)]]="","",VLOOKUP(Table24[[#This Row],[Affected CMS
(§63.567(o)(3)(ix), §63.567(o)(6)(ii))
(Select from dropdown)]],Table22[],2,FALSE))</f>
        <v/>
      </c>
      <c r="C262" s="129"/>
      <c r="D262" s="129"/>
      <c r="E262" s="131"/>
      <c r="F262" s="139"/>
      <c r="G262" s="145"/>
      <c r="H262" s="145"/>
      <c r="I262" s="129"/>
      <c r="J262" s="129"/>
      <c r="K262" s="146"/>
    </row>
    <row r="263" spans="1:11" s="53" customFormat="1" x14ac:dyDescent="0.3">
      <c r="A263" s="149"/>
      <c r="B263" s="150" t="str">
        <f>IF(Table24[[#This Row],[Affected CMS
(§63.567(o)(3)(ix), §63.567(o)(6)(ii))
(Select from dropdown)]]="","",VLOOKUP(Table24[[#This Row],[Affected CMS
(§63.567(o)(3)(ix), §63.567(o)(6)(ii))
(Select from dropdown)]],Table22[],2,FALSE))</f>
        <v/>
      </c>
      <c r="C263" s="129"/>
      <c r="D263" s="129"/>
      <c r="E263" s="131"/>
      <c r="F263" s="139"/>
      <c r="G263" s="145"/>
      <c r="H263" s="145"/>
      <c r="I263" s="129"/>
      <c r="J263" s="129"/>
      <c r="K263" s="146"/>
    </row>
    <row r="264" spans="1:11" s="53" customFormat="1" x14ac:dyDescent="0.3">
      <c r="A264" s="149"/>
      <c r="B264" s="150" t="str">
        <f>IF(Table24[[#This Row],[Affected CMS
(§63.567(o)(3)(ix), §63.567(o)(6)(ii))
(Select from dropdown)]]="","",VLOOKUP(Table24[[#This Row],[Affected CMS
(§63.567(o)(3)(ix), §63.567(o)(6)(ii))
(Select from dropdown)]],Table22[],2,FALSE))</f>
        <v/>
      </c>
      <c r="C264" s="129"/>
      <c r="D264" s="129"/>
      <c r="E264" s="131"/>
      <c r="F264" s="139"/>
      <c r="G264" s="145"/>
      <c r="H264" s="145"/>
      <c r="I264" s="129"/>
      <c r="J264" s="129"/>
      <c r="K264" s="146"/>
    </row>
    <row r="265" spans="1:11" s="53" customFormat="1" x14ac:dyDescent="0.3">
      <c r="A265" s="149"/>
      <c r="B265" s="150" t="str">
        <f>IF(Table24[[#This Row],[Affected CMS
(§63.567(o)(3)(ix), §63.567(o)(6)(ii))
(Select from dropdown)]]="","",VLOOKUP(Table24[[#This Row],[Affected CMS
(§63.567(o)(3)(ix), §63.567(o)(6)(ii))
(Select from dropdown)]],Table22[],2,FALSE))</f>
        <v/>
      </c>
      <c r="C265" s="129"/>
      <c r="D265" s="129"/>
      <c r="E265" s="131"/>
      <c r="F265" s="139"/>
      <c r="G265" s="145"/>
      <c r="H265" s="145"/>
      <c r="I265" s="129"/>
      <c r="J265" s="129"/>
      <c r="K265" s="146"/>
    </row>
    <row r="266" spans="1:11" s="53" customFormat="1" x14ac:dyDescent="0.3">
      <c r="A266" s="149"/>
      <c r="B266" s="150" t="str">
        <f>IF(Table24[[#This Row],[Affected CMS
(§63.567(o)(3)(ix), §63.567(o)(6)(ii))
(Select from dropdown)]]="","",VLOOKUP(Table24[[#This Row],[Affected CMS
(§63.567(o)(3)(ix), §63.567(o)(6)(ii))
(Select from dropdown)]],Table22[],2,FALSE))</f>
        <v/>
      </c>
      <c r="C266" s="129"/>
      <c r="D266" s="129"/>
      <c r="E266" s="131"/>
      <c r="F266" s="139"/>
      <c r="G266" s="145"/>
      <c r="H266" s="145"/>
      <c r="I266" s="129"/>
      <c r="J266" s="129"/>
      <c r="K266" s="146"/>
    </row>
    <row r="267" spans="1:11" s="53" customFormat="1" x14ac:dyDescent="0.3">
      <c r="A267" s="149"/>
      <c r="B267" s="150" t="str">
        <f>IF(Table24[[#This Row],[Affected CMS
(§63.567(o)(3)(ix), §63.567(o)(6)(ii))
(Select from dropdown)]]="","",VLOOKUP(Table24[[#This Row],[Affected CMS
(§63.567(o)(3)(ix), §63.567(o)(6)(ii))
(Select from dropdown)]],Table22[],2,FALSE))</f>
        <v/>
      </c>
      <c r="C267" s="129"/>
      <c r="D267" s="129"/>
      <c r="E267" s="131"/>
      <c r="F267" s="139"/>
      <c r="G267" s="145"/>
      <c r="H267" s="145"/>
      <c r="I267" s="129"/>
      <c r="J267" s="129"/>
      <c r="K267" s="146"/>
    </row>
    <row r="268" spans="1:11" s="53" customFormat="1" x14ac:dyDescent="0.3">
      <c r="A268" s="149"/>
      <c r="B268" s="150" t="str">
        <f>IF(Table24[[#This Row],[Affected CMS
(§63.567(o)(3)(ix), §63.567(o)(6)(ii))
(Select from dropdown)]]="","",VLOOKUP(Table24[[#This Row],[Affected CMS
(§63.567(o)(3)(ix), §63.567(o)(6)(ii))
(Select from dropdown)]],Table22[],2,FALSE))</f>
        <v/>
      </c>
      <c r="C268" s="129"/>
      <c r="D268" s="129"/>
      <c r="E268" s="131"/>
      <c r="F268" s="139"/>
      <c r="G268" s="145"/>
      <c r="H268" s="145"/>
      <c r="I268" s="129"/>
      <c r="J268" s="129"/>
      <c r="K268" s="146"/>
    </row>
    <row r="269" spans="1:11" s="53" customFormat="1" x14ac:dyDescent="0.3">
      <c r="A269" s="149"/>
      <c r="B269" s="150" t="str">
        <f>IF(Table24[[#This Row],[Affected CMS
(§63.567(o)(3)(ix), §63.567(o)(6)(ii))
(Select from dropdown)]]="","",VLOOKUP(Table24[[#This Row],[Affected CMS
(§63.567(o)(3)(ix), §63.567(o)(6)(ii))
(Select from dropdown)]],Table22[],2,FALSE))</f>
        <v/>
      </c>
      <c r="C269" s="129"/>
      <c r="D269" s="129"/>
      <c r="E269" s="131"/>
      <c r="F269" s="139"/>
      <c r="G269" s="145"/>
      <c r="H269" s="145"/>
      <c r="I269" s="129"/>
      <c r="J269" s="129"/>
      <c r="K269" s="146"/>
    </row>
    <row r="270" spans="1:11" s="53" customFormat="1" x14ac:dyDescent="0.3">
      <c r="A270" s="149"/>
      <c r="B270" s="150" t="str">
        <f>IF(Table24[[#This Row],[Affected CMS
(§63.567(o)(3)(ix), §63.567(o)(6)(ii))
(Select from dropdown)]]="","",VLOOKUP(Table24[[#This Row],[Affected CMS
(§63.567(o)(3)(ix), §63.567(o)(6)(ii))
(Select from dropdown)]],Table22[],2,FALSE))</f>
        <v/>
      </c>
      <c r="C270" s="129"/>
      <c r="D270" s="129"/>
      <c r="E270" s="131"/>
      <c r="F270" s="139"/>
      <c r="G270" s="145"/>
      <c r="H270" s="145"/>
      <c r="I270" s="129"/>
      <c r="J270" s="129"/>
      <c r="K270" s="146"/>
    </row>
    <row r="271" spans="1:11" s="53" customFormat="1" x14ac:dyDescent="0.3">
      <c r="A271" s="149"/>
      <c r="B271" s="150" t="str">
        <f>IF(Table24[[#This Row],[Affected CMS
(§63.567(o)(3)(ix), §63.567(o)(6)(ii))
(Select from dropdown)]]="","",VLOOKUP(Table24[[#This Row],[Affected CMS
(§63.567(o)(3)(ix), §63.567(o)(6)(ii))
(Select from dropdown)]],Table22[],2,FALSE))</f>
        <v/>
      </c>
      <c r="C271" s="129"/>
      <c r="D271" s="129"/>
      <c r="E271" s="131"/>
      <c r="F271" s="139"/>
      <c r="G271" s="145"/>
      <c r="H271" s="145"/>
      <c r="I271" s="129"/>
      <c r="J271" s="129"/>
      <c r="K271" s="146"/>
    </row>
    <row r="272" spans="1:11" s="53" customFormat="1" x14ac:dyDescent="0.3">
      <c r="A272" s="149"/>
      <c r="B272" s="150" t="str">
        <f>IF(Table24[[#This Row],[Affected CMS
(§63.567(o)(3)(ix), §63.567(o)(6)(ii))
(Select from dropdown)]]="","",VLOOKUP(Table24[[#This Row],[Affected CMS
(§63.567(o)(3)(ix), §63.567(o)(6)(ii))
(Select from dropdown)]],Table22[],2,FALSE))</f>
        <v/>
      </c>
      <c r="C272" s="129"/>
      <c r="D272" s="129"/>
      <c r="E272" s="131"/>
      <c r="F272" s="139"/>
      <c r="G272" s="145"/>
      <c r="H272" s="145"/>
      <c r="I272" s="129"/>
      <c r="J272" s="129"/>
      <c r="K272" s="146"/>
    </row>
    <row r="273" spans="1:11" s="53" customFormat="1" x14ac:dyDescent="0.3">
      <c r="A273" s="149"/>
      <c r="B273" s="150" t="str">
        <f>IF(Table24[[#This Row],[Affected CMS
(§63.567(o)(3)(ix), §63.567(o)(6)(ii))
(Select from dropdown)]]="","",VLOOKUP(Table24[[#This Row],[Affected CMS
(§63.567(o)(3)(ix), §63.567(o)(6)(ii))
(Select from dropdown)]],Table22[],2,FALSE))</f>
        <v/>
      </c>
      <c r="C273" s="129"/>
      <c r="D273" s="129"/>
      <c r="E273" s="131"/>
      <c r="F273" s="139"/>
      <c r="G273" s="145"/>
      <c r="H273" s="145"/>
      <c r="I273" s="129"/>
      <c r="J273" s="129"/>
      <c r="K273" s="146"/>
    </row>
    <row r="274" spans="1:11" s="53" customFormat="1" x14ac:dyDescent="0.3">
      <c r="A274" s="149"/>
      <c r="B274" s="150" t="str">
        <f>IF(Table24[[#This Row],[Affected CMS
(§63.567(o)(3)(ix), §63.567(o)(6)(ii))
(Select from dropdown)]]="","",VLOOKUP(Table24[[#This Row],[Affected CMS
(§63.567(o)(3)(ix), §63.567(o)(6)(ii))
(Select from dropdown)]],Table22[],2,FALSE))</f>
        <v/>
      </c>
      <c r="C274" s="129"/>
      <c r="D274" s="129"/>
      <c r="E274" s="131"/>
      <c r="F274" s="139"/>
      <c r="G274" s="145"/>
      <c r="H274" s="145"/>
      <c r="I274" s="129"/>
      <c r="J274" s="129"/>
      <c r="K274" s="146"/>
    </row>
    <row r="275" spans="1:11" s="53" customFormat="1" x14ac:dyDescent="0.3">
      <c r="A275" s="149"/>
      <c r="B275" s="150" t="str">
        <f>IF(Table24[[#This Row],[Affected CMS
(§63.567(o)(3)(ix), §63.567(o)(6)(ii))
(Select from dropdown)]]="","",VLOOKUP(Table24[[#This Row],[Affected CMS
(§63.567(o)(3)(ix), §63.567(o)(6)(ii))
(Select from dropdown)]],Table22[],2,FALSE))</f>
        <v/>
      </c>
      <c r="C275" s="129"/>
      <c r="D275" s="129"/>
      <c r="E275" s="131"/>
      <c r="F275" s="139"/>
      <c r="G275" s="145"/>
      <c r="H275" s="145"/>
      <c r="I275" s="129"/>
      <c r="J275" s="129"/>
      <c r="K275" s="146"/>
    </row>
    <row r="276" spans="1:11" s="53" customFormat="1" x14ac:dyDescent="0.3">
      <c r="A276" s="149"/>
      <c r="B276" s="150" t="str">
        <f>IF(Table24[[#This Row],[Affected CMS
(§63.567(o)(3)(ix), §63.567(o)(6)(ii))
(Select from dropdown)]]="","",VLOOKUP(Table24[[#This Row],[Affected CMS
(§63.567(o)(3)(ix), §63.567(o)(6)(ii))
(Select from dropdown)]],Table22[],2,FALSE))</f>
        <v/>
      </c>
      <c r="C276" s="129"/>
      <c r="D276" s="129"/>
      <c r="E276" s="131"/>
      <c r="F276" s="139"/>
      <c r="G276" s="145"/>
      <c r="H276" s="145"/>
      <c r="I276" s="129"/>
      <c r="J276" s="129"/>
      <c r="K276" s="146"/>
    </row>
    <row r="277" spans="1:11" s="53" customFormat="1" x14ac:dyDescent="0.3">
      <c r="A277" s="149"/>
      <c r="B277" s="150" t="str">
        <f>IF(Table24[[#This Row],[Affected CMS
(§63.567(o)(3)(ix), §63.567(o)(6)(ii))
(Select from dropdown)]]="","",VLOOKUP(Table24[[#This Row],[Affected CMS
(§63.567(o)(3)(ix), §63.567(o)(6)(ii))
(Select from dropdown)]],Table22[],2,FALSE))</f>
        <v/>
      </c>
      <c r="C277" s="129"/>
      <c r="D277" s="129"/>
      <c r="E277" s="131"/>
      <c r="F277" s="139"/>
      <c r="G277" s="145"/>
      <c r="H277" s="145"/>
      <c r="I277" s="129"/>
      <c r="J277" s="129"/>
      <c r="K277" s="146"/>
    </row>
    <row r="278" spans="1:11" s="53" customFormat="1" x14ac:dyDescent="0.3">
      <c r="A278" s="149"/>
      <c r="B278" s="150" t="str">
        <f>IF(Table24[[#This Row],[Affected CMS
(§63.567(o)(3)(ix), §63.567(o)(6)(ii))
(Select from dropdown)]]="","",VLOOKUP(Table24[[#This Row],[Affected CMS
(§63.567(o)(3)(ix), §63.567(o)(6)(ii))
(Select from dropdown)]],Table22[],2,FALSE))</f>
        <v/>
      </c>
      <c r="C278" s="129"/>
      <c r="D278" s="129"/>
      <c r="E278" s="131"/>
      <c r="F278" s="139"/>
      <c r="G278" s="145"/>
      <c r="H278" s="145"/>
      <c r="I278" s="129"/>
      <c r="J278" s="129"/>
      <c r="K278" s="146"/>
    </row>
    <row r="279" spans="1:11" s="53" customFormat="1" x14ac:dyDescent="0.3">
      <c r="A279" s="149"/>
      <c r="B279" s="150" t="str">
        <f>IF(Table24[[#This Row],[Affected CMS
(§63.567(o)(3)(ix), §63.567(o)(6)(ii))
(Select from dropdown)]]="","",VLOOKUP(Table24[[#This Row],[Affected CMS
(§63.567(o)(3)(ix), §63.567(o)(6)(ii))
(Select from dropdown)]],Table22[],2,FALSE))</f>
        <v/>
      </c>
      <c r="C279" s="129"/>
      <c r="D279" s="129"/>
      <c r="E279" s="131"/>
      <c r="F279" s="139"/>
      <c r="G279" s="145"/>
      <c r="H279" s="145"/>
      <c r="I279" s="129"/>
      <c r="J279" s="129"/>
      <c r="K279" s="146"/>
    </row>
    <row r="280" spans="1:11" s="53" customFormat="1" x14ac:dyDescent="0.3">
      <c r="A280" s="149"/>
      <c r="B280" s="150" t="str">
        <f>IF(Table24[[#This Row],[Affected CMS
(§63.567(o)(3)(ix), §63.567(o)(6)(ii))
(Select from dropdown)]]="","",VLOOKUP(Table24[[#This Row],[Affected CMS
(§63.567(o)(3)(ix), §63.567(o)(6)(ii))
(Select from dropdown)]],Table22[],2,FALSE))</f>
        <v/>
      </c>
      <c r="C280" s="129"/>
      <c r="D280" s="129"/>
      <c r="E280" s="131"/>
      <c r="F280" s="139"/>
      <c r="G280" s="145"/>
      <c r="H280" s="145"/>
      <c r="I280" s="129"/>
      <c r="J280" s="129"/>
      <c r="K280" s="146"/>
    </row>
    <row r="281" spans="1:11" s="53" customFormat="1" x14ac:dyDescent="0.3">
      <c r="A281" s="149"/>
      <c r="B281" s="150" t="str">
        <f>IF(Table24[[#This Row],[Affected CMS
(§63.567(o)(3)(ix), §63.567(o)(6)(ii))
(Select from dropdown)]]="","",VLOOKUP(Table24[[#This Row],[Affected CMS
(§63.567(o)(3)(ix), §63.567(o)(6)(ii))
(Select from dropdown)]],Table22[],2,FALSE))</f>
        <v/>
      </c>
      <c r="C281" s="129"/>
      <c r="D281" s="129"/>
      <c r="E281" s="131"/>
      <c r="F281" s="139"/>
      <c r="G281" s="145"/>
      <c r="H281" s="145"/>
      <c r="I281" s="129"/>
      <c r="J281" s="129"/>
      <c r="K281" s="146"/>
    </row>
    <row r="282" spans="1:11" s="53" customFormat="1" x14ac:dyDescent="0.3">
      <c r="A282" s="149"/>
      <c r="B282" s="150" t="str">
        <f>IF(Table24[[#This Row],[Affected CMS
(§63.567(o)(3)(ix), §63.567(o)(6)(ii))
(Select from dropdown)]]="","",VLOOKUP(Table24[[#This Row],[Affected CMS
(§63.567(o)(3)(ix), §63.567(o)(6)(ii))
(Select from dropdown)]],Table22[],2,FALSE))</f>
        <v/>
      </c>
      <c r="C282" s="129"/>
      <c r="D282" s="129"/>
      <c r="E282" s="131"/>
      <c r="F282" s="139"/>
      <c r="G282" s="145"/>
      <c r="H282" s="145"/>
      <c r="I282" s="129"/>
      <c r="J282" s="129"/>
      <c r="K282" s="146"/>
    </row>
    <row r="283" spans="1:11" s="53" customFormat="1" x14ac:dyDescent="0.3">
      <c r="A283" s="149"/>
      <c r="B283" s="150" t="str">
        <f>IF(Table24[[#This Row],[Affected CMS
(§63.567(o)(3)(ix), §63.567(o)(6)(ii))
(Select from dropdown)]]="","",VLOOKUP(Table24[[#This Row],[Affected CMS
(§63.567(o)(3)(ix), §63.567(o)(6)(ii))
(Select from dropdown)]],Table22[],2,FALSE))</f>
        <v/>
      </c>
      <c r="C283" s="129"/>
      <c r="D283" s="129"/>
      <c r="E283" s="131"/>
      <c r="F283" s="139"/>
      <c r="G283" s="145"/>
      <c r="H283" s="145"/>
      <c r="I283" s="129"/>
      <c r="J283" s="129"/>
      <c r="K283" s="146"/>
    </row>
    <row r="284" spans="1:11" s="53" customFormat="1" x14ac:dyDescent="0.3">
      <c r="A284" s="149"/>
      <c r="B284" s="150" t="str">
        <f>IF(Table24[[#This Row],[Affected CMS
(§63.567(o)(3)(ix), §63.567(o)(6)(ii))
(Select from dropdown)]]="","",VLOOKUP(Table24[[#This Row],[Affected CMS
(§63.567(o)(3)(ix), §63.567(o)(6)(ii))
(Select from dropdown)]],Table22[],2,FALSE))</f>
        <v/>
      </c>
      <c r="C284" s="129"/>
      <c r="D284" s="129"/>
      <c r="E284" s="131"/>
      <c r="F284" s="139"/>
      <c r="G284" s="145"/>
      <c r="H284" s="145"/>
      <c r="I284" s="129"/>
      <c r="J284" s="129"/>
      <c r="K284" s="146"/>
    </row>
    <row r="285" spans="1:11" s="53" customFormat="1" x14ac:dyDescent="0.3">
      <c r="A285" s="149"/>
      <c r="B285" s="150" t="str">
        <f>IF(Table24[[#This Row],[Affected CMS
(§63.567(o)(3)(ix), §63.567(o)(6)(ii))
(Select from dropdown)]]="","",VLOOKUP(Table24[[#This Row],[Affected CMS
(§63.567(o)(3)(ix), §63.567(o)(6)(ii))
(Select from dropdown)]],Table22[],2,FALSE))</f>
        <v/>
      </c>
      <c r="C285" s="129"/>
      <c r="D285" s="129"/>
      <c r="E285" s="131"/>
      <c r="F285" s="139"/>
      <c r="G285" s="145"/>
      <c r="H285" s="145"/>
      <c r="I285" s="129"/>
      <c r="J285" s="129"/>
      <c r="K285" s="146"/>
    </row>
    <row r="286" spans="1:11" s="53" customFormat="1" x14ac:dyDescent="0.3">
      <c r="A286" s="149"/>
      <c r="B286" s="150" t="str">
        <f>IF(Table24[[#This Row],[Affected CMS
(§63.567(o)(3)(ix), §63.567(o)(6)(ii))
(Select from dropdown)]]="","",VLOOKUP(Table24[[#This Row],[Affected CMS
(§63.567(o)(3)(ix), §63.567(o)(6)(ii))
(Select from dropdown)]],Table22[],2,FALSE))</f>
        <v/>
      </c>
      <c r="C286" s="129"/>
      <c r="D286" s="129"/>
      <c r="E286" s="131"/>
      <c r="F286" s="139"/>
      <c r="G286" s="145"/>
      <c r="H286" s="145"/>
      <c r="I286" s="129"/>
      <c r="J286" s="129"/>
      <c r="K286" s="146"/>
    </row>
    <row r="287" spans="1:11" s="53" customFormat="1" x14ac:dyDescent="0.3">
      <c r="A287" s="149"/>
      <c r="B287" s="150" t="str">
        <f>IF(Table24[[#This Row],[Affected CMS
(§63.567(o)(3)(ix), §63.567(o)(6)(ii))
(Select from dropdown)]]="","",VLOOKUP(Table24[[#This Row],[Affected CMS
(§63.567(o)(3)(ix), §63.567(o)(6)(ii))
(Select from dropdown)]],Table22[],2,FALSE))</f>
        <v/>
      </c>
      <c r="C287" s="129"/>
      <c r="D287" s="129"/>
      <c r="E287" s="131"/>
      <c r="F287" s="139"/>
      <c r="G287" s="145"/>
      <c r="H287" s="145"/>
      <c r="I287" s="129"/>
      <c r="J287" s="129"/>
      <c r="K287" s="146"/>
    </row>
    <row r="288" spans="1:11" s="53" customFormat="1" x14ac:dyDescent="0.3">
      <c r="A288" s="149"/>
      <c r="B288" s="150" t="str">
        <f>IF(Table24[[#This Row],[Affected CMS
(§63.567(o)(3)(ix), §63.567(o)(6)(ii))
(Select from dropdown)]]="","",VLOOKUP(Table24[[#This Row],[Affected CMS
(§63.567(o)(3)(ix), §63.567(o)(6)(ii))
(Select from dropdown)]],Table22[],2,FALSE))</f>
        <v/>
      </c>
      <c r="C288" s="129"/>
      <c r="D288" s="129"/>
      <c r="E288" s="131"/>
      <c r="F288" s="139"/>
      <c r="G288" s="145"/>
      <c r="H288" s="145"/>
      <c r="I288" s="129"/>
      <c r="J288" s="129"/>
      <c r="K288" s="146"/>
    </row>
    <row r="289" spans="1:11" s="53" customFormat="1" x14ac:dyDescent="0.3">
      <c r="A289" s="149"/>
      <c r="B289" s="150" t="str">
        <f>IF(Table24[[#This Row],[Affected CMS
(§63.567(o)(3)(ix), §63.567(o)(6)(ii))
(Select from dropdown)]]="","",VLOOKUP(Table24[[#This Row],[Affected CMS
(§63.567(o)(3)(ix), §63.567(o)(6)(ii))
(Select from dropdown)]],Table22[],2,FALSE))</f>
        <v/>
      </c>
      <c r="C289" s="129"/>
      <c r="D289" s="129"/>
      <c r="E289" s="131"/>
      <c r="F289" s="139"/>
      <c r="G289" s="145"/>
      <c r="H289" s="145"/>
      <c r="I289" s="129"/>
      <c r="J289" s="129"/>
      <c r="K289" s="146"/>
    </row>
    <row r="290" spans="1:11" s="53" customFormat="1" x14ac:dyDescent="0.3">
      <c r="A290" s="149"/>
      <c r="B290" s="150" t="str">
        <f>IF(Table24[[#This Row],[Affected CMS
(§63.567(o)(3)(ix), §63.567(o)(6)(ii))
(Select from dropdown)]]="","",VLOOKUP(Table24[[#This Row],[Affected CMS
(§63.567(o)(3)(ix), §63.567(o)(6)(ii))
(Select from dropdown)]],Table22[],2,FALSE))</f>
        <v/>
      </c>
      <c r="C290" s="129"/>
      <c r="D290" s="129"/>
      <c r="E290" s="131"/>
      <c r="F290" s="139"/>
      <c r="G290" s="145"/>
      <c r="H290" s="145"/>
      <c r="I290" s="129"/>
      <c r="J290" s="129"/>
      <c r="K290" s="146"/>
    </row>
    <row r="291" spans="1:11" s="53" customFormat="1" x14ac:dyDescent="0.3">
      <c r="A291" s="149"/>
      <c r="B291" s="150" t="str">
        <f>IF(Table24[[#This Row],[Affected CMS
(§63.567(o)(3)(ix), §63.567(o)(6)(ii))
(Select from dropdown)]]="","",VLOOKUP(Table24[[#This Row],[Affected CMS
(§63.567(o)(3)(ix), §63.567(o)(6)(ii))
(Select from dropdown)]],Table22[],2,FALSE))</f>
        <v/>
      </c>
      <c r="C291" s="129"/>
      <c r="D291" s="129"/>
      <c r="E291" s="131"/>
      <c r="F291" s="139"/>
      <c r="G291" s="145"/>
      <c r="H291" s="145"/>
      <c r="I291" s="129"/>
      <c r="J291" s="129"/>
      <c r="K291" s="146"/>
    </row>
    <row r="292" spans="1:11" s="53" customFormat="1" x14ac:dyDescent="0.3">
      <c r="A292" s="149"/>
      <c r="B292" s="150" t="str">
        <f>IF(Table24[[#This Row],[Affected CMS
(§63.567(o)(3)(ix), §63.567(o)(6)(ii))
(Select from dropdown)]]="","",VLOOKUP(Table24[[#This Row],[Affected CMS
(§63.567(o)(3)(ix), §63.567(o)(6)(ii))
(Select from dropdown)]],Table22[],2,FALSE))</f>
        <v/>
      </c>
      <c r="C292" s="129"/>
      <c r="D292" s="129"/>
      <c r="E292" s="131"/>
      <c r="F292" s="139"/>
      <c r="G292" s="145"/>
      <c r="H292" s="145"/>
      <c r="I292" s="129"/>
      <c r="J292" s="129"/>
      <c r="K292" s="146"/>
    </row>
    <row r="293" spans="1:11" s="53" customFormat="1" x14ac:dyDescent="0.3">
      <c r="A293" s="149"/>
      <c r="B293" s="150" t="str">
        <f>IF(Table24[[#This Row],[Affected CMS
(§63.567(o)(3)(ix), §63.567(o)(6)(ii))
(Select from dropdown)]]="","",VLOOKUP(Table24[[#This Row],[Affected CMS
(§63.567(o)(3)(ix), §63.567(o)(6)(ii))
(Select from dropdown)]],Table22[],2,FALSE))</f>
        <v/>
      </c>
      <c r="C293" s="129"/>
      <c r="D293" s="129"/>
      <c r="E293" s="131"/>
      <c r="F293" s="139"/>
      <c r="G293" s="145"/>
      <c r="H293" s="145"/>
      <c r="I293" s="129"/>
      <c r="J293" s="129"/>
      <c r="K293" s="146"/>
    </row>
    <row r="294" spans="1:11" s="53" customFormat="1" x14ac:dyDescent="0.3">
      <c r="A294" s="149"/>
      <c r="B294" s="150" t="str">
        <f>IF(Table24[[#This Row],[Affected CMS
(§63.567(o)(3)(ix), §63.567(o)(6)(ii))
(Select from dropdown)]]="","",VLOOKUP(Table24[[#This Row],[Affected CMS
(§63.567(o)(3)(ix), §63.567(o)(6)(ii))
(Select from dropdown)]],Table22[],2,FALSE))</f>
        <v/>
      </c>
      <c r="C294" s="129"/>
      <c r="D294" s="129"/>
      <c r="E294" s="131"/>
      <c r="F294" s="139"/>
      <c r="G294" s="145"/>
      <c r="H294" s="145"/>
      <c r="I294" s="129"/>
      <c r="J294" s="129"/>
      <c r="K294" s="146"/>
    </row>
    <row r="295" spans="1:11" s="53" customFormat="1" x14ac:dyDescent="0.3">
      <c r="A295" s="149"/>
      <c r="B295" s="150" t="str">
        <f>IF(Table24[[#This Row],[Affected CMS
(§63.567(o)(3)(ix), §63.567(o)(6)(ii))
(Select from dropdown)]]="","",VLOOKUP(Table24[[#This Row],[Affected CMS
(§63.567(o)(3)(ix), §63.567(o)(6)(ii))
(Select from dropdown)]],Table22[],2,FALSE))</f>
        <v/>
      </c>
      <c r="C295" s="129"/>
      <c r="D295" s="129"/>
      <c r="E295" s="131"/>
      <c r="F295" s="139"/>
      <c r="G295" s="145"/>
      <c r="H295" s="145"/>
      <c r="I295" s="129"/>
      <c r="J295" s="129"/>
      <c r="K295" s="146"/>
    </row>
    <row r="296" spans="1:11" s="53" customFormat="1" x14ac:dyDescent="0.3">
      <c r="A296" s="149"/>
      <c r="B296" s="150" t="str">
        <f>IF(Table24[[#This Row],[Affected CMS
(§63.567(o)(3)(ix), §63.567(o)(6)(ii))
(Select from dropdown)]]="","",VLOOKUP(Table24[[#This Row],[Affected CMS
(§63.567(o)(3)(ix), §63.567(o)(6)(ii))
(Select from dropdown)]],Table22[],2,FALSE))</f>
        <v/>
      </c>
      <c r="C296" s="129"/>
      <c r="D296" s="129"/>
      <c r="E296" s="131"/>
      <c r="F296" s="139"/>
      <c r="G296" s="145"/>
      <c r="H296" s="145"/>
      <c r="I296" s="129"/>
      <c r="J296" s="129"/>
      <c r="K296" s="146"/>
    </row>
    <row r="297" spans="1:11" s="53" customFormat="1" x14ac:dyDescent="0.3">
      <c r="A297" s="149"/>
      <c r="B297" s="150" t="str">
        <f>IF(Table24[[#This Row],[Affected CMS
(§63.567(o)(3)(ix), §63.567(o)(6)(ii))
(Select from dropdown)]]="","",VLOOKUP(Table24[[#This Row],[Affected CMS
(§63.567(o)(3)(ix), §63.567(o)(6)(ii))
(Select from dropdown)]],Table22[],2,FALSE))</f>
        <v/>
      </c>
      <c r="C297" s="129"/>
      <c r="D297" s="129"/>
      <c r="E297" s="131"/>
      <c r="F297" s="139"/>
      <c r="G297" s="145"/>
      <c r="H297" s="145"/>
      <c r="I297" s="129"/>
      <c r="J297" s="129"/>
      <c r="K297" s="146"/>
    </row>
    <row r="298" spans="1:11" s="53" customFormat="1" x14ac:dyDescent="0.3">
      <c r="A298" s="149"/>
      <c r="B298" s="150" t="str">
        <f>IF(Table24[[#This Row],[Affected CMS
(§63.567(o)(3)(ix), §63.567(o)(6)(ii))
(Select from dropdown)]]="","",VLOOKUP(Table24[[#This Row],[Affected CMS
(§63.567(o)(3)(ix), §63.567(o)(6)(ii))
(Select from dropdown)]],Table22[],2,FALSE))</f>
        <v/>
      </c>
      <c r="C298" s="129"/>
      <c r="D298" s="129"/>
      <c r="E298" s="131"/>
      <c r="F298" s="139"/>
      <c r="G298" s="145"/>
      <c r="H298" s="145"/>
      <c r="I298" s="129"/>
      <c r="J298" s="129"/>
      <c r="K298" s="146"/>
    </row>
    <row r="299" spans="1:11" s="53" customFormat="1" x14ac:dyDescent="0.3">
      <c r="A299" s="149"/>
      <c r="B299" s="150" t="str">
        <f>IF(Table24[[#This Row],[Affected CMS
(§63.567(o)(3)(ix), §63.567(o)(6)(ii))
(Select from dropdown)]]="","",VLOOKUP(Table24[[#This Row],[Affected CMS
(§63.567(o)(3)(ix), §63.567(o)(6)(ii))
(Select from dropdown)]],Table22[],2,FALSE))</f>
        <v/>
      </c>
      <c r="C299" s="129"/>
      <c r="D299" s="129"/>
      <c r="E299" s="131"/>
      <c r="F299" s="139"/>
      <c r="G299" s="145"/>
      <c r="H299" s="145"/>
      <c r="I299" s="129"/>
      <c r="J299" s="129"/>
      <c r="K299" s="146"/>
    </row>
    <row r="300" spans="1:11" s="53" customFormat="1" x14ac:dyDescent="0.3">
      <c r="A300" s="149"/>
      <c r="B300" s="150" t="str">
        <f>IF(Table24[[#This Row],[Affected CMS
(§63.567(o)(3)(ix), §63.567(o)(6)(ii))
(Select from dropdown)]]="","",VLOOKUP(Table24[[#This Row],[Affected CMS
(§63.567(o)(3)(ix), §63.567(o)(6)(ii))
(Select from dropdown)]],Table22[],2,FALSE))</f>
        <v/>
      </c>
      <c r="C300" s="129"/>
      <c r="D300" s="129"/>
      <c r="E300" s="131"/>
      <c r="F300" s="139"/>
      <c r="G300" s="145"/>
      <c r="H300" s="145"/>
      <c r="I300" s="129"/>
      <c r="J300" s="129"/>
      <c r="K300" s="146"/>
    </row>
    <row r="301" spans="1:11" s="53" customFormat="1" x14ac:dyDescent="0.3">
      <c r="A301" s="149"/>
      <c r="B301" s="150" t="str">
        <f>IF(Table24[[#This Row],[Affected CMS
(§63.567(o)(3)(ix), §63.567(o)(6)(ii))
(Select from dropdown)]]="","",VLOOKUP(Table24[[#This Row],[Affected CMS
(§63.567(o)(3)(ix), §63.567(o)(6)(ii))
(Select from dropdown)]],Table22[],2,FALSE))</f>
        <v/>
      </c>
      <c r="C301" s="129"/>
      <c r="D301" s="129"/>
      <c r="E301" s="131"/>
      <c r="F301" s="139"/>
      <c r="G301" s="145"/>
      <c r="H301" s="145"/>
      <c r="I301" s="129"/>
      <c r="J301" s="129"/>
      <c r="K301" s="146"/>
    </row>
    <row r="302" spans="1:11" s="53" customFormat="1" x14ac:dyDescent="0.3">
      <c r="A302" s="149"/>
      <c r="B302" s="150" t="str">
        <f>IF(Table24[[#This Row],[Affected CMS
(§63.567(o)(3)(ix), §63.567(o)(6)(ii))
(Select from dropdown)]]="","",VLOOKUP(Table24[[#This Row],[Affected CMS
(§63.567(o)(3)(ix), §63.567(o)(6)(ii))
(Select from dropdown)]],Table22[],2,FALSE))</f>
        <v/>
      </c>
      <c r="C302" s="129"/>
      <c r="D302" s="129"/>
      <c r="E302" s="131"/>
      <c r="F302" s="139"/>
      <c r="G302" s="145"/>
      <c r="H302" s="145"/>
      <c r="I302" s="129"/>
      <c r="J302" s="129"/>
      <c r="K302" s="146"/>
    </row>
    <row r="303" spans="1:11" s="53" customFormat="1" x14ac:dyDescent="0.3">
      <c r="A303" s="149"/>
      <c r="B303" s="150" t="str">
        <f>IF(Table24[[#This Row],[Affected CMS
(§63.567(o)(3)(ix), §63.567(o)(6)(ii))
(Select from dropdown)]]="","",VLOOKUP(Table24[[#This Row],[Affected CMS
(§63.567(o)(3)(ix), §63.567(o)(6)(ii))
(Select from dropdown)]],Table22[],2,FALSE))</f>
        <v/>
      </c>
      <c r="C303" s="129"/>
      <c r="D303" s="129"/>
      <c r="E303" s="131"/>
      <c r="F303" s="139"/>
      <c r="G303" s="145"/>
      <c r="H303" s="145"/>
      <c r="I303" s="129"/>
      <c r="J303" s="129"/>
      <c r="K303" s="146"/>
    </row>
    <row r="304" spans="1:11" s="53" customFormat="1" x14ac:dyDescent="0.3">
      <c r="A304" s="149"/>
      <c r="B304" s="150" t="str">
        <f>IF(Table24[[#This Row],[Affected CMS
(§63.567(o)(3)(ix), §63.567(o)(6)(ii))
(Select from dropdown)]]="","",VLOOKUP(Table24[[#This Row],[Affected CMS
(§63.567(o)(3)(ix), §63.567(o)(6)(ii))
(Select from dropdown)]],Table22[],2,FALSE))</f>
        <v/>
      </c>
      <c r="C304" s="129"/>
      <c r="D304" s="129"/>
      <c r="E304" s="131"/>
      <c r="F304" s="139"/>
      <c r="G304" s="145"/>
      <c r="H304" s="145"/>
      <c r="I304" s="129"/>
      <c r="J304" s="129"/>
      <c r="K304" s="146"/>
    </row>
    <row r="305" spans="1:11" s="53" customFormat="1" x14ac:dyDescent="0.3">
      <c r="A305" s="149"/>
      <c r="B305" s="150" t="str">
        <f>IF(Table24[[#This Row],[Affected CMS
(§63.567(o)(3)(ix), §63.567(o)(6)(ii))
(Select from dropdown)]]="","",VLOOKUP(Table24[[#This Row],[Affected CMS
(§63.567(o)(3)(ix), §63.567(o)(6)(ii))
(Select from dropdown)]],Table22[],2,FALSE))</f>
        <v/>
      </c>
      <c r="C305" s="129"/>
      <c r="D305" s="129"/>
      <c r="E305" s="131"/>
      <c r="F305" s="139"/>
      <c r="G305" s="145"/>
      <c r="H305" s="145"/>
      <c r="I305" s="129"/>
      <c r="J305" s="129"/>
      <c r="K305" s="146"/>
    </row>
    <row r="306" spans="1:11" s="53" customFormat="1" x14ac:dyDescent="0.3">
      <c r="A306" s="149"/>
      <c r="B306" s="150" t="str">
        <f>IF(Table24[[#This Row],[Affected CMS
(§63.567(o)(3)(ix), §63.567(o)(6)(ii))
(Select from dropdown)]]="","",VLOOKUP(Table24[[#This Row],[Affected CMS
(§63.567(o)(3)(ix), §63.567(o)(6)(ii))
(Select from dropdown)]],Table22[],2,FALSE))</f>
        <v/>
      </c>
      <c r="C306" s="129"/>
      <c r="D306" s="129"/>
      <c r="E306" s="131"/>
      <c r="F306" s="139"/>
      <c r="G306" s="145"/>
      <c r="H306" s="145"/>
      <c r="I306" s="129"/>
      <c r="J306" s="129"/>
      <c r="K306" s="146"/>
    </row>
    <row r="307" spans="1:11" s="53" customFormat="1" x14ac:dyDescent="0.3">
      <c r="A307" s="149"/>
      <c r="B307" s="150" t="str">
        <f>IF(Table24[[#This Row],[Affected CMS
(§63.567(o)(3)(ix), §63.567(o)(6)(ii))
(Select from dropdown)]]="","",VLOOKUP(Table24[[#This Row],[Affected CMS
(§63.567(o)(3)(ix), §63.567(o)(6)(ii))
(Select from dropdown)]],Table22[],2,FALSE))</f>
        <v/>
      </c>
      <c r="C307" s="129"/>
      <c r="D307" s="129"/>
      <c r="E307" s="131"/>
      <c r="F307" s="139"/>
      <c r="G307" s="145"/>
      <c r="H307" s="145"/>
      <c r="I307" s="129"/>
      <c r="J307" s="129"/>
      <c r="K307" s="146"/>
    </row>
    <row r="308" spans="1:11" s="53" customFormat="1" x14ac:dyDescent="0.3">
      <c r="A308" s="149"/>
      <c r="B308" s="150" t="str">
        <f>IF(Table24[[#This Row],[Affected CMS
(§63.567(o)(3)(ix), §63.567(o)(6)(ii))
(Select from dropdown)]]="","",VLOOKUP(Table24[[#This Row],[Affected CMS
(§63.567(o)(3)(ix), §63.567(o)(6)(ii))
(Select from dropdown)]],Table22[],2,FALSE))</f>
        <v/>
      </c>
      <c r="C308" s="129"/>
      <c r="D308" s="129"/>
      <c r="E308" s="131"/>
      <c r="F308" s="139"/>
      <c r="G308" s="145"/>
      <c r="H308" s="145"/>
      <c r="I308" s="129"/>
      <c r="J308" s="129"/>
      <c r="K308" s="146"/>
    </row>
    <row r="309" spans="1:11" s="53" customFormat="1" x14ac:dyDescent="0.3">
      <c r="A309" s="149"/>
      <c r="B309" s="150" t="str">
        <f>IF(Table24[[#This Row],[Affected CMS
(§63.567(o)(3)(ix), §63.567(o)(6)(ii))
(Select from dropdown)]]="","",VLOOKUP(Table24[[#This Row],[Affected CMS
(§63.567(o)(3)(ix), §63.567(o)(6)(ii))
(Select from dropdown)]],Table22[],2,FALSE))</f>
        <v/>
      </c>
      <c r="C309" s="129"/>
      <c r="D309" s="129"/>
      <c r="E309" s="131"/>
      <c r="F309" s="139"/>
      <c r="G309" s="145"/>
      <c r="H309" s="145"/>
      <c r="I309" s="129"/>
      <c r="J309" s="129"/>
      <c r="K309" s="146"/>
    </row>
    <row r="310" spans="1:11" s="53" customFormat="1" x14ac:dyDescent="0.3">
      <c r="A310" s="149"/>
      <c r="B310" s="150" t="str">
        <f>IF(Table24[[#This Row],[Affected CMS
(§63.567(o)(3)(ix), §63.567(o)(6)(ii))
(Select from dropdown)]]="","",VLOOKUP(Table24[[#This Row],[Affected CMS
(§63.567(o)(3)(ix), §63.567(o)(6)(ii))
(Select from dropdown)]],Table22[],2,FALSE))</f>
        <v/>
      </c>
      <c r="C310" s="129"/>
      <c r="D310" s="129"/>
      <c r="E310" s="131"/>
      <c r="F310" s="139"/>
      <c r="G310" s="145"/>
      <c r="H310" s="145"/>
      <c r="I310" s="129"/>
      <c r="J310" s="129"/>
      <c r="K310" s="146"/>
    </row>
    <row r="311" spans="1:11" s="53" customFormat="1" x14ac:dyDescent="0.3">
      <c r="A311" s="149"/>
      <c r="B311" s="150" t="str">
        <f>IF(Table24[[#This Row],[Affected CMS
(§63.567(o)(3)(ix), §63.567(o)(6)(ii))
(Select from dropdown)]]="","",VLOOKUP(Table24[[#This Row],[Affected CMS
(§63.567(o)(3)(ix), §63.567(o)(6)(ii))
(Select from dropdown)]],Table22[],2,FALSE))</f>
        <v/>
      </c>
      <c r="C311" s="129"/>
      <c r="D311" s="129"/>
      <c r="E311" s="131"/>
      <c r="F311" s="139"/>
      <c r="G311" s="145"/>
      <c r="H311" s="145"/>
      <c r="I311" s="129"/>
      <c r="J311" s="129"/>
      <c r="K311" s="146"/>
    </row>
    <row r="312" spans="1:11" s="53" customFormat="1" x14ac:dyDescent="0.3">
      <c r="A312" s="149"/>
      <c r="B312" s="150" t="str">
        <f>IF(Table24[[#This Row],[Affected CMS
(§63.567(o)(3)(ix), §63.567(o)(6)(ii))
(Select from dropdown)]]="","",VLOOKUP(Table24[[#This Row],[Affected CMS
(§63.567(o)(3)(ix), §63.567(o)(6)(ii))
(Select from dropdown)]],Table22[],2,FALSE))</f>
        <v/>
      </c>
      <c r="C312" s="129"/>
      <c r="D312" s="129"/>
      <c r="E312" s="131"/>
      <c r="F312" s="139"/>
      <c r="G312" s="145"/>
      <c r="H312" s="145"/>
      <c r="I312" s="129"/>
      <c r="J312" s="129"/>
      <c r="K312" s="146"/>
    </row>
    <row r="313" spans="1:11" s="53" customFormat="1" x14ac:dyDescent="0.3">
      <c r="A313" s="149"/>
      <c r="B313" s="150" t="str">
        <f>IF(Table24[[#This Row],[Affected CMS
(§63.567(o)(3)(ix), §63.567(o)(6)(ii))
(Select from dropdown)]]="","",VLOOKUP(Table24[[#This Row],[Affected CMS
(§63.567(o)(3)(ix), §63.567(o)(6)(ii))
(Select from dropdown)]],Table22[],2,FALSE))</f>
        <v/>
      </c>
      <c r="C313" s="129"/>
      <c r="D313" s="129"/>
      <c r="E313" s="131"/>
      <c r="F313" s="139"/>
      <c r="G313" s="145"/>
      <c r="H313" s="145"/>
      <c r="I313" s="129"/>
      <c r="J313" s="129"/>
      <c r="K313" s="146"/>
    </row>
    <row r="314" spans="1:11" s="53" customFormat="1" x14ac:dyDescent="0.3">
      <c r="A314" s="149"/>
      <c r="B314" s="150" t="str">
        <f>IF(Table24[[#This Row],[Affected CMS
(§63.567(o)(3)(ix), §63.567(o)(6)(ii))
(Select from dropdown)]]="","",VLOOKUP(Table24[[#This Row],[Affected CMS
(§63.567(o)(3)(ix), §63.567(o)(6)(ii))
(Select from dropdown)]],Table22[],2,FALSE))</f>
        <v/>
      </c>
      <c r="C314" s="129"/>
      <c r="D314" s="129"/>
      <c r="E314" s="131"/>
      <c r="F314" s="139"/>
      <c r="G314" s="145"/>
      <c r="H314" s="145"/>
      <c r="I314" s="129"/>
      <c r="J314" s="129"/>
      <c r="K314" s="146"/>
    </row>
    <row r="315" spans="1:11" s="53" customFormat="1" x14ac:dyDescent="0.3">
      <c r="A315" s="149"/>
      <c r="B315" s="150" t="str">
        <f>IF(Table24[[#This Row],[Affected CMS
(§63.567(o)(3)(ix), §63.567(o)(6)(ii))
(Select from dropdown)]]="","",VLOOKUP(Table24[[#This Row],[Affected CMS
(§63.567(o)(3)(ix), §63.567(o)(6)(ii))
(Select from dropdown)]],Table22[],2,FALSE))</f>
        <v/>
      </c>
      <c r="C315" s="129"/>
      <c r="D315" s="129"/>
      <c r="E315" s="131"/>
      <c r="F315" s="139"/>
      <c r="G315" s="145"/>
      <c r="H315" s="145"/>
      <c r="I315" s="129"/>
      <c r="J315" s="129"/>
      <c r="K315" s="146"/>
    </row>
    <row r="316" spans="1:11" s="53" customFormat="1" x14ac:dyDescent="0.3">
      <c r="A316" s="149"/>
      <c r="B316" s="150" t="str">
        <f>IF(Table24[[#This Row],[Affected CMS
(§63.567(o)(3)(ix), §63.567(o)(6)(ii))
(Select from dropdown)]]="","",VLOOKUP(Table24[[#This Row],[Affected CMS
(§63.567(o)(3)(ix), §63.567(o)(6)(ii))
(Select from dropdown)]],Table22[],2,FALSE))</f>
        <v/>
      </c>
      <c r="C316" s="129"/>
      <c r="D316" s="129"/>
      <c r="E316" s="131"/>
      <c r="F316" s="139"/>
      <c r="G316" s="145"/>
      <c r="H316" s="145"/>
      <c r="I316" s="129"/>
      <c r="J316" s="129"/>
      <c r="K316" s="146"/>
    </row>
    <row r="317" spans="1:11" s="53" customFormat="1" x14ac:dyDescent="0.3">
      <c r="A317" s="149"/>
      <c r="B317" s="150" t="str">
        <f>IF(Table24[[#This Row],[Affected CMS
(§63.567(o)(3)(ix), §63.567(o)(6)(ii))
(Select from dropdown)]]="","",VLOOKUP(Table24[[#This Row],[Affected CMS
(§63.567(o)(3)(ix), §63.567(o)(6)(ii))
(Select from dropdown)]],Table22[],2,FALSE))</f>
        <v/>
      </c>
      <c r="C317" s="129"/>
      <c r="D317" s="129"/>
      <c r="E317" s="131"/>
      <c r="F317" s="139"/>
      <c r="G317" s="145"/>
      <c r="H317" s="145"/>
      <c r="I317" s="129"/>
      <c r="J317" s="129"/>
      <c r="K317" s="146"/>
    </row>
    <row r="318" spans="1:11" s="53" customFormat="1" x14ac:dyDescent="0.3">
      <c r="A318" s="149"/>
      <c r="B318" s="150" t="str">
        <f>IF(Table24[[#This Row],[Affected CMS
(§63.567(o)(3)(ix), §63.567(o)(6)(ii))
(Select from dropdown)]]="","",VLOOKUP(Table24[[#This Row],[Affected CMS
(§63.567(o)(3)(ix), §63.567(o)(6)(ii))
(Select from dropdown)]],Table22[],2,FALSE))</f>
        <v/>
      </c>
      <c r="C318" s="129"/>
      <c r="D318" s="129"/>
      <c r="E318" s="131"/>
      <c r="F318" s="139"/>
      <c r="G318" s="145"/>
      <c r="H318" s="145"/>
      <c r="I318" s="129"/>
      <c r="J318" s="129"/>
      <c r="K318" s="146"/>
    </row>
    <row r="319" spans="1:11" s="53" customFormat="1" x14ac:dyDescent="0.3">
      <c r="A319" s="149"/>
      <c r="B319" s="150" t="str">
        <f>IF(Table24[[#This Row],[Affected CMS
(§63.567(o)(3)(ix), §63.567(o)(6)(ii))
(Select from dropdown)]]="","",VLOOKUP(Table24[[#This Row],[Affected CMS
(§63.567(o)(3)(ix), §63.567(o)(6)(ii))
(Select from dropdown)]],Table22[],2,FALSE))</f>
        <v/>
      </c>
      <c r="C319" s="129"/>
      <c r="D319" s="129"/>
      <c r="E319" s="131"/>
      <c r="F319" s="139"/>
      <c r="G319" s="145"/>
      <c r="H319" s="145"/>
      <c r="I319" s="129"/>
      <c r="J319" s="129"/>
      <c r="K319" s="146"/>
    </row>
    <row r="320" spans="1:11" s="53" customFormat="1" x14ac:dyDescent="0.3">
      <c r="A320" s="149"/>
      <c r="B320" s="150" t="str">
        <f>IF(Table24[[#This Row],[Affected CMS
(§63.567(o)(3)(ix), §63.567(o)(6)(ii))
(Select from dropdown)]]="","",VLOOKUP(Table24[[#This Row],[Affected CMS
(§63.567(o)(3)(ix), §63.567(o)(6)(ii))
(Select from dropdown)]],Table22[],2,FALSE))</f>
        <v/>
      </c>
      <c r="C320" s="129"/>
      <c r="D320" s="129"/>
      <c r="E320" s="131"/>
      <c r="F320" s="139"/>
      <c r="G320" s="145"/>
      <c r="H320" s="145"/>
      <c r="I320" s="129"/>
      <c r="J320" s="129"/>
      <c r="K320" s="146"/>
    </row>
    <row r="321" spans="1:11" s="53" customFormat="1" x14ac:dyDescent="0.3">
      <c r="A321" s="149"/>
      <c r="B321" s="150" t="str">
        <f>IF(Table24[[#This Row],[Affected CMS
(§63.567(o)(3)(ix), §63.567(o)(6)(ii))
(Select from dropdown)]]="","",VLOOKUP(Table24[[#This Row],[Affected CMS
(§63.567(o)(3)(ix), §63.567(o)(6)(ii))
(Select from dropdown)]],Table22[],2,FALSE))</f>
        <v/>
      </c>
      <c r="C321" s="129"/>
      <c r="D321" s="129"/>
      <c r="E321" s="131"/>
      <c r="F321" s="139"/>
      <c r="G321" s="145"/>
      <c r="H321" s="145"/>
      <c r="I321" s="129"/>
      <c r="J321" s="129"/>
      <c r="K321" s="146"/>
    </row>
    <row r="322" spans="1:11" s="53" customFormat="1" x14ac:dyDescent="0.3">
      <c r="A322" s="149"/>
      <c r="B322" s="150" t="str">
        <f>IF(Table24[[#This Row],[Affected CMS
(§63.567(o)(3)(ix), §63.567(o)(6)(ii))
(Select from dropdown)]]="","",VLOOKUP(Table24[[#This Row],[Affected CMS
(§63.567(o)(3)(ix), §63.567(o)(6)(ii))
(Select from dropdown)]],Table22[],2,FALSE))</f>
        <v/>
      </c>
      <c r="C322" s="129"/>
      <c r="D322" s="129"/>
      <c r="E322" s="131"/>
      <c r="F322" s="139"/>
      <c r="G322" s="145"/>
      <c r="H322" s="145"/>
      <c r="I322" s="129"/>
      <c r="J322" s="129"/>
      <c r="K322" s="146"/>
    </row>
    <row r="323" spans="1:11" s="53" customFormat="1" x14ac:dyDescent="0.3">
      <c r="A323" s="149"/>
      <c r="B323" s="150" t="str">
        <f>IF(Table24[[#This Row],[Affected CMS
(§63.567(o)(3)(ix), §63.567(o)(6)(ii))
(Select from dropdown)]]="","",VLOOKUP(Table24[[#This Row],[Affected CMS
(§63.567(o)(3)(ix), §63.567(o)(6)(ii))
(Select from dropdown)]],Table22[],2,FALSE))</f>
        <v/>
      </c>
      <c r="C323" s="129"/>
      <c r="D323" s="129"/>
      <c r="E323" s="131"/>
      <c r="F323" s="139"/>
      <c r="G323" s="145"/>
      <c r="H323" s="145"/>
      <c r="I323" s="129"/>
      <c r="J323" s="129"/>
      <c r="K323" s="146"/>
    </row>
    <row r="324" spans="1:11" s="53" customFormat="1" x14ac:dyDescent="0.3">
      <c r="A324" s="149"/>
      <c r="B324" s="150" t="str">
        <f>IF(Table24[[#This Row],[Affected CMS
(§63.567(o)(3)(ix), §63.567(o)(6)(ii))
(Select from dropdown)]]="","",VLOOKUP(Table24[[#This Row],[Affected CMS
(§63.567(o)(3)(ix), §63.567(o)(6)(ii))
(Select from dropdown)]],Table22[],2,FALSE))</f>
        <v/>
      </c>
      <c r="C324" s="129"/>
      <c r="D324" s="129"/>
      <c r="E324" s="131"/>
      <c r="F324" s="139"/>
      <c r="G324" s="145"/>
      <c r="H324" s="145"/>
      <c r="I324" s="129"/>
      <c r="J324" s="129"/>
      <c r="K324" s="146"/>
    </row>
    <row r="325" spans="1:11" s="53" customFormat="1" x14ac:dyDescent="0.3">
      <c r="A325" s="149"/>
      <c r="B325" s="150" t="str">
        <f>IF(Table24[[#This Row],[Affected CMS
(§63.567(o)(3)(ix), §63.567(o)(6)(ii))
(Select from dropdown)]]="","",VLOOKUP(Table24[[#This Row],[Affected CMS
(§63.567(o)(3)(ix), §63.567(o)(6)(ii))
(Select from dropdown)]],Table22[],2,FALSE))</f>
        <v/>
      </c>
      <c r="C325" s="129"/>
      <c r="D325" s="129"/>
      <c r="E325" s="131"/>
      <c r="F325" s="139"/>
      <c r="G325" s="145"/>
      <c r="H325" s="145"/>
      <c r="I325" s="129"/>
      <c r="J325" s="129"/>
      <c r="K325" s="146"/>
    </row>
    <row r="326" spans="1:11" s="53" customFormat="1" x14ac:dyDescent="0.3">
      <c r="A326" s="149"/>
      <c r="B326" s="150" t="str">
        <f>IF(Table24[[#This Row],[Affected CMS
(§63.567(o)(3)(ix), §63.567(o)(6)(ii))
(Select from dropdown)]]="","",VLOOKUP(Table24[[#This Row],[Affected CMS
(§63.567(o)(3)(ix), §63.567(o)(6)(ii))
(Select from dropdown)]],Table22[],2,FALSE))</f>
        <v/>
      </c>
      <c r="C326" s="129"/>
      <c r="D326" s="129"/>
      <c r="E326" s="131"/>
      <c r="F326" s="139"/>
      <c r="G326" s="145"/>
      <c r="H326" s="145"/>
      <c r="I326" s="129"/>
      <c r="J326" s="129"/>
      <c r="K326" s="146"/>
    </row>
    <row r="327" spans="1:11" s="53" customFormat="1" x14ac:dyDescent="0.3">
      <c r="A327" s="149"/>
      <c r="B327" s="150" t="str">
        <f>IF(Table24[[#This Row],[Affected CMS
(§63.567(o)(3)(ix), §63.567(o)(6)(ii))
(Select from dropdown)]]="","",VLOOKUP(Table24[[#This Row],[Affected CMS
(§63.567(o)(3)(ix), §63.567(o)(6)(ii))
(Select from dropdown)]],Table22[],2,FALSE))</f>
        <v/>
      </c>
      <c r="C327" s="129"/>
      <c r="D327" s="129"/>
      <c r="E327" s="131"/>
      <c r="F327" s="139"/>
      <c r="G327" s="145"/>
      <c r="H327" s="145"/>
      <c r="I327" s="129"/>
      <c r="J327" s="129"/>
      <c r="K327" s="146"/>
    </row>
    <row r="328" spans="1:11" s="53" customFormat="1" x14ac:dyDescent="0.3">
      <c r="A328" s="149"/>
      <c r="B328" s="150" t="str">
        <f>IF(Table24[[#This Row],[Affected CMS
(§63.567(o)(3)(ix), §63.567(o)(6)(ii))
(Select from dropdown)]]="","",VLOOKUP(Table24[[#This Row],[Affected CMS
(§63.567(o)(3)(ix), §63.567(o)(6)(ii))
(Select from dropdown)]],Table22[],2,FALSE))</f>
        <v/>
      </c>
      <c r="C328" s="129"/>
      <c r="D328" s="129"/>
      <c r="E328" s="131"/>
      <c r="F328" s="139"/>
      <c r="G328" s="145"/>
      <c r="H328" s="145"/>
      <c r="I328" s="129"/>
      <c r="J328" s="129"/>
      <c r="K328" s="146"/>
    </row>
    <row r="329" spans="1:11" s="53" customFormat="1" x14ac:dyDescent="0.3">
      <c r="A329" s="149"/>
      <c r="B329" s="150" t="str">
        <f>IF(Table24[[#This Row],[Affected CMS
(§63.567(o)(3)(ix), §63.567(o)(6)(ii))
(Select from dropdown)]]="","",VLOOKUP(Table24[[#This Row],[Affected CMS
(§63.567(o)(3)(ix), §63.567(o)(6)(ii))
(Select from dropdown)]],Table22[],2,FALSE))</f>
        <v/>
      </c>
      <c r="C329" s="129"/>
      <c r="D329" s="129"/>
      <c r="E329" s="131"/>
      <c r="F329" s="139"/>
      <c r="G329" s="145"/>
      <c r="H329" s="145"/>
      <c r="I329" s="129"/>
      <c r="J329" s="129"/>
      <c r="K329" s="146"/>
    </row>
    <row r="330" spans="1:11" s="53" customFormat="1" x14ac:dyDescent="0.3">
      <c r="A330" s="149"/>
      <c r="B330" s="150" t="str">
        <f>IF(Table24[[#This Row],[Affected CMS
(§63.567(o)(3)(ix), §63.567(o)(6)(ii))
(Select from dropdown)]]="","",VLOOKUP(Table24[[#This Row],[Affected CMS
(§63.567(o)(3)(ix), §63.567(o)(6)(ii))
(Select from dropdown)]],Table22[],2,FALSE))</f>
        <v/>
      </c>
      <c r="C330" s="129"/>
      <c r="D330" s="129"/>
      <c r="E330" s="131"/>
      <c r="F330" s="139"/>
      <c r="G330" s="145"/>
      <c r="H330" s="145"/>
      <c r="I330" s="129"/>
      <c r="J330" s="129"/>
      <c r="K330" s="146"/>
    </row>
    <row r="331" spans="1:11" s="53" customFormat="1" x14ac:dyDescent="0.3">
      <c r="A331" s="149"/>
      <c r="B331" s="150" t="str">
        <f>IF(Table24[[#This Row],[Affected CMS
(§63.567(o)(3)(ix), §63.567(o)(6)(ii))
(Select from dropdown)]]="","",VLOOKUP(Table24[[#This Row],[Affected CMS
(§63.567(o)(3)(ix), §63.567(o)(6)(ii))
(Select from dropdown)]],Table22[],2,FALSE))</f>
        <v/>
      </c>
      <c r="C331" s="129"/>
      <c r="D331" s="129"/>
      <c r="E331" s="131"/>
      <c r="F331" s="139"/>
      <c r="G331" s="145"/>
      <c r="H331" s="145"/>
      <c r="I331" s="129"/>
      <c r="J331" s="129"/>
      <c r="K331" s="146"/>
    </row>
    <row r="332" spans="1:11" s="53" customFormat="1" x14ac:dyDescent="0.3">
      <c r="A332" s="149"/>
      <c r="B332" s="150" t="str">
        <f>IF(Table24[[#This Row],[Affected CMS
(§63.567(o)(3)(ix), §63.567(o)(6)(ii))
(Select from dropdown)]]="","",VLOOKUP(Table24[[#This Row],[Affected CMS
(§63.567(o)(3)(ix), §63.567(o)(6)(ii))
(Select from dropdown)]],Table22[],2,FALSE))</f>
        <v/>
      </c>
      <c r="C332" s="129"/>
      <c r="D332" s="129"/>
      <c r="E332" s="131"/>
      <c r="F332" s="139"/>
      <c r="G332" s="145"/>
      <c r="H332" s="145"/>
      <c r="I332" s="129"/>
      <c r="J332" s="129"/>
      <c r="K332" s="146"/>
    </row>
    <row r="333" spans="1:11" s="53" customFormat="1" x14ac:dyDescent="0.3">
      <c r="A333" s="149"/>
      <c r="B333" s="150" t="str">
        <f>IF(Table24[[#This Row],[Affected CMS
(§63.567(o)(3)(ix), §63.567(o)(6)(ii))
(Select from dropdown)]]="","",VLOOKUP(Table24[[#This Row],[Affected CMS
(§63.567(o)(3)(ix), §63.567(o)(6)(ii))
(Select from dropdown)]],Table22[],2,FALSE))</f>
        <v/>
      </c>
      <c r="C333" s="129"/>
      <c r="D333" s="129"/>
      <c r="E333" s="131"/>
      <c r="F333" s="139"/>
      <c r="G333" s="145"/>
      <c r="H333" s="145"/>
      <c r="I333" s="129"/>
      <c r="J333" s="129"/>
      <c r="K333" s="146"/>
    </row>
    <row r="334" spans="1:11" s="53" customFormat="1" x14ac:dyDescent="0.3">
      <c r="A334" s="149"/>
      <c r="B334" s="150" t="str">
        <f>IF(Table24[[#This Row],[Affected CMS
(§63.567(o)(3)(ix), §63.567(o)(6)(ii))
(Select from dropdown)]]="","",VLOOKUP(Table24[[#This Row],[Affected CMS
(§63.567(o)(3)(ix), §63.567(o)(6)(ii))
(Select from dropdown)]],Table22[],2,FALSE))</f>
        <v/>
      </c>
      <c r="C334" s="129"/>
      <c r="D334" s="129"/>
      <c r="E334" s="131"/>
      <c r="F334" s="139"/>
      <c r="G334" s="145"/>
      <c r="H334" s="145"/>
      <c r="I334" s="129"/>
      <c r="J334" s="129"/>
      <c r="K334" s="146"/>
    </row>
    <row r="335" spans="1:11" s="53" customFormat="1" x14ac:dyDescent="0.3">
      <c r="A335" s="149"/>
      <c r="B335" s="150" t="str">
        <f>IF(Table24[[#This Row],[Affected CMS
(§63.567(o)(3)(ix), §63.567(o)(6)(ii))
(Select from dropdown)]]="","",VLOOKUP(Table24[[#This Row],[Affected CMS
(§63.567(o)(3)(ix), §63.567(o)(6)(ii))
(Select from dropdown)]],Table22[],2,FALSE))</f>
        <v/>
      </c>
      <c r="C335" s="129"/>
      <c r="D335" s="129"/>
      <c r="E335" s="131"/>
      <c r="F335" s="139"/>
      <c r="G335" s="145"/>
      <c r="H335" s="145"/>
      <c r="I335" s="129"/>
      <c r="J335" s="129"/>
      <c r="K335" s="146"/>
    </row>
    <row r="336" spans="1:11" s="53" customFormat="1" x14ac:dyDescent="0.3">
      <c r="A336" s="149"/>
      <c r="B336" s="150" t="str">
        <f>IF(Table24[[#This Row],[Affected CMS
(§63.567(o)(3)(ix), §63.567(o)(6)(ii))
(Select from dropdown)]]="","",VLOOKUP(Table24[[#This Row],[Affected CMS
(§63.567(o)(3)(ix), §63.567(o)(6)(ii))
(Select from dropdown)]],Table22[],2,FALSE))</f>
        <v/>
      </c>
      <c r="C336" s="129"/>
      <c r="D336" s="129"/>
      <c r="E336" s="131"/>
      <c r="F336" s="139"/>
      <c r="G336" s="145"/>
      <c r="H336" s="145"/>
      <c r="I336" s="129"/>
      <c r="J336" s="129"/>
      <c r="K336" s="146"/>
    </row>
    <row r="337" spans="1:11" s="53" customFormat="1" x14ac:dyDescent="0.3">
      <c r="A337" s="149"/>
      <c r="B337" s="150" t="str">
        <f>IF(Table24[[#This Row],[Affected CMS
(§63.567(o)(3)(ix), §63.567(o)(6)(ii))
(Select from dropdown)]]="","",VLOOKUP(Table24[[#This Row],[Affected CMS
(§63.567(o)(3)(ix), §63.567(o)(6)(ii))
(Select from dropdown)]],Table22[],2,FALSE))</f>
        <v/>
      </c>
      <c r="C337" s="129"/>
      <c r="D337" s="129"/>
      <c r="E337" s="131"/>
      <c r="F337" s="139"/>
      <c r="G337" s="145"/>
      <c r="H337" s="145"/>
      <c r="I337" s="129"/>
      <c r="J337" s="129"/>
      <c r="K337" s="146"/>
    </row>
    <row r="338" spans="1:11" s="53" customFormat="1" x14ac:dyDescent="0.3">
      <c r="A338" s="149"/>
      <c r="B338" s="150" t="str">
        <f>IF(Table24[[#This Row],[Affected CMS
(§63.567(o)(3)(ix), §63.567(o)(6)(ii))
(Select from dropdown)]]="","",VLOOKUP(Table24[[#This Row],[Affected CMS
(§63.567(o)(3)(ix), §63.567(o)(6)(ii))
(Select from dropdown)]],Table22[],2,FALSE))</f>
        <v/>
      </c>
      <c r="C338" s="129"/>
      <c r="D338" s="129"/>
      <c r="E338" s="131"/>
      <c r="F338" s="139"/>
      <c r="G338" s="145"/>
      <c r="H338" s="145"/>
      <c r="I338" s="129"/>
      <c r="J338" s="129"/>
      <c r="K338" s="146"/>
    </row>
    <row r="339" spans="1:11" s="53" customFormat="1" x14ac:dyDescent="0.3">
      <c r="A339" s="149"/>
      <c r="B339" s="150" t="str">
        <f>IF(Table24[[#This Row],[Affected CMS
(§63.567(o)(3)(ix), §63.567(o)(6)(ii))
(Select from dropdown)]]="","",VLOOKUP(Table24[[#This Row],[Affected CMS
(§63.567(o)(3)(ix), §63.567(o)(6)(ii))
(Select from dropdown)]],Table22[],2,FALSE))</f>
        <v/>
      </c>
      <c r="C339" s="129"/>
      <c r="D339" s="129"/>
      <c r="E339" s="131"/>
      <c r="F339" s="139"/>
      <c r="G339" s="145"/>
      <c r="H339" s="145"/>
      <c r="I339" s="129"/>
      <c r="J339" s="129"/>
      <c r="K339" s="146"/>
    </row>
    <row r="340" spans="1:11" s="53" customFormat="1" x14ac:dyDescent="0.3">
      <c r="A340" s="149"/>
      <c r="B340" s="150" t="str">
        <f>IF(Table24[[#This Row],[Affected CMS
(§63.567(o)(3)(ix), §63.567(o)(6)(ii))
(Select from dropdown)]]="","",VLOOKUP(Table24[[#This Row],[Affected CMS
(§63.567(o)(3)(ix), §63.567(o)(6)(ii))
(Select from dropdown)]],Table22[],2,FALSE))</f>
        <v/>
      </c>
      <c r="C340" s="129"/>
      <c r="D340" s="129"/>
      <c r="E340" s="131"/>
      <c r="F340" s="139"/>
      <c r="G340" s="145"/>
      <c r="H340" s="145"/>
      <c r="I340" s="129"/>
      <c r="J340" s="129"/>
      <c r="K340" s="146"/>
    </row>
    <row r="341" spans="1:11" s="53" customFormat="1" x14ac:dyDescent="0.3">
      <c r="A341" s="149"/>
      <c r="B341" s="150" t="str">
        <f>IF(Table24[[#This Row],[Affected CMS
(§63.567(o)(3)(ix), §63.567(o)(6)(ii))
(Select from dropdown)]]="","",VLOOKUP(Table24[[#This Row],[Affected CMS
(§63.567(o)(3)(ix), §63.567(o)(6)(ii))
(Select from dropdown)]],Table22[],2,FALSE))</f>
        <v/>
      </c>
      <c r="C341" s="129"/>
      <c r="D341" s="129"/>
      <c r="E341" s="131"/>
      <c r="F341" s="139"/>
      <c r="G341" s="145"/>
      <c r="H341" s="145"/>
      <c r="I341" s="129"/>
      <c r="J341" s="129"/>
      <c r="K341" s="146"/>
    </row>
    <row r="342" spans="1:11" s="53" customFormat="1" x14ac:dyDescent="0.3">
      <c r="A342" s="149"/>
      <c r="B342" s="150" t="str">
        <f>IF(Table24[[#This Row],[Affected CMS
(§63.567(o)(3)(ix), §63.567(o)(6)(ii))
(Select from dropdown)]]="","",VLOOKUP(Table24[[#This Row],[Affected CMS
(§63.567(o)(3)(ix), §63.567(o)(6)(ii))
(Select from dropdown)]],Table22[],2,FALSE))</f>
        <v/>
      </c>
      <c r="C342" s="129"/>
      <c r="D342" s="129"/>
      <c r="E342" s="131"/>
      <c r="F342" s="139"/>
      <c r="G342" s="145"/>
      <c r="H342" s="145"/>
      <c r="I342" s="129"/>
      <c r="J342" s="129"/>
      <c r="K342" s="146"/>
    </row>
    <row r="343" spans="1:11" s="53" customFormat="1" x14ac:dyDescent="0.3">
      <c r="A343" s="149"/>
      <c r="B343" s="150" t="str">
        <f>IF(Table24[[#This Row],[Affected CMS
(§63.567(o)(3)(ix), §63.567(o)(6)(ii))
(Select from dropdown)]]="","",VLOOKUP(Table24[[#This Row],[Affected CMS
(§63.567(o)(3)(ix), §63.567(o)(6)(ii))
(Select from dropdown)]],Table22[],2,FALSE))</f>
        <v/>
      </c>
      <c r="C343" s="129"/>
      <c r="D343" s="129"/>
      <c r="E343" s="131"/>
      <c r="F343" s="139"/>
      <c r="G343" s="145"/>
      <c r="H343" s="145"/>
      <c r="I343" s="129"/>
      <c r="J343" s="129"/>
      <c r="K343" s="146"/>
    </row>
    <row r="344" spans="1:11" s="53" customFormat="1" x14ac:dyDescent="0.3">
      <c r="A344" s="149"/>
      <c r="B344" s="150" t="str">
        <f>IF(Table24[[#This Row],[Affected CMS
(§63.567(o)(3)(ix), §63.567(o)(6)(ii))
(Select from dropdown)]]="","",VLOOKUP(Table24[[#This Row],[Affected CMS
(§63.567(o)(3)(ix), §63.567(o)(6)(ii))
(Select from dropdown)]],Table22[],2,FALSE))</f>
        <v/>
      </c>
      <c r="C344" s="129"/>
      <c r="D344" s="129"/>
      <c r="E344" s="131"/>
      <c r="F344" s="139"/>
      <c r="G344" s="145"/>
      <c r="H344" s="145"/>
      <c r="I344" s="129"/>
      <c r="J344" s="129"/>
      <c r="K344" s="146"/>
    </row>
    <row r="345" spans="1:11" s="53" customFormat="1" x14ac:dyDescent="0.3">
      <c r="A345" s="149"/>
      <c r="B345" s="150" t="str">
        <f>IF(Table24[[#This Row],[Affected CMS
(§63.567(o)(3)(ix), §63.567(o)(6)(ii))
(Select from dropdown)]]="","",VLOOKUP(Table24[[#This Row],[Affected CMS
(§63.567(o)(3)(ix), §63.567(o)(6)(ii))
(Select from dropdown)]],Table22[],2,FALSE))</f>
        <v/>
      </c>
      <c r="C345" s="129"/>
      <c r="D345" s="129"/>
      <c r="E345" s="131"/>
      <c r="F345" s="139"/>
      <c r="G345" s="145"/>
      <c r="H345" s="145"/>
      <c r="I345" s="129"/>
      <c r="J345" s="129"/>
      <c r="K345" s="146"/>
    </row>
    <row r="346" spans="1:11" s="53" customFormat="1" x14ac:dyDescent="0.3">
      <c r="A346" s="149"/>
      <c r="B346" s="150" t="str">
        <f>IF(Table24[[#This Row],[Affected CMS
(§63.567(o)(3)(ix), §63.567(o)(6)(ii))
(Select from dropdown)]]="","",VLOOKUP(Table24[[#This Row],[Affected CMS
(§63.567(o)(3)(ix), §63.567(o)(6)(ii))
(Select from dropdown)]],Table22[],2,FALSE))</f>
        <v/>
      </c>
      <c r="C346" s="129"/>
      <c r="D346" s="129"/>
      <c r="E346" s="131"/>
      <c r="F346" s="139"/>
      <c r="G346" s="145"/>
      <c r="H346" s="145"/>
      <c r="I346" s="129"/>
      <c r="J346" s="129"/>
      <c r="K346" s="146"/>
    </row>
    <row r="347" spans="1:11" s="53" customFormat="1" x14ac:dyDescent="0.3">
      <c r="A347" s="149"/>
      <c r="B347" s="150" t="str">
        <f>IF(Table24[[#This Row],[Affected CMS
(§63.567(o)(3)(ix), §63.567(o)(6)(ii))
(Select from dropdown)]]="","",VLOOKUP(Table24[[#This Row],[Affected CMS
(§63.567(o)(3)(ix), §63.567(o)(6)(ii))
(Select from dropdown)]],Table22[],2,FALSE))</f>
        <v/>
      </c>
      <c r="C347" s="129"/>
      <c r="D347" s="129"/>
      <c r="E347" s="131"/>
      <c r="F347" s="139"/>
      <c r="G347" s="145"/>
      <c r="H347" s="145"/>
      <c r="I347" s="129"/>
      <c r="J347" s="129"/>
      <c r="K347" s="146"/>
    </row>
    <row r="348" spans="1:11" s="53" customFormat="1" x14ac:dyDescent="0.3">
      <c r="A348" s="149"/>
      <c r="B348" s="150" t="str">
        <f>IF(Table24[[#This Row],[Affected CMS
(§63.567(o)(3)(ix), §63.567(o)(6)(ii))
(Select from dropdown)]]="","",VLOOKUP(Table24[[#This Row],[Affected CMS
(§63.567(o)(3)(ix), §63.567(o)(6)(ii))
(Select from dropdown)]],Table22[],2,FALSE))</f>
        <v/>
      </c>
      <c r="C348" s="129"/>
      <c r="D348" s="129"/>
      <c r="E348" s="131"/>
      <c r="F348" s="139"/>
      <c r="G348" s="145"/>
      <c r="H348" s="145"/>
      <c r="I348" s="129"/>
      <c r="J348" s="129"/>
      <c r="K348" s="146"/>
    </row>
    <row r="349" spans="1:11" s="53" customFormat="1" x14ac:dyDescent="0.3">
      <c r="A349" s="149"/>
      <c r="B349" s="150" t="str">
        <f>IF(Table24[[#This Row],[Affected CMS
(§63.567(o)(3)(ix), §63.567(o)(6)(ii))
(Select from dropdown)]]="","",VLOOKUP(Table24[[#This Row],[Affected CMS
(§63.567(o)(3)(ix), §63.567(o)(6)(ii))
(Select from dropdown)]],Table22[],2,FALSE))</f>
        <v/>
      </c>
      <c r="C349" s="129"/>
      <c r="D349" s="129"/>
      <c r="E349" s="131"/>
      <c r="F349" s="139"/>
      <c r="G349" s="145"/>
      <c r="H349" s="145"/>
      <c r="I349" s="129"/>
      <c r="J349" s="129"/>
      <c r="K349" s="146"/>
    </row>
    <row r="350" spans="1:11" s="53" customFormat="1" x14ac:dyDescent="0.3">
      <c r="A350" s="149"/>
      <c r="B350" s="150" t="str">
        <f>IF(Table24[[#This Row],[Affected CMS
(§63.567(o)(3)(ix), §63.567(o)(6)(ii))
(Select from dropdown)]]="","",VLOOKUP(Table24[[#This Row],[Affected CMS
(§63.567(o)(3)(ix), §63.567(o)(6)(ii))
(Select from dropdown)]],Table22[],2,FALSE))</f>
        <v/>
      </c>
      <c r="C350" s="129"/>
      <c r="D350" s="129"/>
      <c r="E350" s="131"/>
      <c r="F350" s="139"/>
      <c r="G350" s="145"/>
      <c r="H350" s="145"/>
      <c r="I350" s="129"/>
      <c r="J350" s="129"/>
      <c r="K350" s="146"/>
    </row>
    <row r="351" spans="1:11" s="53" customFormat="1" x14ac:dyDescent="0.3">
      <c r="A351" s="149"/>
      <c r="B351" s="150" t="str">
        <f>IF(Table24[[#This Row],[Affected CMS
(§63.567(o)(3)(ix), §63.567(o)(6)(ii))
(Select from dropdown)]]="","",VLOOKUP(Table24[[#This Row],[Affected CMS
(§63.567(o)(3)(ix), §63.567(o)(6)(ii))
(Select from dropdown)]],Table22[],2,FALSE))</f>
        <v/>
      </c>
      <c r="C351" s="129"/>
      <c r="D351" s="129"/>
      <c r="E351" s="131"/>
      <c r="F351" s="139"/>
      <c r="G351" s="145"/>
      <c r="H351" s="145"/>
      <c r="I351" s="129"/>
      <c r="J351" s="129"/>
      <c r="K351" s="146"/>
    </row>
    <row r="352" spans="1:11" s="53" customFormat="1" x14ac:dyDescent="0.3">
      <c r="A352" s="149"/>
      <c r="B352" s="150" t="str">
        <f>IF(Table24[[#This Row],[Affected CMS
(§63.567(o)(3)(ix), §63.567(o)(6)(ii))
(Select from dropdown)]]="","",VLOOKUP(Table24[[#This Row],[Affected CMS
(§63.567(o)(3)(ix), §63.567(o)(6)(ii))
(Select from dropdown)]],Table22[],2,FALSE))</f>
        <v/>
      </c>
      <c r="C352" s="129"/>
      <c r="D352" s="129"/>
      <c r="E352" s="131"/>
      <c r="F352" s="139"/>
      <c r="G352" s="145"/>
      <c r="H352" s="145"/>
      <c r="I352" s="129"/>
      <c r="J352" s="129"/>
      <c r="K352" s="146"/>
    </row>
    <row r="353" spans="1:11" s="53" customFormat="1" x14ac:dyDescent="0.3">
      <c r="A353" s="149"/>
      <c r="B353" s="150" t="str">
        <f>IF(Table24[[#This Row],[Affected CMS
(§63.567(o)(3)(ix), §63.567(o)(6)(ii))
(Select from dropdown)]]="","",VLOOKUP(Table24[[#This Row],[Affected CMS
(§63.567(o)(3)(ix), §63.567(o)(6)(ii))
(Select from dropdown)]],Table22[],2,FALSE))</f>
        <v/>
      </c>
      <c r="C353" s="129"/>
      <c r="D353" s="129"/>
      <c r="E353" s="131"/>
      <c r="F353" s="139"/>
      <c r="G353" s="145"/>
      <c r="H353" s="145"/>
      <c r="I353" s="129"/>
      <c r="J353" s="129"/>
      <c r="K353" s="146"/>
    </row>
    <row r="354" spans="1:11" s="53" customFormat="1" x14ac:dyDescent="0.3">
      <c r="A354" s="149"/>
      <c r="B354" s="150" t="str">
        <f>IF(Table24[[#This Row],[Affected CMS
(§63.567(o)(3)(ix), §63.567(o)(6)(ii))
(Select from dropdown)]]="","",VLOOKUP(Table24[[#This Row],[Affected CMS
(§63.567(o)(3)(ix), §63.567(o)(6)(ii))
(Select from dropdown)]],Table22[],2,FALSE))</f>
        <v/>
      </c>
      <c r="C354" s="129"/>
      <c r="D354" s="129"/>
      <c r="E354" s="131"/>
      <c r="F354" s="139"/>
      <c r="G354" s="145"/>
      <c r="H354" s="145"/>
      <c r="I354" s="129"/>
      <c r="J354" s="129"/>
      <c r="K354" s="146"/>
    </row>
    <row r="355" spans="1:11" s="53" customFormat="1" x14ac:dyDescent="0.3">
      <c r="A355" s="149"/>
      <c r="B355" s="150" t="str">
        <f>IF(Table24[[#This Row],[Affected CMS
(§63.567(o)(3)(ix), §63.567(o)(6)(ii))
(Select from dropdown)]]="","",VLOOKUP(Table24[[#This Row],[Affected CMS
(§63.567(o)(3)(ix), §63.567(o)(6)(ii))
(Select from dropdown)]],Table22[],2,FALSE))</f>
        <v/>
      </c>
      <c r="C355" s="129"/>
      <c r="D355" s="129"/>
      <c r="E355" s="131"/>
      <c r="F355" s="139"/>
      <c r="G355" s="145"/>
      <c r="H355" s="145"/>
      <c r="I355" s="129"/>
      <c r="J355" s="129"/>
      <c r="K355" s="146"/>
    </row>
    <row r="356" spans="1:11" s="53" customFormat="1" x14ac:dyDescent="0.3">
      <c r="A356" s="149"/>
      <c r="B356" s="150" t="str">
        <f>IF(Table24[[#This Row],[Affected CMS
(§63.567(o)(3)(ix), §63.567(o)(6)(ii))
(Select from dropdown)]]="","",VLOOKUP(Table24[[#This Row],[Affected CMS
(§63.567(o)(3)(ix), §63.567(o)(6)(ii))
(Select from dropdown)]],Table22[],2,FALSE))</f>
        <v/>
      </c>
      <c r="C356" s="129"/>
      <c r="D356" s="129"/>
      <c r="E356" s="131"/>
      <c r="F356" s="139"/>
      <c r="G356" s="145"/>
      <c r="H356" s="145"/>
      <c r="I356" s="129"/>
      <c r="J356" s="129"/>
      <c r="K356" s="146"/>
    </row>
    <row r="357" spans="1:11" s="53" customFormat="1" x14ac:dyDescent="0.3">
      <c r="A357" s="149"/>
      <c r="B357" s="150" t="str">
        <f>IF(Table24[[#This Row],[Affected CMS
(§63.567(o)(3)(ix), §63.567(o)(6)(ii))
(Select from dropdown)]]="","",VLOOKUP(Table24[[#This Row],[Affected CMS
(§63.567(o)(3)(ix), §63.567(o)(6)(ii))
(Select from dropdown)]],Table22[],2,FALSE))</f>
        <v/>
      </c>
      <c r="C357" s="129"/>
      <c r="D357" s="129"/>
      <c r="E357" s="131"/>
      <c r="F357" s="139"/>
      <c r="G357" s="145"/>
      <c r="H357" s="145"/>
      <c r="I357" s="129"/>
      <c r="J357" s="129"/>
      <c r="K357" s="146"/>
    </row>
    <row r="358" spans="1:11" s="53" customFormat="1" x14ac:dyDescent="0.3">
      <c r="A358" s="149"/>
      <c r="B358" s="150" t="str">
        <f>IF(Table24[[#This Row],[Affected CMS
(§63.567(o)(3)(ix), §63.567(o)(6)(ii))
(Select from dropdown)]]="","",VLOOKUP(Table24[[#This Row],[Affected CMS
(§63.567(o)(3)(ix), §63.567(o)(6)(ii))
(Select from dropdown)]],Table22[],2,FALSE))</f>
        <v/>
      </c>
      <c r="C358" s="129"/>
      <c r="D358" s="129"/>
      <c r="E358" s="131"/>
      <c r="F358" s="139"/>
      <c r="G358" s="145"/>
      <c r="H358" s="145"/>
      <c r="I358" s="129"/>
      <c r="J358" s="129"/>
      <c r="K358" s="146"/>
    </row>
    <row r="359" spans="1:11" s="53" customFormat="1" x14ac:dyDescent="0.3">
      <c r="A359" s="149"/>
      <c r="B359" s="150" t="str">
        <f>IF(Table24[[#This Row],[Affected CMS
(§63.567(o)(3)(ix), §63.567(o)(6)(ii))
(Select from dropdown)]]="","",VLOOKUP(Table24[[#This Row],[Affected CMS
(§63.567(o)(3)(ix), §63.567(o)(6)(ii))
(Select from dropdown)]],Table22[],2,FALSE))</f>
        <v/>
      </c>
      <c r="C359" s="129"/>
      <c r="D359" s="129"/>
      <c r="E359" s="131"/>
      <c r="F359" s="139"/>
      <c r="G359" s="145"/>
      <c r="H359" s="145"/>
      <c r="I359" s="129"/>
      <c r="J359" s="129"/>
      <c r="K359" s="146"/>
    </row>
    <row r="360" spans="1:11" s="53" customFormat="1" x14ac:dyDescent="0.3">
      <c r="A360" s="149"/>
      <c r="B360" s="150" t="str">
        <f>IF(Table24[[#This Row],[Affected CMS
(§63.567(o)(3)(ix), §63.567(o)(6)(ii))
(Select from dropdown)]]="","",VLOOKUP(Table24[[#This Row],[Affected CMS
(§63.567(o)(3)(ix), §63.567(o)(6)(ii))
(Select from dropdown)]],Table22[],2,FALSE))</f>
        <v/>
      </c>
      <c r="C360" s="129"/>
      <c r="D360" s="129"/>
      <c r="E360" s="131"/>
      <c r="F360" s="139"/>
      <c r="G360" s="145"/>
      <c r="H360" s="145"/>
      <c r="I360" s="129"/>
      <c r="J360" s="129"/>
      <c r="K360" s="146"/>
    </row>
    <row r="361" spans="1:11" s="53" customFormat="1" x14ac:dyDescent="0.3">
      <c r="A361" s="149"/>
      <c r="B361" s="150" t="str">
        <f>IF(Table24[[#This Row],[Affected CMS
(§63.567(o)(3)(ix), §63.567(o)(6)(ii))
(Select from dropdown)]]="","",VLOOKUP(Table24[[#This Row],[Affected CMS
(§63.567(o)(3)(ix), §63.567(o)(6)(ii))
(Select from dropdown)]],Table22[],2,FALSE))</f>
        <v/>
      </c>
      <c r="C361" s="129"/>
      <c r="D361" s="129"/>
      <c r="E361" s="131"/>
      <c r="F361" s="139"/>
      <c r="G361" s="145"/>
      <c r="H361" s="145"/>
      <c r="I361" s="129"/>
      <c r="J361" s="129"/>
      <c r="K361" s="146"/>
    </row>
    <row r="362" spans="1:11" s="53" customFormat="1" x14ac:dyDescent="0.3">
      <c r="A362" s="149"/>
      <c r="B362" s="150" t="str">
        <f>IF(Table24[[#This Row],[Affected CMS
(§63.567(o)(3)(ix), §63.567(o)(6)(ii))
(Select from dropdown)]]="","",VLOOKUP(Table24[[#This Row],[Affected CMS
(§63.567(o)(3)(ix), §63.567(o)(6)(ii))
(Select from dropdown)]],Table22[],2,FALSE))</f>
        <v/>
      </c>
      <c r="C362" s="129"/>
      <c r="D362" s="129"/>
      <c r="E362" s="131"/>
      <c r="F362" s="139"/>
      <c r="G362" s="145"/>
      <c r="H362" s="145"/>
      <c r="I362" s="129"/>
      <c r="J362" s="129"/>
      <c r="K362" s="146"/>
    </row>
    <row r="363" spans="1:11" s="53" customFormat="1" x14ac:dyDescent="0.3">
      <c r="A363" s="149"/>
      <c r="B363" s="150" t="str">
        <f>IF(Table24[[#This Row],[Affected CMS
(§63.567(o)(3)(ix), §63.567(o)(6)(ii))
(Select from dropdown)]]="","",VLOOKUP(Table24[[#This Row],[Affected CMS
(§63.567(o)(3)(ix), §63.567(o)(6)(ii))
(Select from dropdown)]],Table22[],2,FALSE))</f>
        <v/>
      </c>
      <c r="C363" s="129"/>
      <c r="D363" s="129"/>
      <c r="E363" s="131"/>
      <c r="F363" s="139"/>
      <c r="G363" s="145"/>
      <c r="H363" s="145"/>
      <c r="I363" s="129"/>
      <c r="J363" s="129"/>
      <c r="K363" s="146"/>
    </row>
    <row r="364" spans="1:11" s="53" customFormat="1" x14ac:dyDescent="0.3">
      <c r="A364" s="149"/>
      <c r="B364" s="150" t="str">
        <f>IF(Table24[[#This Row],[Affected CMS
(§63.567(o)(3)(ix), §63.567(o)(6)(ii))
(Select from dropdown)]]="","",VLOOKUP(Table24[[#This Row],[Affected CMS
(§63.567(o)(3)(ix), §63.567(o)(6)(ii))
(Select from dropdown)]],Table22[],2,FALSE))</f>
        <v/>
      </c>
      <c r="C364" s="129"/>
      <c r="D364" s="129"/>
      <c r="E364" s="131"/>
      <c r="F364" s="139"/>
      <c r="G364" s="145"/>
      <c r="H364" s="145"/>
      <c r="I364" s="129"/>
      <c r="J364" s="129"/>
      <c r="K364" s="146"/>
    </row>
    <row r="365" spans="1:11" s="53" customFormat="1" x14ac:dyDescent="0.3">
      <c r="A365" s="149"/>
      <c r="B365" s="150" t="str">
        <f>IF(Table24[[#This Row],[Affected CMS
(§63.567(o)(3)(ix), §63.567(o)(6)(ii))
(Select from dropdown)]]="","",VLOOKUP(Table24[[#This Row],[Affected CMS
(§63.567(o)(3)(ix), §63.567(o)(6)(ii))
(Select from dropdown)]],Table22[],2,FALSE))</f>
        <v/>
      </c>
      <c r="C365" s="129"/>
      <c r="D365" s="129"/>
      <c r="E365" s="131"/>
      <c r="F365" s="139"/>
      <c r="G365" s="145"/>
      <c r="H365" s="145"/>
      <c r="I365" s="129"/>
      <c r="J365" s="129"/>
      <c r="K365" s="146"/>
    </row>
    <row r="366" spans="1:11" s="53" customFormat="1" x14ac:dyDescent="0.3">
      <c r="A366" s="149"/>
      <c r="B366" s="150" t="str">
        <f>IF(Table24[[#This Row],[Affected CMS
(§63.567(o)(3)(ix), §63.567(o)(6)(ii))
(Select from dropdown)]]="","",VLOOKUP(Table24[[#This Row],[Affected CMS
(§63.567(o)(3)(ix), §63.567(o)(6)(ii))
(Select from dropdown)]],Table22[],2,FALSE))</f>
        <v/>
      </c>
      <c r="C366" s="129"/>
      <c r="D366" s="129"/>
      <c r="E366" s="131"/>
      <c r="F366" s="139"/>
      <c r="G366" s="145"/>
      <c r="H366" s="145"/>
      <c r="I366" s="129"/>
      <c r="J366" s="129"/>
      <c r="K366" s="146"/>
    </row>
    <row r="367" spans="1:11" s="53" customFormat="1" x14ac:dyDescent="0.3">
      <c r="A367" s="149"/>
      <c r="B367" s="150" t="str">
        <f>IF(Table24[[#This Row],[Affected CMS
(§63.567(o)(3)(ix), §63.567(o)(6)(ii))
(Select from dropdown)]]="","",VLOOKUP(Table24[[#This Row],[Affected CMS
(§63.567(o)(3)(ix), §63.567(o)(6)(ii))
(Select from dropdown)]],Table22[],2,FALSE))</f>
        <v/>
      </c>
      <c r="C367" s="129"/>
      <c r="D367" s="129"/>
      <c r="E367" s="131"/>
      <c r="F367" s="139"/>
      <c r="G367" s="145"/>
      <c r="H367" s="145"/>
      <c r="I367" s="129"/>
      <c r="J367" s="129"/>
      <c r="K367" s="146"/>
    </row>
    <row r="368" spans="1:11" s="53" customFormat="1" x14ac:dyDescent="0.3">
      <c r="A368" s="149"/>
      <c r="B368" s="150" t="str">
        <f>IF(Table24[[#This Row],[Affected CMS
(§63.567(o)(3)(ix), §63.567(o)(6)(ii))
(Select from dropdown)]]="","",VLOOKUP(Table24[[#This Row],[Affected CMS
(§63.567(o)(3)(ix), §63.567(o)(6)(ii))
(Select from dropdown)]],Table22[],2,FALSE))</f>
        <v/>
      </c>
      <c r="C368" s="129"/>
      <c r="D368" s="129"/>
      <c r="E368" s="131"/>
      <c r="F368" s="139"/>
      <c r="G368" s="145"/>
      <c r="H368" s="145"/>
      <c r="I368" s="129"/>
      <c r="J368" s="129"/>
      <c r="K368" s="146"/>
    </row>
    <row r="369" spans="1:11" s="53" customFormat="1" x14ac:dyDescent="0.3">
      <c r="A369" s="149"/>
      <c r="B369" s="150" t="str">
        <f>IF(Table24[[#This Row],[Affected CMS
(§63.567(o)(3)(ix), §63.567(o)(6)(ii))
(Select from dropdown)]]="","",VLOOKUP(Table24[[#This Row],[Affected CMS
(§63.567(o)(3)(ix), §63.567(o)(6)(ii))
(Select from dropdown)]],Table22[],2,FALSE))</f>
        <v/>
      </c>
      <c r="C369" s="129"/>
      <c r="D369" s="129"/>
      <c r="E369" s="131"/>
      <c r="F369" s="139"/>
      <c r="G369" s="145"/>
      <c r="H369" s="145"/>
      <c r="I369" s="129"/>
      <c r="J369" s="129"/>
      <c r="K369" s="146"/>
    </row>
    <row r="370" spans="1:11" s="53" customFormat="1" x14ac:dyDescent="0.3">
      <c r="A370" s="149"/>
      <c r="B370" s="150" t="str">
        <f>IF(Table24[[#This Row],[Affected CMS
(§63.567(o)(3)(ix), §63.567(o)(6)(ii))
(Select from dropdown)]]="","",VLOOKUP(Table24[[#This Row],[Affected CMS
(§63.567(o)(3)(ix), §63.567(o)(6)(ii))
(Select from dropdown)]],Table22[],2,FALSE))</f>
        <v/>
      </c>
      <c r="C370" s="129"/>
      <c r="D370" s="129"/>
      <c r="E370" s="131"/>
      <c r="F370" s="139"/>
      <c r="G370" s="145"/>
      <c r="H370" s="145"/>
      <c r="I370" s="129"/>
      <c r="J370" s="129"/>
      <c r="K370" s="146"/>
    </row>
    <row r="371" spans="1:11" s="53" customFormat="1" x14ac:dyDescent="0.3">
      <c r="A371" s="149"/>
      <c r="B371" s="150" t="str">
        <f>IF(Table24[[#This Row],[Affected CMS
(§63.567(o)(3)(ix), §63.567(o)(6)(ii))
(Select from dropdown)]]="","",VLOOKUP(Table24[[#This Row],[Affected CMS
(§63.567(o)(3)(ix), §63.567(o)(6)(ii))
(Select from dropdown)]],Table22[],2,FALSE))</f>
        <v/>
      </c>
      <c r="C371" s="129"/>
      <c r="D371" s="129"/>
      <c r="E371" s="131"/>
      <c r="F371" s="139"/>
      <c r="G371" s="145"/>
      <c r="H371" s="145"/>
      <c r="I371" s="129"/>
      <c r="J371" s="129"/>
      <c r="K371" s="146"/>
    </row>
    <row r="372" spans="1:11" s="53" customFormat="1" x14ac:dyDescent="0.3">
      <c r="A372" s="149"/>
      <c r="B372" s="150" t="str">
        <f>IF(Table24[[#This Row],[Affected CMS
(§63.567(o)(3)(ix), §63.567(o)(6)(ii))
(Select from dropdown)]]="","",VLOOKUP(Table24[[#This Row],[Affected CMS
(§63.567(o)(3)(ix), §63.567(o)(6)(ii))
(Select from dropdown)]],Table22[],2,FALSE))</f>
        <v/>
      </c>
      <c r="C372" s="129"/>
      <c r="D372" s="129"/>
      <c r="E372" s="131"/>
      <c r="F372" s="139"/>
      <c r="G372" s="145"/>
      <c r="H372" s="145"/>
      <c r="I372" s="129"/>
      <c r="J372" s="129"/>
      <c r="K372" s="146"/>
    </row>
    <row r="373" spans="1:11" s="53" customFormat="1" x14ac:dyDescent="0.3">
      <c r="A373" s="149"/>
      <c r="B373" s="150" t="str">
        <f>IF(Table24[[#This Row],[Affected CMS
(§63.567(o)(3)(ix), §63.567(o)(6)(ii))
(Select from dropdown)]]="","",VLOOKUP(Table24[[#This Row],[Affected CMS
(§63.567(o)(3)(ix), §63.567(o)(6)(ii))
(Select from dropdown)]],Table22[],2,FALSE))</f>
        <v/>
      </c>
      <c r="C373" s="129"/>
      <c r="D373" s="129"/>
      <c r="E373" s="131"/>
      <c r="F373" s="139"/>
      <c r="G373" s="145"/>
      <c r="H373" s="145"/>
      <c r="I373" s="129"/>
      <c r="J373" s="129"/>
      <c r="K373" s="146"/>
    </row>
    <row r="374" spans="1:11" s="53" customFormat="1" x14ac:dyDescent="0.3">
      <c r="A374" s="149"/>
      <c r="B374" s="150" t="str">
        <f>IF(Table24[[#This Row],[Affected CMS
(§63.567(o)(3)(ix), §63.567(o)(6)(ii))
(Select from dropdown)]]="","",VLOOKUP(Table24[[#This Row],[Affected CMS
(§63.567(o)(3)(ix), §63.567(o)(6)(ii))
(Select from dropdown)]],Table22[],2,FALSE))</f>
        <v/>
      </c>
      <c r="C374" s="129"/>
      <c r="D374" s="129"/>
      <c r="E374" s="131"/>
      <c r="F374" s="139"/>
      <c r="G374" s="145"/>
      <c r="H374" s="145"/>
      <c r="I374" s="129"/>
      <c r="J374" s="129"/>
      <c r="K374" s="146"/>
    </row>
    <row r="375" spans="1:11" s="53" customFormat="1" x14ac:dyDescent="0.3">
      <c r="A375" s="149"/>
      <c r="B375" s="150" t="str">
        <f>IF(Table24[[#This Row],[Affected CMS
(§63.567(o)(3)(ix), §63.567(o)(6)(ii))
(Select from dropdown)]]="","",VLOOKUP(Table24[[#This Row],[Affected CMS
(§63.567(o)(3)(ix), §63.567(o)(6)(ii))
(Select from dropdown)]],Table22[],2,FALSE))</f>
        <v/>
      </c>
      <c r="C375" s="129"/>
      <c r="D375" s="129"/>
      <c r="E375" s="131"/>
      <c r="F375" s="139"/>
      <c r="G375" s="145"/>
      <c r="H375" s="145"/>
      <c r="I375" s="129"/>
      <c r="J375" s="129"/>
      <c r="K375" s="146"/>
    </row>
    <row r="376" spans="1:11" s="53" customFormat="1" x14ac:dyDescent="0.3">
      <c r="A376" s="149"/>
      <c r="B376" s="150" t="str">
        <f>IF(Table24[[#This Row],[Affected CMS
(§63.567(o)(3)(ix), §63.567(o)(6)(ii))
(Select from dropdown)]]="","",VLOOKUP(Table24[[#This Row],[Affected CMS
(§63.567(o)(3)(ix), §63.567(o)(6)(ii))
(Select from dropdown)]],Table22[],2,FALSE))</f>
        <v/>
      </c>
      <c r="C376" s="129"/>
      <c r="D376" s="129"/>
      <c r="E376" s="131"/>
      <c r="F376" s="139"/>
      <c r="G376" s="145"/>
      <c r="H376" s="145"/>
      <c r="I376" s="129"/>
      <c r="J376" s="129"/>
      <c r="K376" s="146"/>
    </row>
    <row r="377" spans="1:11" s="53" customFormat="1" x14ac:dyDescent="0.3">
      <c r="A377" s="149"/>
      <c r="B377" s="150" t="str">
        <f>IF(Table24[[#This Row],[Affected CMS
(§63.567(o)(3)(ix), §63.567(o)(6)(ii))
(Select from dropdown)]]="","",VLOOKUP(Table24[[#This Row],[Affected CMS
(§63.567(o)(3)(ix), §63.567(o)(6)(ii))
(Select from dropdown)]],Table22[],2,FALSE))</f>
        <v/>
      </c>
      <c r="C377" s="129"/>
      <c r="D377" s="129"/>
      <c r="E377" s="131"/>
      <c r="F377" s="139"/>
      <c r="G377" s="145"/>
      <c r="H377" s="145"/>
      <c r="I377" s="129"/>
      <c r="J377" s="129"/>
      <c r="K377" s="146"/>
    </row>
    <row r="378" spans="1:11" s="53" customFormat="1" x14ac:dyDescent="0.3">
      <c r="A378" s="149"/>
      <c r="B378" s="150" t="str">
        <f>IF(Table24[[#This Row],[Affected CMS
(§63.567(o)(3)(ix), §63.567(o)(6)(ii))
(Select from dropdown)]]="","",VLOOKUP(Table24[[#This Row],[Affected CMS
(§63.567(o)(3)(ix), §63.567(o)(6)(ii))
(Select from dropdown)]],Table22[],2,FALSE))</f>
        <v/>
      </c>
      <c r="C378" s="129"/>
      <c r="D378" s="129"/>
      <c r="E378" s="131"/>
      <c r="F378" s="139"/>
      <c r="G378" s="145"/>
      <c r="H378" s="145"/>
      <c r="I378" s="129"/>
      <c r="J378" s="129"/>
      <c r="K378" s="146"/>
    </row>
    <row r="379" spans="1:11" s="53" customFormat="1" x14ac:dyDescent="0.3">
      <c r="A379" s="149"/>
      <c r="B379" s="150" t="str">
        <f>IF(Table24[[#This Row],[Affected CMS
(§63.567(o)(3)(ix), §63.567(o)(6)(ii))
(Select from dropdown)]]="","",VLOOKUP(Table24[[#This Row],[Affected CMS
(§63.567(o)(3)(ix), §63.567(o)(6)(ii))
(Select from dropdown)]],Table22[],2,FALSE))</f>
        <v/>
      </c>
      <c r="C379" s="129"/>
      <c r="D379" s="129"/>
      <c r="E379" s="131"/>
      <c r="F379" s="139"/>
      <c r="G379" s="145"/>
      <c r="H379" s="145"/>
      <c r="I379" s="129"/>
      <c r="J379" s="129"/>
      <c r="K379" s="146"/>
    </row>
    <row r="380" spans="1:11" s="53" customFormat="1" x14ac:dyDescent="0.3">
      <c r="A380" s="149"/>
      <c r="B380" s="150" t="str">
        <f>IF(Table24[[#This Row],[Affected CMS
(§63.567(o)(3)(ix), §63.567(o)(6)(ii))
(Select from dropdown)]]="","",VLOOKUP(Table24[[#This Row],[Affected CMS
(§63.567(o)(3)(ix), §63.567(o)(6)(ii))
(Select from dropdown)]],Table22[],2,FALSE))</f>
        <v/>
      </c>
      <c r="C380" s="129"/>
      <c r="D380" s="129"/>
      <c r="E380" s="131"/>
      <c r="F380" s="139"/>
      <c r="G380" s="145"/>
      <c r="H380" s="145"/>
      <c r="I380" s="129"/>
      <c r="J380" s="129"/>
      <c r="K380" s="146"/>
    </row>
    <row r="381" spans="1:11" s="53" customFormat="1" x14ac:dyDescent="0.3">
      <c r="A381" s="149"/>
      <c r="B381" s="150" t="str">
        <f>IF(Table24[[#This Row],[Affected CMS
(§63.567(o)(3)(ix), §63.567(o)(6)(ii))
(Select from dropdown)]]="","",VLOOKUP(Table24[[#This Row],[Affected CMS
(§63.567(o)(3)(ix), §63.567(o)(6)(ii))
(Select from dropdown)]],Table22[],2,FALSE))</f>
        <v/>
      </c>
      <c r="C381" s="129"/>
      <c r="D381" s="129"/>
      <c r="E381" s="131"/>
      <c r="F381" s="139"/>
      <c r="G381" s="145"/>
      <c r="H381" s="145"/>
      <c r="I381" s="129"/>
      <c r="J381" s="129"/>
      <c r="K381" s="146"/>
    </row>
    <row r="382" spans="1:11" s="53" customFormat="1" x14ac:dyDescent="0.3">
      <c r="A382" s="149"/>
      <c r="B382" s="150" t="str">
        <f>IF(Table24[[#This Row],[Affected CMS
(§63.567(o)(3)(ix), §63.567(o)(6)(ii))
(Select from dropdown)]]="","",VLOOKUP(Table24[[#This Row],[Affected CMS
(§63.567(o)(3)(ix), §63.567(o)(6)(ii))
(Select from dropdown)]],Table22[],2,FALSE))</f>
        <v/>
      </c>
      <c r="C382" s="129"/>
      <c r="D382" s="129"/>
      <c r="E382" s="131"/>
      <c r="F382" s="139"/>
      <c r="G382" s="145"/>
      <c r="H382" s="145"/>
      <c r="I382" s="129"/>
      <c r="J382" s="129"/>
      <c r="K382" s="146"/>
    </row>
    <row r="383" spans="1:11" s="53" customFormat="1" x14ac:dyDescent="0.3">
      <c r="A383" s="149"/>
      <c r="B383" s="150" t="str">
        <f>IF(Table24[[#This Row],[Affected CMS
(§63.567(o)(3)(ix), §63.567(o)(6)(ii))
(Select from dropdown)]]="","",VLOOKUP(Table24[[#This Row],[Affected CMS
(§63.567(o)(3)(ix), §63.567(o)(6)(ii))
(Select from dropdown)]],Table22[],2,FALSE))</f>
        <v/>
      </c>
      <c r="C383" s="129"/>
      <c r="D383" s="129"/>
      <c r="E383" s="131"/>
      <c r="F383" s="139"/>
      <c r="G383" s="145"/>
      <c r="H383" s="145"/>
      <c r="I383" s="129"/>
      <c r="J383" s="129"/>
      <c r="K383" s="146"/>
    </row>
    <row r="384" spans="1:11" s="53" customFormat="1" x14ac:dyDescent="0.3">
      <c r="A384" s="149"/>
      <c r="B384" s="150" t="str">
        <f>IF(Table24[[#This Row],[Affected CMS
(§63.567(o)(3)(ix), §63.567(o)(6)(ii))
(Select from dropdown)]]="","",VLOOKUP(Table24[[#This Row],[Affected CMS
(§63.567(o)(3)(ix), §63.567(o)(6)(ii))
(Select from dropdown)]],Table22[],2,FALSE))</f>
        <v/>
      </c>
      <c r="C384" s="129"/>
      <c r="D384" s="129"/>
      <c r="E384" s="131"/>
      <c r="F384" s="139"/>
      <c r="G384" s="145"/>
      <c r="H384" s="145"/>
      <c r="I384" s="129"/>
      <c r="J384" s="129"/>
      <c r="K384" s="146"/>
    </row>
    <row r="385" spans="1:11" s="53" customFormat="1" x14ac:dyDescent="0.3">
      <c r="A385" s="149"/>
      <c r="B385" s="150" t="str">
        <f>IF(Table24[[#This Row],[Affected CMS
(§63.567(o)(3)(ix), §63.567(o)(6)(ii))
(Select from dropdown)]]="","",VLOOKUP(Table24[[#This Row],[Affected CMS
(§63.567(o)(3)(ix), §63.567(o)(6)(ii))
(Select from dropdown)]],Table22[],2,FALSE))</f>
        <v/>
      </c>
      <c r="C385" s="129"/>
      <c r="D385" s="129"/>
      <c r="E385" s="131"/>
      <c r="F385" s="139"/>
      <c r="G385" s="145"/>
      <c r="H385" s="145"/>
      <c r="I385" s="129"/>
      <c r="J385" s="129"/>
      <c r="K385" s="146"/>
    </row>
    <row r="386" spans="1:11" s="53" customFormat="1" x14ac:dyDescent="0.3">
      <c r="A386" s="149"/>
      <c r="B386" s="150" t="str">
        <f>IF(Table24[[#This Row],[Affected CMS
(§63.567(o)(3)(ix), §63.567(o)(6)(ii))
(Select from dropdown)]]="","",VLOOKUP(Table24[[#This Row],[Affected CMS
(§63.567(o)(3)(ix), §63.567(o)(6)(ii))
(Select from dropdown)]],Table22[],2,FALSE))</f>
        <v/>
      </c>
      <c r="C386" s="129"/>
      <c r="D386" s="129"/>
      <c r="E386" s="131"/>
      <c r="F386" s="139"/>
      <c r="G386" s="145"/>
      <c r="H386" s="145"/>
      <c r="I386" s="129"/>
      <c r="J386" s="129"/>
      <c r="K386" s="146"/>
    </row>
    <row r="387" spans="1:11" s="53" customFormat="1" x14ac:dyDescent="0.3">
      <c r="A387" s="149"/>
      <c r="B387" s="150" t="str">
        <f>IF(Table24[[#This Row],[Affected CMS
(§63.567(o)(3)(ix), §63.567(o)(6)(ii))
(Select from dropdown)]]="","",VLOOKUP(Table24[[#This Row],[Affected CMS
(§63.567(o)(3)(ix), §63.567(o)(6)(ii))
(Select from dropdown)]],Table22[],2,FALSE))</f>
        <v/>
      </c>
      <c r="C387" s="129"/>
      <c r="D387" s="129"/>
      <c r="E387" s="131"/>
      <c r="F387" s="139"/>
      <c r="G387" s="145"/>
      <c r="H387" s="145"/>
      <c r="I387" s="129"/>
      <c r="J387" s="129"/>
      <c r="K387" s="146"/>
    </row>
    <row r="388" spans="1:11" s="53" customFormat="1" x14ac:dyDescent="0.3">
      <c r="A388" s="149"/>
      <c r="B388" s="150" t="str">
        <f>IF(Table24[[#This Row],[Affected CMS
(§63.567(o)(3)(ix), §63.567(o)(6)(ii))
(Select from dropdown)]]="","",VLOOKUP(Table24[[#This Row],[Affected CMS
(§63.567(o)(3)(ix), §63.567(o)(6)(ii))
(Select from dropdown)]],Table22[],2,FALSE))</f>
        <v/>
      </c>
      <c r="C388" s="129"/>
      <c r="D388" s="129"/>
      <c r="E388" s="131"/>
      <c r="F388" s="139"/>
      <c r="G388" s="145"/>
      <c r="H388" s="145"/>
      <c r="I388" s="129"/>
      <c r="J388" s="129"/>
      <c r="K388" s="146"/>
    </row>
    <row r="389" spans="1:11" s="53" customFormat="1" x14ac:dyDescent="0.3">
      <c r="A389" s="149"/>
      <c r="B389" s="150" t="str">
        <f>IF(Table24[[#This Row],[Affected CMS
(§63.567(o)(3)(ix), §63.567(o)(6)(ii))
(Select from dropdown)]]="","",VLOOKUP(Table24[[#This Row],[Affected CMS
(§63.567(o)(3)(ix), §63.567(o)(6)(ii))
(Select from dropdown)]],Table22[],2,FALSE))</f>
        <v/>
      </c>
      <c r="C389" s="129"/>
      <c r="D389" s="129"/>
      <c r="E389" s="131"/>
      <c r="F389" s="139"/>
      <c r="G389" s="145"/>
      <c r="H389" s="145"/>
      <c r="I389" s="129"/>
      <c r="J389" s="129"/>
      <c r="K389" s="146"/>
    </row>
    <row r="390" spans="1:11" s="53" customFormat="1" x14ac:dyDescent="0.3">
      <c r="A390" s="149"/>
      <c r="B390" s="150" t="str">
        <f>IF(Table24[[#This Row],[Affected CMS
(§63.567(o)(3)(ix), §63.567(o)(6)(ii))
(Select from dropdown)]]="","",VLOOKUP(Table24[[#This Row],[Affected CMS
(§63.567(o)(3)(ix), §63.567(o)(6)(ii))
(Select from dropdown)]],Table22[],2,FALSE))</f>
        <v/>
      </c>
      <c r="C390" s="129"/>
      <c r="D390" s="129"/>
      <c r="E390" s="131"/>
      <c r="F390" s="139"/>
      <c r="G390" s="145"/>
      <c r="H390" s="145"/>
      <c r="I390" s="129"/>
      <c r="J390" s="129"/>
      <c r="K390" s="146"/>
    </row>
    <row r="391" spans="1:11" s="53" customFormat="1" x14ac:dyDescent="0.3">
      <c r="A391" s="149"/>
      <c r="B391" s="150" t="str">
        <f>IF(Table24[[#This Row],[Affected CMS
(§63.567(o)(3)(ix), §63.567(o)(6)(ii))
(Select from dropdown)]]="","",VLOOKUP(Table24[[#This Row],[Affected CMS
(§63.567(o)(3)(ix), §63.567(o)(6)(ii))
(Select from dropdown)]],Table22[],2,FALSE))</f>
        <v/>
      </c>
      <c r="C391" s="129"/>
      <c r="D391" s="129"/>
      <c r="E391" s="131"/>
      <c r="F391" s="139"/>
      <c r="G391" s="145"/>
      <c r="H391" s="145"/>
      <c r="I391" s="129"/>
      <c r="J391" s="129"/>
      <c r="K391" s="146"/>
    </row>
    <row r="392" spans="1:11" s="53" customFormat="1" x14ac:dyDescent="0.3">
      <c r="A392" s="149"/>
      <c r="B392" s="150" t="str">
        <f>IF(Table24[[#This Row],[Affected CMS
(§63.567(o)(3)(ix), §63.567(o)(6)(ii))
(Select from dropdown)]]="","",VLOOKUP(Table24[[#This Row],[Affected CMS
(§63.567(o)(3)(ix), §63.567(o)(6)(ii))
(Select from dropdown)]],Table22[],2,FALSE))</f>
        <v/>
      </c>
      <c r="C392" s="129"/>
      <c r="D392" s="129"/>
      <c r="E392" s="131"/>
      <c r="F392" s="139"/>
      <c r="G392" s="145"/>
      <c r="H392" s="145"/>
      <c r="I392" s="129"/>
      <c r="J392" s="129"/>
      <c r="K392" s="146"/>
    </row>
    <row r="393" spans="1:11" s="53" customFormat="1" x14ac:dyDescent="0.3">
      <c r="A393" s="149"/>
      <c r="B393" s="150" t="str">
        <f>IF(Table24[[#This Row],[Affected CMS
(§63.567(o)(3)(ix), §63.567(o)(6)(ii))
(Select from dropdown)]]="","",VLOOKUP(Table24[[#This Row],[Affected CMS
(§63.567(o)(3)(ix), §63.567(o)(6)(ii))
(Select from dropdown)]],Table22[],2,FALSE))</f>
        <v/>
      </c>
      <c r="C393" s="129"/>
      <c r="D393" s="129"/>
      <c r="E393" s="131"/>
      <c r="F393" s="139"/>
      <c r="G393" s="145"/>
      <c r="H393" s="145"/>
      <c r="I393" s="129"/>
      <c r="J393" s="129"/>
      <c r="K393" s="146"/>
    </row>
    <row r="394" spans="1:11" s="53" customFormat="1" x14ac:dyDescent="0.3">
      <c r="A394" s="149"/>
      <c r="B394" s="150" t="str">
        <f>IF(Table24[[#This Row],[Affected CMS
(§63.567(o)(3)(ix), §63.567(o)(6)(ii))
(Select from dropdown)]]="","",VLOOKUP(Table24[[#This Row],[Affected CMS
(§63.567(o)(3)(ix), §63.567(o)(6)(ii))
(Select from dropdown)]],Table22[],2,FALSE))</f>
        <v/>
      </c>
      <c r="C394" s="129"/>
      <c r="D394" s="129"/>
      <c r="E394" s="131"/>
      <c r="F394" s="139"/>
      <c r="G394" s="145"/>
      <c r="H394" s="145"/>
      <c r="I394" s="129"/>
      <c r="J394" s="129"/>
      <c r="K394" s="146"/>
    </row>
    <row r="395" spans="1:11" s="53" customFormat="1" x14ac:dyDescent="0.3">
      <c r="A395" s="149"/>
      <c r="B395" s="150" t="str">
        <f>IF(Table24[[#This Row],[Affected CMS
(§63.567(o)(3)(ix), §63.567(o)(6)(ii))
(Select from dropdown)]]="","",VLOOKUP(Table24[[#This Row],[Affected CMS
(§63.567(o)(3)(ix), §63.567(o)(6)(ii))
(Select from dropdown)]],Table22[],2,FALSE))</f>
        <v/>
      </c>
      <c r="C395" s="129"/>
      <c r="D395" s="129"/>
      <c r="E395" s="131"/>
      <c r="F395" s="139"/>
      <c r="G395" s="145"/>
      <c r="H395" s="145"/>
      <c r="I395" s="129"/>
      <c r="J395" s="129"/>
      <c r="K395" s="146"/>
    </row>
    <row r="396" spans="1:11" s="53" customFormat="1" x14ac:dyDescent="0.3">
      <c r="A396" s="149"/>
      <c r="B396" s="150" t="str">
        <f>IF(Table24[[#This Row],[Affected CMS
(§63.567(o)(3)(ix), §63.567(o)(6)(ii))
(Select from dropdown)]]="","",VLOOKUP(Table24[[#This Row],[Affected CMS
(§63.567(o)(3)(ix), §63.567(o)(6)(ii))
(Select from dropdown)]],Table22[],2,FALSE))</f>
        <v/>
      </c>
      <c r="C396" s="129"/>
      <c r="D396" s="129"/>
      <c r="E396" s="131"/>
      <c r="F396" s="139"/>
      <c r="G396" s="145"/>
      <c r="H396" s="145"/>
      <c r="I396" s="129"/>
      <c r="J396" s="129"/>
      <c r="K396" s="146"/>
    </row>
    <row r="397" spans="1:11" s="53" customFormat="1" x14ac:dyDescent="0.3">
      <c r="A397" s="149"/>
      <c r="B397" s="150" t="str">
        <f>IF(Table24[[#This Row],[Affected CMS
(§63.567(o)(3)(ix), §63.567(o)(6)(ii))
(Select from dropdown)]]="","",VLOOKUP(Table24[[#This Row],[Affected CMS
(§63.567(o)(3)(ix), §63.567(o)(6)(ii))
(Select from dropdown)]],Table22[],2,FALSE))</f>
        <v/>
      </c>
      <c r="C397" s="129"/>
      <c r="D397" s="129"/>
      <c r="E397" s="131"/>
      <c r="F397" s="139"/>
      <c r="G397" s="145"/>
      <c r="H397" s="145"/>
      <c r="I397" s="129"/>
      <c r="J397" s="129"/>
      <c r="K397" s="146"/>
    </row>
    <row r="398" spans="1:11" s="53" customFormat="1" x14ac:dyDescent="0.3">
      <c r="A398" s="149"/>
      <c r="B398" s="150" t="str">
        <f>IF(Table24[[#This Row],[Affected CMS
(§63.567(o)(3)(ix), §63.567(o)(6)(ii))
(Select from dropdown)]]="","",VLOOKUP(Table24[[#This Row],[Affected CMS
(§63.567(o)(3)(ix), §63.567(o)(6)(ii))
(Select from dropdown)]],Table22[],2,FALSE))</f>
        <v/>
      </c>
      <c r="C398" s="129"/>
      <c r="D398" s="129"/>
      <c r="E398" s="131"/>
      <c r="F398" s="139"/>
      <c r="G398" s="145"/>
      <c r="H398" s="145"/>
      <c r="I398" s="129"/>
      <c r="J398" s="129"/>
      <c r="K398" s="146"/>
    </row>
    <row r="399" spans="1:11" s="53" customFormat="1" x14ac:dyDescent="0.3">
      <c r="A399" s="149"/>
      <c r="B399" s="150" t="str">
        <f>IF(Table24[[#This Row],[Affected CMS
(§63.567(o)(3)(ix), §63.567(o)(6)(ii))
(Select from dropdown)]]="","",VLOOKUP(Table24[[#This Row],[Affected CMS
(§63.567(o)(3)(ix), §63.567(o)(6)(ii))
(Select from dropdown)]],Table22[],2,FALSE))</f>
        <v/>
      </c>
      <c r="C399" s="129"/>
      <c r="D399" s="129"/>
      <c r="E399" s="131"/>
      <c r="F399" s="139"/>
      <c r="G399" s="145"/>
      <c r="H399" s="145"/>
      <c r="I399" s="129"/>
      <c r="J399" s="129"/>
      <c r="K399" s="146"/>
    </row>
    <row r="400" spans="1:11" s="53" customFormat="1" x14ac:dyDescent="0.3">
      <c r="A400" s="149"/>
      <c r="B400" s="150" t="str">
        <f>IF(Table24[[#This Row],[Affected CMS
(§63.567(o)(3)(ix), §63.567(o)(6)(ii))
(Select from dropdown)]]="","",VLOOKUP(Table24[[#This Row],[Affected CMS
(§63.567(o)(3)(ix), §63.567(o)(6)(ii))
(Select from dropdown)]],Table22[],2,FALSE))</f>
        <v/>
      </c>
      <c r="C400" s="129"/>
      <c r="D400" s="129"/>
      <c r="E400" s="131"/>
      <c r="F400" s="139"/>
      <c r="G400" s="145"/>
      <c r="H400" s="145"/>
      <c r="I400" s="129"/>
      <c r="J400" s="129"/>
      <c r="K400" s="146"/>
    </row>
    <row r="401" spans="1:11" s="53" customFormat="1" x14ac:dyDescent="0.3">
      <c r="A401" s="149"/>
      <c r="B401" s="150" t="str">
        <f>IF(Table24[[#This Row],[Affected CMS
(§63.567(o)(3)(ix), §63.567(o)(6)(ii))
(Select from dropdown)]]="","",VLOOKUP(Table24[[#This Row],[Affected CMS
(§63.567(o)(3)(ix), §63.567(o)(6)(ii))
(Select from dropdown)]],Table22[],2,FALSE))</f>
        <v/>
      </c>
      <c r="C401" s="129"/>
      <c r="D401" s="129"/>
      <c r="E401" s="131"/>
      <c r="F401" s="139"/>
      <c r="G401" s="145"/>
      <c r="H401" s="145"/>
      <c r="I401" s="129"/>
      <c r="J401" s="129"/>
      <c r="K401" s="146"/>
    </row>
    <row r="402" spans="1:11" s="53" customFormat="1" x14ac:dyDescent="0.3">
      <c r="A402" s="149"/>
      <c r="B402" s="150" t="str">
        <f>IF(Table24[[#This Row],[Affected CMS
(§63.567(o)(3)(ix), §63.567(o)(6)(ii))
(Select from dropdown)]]="","",VLOOKUP(Table24[[#This Row],[Affected CMS
(§63.567(o)(3)(ix), §63.567(o)(6)(ii))
(Select from dropdown)]],Table22[],2,FALSE))</f>
        <v/>
      </c>
      <c r="C402" s="129"/>
      <c r="D402" s="129"/>
      <c r="E402" s="131"/>
      <c r="F402" s="139"/>
      <c r="G402" s="145"/>
      <c r="H402" s="145"/>
      <c r="I402" s="129"/>
      <c r="J402" s="129"/>
      <c r="K402" s="146"/>
    </row>
    <row r="403" spans="1:11" s="53" customFormat="1" x14ac:dyDescent="0.3">
      <c r="A403" s="149"/>
      <c r="B403" s="150" t="str">
        <f>IF(Table24[[#This Row],[Affected CMS
(§63.567(o)(3)(ix), §63.567(o)(6)(ii))
(Select from dropdown)]]="","",VLOOKUP(Table24[[#This Row],[Affected CMS
(§63.567(o)(3)(ix), §63.567(o)(6)(ii))
(Select from dropdown)]],Table22[],2,FALSE))</f>
        <v/>
      </c>
      <c r="C403" s="129"/>
      <c r="D403" s="129"/>
      <c r="E403" s="131"/>
      <c r="F403" s="139"/>
      <c r="G403" s="145"/>
      <c r="H403" s="145"/>
      <c r="I403" s="129"/>
      <c r="J403" s="129"/>
      <c r="K403" s="146"/>
    </row>
    <row r="404" spans="1:11" s="53" customFormat="1" x14ac:dyDescent="0.3">
      <c r="A404" s="149"/>
      <c r="B404" s="150" t="str">
        <f>IF(Table24[[#This Row],[Affected CMS
(§63.567(o)(3)(ix), §63.567(o)(6)(ii))
(Select from dropdown)]]="","",VLOOKUP(Table24[[#This Row],[Affected CMS
(§63.567(o)(3)(ix), §63.567(o)(6)(ii))
(Select from dropdown)]],Table22[],2,FALSE))</f>
        <v/>
      </c>
      <c r="C404" s="129"/>
      <c r="D404" s="129"/>
      <c r="E404" s="131"/>
      <c r="F404" s="139"/>
      <c r="G404" s="145"/>
      <c r="H404" s="145"/>
      <c r="I404" s="129"/>
      <c r="J404" s="129"/>
      <c r="K404" s="146"/>
    </row>
    <row r="405" spans="1:11" s="53" customFormat="1" x14ac:dyDescent="0.3">
      <c r="A405" s="149"/>
      <c r="B405" s="150" t="str">
        <f>IF(Table24[[#This Row],[Affected CMS
(§63.567(o)(3)(ix), §63.567(o)(6)(ii))
(Select from dropdown)]]="","",VLOOKUP(Table24[[#This Row],[Affected CMS
(§63.567(o)(3)(ix), §63.567(o)(6)(ii))
(Select from dropdown)]],Table22[],2,FALSE))</f>
        <v/>
      </c>
      <c r="C405" s="129"/>
      <c r="D405" s="129"/>
      <c r="E405" s="131"/>
      <c r="F405" s="139"/>
      <c r="G405" s="145"/>
      <c r="H405" s="145"/>
      <c r="I405" s="129"/>
      <c r="J405" s="129"/>
      <c r="K405" s="146"/>
    </row>
    <row r="406" spans="1:11" s="53" customFormat="1" x14ac:dyDescent="0.3">
      <c r="A406" s="149"/>
      <c r="B406" s="150" t="str">
        <f>IF(Table24[[#This Row],[Affected CMS
(§63.567(o)(3)(ix), §63.567(o)(6)(ii))
(Select from dropdown)]]="","",VLOOKUP(Table24[[#This Row],[Affected CMS
(§63.567(o)(3)(ix), §63.567(o)(6)(ii))
(Select from dropdown)]],Table22[],2,FALSE))</f>
        <v/>
      </c>
      <c r="C406" s="129"/>
      <c r="D406" s="129"/>
      <c r="E406" s="131"/>
      <c r="F406" s="139"/>
      <c r="G406" s="145"/>
      <c r="H406" s="145"/>
      <c r="I406" s="129"/>
      <c r="J406" s="129"/>
      <c r="K406" s="146"/>
    </row>
    <row r="407" spans="1:11" s="53" customFormat="1" x14ac:dyDescent="0.3">
      <c r="A407" s="149"/>
      <c r="B407" s="150" t="str">
        <f>IF(Table24[[#This Row],[Affected CMS
(§63.567(o)(3)(ix), §63.567(o)(6)(ii))
(Select from dropdown)]]="","",VLOOKUP(Table24[[#This Row],[Affected CMS
(§63.567(o)(3)(ix), §63.567(o)(6)(ii))
(Select from dropdown)]],Table22[],2,FALSE))</f>
        <v/>
      </c>
      <c r="C407" s="129"/>
      <c r="D407" s="129"/>
      <c r="E407" s="131"/>
      <c r="F407" s="139"/>
      <c r="G407" s="145"/>
      <c r="H407" s="145"/>
      <c r="I407" s="129"/>
      <c r="J407" s="129"/>
      <c r="K407" s="146"/>
    </row>
    <row r="408" spans="1:11" s="53" customFormat="1" x14ac:dyDescent="0.3">
      <c r="A408" s="149"/>
      <c r="B408" s="150" t="str">
        <f>IF(Table24[[#This Row],[Affected CMS
(§63.567(o)(3)(ix), §63.567(o)(6)(ii))
(Select from dropdown)]]="","",VLOOKUP(Table24[[#This Row],[Affected CMS
(§63.567(o)(3)(ix), §63.567(o)(6)(ii))
(Select from dropdown)]],Table22[],2,FALSE))</f>
        <v/>
      </c>
      <c r="C408" s="129"/>
      <c r="D408" s="129"/>
      <c r="E408" s="131"/>
      <c r="F408" s="139"/>
      <c r="G408" s="145"/>
      <c r="H408" s="145"/>
      <c r="I408" s="129"/>
      <c r="J408" s="129"/>
      <c r="K408" s="146"/>
    </row>
    <row r="409" spans="1:11" s="53" customFormat="1" x14ac:dyDescent="0.3">
      <c r="A409" s="149"/>
      <c r="B409" s="150" t="str">
        <f>IF(Table24[[#This Row],[Affected CMS
(§63.567(o)(3)(ix), §63.567(o)(6)(ii))
(Select from dropdown)]]="","",VLOOKUP(Table24[[#This Row],[Affected CMS
(§63.567(o)(3)(ix), §63.567(o)(6)(ii))
(Select from dropdown)]],Table22[],2,FALSE))</f>
        <v/>
      </c>
      <c r="C409" s="129"/>
      <c r="D409" s="129"/>
      <c r="E409" s="131"/>
      <c r="F409" s="139"/>
      <c r="G409" s="145"/>
      <c r="H409" s="145"/>
      <c r="I409" s="129"/>
      <c r="J409" s="129"/>
      <c r="K409" s="146"/>
    </row>
    <row r="410" spans="1:11" s="53" customFormat="1" x14ac:dyDescent="0.3">
      <c r="A410" s="149"/>
      <c r="B410" s="150" t="str">
        <f>IF(Table24[[#This Row],[Affected CMS
(§63.567(o)(3)(ix), §63.567(o)(6)(ii))
(Select from dropdown)]]="","",VLOOKUP(Table24[[#This Row],[Affected CMS
(§63.567(o)(3)(ix), §63.567(o)(6)(ii))
(Select from dropdown)]],Table22[],2,FALSE))</f>
        <v/>
      </c>
      <c r="C410" s="129"/>
      <c r="D410" s="129"/>
      <c r="E410" s="131"/>
      <c r="F410" s="139"/>
      <c r="G410" s="145"/>
      <c r="H410" s="145"/>
      <c r="I410" s="129"/>
      <c r="J410" s="129"/>
      <c r="K410" s="146"/>
    </row>
    <row r="411" spans="1:11" s="53" customFormat="1" x14ac:dyDescent="0.3">
      <c r="A411" s="149"/>
      <c r="B411" s="150" t="str">
        <f>IF(Table24[[#This Row],[Affected CMS
(§63.567(o)(3)(ix), §63.567(o)(6)(ii))
(Select from dropdown)]]="","",VLOOKUP(Table24[[#This Row],[Affected CMS
(§63.567(o)(3)(ix), §63.567(o)(6)(ii))
(Select from dropdown)]],Table22[],2,FALSE))</f>
        <v/>
      </c>
      <c r="C411" s="129"/>
      <c r="D411" s="129"/>
      <c r="E411" s="131"/>
      <c r="F411" s="139"/>
      <c r="G411" s="145"/>
      <c r="H411" s="145"/>
      <c r="I411" s="129"/>
      <c r="J411" s="129"/>
      <c r="K411" s="146"/>
    </row>
    <row r="412" spans="1:11" s="53" customFormat="1" x14ac:dyDescent="0.3">
      <c r="A412" s="149"/>
      <c r="B412" s="150" t="str">
        <f>IF(Table24[[#This Row],[Affected CMS
(§63.567(o)(3)(ix), §63.567(o)(6)(ii))
(Select from dropdown)]]="","",VLOOKUP(Table24[[#This Row],[Affected CMS
(§63.567(o)(3)(ix), §63.567(o)(6)(ii))
(Select from dropdown)]],Table22[],2,FALSE))</f>
        <v/>
      </c>
      <c r="C412" s="129"/>
      <c r="D412" s="129"/>
      <c r="E412" s="131"/>
      <c r="F412" s="139"/>
      <c r="G412" s="145"/>
      <c r="H412" s="145"/>
      <c r="I412" s="129"/>
      <c r="J412" s="129"/>
      <c r="K412" s="146"/>
    </row>
    <row r="413" spans="1:11" s="53" customFormat="1" x14ac:dyDescent="0.3">
      <c r="A413" s="149"/>
      <c r="B413" s="150" t="str">
        <f>IF(Table24[[#This Row],[Affected CMS
(§63.567(o)(3)(ix), §63.567(o)(6)(ii))
(Select from dropdown)]]="","",VLOOKUP(Table24[[#This Row],[Affected CMS
(§63.567(o)(3)(ix), §63.567(o)(6)(ii))
(Select from dropdown)]],Table22[],2,FALSE))</f>
        <v/>
      </c>
      <c r="C413" s="129"/>
      <c r="D413" s="129"/>
      <c r="E413" s="131"/>
      <c r="F413" s="139"/>
      <c r="G413" s="145"/>
      <c r="H413" s="145"/>
      <c r="I413" s="129"/>
      <c r="J413" s="129"/>
      <c r="K413" s="146"/>
    </row>
    <row r="414" spans="1:11" s="53" customFormat="1" x14ac:dyDescent="0.3">
      <c r="A414" s="149"/>
      <c r="B414" s="150" t="str">
        <f>IF(Table24[[#This Row],[Affected CMS
(§63.567(o)(3)(ix), §63.567(o)(6)(ii))
(Select from dropdown)]]="","",VLOOKUP(Table24[[#This Row],[Affected CMS
(§63.567(o)(3)(ix), §63.567(o)(6)(ii))
(Select from dropdown)]],Table22[],2,FALSE))</f>
        <v/>
      </c>
      <c r="C414" s="129"/>
      <c r="D414" s="129"/>
      <c r="E414" s="131"/>
      <c r="F414" s="139"/>
      <c r="G414" s="145"/>
      <c r="H414" s="145"/>
      <c r="I414" s="129"/>
      <c r="J414" s="129"/>
      <c r="K414" s="146"/>
    </row>
    <row r="415" spans="1:11" s="53" customFormat="1" x14ac:dyDescent="0.3">
      <c r="A415" s="149"/>
      <c r="B415" s="150" t="str">
        <f>IF(Table24[[#This Row],[Affected CMS
(§63.567(o)(3)(ix), §63.567(o)(6)(ii))
(Select from dropdown)]]="","",VLOOKUP(Table24[[#This Row],[Affected CMS
(§63.567(o)(3)(ix), §63.567(o)(6)(ii))
(Select from dropdown)]],Table22[],2,FALSE))</f>
        <v/>
      </c>
      <c r="C415" s="129"/>
      <c r="D415" s="129"/>
      <c r="E415" s="131"/>
      <c r="F415" s="139"/>
      <c r="G415" s="145"/>
      <c r="H415" s="145"/>
      <c r="I415" s="129"/>
      <c r="J415" s="129"/>
      <c r="K415" s="146"/>
    </row>
    <row r="416" spans="1:11" s="53" customFormat="1" x14ac:dyDescent="0.3">
      <c r="A416" s="149"/>
      <c r="B416" s="150" t="str">
        <f>IF(Table24[[#This Row],[Affected CMS
(§63.567(o)(3)(ix), §63.567(o)(6)(ii))
(Select from dropdown)]]="","",VLOOKUP(Table24[[#This Row],[Affected CMS
(§63.567(o)(3)(ix), §63.567(o)(6)(ii))
(Select from dropdown)]],Table22[],2,FALSE))</f>
        <v/>
      </c>
      <c r="C416" s="129"/>
      <c r="D416" s="129"/>
      <c r="E416" s="131"/>
      <c r="F416" s="139"/>
      <c r="G416" s="145"/>
      <c r="H416" s="145"/>
      <c r="I416" s="129"/>
      <c r="J416" s="129"/>
      <c r="K416" s="146"/>
    </row>
    <row r="417" spans="1:11" s="53" customFormat="1" x14ac:dyDescent="0.3">
      <c r="A417" s="149"/>
      <c r="B417" s="150" t="str">
        <f>IF(Table24[[#This Row],[Affected CMS
(§63.567(o)(3)(ix), §63.567(o)(6)(ii))
(Select from dropdown)]]="","",VLOOKUP(Table24[[#This Row],[Affected CMS
(§63.567(o)(3)(ix), §63.567(o)(6)(ii))
(Select from dropdown)]],Table22[],2,FALSE))</f>
        <v/>
      </c>
      <c r="C417" s="129"/>
      <c r="D417" s="129"/>
      <c r="E417" s="131"/>
      <c r="F417" s="139"/>
      <c r="G417" s="145"/>
      <c r="H417" s="145"/>
      <c r="I417" s="129"/>
      <c r="J417" s="129"/>
      <c r="K417" s="146"/>
    </row>
    <row r="418" spans="1:11" s="53" customFormat="1" x14ac:dyDescent="0.3">
      <c r="A418" s="149"/>
      <c r="B418" s="150" t="str">
        <f>IF(Table24[[#This Row],[Affected CMS
(§63.567(o)(3)(ix), §63.567(o)(6)(ii))
(Select from dropdown)]]="","",VLOOKUP(Table24[[#This Row],[Affected CMS
(§63.567(o)(3)(ix), §63.567(o)(6)(ii))
(Select from dropdown)]],Table22[],2,FALSE))</f>
        <v/>
      </c>
      <c r="C418" s="129"/>
      <c r="D418" s="129"/>
      <c r="E418" s="131"/>
      <c r="F418" s="139"/>
      <c r="G418" s="145"/>
      <c r="H418" s="145"/>
      <c r="I418" s="129"/>
      <c r="J418" s="129"/>
      <c r="K418" s="146"/>
    </row>
    <row r="419" spans="1:11" s="53" customFormat="1" x14ac:dyDescent="0.3">
      <c r="A419" s="149"/>
      <c r="B419" s="150" t="str">
        <f>IF(Table24[[#This Row],[Affected CMS
(§63.567(o)(3)(ix), §63.567(o)(6)(ii))
(Select from dropdown)]]="","",VLOOKUP(Table24[[#This Row],[Affected CMS
(§63.567(o)(3)(ix), §63.567(o)(6)(ii))
(Select from dropdown)]],Table22[],2,FALSE))</f>
        <v/>
      </c>
      <c r="C419" s="129"/>
      <c r="D419" s="129"/>
      <c r="E419" s="131"/>
      <c r="F419" s="139"/>
      <c r="G419" s="145"/>
      <c r="H419" s="145"/>
      <c r="I419" s="129"/>
      <c r="J419" s="129"/>
      <c r="K419" s="146"/>
    </row>
    <row r="420" spans="1:11" s="53" customFormat="1" x14ac:dyDescent="0.3">
      <c r="A420" s="149"/>
      <c r="B420" s="150" t="str">
        <f>IF(Table24[[#This Row],[Affected CMS
(§63.567(o)(3)(ix), §63.567(o)(6)(ii))
(Select from dropdown)]]="","",VLOOKUP(Table24[[#This Row],[Affected CMS
(§63.567(o)(3)(ix), §63.567(o)(6)(ii))
(Select from dropdown)]],Table22[],2,FALSE))</f>
        <v/>
      </c>
      <c r="C420" s="129"/>
      <c r="D420" s="129"/>
      <c r="E420" s="131"/>
      <c r="F420" s="139"/>
      <c r="G420" s="145"/>
      <c r="H420" s="145"/>
      <c r="I420" s="129"/>
      <c r="J420" s="129"/>
      <c r="K420" s="146"/>
    </row>
    <row r="421" spans="1:11" s="53" customFormat="1" x14ac:dyDescent="0.3">
      <c r="A421" s="149"/>
      <c r="B421" s="150" t="str">
        <f>IF(Table24[[#This Row],[Affected CMS
(§63.567(o)(3)(ix), §63.567(o)(6)(ii))
(Select from dropdown)]]="","",VLOOKUP(Table24[[#This Row],[Affected CMS
(§63.567(o)(3)(ix), §63.567(o)(6)(ii))
(Select from dropdown)]],Table22[],2,FALSE))</f>
        <v/>
      </c>
      <c r="C421" s="129"/>
      <c r="D421" s="129"/>
      <c r="E421" s="131"/>
      <c r="F421" s="139"/>
      <c r="G421" s="145"/>
      <c r="H421" s="145"/>
      <c r="I421" s="129"/>
      <c r="J421" s="129"/>
      <c r="K421" s="146"/>
    </row>
    <row r="422" spans="1:11" s="53" customFormat="1" x14ac:dyDescent="0.3">
      <c r="A422" s="149"/>
      <c r="B422" s="150" t="str">
        <f>IF(Table24[[#This Row],[Affected CMS
(§63.567(o)(3)(ix), §63.567(o)(6)(ii))
(Select from dropdown)]]="","",VLOOKUP(Table24[[#This Row],[Affected CMS
(§63.567(o)(3)(ix), §63.567(o)(6)(ii))
(Select from dropdown)]],Table22[],2,FALSE))</f>
        <v/>
      </c>
      <c r="C422" s="129"/>
      <c r="D422" s="129"/>
      <c r="E422" s="131"/>
      <c r="F422" s="139"/>
      <c r="G422" s="145"/>
      <c r="H422" s="145"/>
      <c r="I422" s="129"/>
      <c r="J422" s="129"/>
      <c r="K422" s="146"/>
    </row>
    <row r="423" spans="1:11" s="53" customFormat="1" x14ac:dyDescent="0.3">
      <c r="A423" s="149"/>
      <c r="B423" s="150" t="str">
        <f>IF(Table24[[#This Row],[Affected CMS
(§63.567(o)(3)(ix), §63.567(o)(6)(ii))
(Select from dropdown)]]="","",VLOOKUP(Table24[[#This Row],[Affected CMS
(§63.567(o)(3)(ix), §63.567(o)(6)(ii))
(Select from dropdown)]],Table22[],2,FALSE))</f>
        <v/>
      </c>
      <c r="C423" s="129"/>
      <c r="D423" s="129"/>
      <c r="E423" s="131"/>
      <c r="F423" s="139"/>
      <c r="G423" s="145"/>
      <c r="H423" s="145"/>
      <c r="I423" s="129"/>
      <c r="J423" s="129"/>
      <c r="K423" s="146"/>
    </row>
    <row r="424" spans="1:11" s="53" customFormat="1" x14ac:dyDescent="0.3">
      <c r="A424" s="149"/>
      <c r="B424" s="150" t="str">
        <f>IF(Table24[[#This Row],[Affected CMS
(§63.567(o)(3)(ix), §63.567(o)(6)(ii))
(Select from dropdown)]]="","",VLOOKUP(Table24[[#This Row],[Affected CMS
(§63.567(o)(3)(ix), §63.567(o)(6)(ii))
(Select from dropdown)]],Table22[],2,FALSE))</f>
        <v/>
      </c>
      <c r="C424" s="129"/>
      <c r="D424" s="129"/>
      <c r="E424" s="131"/>
      <c r="F424" s="139"/>
      <c r="G424" s="145"/>
      <c r="H424" s="145"/>
      <c r="I424" s="129"/>
      <c r="J424" s="129"/>
      <c r="K424" s="146"/>
    </row>
    <row r="425" spans="1:11" s="53" customFormat="1" x14ac:dyDescent="0.3">
      <c r="A425" s="149"/>
      <c r="B425" s="150" t="str">
        <f>IF(Table24[[#This Row],[Affected CMS
(§63.567(o)(3)(ix), §63.567(o)(6)(ii))
(Select from dropdown)]]="","",VLOOKUP(Table24[[#This Row],[Affected CMS
(§63.567(o)(3)(ix), §63.567(o)(6)(ii))
(Select from dropdown)]],Table22[],2,FALSE))</f>
        <v/>
      </c>
      <c r="C425" s="129"/>
      <c r="D425" s="129"/>
      <c r="E425" s="131"/>
      <c r="F425" s="139"/>
      <c r="G425" s="145"/>
      <c r="H425" s="145"/>
      <c r="I425" s="129"/>
      <c r="J425" s="129"/>
      <c r="K425" s="146"/>
    </row>
    <row r="426" spans="1:11" s="53" customFormat="1" x14ac:dyDescent="0.3">
      <c r="A426" s="149"/>
      <c r="B426" s="150" t="str">
        <f>IF(Table24[[#This Row],[Affected CMS
(§63.567(o)(3)(ix), §63.567(o)(6)(ii))
(Select from dropdown)]]="","",VLOOKUP(Table24[[#This Row],[Affected CMS
(§63.567(o)(3)(ix), §63.567(o)(6)(ii))
(Select from dropdown)]],Table22[],2,FALSE))</f>
        <v/>
      </c>
      <c r="C426" s="129"/>
      <c r="D426" s="129"/>
      <c r="E426" s="131"/>
      <c r="F426" s="139"/>
      <c r="G426" s="145"/>
      <c r="H426" s="145"/>
      <c r="I426" s="129"/>
      <c r="J426" s="129"/>
      <c r="K426" s="146"/>
    </row>
    <row r="427" spans="1:11" s="53" customFormat="1" x14ac:dyDescent="0.3">
      <c r="A427" s="149"/>
      <c r="B427" s="150" t="str">
        <f>IF(Table24[[#This Row],[Affected CMS
(§63.567(o)(3)(ix), §63.567(o)(6)(ii))
(Select from dropdown)]]="","",VLOOKUP(Table24[[#This Row],[Affected CMS
(§63.567(o)(3)(ix), §63.567(o)(6)(ii))
(Select from dropdown)]],Table22[],2,FALSE))</f>
        <v/>
      </c>
      <c r="C427" s="129"/>
      <c r="D427" s="129"/>
      <c r="E427" s="131"/>
      <c r="F427" s="139"/>
      <c r="G427" s="145"/>
      <c r="H427" s="145"/>
      <c r="I427" s="129"/>
      <c r="J427" s="129"/>
      <c r="K427" s="146"/>
    </row>
    <row r="428" spans="1:11" s="53" customFormat="1" x14ac:dyDescent="0.3">
      <c r="A428" s="149"/>
      <c r="B428" s="150" t="str">
        <f>IF(Table24[[#This Row],[Affected CMS
(§63.567(o)(3)(ix), §63.567(o)(6)(ii))
(Select from dropdown)]]="","",VLOOKUP(Table24[[#This Row],[Affected CMS
(§63.567(o)(3)(ix), §63.567(o)(6)(ii))
(Select from dropdown)]],Table22[],2,FALSE))</f>
        <v/>
      </c>
      <c r="C428" s="129"/>
      <c r="D428" s="129"/>
      <c r="E428" s="131"/>
      <c r="F428" s="139"/>
      <c r="G428" s="145"/>
      <c r="H428" s="145"/>
      <c r="I428" s="129"/>
      <c r="J428" s="129"/>
      <c r="K428" s="146"/>
    </row>
    <row r="429" spans="1:11" s="53" customFormat="1" x14ac:dyDescent="0.3">
      <c r="A429" s="149"/>
      <c r="B429" s="150" t="str">
        <f>IF(Table24[[#This Row],[Affected CMS
(§63.567(o)(3)(ix), §63.567(o)(6)(ii))
(Select from dropdown)]]="","",VLOOKUP(Table24[[#This Row],[Affected CMS
(§63.567(o)(3)(ix), §63.567(o)(6)(ii))
(Select from dropdown)]],Table22[],2,FALSE))</f>
        <v/>
      </c>
      <c r="C429" s="129"/>
      <c r="D429" s="129"/>
      <c r="E429" s="131"/>
      <c r="F429" s="139"/>
      <c r="G429" s="145"/>
      <c r="H429" s="145"/>
      <c r="I429" s="129"/>
      <c r="J429" s="129"/>
      <c r="K429" s="146"/>
    </row>
    <row r="430" spans="1:11" s="53" customFormat="1" x14ac:dyDescent="0.3">
      <c r="A430" s="149"/>
      <c r="B430" s="150" t="str">
        <f>IF(Table24[[#This Row],[Affected CMS
(§63.567(o)(3)(ix), §63.567(o)(6)(ii))
(Select from dropdown)]]="","",VLOOKUP(Table24[[#This Row],[Affected CMS
(§63.567(o)(3)(ix), §63.567(o)(6)(ii))
(Select from dropdown)]],Table22[],2,FALSE))</f>
        <v/>
      </c>
      <c r="C430" s="129"/>
      <c r="D430" s="129"/>
      <c r="E430" s="131"/>
      <c r="F430" s="139"/>
      <c r="G430" s="145"/>
      <c r="H430" s="145"/>
      <c r="I430" s="129"/>
      <c r="J430" s="129"/>
      <c r="K430" s="146"/>
    </row>
    <row r="431" spans="1:11" s="53" customFormat="1" x14ac:dyDescent="0.3">
      <c r="A431" s="149"/>
      <c r="B431" s="150" t="str">
        <f>IF(Table24[[#This Row],[Affected CMS
(§63.567(o)(3)(ix), §63.567(o)(6)(ii))
(Select from dropdown)]]="","",VLOOKUP(Table24[[#This Row],[Affected CMS
(§63.567(o)(3)(ix), §63.567(o)(6)(ii))
(Select from dropdown)]],Table22[],2,FALSE))</f>
        <v/>
      </c>
      <c r="C431" s="129"/>
      <c r="D431" s="129"/>
      <c r="E431" s="131"/>
      <c r="F431" s="139"/>
      <c r="G431" s="145"/>
      <c r="H431" s="145"/>
      <c r="I431" s="129"/>
      <c r="J431" s="129"/>
      <c r="K431" s="146"/>
    </row>
    <row r="432" spans="1:11" s="53" customFormat="1" x14ac:dyDescent="0.3">
      <c r="A432" s="149"/>
      <c r="B432" s="150" t="str">
        <f>IF(Table24[[#This Row],[Affected CMS
(§63.567(o)(3)(ix), §63.567(o)(6)(ii))
(Select from dropdown)]]="","",VLOOKUP(Table24[[#This Row],[Affected CMS
(§63.567(o)(3)(ix), §63.567(o)(6)(ii))
(Select from dropdown)]],Table22[],2,FALSE))</f>
        <v/>
      </c>
      <c r="C432" s="129"/>
      <c r="D432" s="129"/>
      <c r="E432" s="131"/>
      <c r="F432" s="139"/>
      <c r="G432" s="145"/>
      <c r="H432" s="145"/>
      <c r="I432" s="129"/>
      <c r="J432" s="129"/>
      <c r="K432" s="146"/>
    </row>
    <row r="433" spans="1:11" s="53" customFormat="1" x14ac:dyDescent="0.3">
      <c r="A433" s="149"/>
      <c r="B433" s="150" t="str">
        <f>IF(Table24[[#This Row],[Affected CMS
(§63.567(o)(3)(ix), §63.567(o)(6)(ii))
(Select from dropdown)]]="","",VLOOKUP(Table24[[#This Row],[Affected CMS
(§63.567(o)(3)(ix), §63.567(o)(6)(ii))
(Select from dropdown)]],Table22[],2,FALSE))</f>
        <v/>
      </c>
      <c r="C433" s="129"/>
      <c r="D433" s="129"/>
      <c r="E433" s="131"/>
      <c r="F433" s="139"/>
      <c r="G433" s="145"/>
      <c r="H433" s="145"/>
      <c r="I433" s="129"/>
      <c r="J433" s="129"/>
      <c r="K433" s="146"/>
    </row>
    <row r="434" spans="1:11" s="53" customFormat="1" x14ac:dyDescent="0.3">
      <c r="A434" s="149"/>
      <c r="B434" s="150" t="str">
        <f>IF(Table24[[#This Row],[Affected CMS
(§63.567(o)(3)(ix), §63.567(o)(6)(ii))
(Select from dropdown)]]="","",VLOOKUP(Table24[[#This Row],[Affected CMS
(§63.567(o)(3)(ix), §63.567(o)(6)(ii))
(Select from dropdown)]],Table22[],2,FALSE))</f>
        <v/>
      </c>
      <c r="C434" s="129"/>
      <c r="D434" s="129"/>
      <c r="E434" s="131"/>
      <c r="F434" s="139"/>
      <c r="G434" s="145"/>
      <c r="H434" s="145"/>
      <c r="I434" s="129"/>
      <c r="J434" s="129"/>
      <c r="K434" s="146"/>
    </row>
    <row r="435" spans="1:11" s="53" customFormat="1" x14ac:dyDescent="0.3">
      <c r="A435" s="149"/>
      <c r="B435" s="150" t="str">
        <f>IF(Table24[[#This Row],[Affected CMS
(§63.567(o)(3)(ix), §63.567(o)(6)(ii))
(Select from dropdown)]]="","",VLOOKUP(Table24[[#This Row],[Affected CMS
(§63.567(o)(3)(ix), §63.567(o)(6)(ii))
(Select from dropdown)]],Table22[],2,FALSE))</f>
        <v/>
      </c>
      <c r="C435" s="129"/>
      <c r="D435" s="129"/>
      <c r="E435" s="131"/>
      <c r="F435" s="139"/>
      <c r="G435" s="145"/>
      <c r="H435" s="145"/>
      <c r="I435" s="129"/>
      <c r="J435" s="129"/>
      <c r="K435" s="146"/>
    </row>
    <row r="436" spans="1:11" s="53" customFormat="1" x14ac:dyDescent="0.3">
      <c r="A436" s="149"/>
      <c r="B436" s="150" t="str">
        <f>IF(Table24[[#This Row],[Affected CMS
(§63.567(o)(3)(ix), §63.567(o)(6)(ii))
(Select from dropdown)]]="","",VLOOKUP(Table24[[#This Row],[Affected CMS
(§63.567(o)(3)(ix), §63.567(o)(6)(ii))
(Select from dropdown)]],Table22[],2,FALSE))</f>
        <v/>
      </c>
      <c r="C436" s="129"/>
      <c r="D436" s="129"/>
      <c r="E436" s="131"/>
      <c r="F436" s="139"/>
      <c r="G436" s="145"/>
      <c r="H436" s="145"/>
      <c r="I436" s="129"/>
      <c r="J436" s="129"/>
      <c r="K436" s="146"/>
    </row>
    <row r="437" spans="1:11" s="53" customFormat="1" x14ac:dyDescent="0.3">
      <c r="A437" s="149"/>
      <c r="B437" s="150" t="str">
        <f>IF(Table24[[#This Row],[Affected CMS
(§63.567(o)(3)(ix), §63.567(o)(6)(ii))
(Select from dropdown)]]="","",VLOOKUP(Table24[[#This Row],[Affected CMS
(§63.567(o)(3)(ix), §63.567(o)(6)(ii))
(Select from dropdown)]],Table22[],2,FALSE))</f>
        <v/>
      </c>
      <c r="C437" s="129"/>
      <c r="D437" s="129"/>
      <c r="E437" s="131"/>
      <c r="F437" s="139"/>
      <c r="G437" s="145"/>
      <c r="H437" s="145"/>
      <c r="I437" s="129"/>
      <c r="J437" s="129"/>
      <c r="K437" s="146"/>
    </row>
    <row r="438" spans="1:11" s="53" customFormat="1" x14ac:dyDescent="0.3">
      <c r="A438" s="149"/>
      <c r="B438" s="150" t="str">
        <f>IF(Table24[[#This Row],[Affected CMS
(§63.567(o)(3)(ix), §63.567(o)(6)(ii))
(Select from dropdown)]]="","",VLOOKUP(Table24[[#This Row],[Affected CMS
(§63.567(o)(3)(ix), §63.567(o)(6)(ii))
(Select from dropdown)]],Table22[],2,FALSE))</f>
        <v/>
      </c>
      <c r="C438" s="129"/>
      <c r="D438" s="129"/>
      <c r="E438" s="131"/>
      <c r="F438" s="139"/>
      <c r="G438" s="145"/>
      <c r="H438" s="145"/>
      <c r="I438" s="129"/>
      <c r="J438" s="129"/>
      <c r="K438" s="146"/>
    </row>
    <row r="439" spans="1:11" s="53" customFormat="1" x14ac:dyDescent="0.3">
      <c r="A439" s="149"/>
      <c r="B439" s="150" t="str">
        <f>IF(Table24[[#This Row],[Affected CMS
(§63.567(o)(3)(ix), §63.567(o)(6)(ii))
(Select from dropdown)]]="","",VLOOKUP(Table24[[#This Row],[Affected CMS
(§63.567(o)(3)(ix), §63.567(o)(6)(ii))
(Select from dropdown)]],Table22[],2,FALSE))</f>
        <v/>
      </c>
      <c r="C439" s="129"/>
      <c r="D439" s="129"/>
      <c r="E439" s="131"/>
      <c r="F439" s="139"/>
      <c r="G439" s="145"/>
      <c r="H439" s="145"/>
      <c r="I439" s="129"/>
      <c r="J439" s="129"/>
      <c r="K439" s="146"/>
    </row>
    <row r="440" spans="1:11" s="53" customFormat="1" x14ac:dyDescent="0.3">
      <c r="A440" s="149"/>
      <c r="B440" s="150" t="str">
        <f>IF(Table24[[#This Row],[Affected CMS
(§63.567(o)(3)(ix), §63.567(o)(6)(ii))
(Select from dropdown)]]="","",VLOOKUP(Table24[[#This Row],[Affected CMS
(§63.567(o)(3)(ix), §63.567(o)(6)(ii))
(Select from dropdown)]],Table22[],2,FALSE))</f>
        <v/>
      </c>
      <c r="C440" s="129"/>
      <c r="D440" s="129"/>
      <c r="E440" s="131"/>
      <c r="F440" s="139"/>
      <c r="G440" s="145"/>
      <c r="H440" s="145"/>
      <c r="I440" s="129"/>
      <c r="J440" s="129"/>
      <c r="K440" s="146"/>
    </row>
    <row r="441" spans="1:11" s="53" customFormat="1" x14ac:dyDescent="0.3">
      <c r="A441" s="149"/>
      <c r="B441" s="150" t="str">
        <f>IF(Table24[[#This Row],[Affected CMS
(§63.567(o)(3)(ix), §63.567(o)(6)(ii))
(Select from dropdown)]]="","",VLOOKUP(Table24[[#This Row],[Affected CMS
(§63.567(o)(3)(ix), §63.567(o)(6)(ii))
(Select from dropdown)]],Table22[],2,FALSE))</f>
        <v/>
      </c>
      <c r="C441" s="129"/>
      <c r="D441" s="129"/>
      <c r="E441" s="131"/>
      <c r="F441" s="139"/>
      <c r="G441" s="145"/>
      <c r="H441" s="145"/>
      <c r="I441" s="129"/>
      <c r="J441" s="129"/>
      <c r="K441" s="146"/>
    </row>
    <row r="442" spans="1:11" s="53" customFormat="1" x14ac:dyDescent="0.3">
      <c r="A442" s="149"/>
      <c r="B442" s="150" t="str">
        <f>IF(Table24[[#This Row],[Affected CMS
(§63.567(o)(3)(ix), §63.567(o)(6)(ii))
(Select from dropdown)]]="","",VLOOKUP(Table24[[#This Row],[Affected CMS
(§63.567(o)(3)(ix), §63.567(o)(6)(ii))
(Select from dropdown)]],Table22[],2,FALSE))</f>
        <v/>
      </c>
      <c r="C442" s="129"/>
      <c r="D442" s="129"/>
      <c r="E442" s="131"/>
      <c r="F442" s="139"/>
      <c r="G442" s="145"/>
      <c r="H442" s="145"/>
      <c r="I442" s="129"/>
      <c r="J442" s="129"/>
      <c r="K442" s="146"/>
    </row>
    <row r="443" spans="1:11" s="53" customFormat="1" x14ac:dyDescent="0.3">
      <c r="A443" s="149"/>
      <c r="B443" s="150" t="str">
        <f>IF(Table24[[#This Row],[Affected CMS
(§63.567(o)(3)(ix), §63.567(o)(6)(ii))
(Select from dropdown)]]="","",VLOOKUP(Table24[[#This Row],[Affected CMS
(§63.567(o)(3)(ix), §63.567(o)(6)(ii))
(Select from dropdown)]],Table22[],2,FALSE))</f>
        <v/>
      </c>
      <c r="C443" s="129"/>
      <c r="D443" s="129"/>
      <c r="E443" s="131"/>
      <c r="F443" s="139"/>
      <c r="G443" s="145"/>
      <c r="H443" s="145"/>
      <c r="I443" s="129"/>
      <c r="J443" s="129"/>
      <c r="K443" s="146"/>
    </row>
    <row r="444" spans="1:11" s="53" customFormat="1" x14ac:dyDescent="0.3">
      <c r="A444" s="149"/>
      <c r="B444" s="150" t="str">
        <f>IF(Table24[[#This Row],[Affected CMS
(§63.567(o)(3)(ix), §63.567(o)(6)(ii))
(Select from dropdown)]]="","",VLOOKUP(Table24[[#This Row],[Affected CMS
(§63.567(o)(3)(ix), §63.567(o)(6)(ii))
(Select from dropdown)]],Table22[],2,FALSE))</f>
        <v/>
      </c>
      <c r="C444" s="129"/>
      <c r="D444" s="129"/>
      <c r="E444" s="131"/>
      <c r="F444" s="139"/>
      <c r="G444" s="145"/>
      <c r="H444" s="145"/>
      <c r="I444" s="129"/>
      <c r="J444" s="129"/>
      <c r="K444" s="146"/>
    </row>
    <row r="445" spans="1:11" s="53" customFormat="1" x14ac:dyDescent="0.3">
      <c r="A445" s="149"/>
      <c r="B445" s="150" t="str">
        <f>IF(Table24[[#This Row],[Affected CMS
(§63.567(o)(3)(ix), §63.567(o)(6)(ii))
(Select from dropdown)]]="","",VLOOKUP(Table24[[#This Row],[Affected CMS
(§63.567(o)(3)(ix), §63.567(o)(6)(ii))
(Select from dropdown)]],Table22[],2,FALSE))</f>
        <v/>
      </c>
      <c r="C445" s="129"/>
      <c r="D445" s="129"/>
      <c r="E445" s="131"/>
      <c r="F445" s="139"/>
      <c r="G445" s="145"/>
      <c r="H445" s="145"/>
      <c r="I445" s="129"/>
      <c r="J445" s="129"/>
      <c r="K445" s="146"/>
    </row>
    <row r="446" spans="1:11" s="53" customFormat="1" x14ac:dyDescent="0.3">
      <c r="A446" s="149"/>
      <c r="B446" s="150" t="str">
        <f>IF(Table24[[#This Row],[Affected CMS
(§63.567(o)(3)(ix), §63.567(o)(6)(ii))
(Select from dropdown)]]="","",VLOOKUP(Table24[[#This Row],[Affected CMS
(§63.567(o)(3)(ix), §63.567(o)(6)(ii))
(Select from dropdown)]],Table22[],2,FALSE))</f>
        <v/>
      </c>
      <c r="C446" s="129"/>
      <c r="D446" s="129"/>
      <c r="E446" s="131"/>
      <c r="F446" s="139"/>
      <c r="G446" s="145"/>
      <c r="H446" s="145"/>
      <c r="I446" s="129"/>
      <c r="J446" s="129"/>
      <c r="K446" s="146"/>
    </row>
    <row r="447" spans="1:11" s="53" customFormat="1" x14ac:dyDescent="0.3">
      <c r="A447" s="149"/>
      <c r="B447" s="150" t="str">
        <f>IF(Table24[[#This Row],[Affected CMS
(§63.567(o)(3)(ix), §63.567(o)(6)(ii))
(Select from dropdown)]]="","",VLOOKUP(Table24[[#This Row],[Affected CMS
(§63.567(o)(3)(ix), §63.567(o)(6)(ii))
(Select from dropdown)]],Table22[],2,FALSE))</f>
        <v/>
      </c>
      <c r="C447" s="129"/>
      <c r="D447" s="129"/>
      <c r="E447" s="131"/>
      <c r="F447" s="139"/>
      <c r="G447" s="145"/>
      <c r="H447" s="145"/>
      <c r="I447" s="129"/>
      <c r="J447" s="129"/>
      <c r="K447" s="146"/>
    </row>
    <row r="448" spans="1:11" s="53" customFormat="1" x14ac:dyDescent="0.3">
      <c r="A448" s="149"/>
      <c r="B448" s="150" t="str">
        <f>IF(Table24[[#This Row],[Affected CMS
(§63.567(o)(3)(ix), §63.567(o)(6)(ii))
(Select from dropdown)]]="","",VLOOKUP(Table24[[#This Row],[Affected CMS
(§63.567(o)(3)(ix), §63.567(o)(6)(ii))
(Select from dropdown)]],Table22[],2,FALSE))</f>
        <v/>
      </c>
      <c r="C448" s="129"/>
      <c r="D448" s="129"/>
      <c r="E448" s="131"/>
      <c r="F448" s="139"/>
      <c r="G448" s="145"/>
      <c r="H448" s="145"/>
      <c r="I448" s="129"/>
      <c r="J448" s="129"/>
      <c r="K448" s="146"/>
    </row>
    <row r="449" spans="1:11" s="53" customFormat="1" x14ac:dyDescent="0.3">
      <c r="A449" s="149"/>
      <c r="B449" s="150" t="str">
        <f>IF(Table24[[#This Row],[Affected CMS
(§63.567(o)(3)(ix), §63.567(o)(6)(ii))
(Select from dropdown)]]="","",VLOOKUP(Table24[[#This Row],[Affected CMS
(§63.567(o)(3)(ix), §63.567(o)(6)(ii))
(Select from dropdown)]],Table22[],2,FALSE))</f>
        <v/>
      </c>
      <c r="C449" s="129"/>
      <c r="D449" s="129"/>
      <c r="E449" s="131"/>
      <c r="F449" s="139"/>
      <c r="G449" s="145"/>
      <c r="H449" s="145"/>
      <c r="I449" s="129"/>
      <c r="J449" s="129"/>
      <c r="K449" s="146"/>
    </row>
    <row r="450" spans="1:11" s="53" customFormat="1" x14ac:dyDescent="0.3">
      <c r="A450" s="149"/>
      <c r="B450" s="150" t="str">
        <f>IF(Table24[[#This Row],[Affected CMS
(§63.567(o)(3)(ix), §63.567(o)(6)(ii))
(Select from dropdown)]]="","",VLOOKUP(Table24[[#This Row],[Affected CMS
(§63.567(o)(3)(ix), §63.567(o)(6)(ii))
(Select from dropdown)]],Table22[],2,FALSE))</f>
        <v/>
      </c>
      <c r="C450" s="129"/>
      <c r="D450" s="129"/>
      <c r="E450" s="131"/>
      <c r="F450" s="139"/>
      <c r="G450" s="145"/>
      <c r="H450" s="145"/>
      <c r="I450" s="129"/>
      <c r="J450" s="129"/>
      <c r="K450" s="146"/>
    </row>
    <row r="451" spans="1:11" s="53" customFormat="1" x14ac:dyDescent="0.3">
      <c r="A451" s="149"/>
      <c r="B451" s="150" t="str">
        <f>IF(Table24[[#This Row],[Affected CMS
(§63.567(o)(3)(ix), §63.567(o)(6)(ii))
(Select from dropdown)]]="","",VLOOKUP(Table24[[#This Row],[Affected CMS
(§63.567(o)(3)(ix), §63.567(o)(6)(ii))
(Select from dropdown)]],Table22[],2,FALSE))</f>
        <v/>
      </c>
      <c r="C451" s="129"/>
      <c r="D451" s="129"/>
      <c r="E451" s="131"/>
      <c r="F451" s="139"/>
      <c r="G451" s="145"/>
      <c r="H451" s="145"/>
      <c r="I451" s="129"/>
      <c r="J451" s="129"/>
      <c r="K451" s="146"/>
    </row>
    <row r="452" spans="1:11" s="53" customFormat="1" x14ac:dyDescent="0.3">
      <c r="A452" s="149"/>
      <c r="B452" s="150" t="str">
        <f>IF(Table24[[#This Row],[Affected CMS
(§63.567(o)(3)(ix), §63.567(o)(6)(ii))
(Select from dropdown)]]="","",VLOOKUP(Table24[[#This Row],[Affected CMS
(§63.567(o)(3)(ix), §63.567(o)(6)(ii))
(Select from dropdown)]],Table22[],2,FALSE))</f>
        <v/>
      </c>
      <c r="C452" s="129"/>
      <c r="D452" s="129"/>
      <c r="E452" s="131"/>
      <c r="F452" s="139"/>
      <c r="G452" s="145"/>
      <c r="H452" s="145"/>
      <c r="I452" s="129"/>
      <c r="J452" s="129"/>
      <c r="K452" s="146"/>
    </row>
    <row r="453" spans="1:11" s="53" customFormat="1" x14ac:dyDescent="0.3">
      <c r="A453" s="149"/>
      <c r="B453" s="150" t="str">
        <f>IF(Table24[[#This Row],[Affected CMS
(§63.567(o)(3)(ix), §63.567(o)(6)(ii))
(Select from dropdown)]]="","",VLOOKUP(Table24[[#This Row],[Affected CMS
(§63.567(o)(3)(ix), §63.567(o)(6)(ii))
(Select from dropdown)]],Table22[],2,FALSE))</f>
        <v/>
      </c>
      <c r="C453" s="129"/>
      <c r="D453" s="129"/>
      <c r="E453" s="131"/>
      <c r="F453" s="139"/>
      <c r="G453" s="145"/>
      <c r="H453" s="145"/>
      <c r="I453" s="129"/>
      <c r="J453" s="129"/>
      <c r="K453" s="146"/>
    </row>
    <row r="454" spans="1:11" s="53" customFormat="1" x14ac:dyDescent="0.3">
      <c r="A454" s="149"/>
      <c r="B454" s="150" t="str">
        <f>IF(Table24[[#This Row],[Affected CMS
(§63.567(o)(3)(ix), §63.567(o)(6)(ii))
(Select from dropdown)]]="","",VLOOKUP(Table24[[#This Row],[Affected CMS
(§63.567(o)(3)(ix), §63.567(o)(6)(ii))
(Select from dropdown)]],Table22[],2,FALSE))</f>
        <v/>
      </c>
      <c r="C454" s="129"/>
      <c r="D454" s="129"/>
      <c r="E454" s="131"/>
      <c r="F454" s="139"/>
      <c r="G454" s="145"/>
      <c r="H454" s="145"/>
      <c r="I454" s="129"/>
      <c r="J454" s="129"/>
      <c r="K454" s="146"/>
    </row>
    <row r="455" spans="1:11" s="53" customFormat="1" x14ac:dyDescent="0.3">
      <c r="A455" s="149"/>
      <c r="B455" s="150" t="str">
        <f>IF(Table24[[#This Row],[Affected CMS
(§63.567(o)(3)(ix), §63.567(o)(6)(ii))
(Select from dropdown)]]="","",VLOOKUP(Table24[[#This Row],[Affected CMS
(§63.567(o)(3)(ix), §63.567(o)(6)(ii))
(Select from dropdown)]],Table22[],2,FALSE))</f>
        <v/>
      </c>
      <c r="C455" s="129"/>
      <c r="D455" s="129"/>
      <c r="E455" s="131"/>
      <c r="F455" s="139"/>
      <c r="G455" s="145"/>
      <c r="H455" s="145"/>
      <c r="I455" s="129"/>
      <c r="J455" s="129"/>
      <c r="K455" s="146"/>
    </row>
    <row r="456" spans="1:11" s="53" customFormat="1" x14ac:dyDescent="0.3">
      <c r="A456" s="149"/>
      <c r="B456" s="150" t="str">
        <f>IF(Table24[[#This Row],[Affected CMS
(§63.567(o)(3)(ix), §63.567(o)(6)(ii))
(Select from dropdown)]]="","",VLOOKUP(Table24[[#This Row],[Affected CMS
(§63.567(o)(3)(ix), §63.567(o)(6)(ii))
(Select from dropdown)]],Table22[],2,FALSE))</f>
        <v/>
      </c>
      <c r="C456" s="129"/>
      <c r="D456" s="129"/>
      <c r="E456" s="131"/>
      <c r="F456" s="139"/>
      <c r="G456" s="145"/>
      <c r="H456" s="145"/>
      <c r="I456" s="129"/>
      <c r="J456" s="129"/>
      <c r="K456" s="146"/>
    </row>
    <row r="457" spans="1:11" s="53" customFormat="1" x14ac:dyDescent="0.3">
      <c r="A457" s="149"/>
      <c r="B457" s="150" t="str">
        <f>IF(Table24[[#This Row],[Affected CMS
(§63.567(o)(3)(ix), §63.567(o)(6)(ii))
(Select from dropdown)]]="","",VLOOKUP(Table24[[#This Row],[Affected CMS
(§63.567(o)(3)(ix), §63.567(o)(6)(ii))
(Select from dropdown)]],Table22[],2,FALSE))</f>
        <v/>
      </c>
      <c r="C457" s="129"/>
      <c r="D457" s="129"/>
      <c r="E457" s="131"/>
      <c r="F457" s="139"/>
      <c r="G457" s="145"/>
      <c r="H457" s="145"/>
      <c r="I457" s="129"/>
      <c r="J457" s="129"/>
      <c r="K457" s="146"/>
    </row>
    <row r="458" spans="1:11" s="53" customFormat="1" x14ac:dyDescent="0.3">
      <c r="A458" s="149"/>
      <c r="B458" s="150" t="str">
        <f>IF(Table24[[#This Row],[Affected CMS
(§63.567(o)(3)(ix), §63.567(o)(6)(ii))
(Select from dropdown)]]="","",VLOOKUP(Table24[[#This Row],[Affected CMS
(§63.567(o)(3)(ix), §63.567(o)(6)(ii))
(Select from dropdown)]],Table22[],2,FALSE))</f>
        <v/>
      </c>
      <c r="C458" s="129"/>
      <c r="D458" s="129"/>
      <c r="E458" s="131"/>
      <c r="F458" s="139"/>
      <c r="G458" s="145"/>
      <c r="H458" s="145"/>
      <c r="I458" s="129"/>
      <c r="J458" s="129"/>
      <c r="K458" s="146"/>
    </row>
    <row r="459" spans="1:11" s="53" customFormat="1" x14ac:dyDescent="0.3">
      <c r="A459" s="149"/>
      <c r="B459" s="150" t="str">
        <f>IF(Table24[[#This Row],[Affected CMS
(§63.567(o)(3)(ix), §63.567(o)(6)(ii))
(Select from dropdown)]]="","",VLOOKUP(Table24[[#This Row],[Affected CMS
(§63.567(o)(3)(ix), §63.567(o)(6)(ii))
(Select from dropdown)]],Table22[],2,FALSE))</f>
        <v/>
      </c>
      <c r="C459" s="129"/>
      <c r="D459" s="129"/>
      <c r="E459" s="131"/>
      <c r="F459" s="139"/>
      <c r="G459" s="145"/>
      <c r="H459" s="145"/>
      <c r="I459" s="129"/>
      <c r="J459" s="129"/>
      <c r="K459" s="146"/>
    </row>
    <row r="460" spans="1:11" s="53" customFormat="1" x14ac:dyDescent="0.3">
      <c r="A460" s="149"/>
      <c r="B460" s="150" t="str">
        <f>IF(Table24[[#This Row],[Affected CMS
(§63.567(o)(3)(ix), §63.567(o)(6)(ii))
(Select from dropdown)]]="","",VLOOKUP(Table24[[#This Row],[Affected CMS
(§63.567(o)(3)(ix), §63.567(o)(6)(ii))
(Select from dropdown)]],Table22[],2,FALSE))</f>
        <v/>
      </c>
      <c r="C460" s="129"/>
      <c r="D460" s="129"/>
      <c r="E460" s="131"/>
      <c r="F460" s="139"/>
      <c r="G460" s="145"/>
      <c r="H460" s="145"/>
      <c r="I460" s="129"/>
      <c r="J460" s="129"/>
      <c r="K460" s="146"/>
    </row>
    <row r="461" spans="1:11" s="53" customFormat="1" x14ac:dyDescent="0.3">
      <c r="A461" s="149"/>
      <c r="B461" s="150" t="str">
        <f>IF(Table24[[#This Row],[Affected CMS
(§63.567(o)(3)(ix), §63.567(o)(6)(ii))
(Select from dropdown)]]="","",VLOOKUP(Table24[[#This Row],[Affected CMS
(§63.567(o)(3)(ix), §63.567(o)(6)(ii))
(Select from dropdown)]],Table22[],2,FALSE))</f>
        <v/>
      </c>
      <c r="C461" s="129"/>
      <c r="D461" s="129"/>
      <c r="E461" s="131"/>
      <c r="F461" s="139"/>
      <c r="G461" s="145"/>
      <c r="H461" s="145"/>
      <c r="I461" s="129"/>
      <c r="J461" s="129"/>
      <c r="K461" s="146"/>
    </row>
    <row r="462" spans="1:11" s="53" customFormat="1" x14ac:dyDescent="0.3">
      <c r="A462" s="149"/>
      <c r="B462" s="150" t="str">
        <f>IF(Table24[[#This Row],[Affected CMS
(§63.567(o)(3)(ix), §63.567(o)(6)(ii))
(Select from dropdown)]]="","",VLOOKUP(Table24[[#This Row],[Affected CMS
(§63.567(o)(3)(ix), §63.567(o)(6)(ii))
(Select from dropdown)]],Table22[],2,FALSE))</f>
        <v/>
      </c>
      <c r="C462" s="129"/>
      <c r="D462" s="129"/>
      <c r="E462" s="131"/>
      <c r="F462" s="139"/>
      <c r="G462" s="145"/>
      <c r="H462" s="145"/>
      <c r="I462" s="129"/>
      <c r="J462" s="129"/>
      <c r="K462" s="146"/>
    </row>
    <row r="463" spans="1:11" s="53" customFormat="1" x14ac:dyDescent="0.3">
      <c r="A463" s="149"/>
      <c r="B463" s="150" t="str">
        <f>IF(Table24[[#This Row],[Affected CMS
(§63.567(o)(3)(ix), §63.567(o)(6)(ii))
(Select from dropdown)]]="","",VLOOKUP(Table24[[#This Row],[Affected CMS
(§63.567(o)(3)(ix), §63.567(o)(6)(ii))
(Select from dropdown)]],Table22[],2,FALSE))</f>
        <v/>
      </c>
      <c r="C463" s="129"/>
      <c r="D463" s="129"/>
      <c r="E463" s="131"/>
      <c r="F463" s="139"/>
      <c r="G463" s="145"/>
      <c r="H463" s="145"/>
      <c r="I463" s="129"/>
      <c r="J463" s="129"/>
      <c r="K463" s="146"/>
    </row>
    <row r="464" spans="1:11" s="53" customFormat="1" x14ac:dyDescent="0.3">
      <c r="A464" s="149"/>
      <c r="B464" s="150" t="str">
        <f>IF(Table24[[#This Row],[Affected CMS
(§63.567(o)(3)(ix), §63.567(o)(6)(ii))
(Select from dropdown)]]="","",VLOOKUP(Table24[[#This Row],[Affected CMS
(§63.567(o)(3)(ix), §63.567(o)(6)(ii))
(Select from dropdown)]],Table22[],2,FALSE))</f>
        <v/>
      </c>
      <c r="C464" s="129"/>
      <c r="D464" s="129"/>
      <c r="E464" s="131"/>
      <c r="F464" s="139"/>
      <c r="G464" s="145"/>
      <c r="H464" s="145"/>
      <c r="I464" s="129"/>
      <c r="J464" s="129"/>
      <c r="K464" s="146"/>
    </row>
    <row r="465" spans="1:11" s="53" customFormat="1" x14ac:dyDescent="0.3">
      <c r="A465" s="149"/>
      <c r="B465" s="150" t="str">
        <f>IF(Table24[[#This Row],[Affected CMS
(§63.567(o)(3)(ix), §63.567(o)(6)(ii))
(Select from dropdown)]]="","",VLOOKUP(Table24[[#This Row],[Affected CMS
(§63.567(o)(3)(ix), §63.567(o)(6)(ii))
(Select from dropdown)]],Table22[],2,FALSE))</f>
        <v/>
      </c>
      <c r="C465" s="129"/>
      <c r="D465" s="129"/>
      <c r="E465" s="131"/>
      <c r="F465" s="139"/>
      <c r="G465" s="145"/>
      <c r="H465" s="145"/>
      <c r="I465" s="129"/>
      <c r="J465" s="129"/>
      <c r="K465" s="146"/>
    </row>
    <row r="466" spans="1:11" s="53" customFormat="1" x14ac:dyDescent="0.3">
      <c r="A466" s="149"/>
      <c r="B466" s="150" t="str">
        <f>IF(Table24[[#This Row],[Affected CMS
(§63.567(o)(3)(ix), §63.567(o)(6)(ii))
(Select from dropdown)]]="","",VLOOKUP(Table24[[#This Row],[Affected CMS
(§63.567(o)(3)(ix), §63.567(o)(6)(ii))
(Select from dropdown)]],Table22[],2,FALSE))</f>
        <v/>
      </c>
      <c r="C466" s="129"/>
      <c r="D466" s="129"/>
      <c r="E466" s="131"/>
      <c r="F466" s="139"/>
      <c r="G466" s="145"/>
      <c r="H466" s="145"/>
      <c r="I466" s="129"/>
      <c r="J466" s="129"/>
      <c r="K466" s="146"/>
    </row>
    <row r="467" spans="1:11" s="53" customFormat="1" x14ac:dyDescent="0.3">
      <c r="A467" s="149"/>
      <c r="B467" s="150" t="str">
        <f>IF(Table24[[#This Row],[Affected CMS
(§63.567(o)(3)(ix), §63.567(o)(6)(ii))
(Select from dropdown)]]="","",VLOOKUP(Table24[[#This Row],[Affected CMS
(§63.567(o)(3)(ix), §63.567(o)(6)(ii))
(Select from dropdown)]],Table22[],2,FALSE))</f>
        <v/>
      </c>
      <c r="C467" s="129"/>
      <c r="D467" s="129"/>
      <c r="E467" s="131"/>
      <c r="F467" s="139"/>
      <c r="G467" s="145"/>
      <c r="H467" s="145"/>
      <c r="I467" s="129"/>
      <c r="J467" s="129"/>
      <c r="K467" s="146"/>
    </row>
    <row r="468" spans="1:11" s="53" customFormat="1" x14ac:dyDescent="0.3">
      <c r="A468" s="149"/>
      <c r="B468" s="150" t="str">
        <f>IF(Table24[[#This Row],[Affected CMS
(§63.567(o)(3)(ix), §63.567(o)(6)(ii))
(Select from dropdown)]]="","",VLOOKUP(Table24[[#This Row],[Affected CMS
(§63.567(o)(3)(ix), §63.567(o)(6)(ii))
(Select from dropdown)]],Table22[],2,FALSE))</f>
        <v/>
      </c>
      <c r="C468" s="129"/>
      <c r="D468" s="129"/>
      <c r="E468" s="131"/>
      <c r="F468" s="139"/>
      <c r="G468" s="145"/>
      <c r="H468" s="145"/>
      <c r="I468" s="129"/>
      <c r="J468" s="129"/>
      <c r="K468" s="146"/>
    </row>
    <row r="469" spans="1:11" s="53" customFormat="1" x14ac:dyDescent="0.3">
      <c r="A469" s="149"/>
      <c r="B469" s="150" t="str">
        <f>IF(Table24[[#This Row],[Affected CMS
(§63.567(o)(3)(ix), §63.567(o)(6)(ii))
(Select from dropdown)]]="","",VLOOKUP(Table24[[#This Row],[Affected CMS
(§63.567(o)(3)(ix), §63.567(o)(6)(ii))
(Select from dropdown)]],Table22[],2,FALSE))</f>
        <v/>
      </c>
      <c r="C469" s="129"/>
      <c r="D469" s="129"/>
      <c r="E469" s="131"/>
      <c r="F469" s="139"/>
      <c r="G469" s="145"/>
      <c r="H469" s="145"/>
      <c r="I469" s="129"/>
      <c r="J469" s="129"/>
      <c r="K469" s="146"/>
    </row>
    <row r="470" spans="1:11" s="53" customFormat="1" x14ac:dyDescent="0.3">
      <c r="A470" s="149"/>
      <c r="B470" s="150" t="str">
        <f>IF(Table24[[#This Row],[Affected CMS
(§63.567(o)(3)(ix), §63.567(o)(6)(ii))
(Select from dropdown)]]="","",VLOOKUP(Table24[[#This Row],[Affected CMS
(§63.567(o)(3)(ix), §63.567(o)(6)(ii))
(Select from dropdown)]],Table22[],2,FALSE))</f>
        <v/>
      </c>
      <c r="C470" s="129"/>
      <c r="D470" s="129"/>
      <c r="E470" s="131"/>
      <c r="F470" s="139"/>
      <c r="G470" s="145"/>
      <c r="H470" s="145"/>
      <c r="I470" s="129"/>
      <c r="J470" s="129"/>
      <c r="K470" s="146"/>
    </row>
    <row r="471" spans="1:11" s="53" customFormat="1" x14ac:dyDescent="0.3">
      <c r="A471" s="149"/>
      <c r="B471" s="150" t="str">
        <f>IF(Table24[[#This Row],[Affected CMS
(§63.567(o)(3)(ix), §63.567(o)(6)(ii))
(Select from dropdown)]]="","",VLOOKUP(Table24[[#This Row],[Affected CMS
(§63.567(o)(3)(ix), §63.567(o)(6)(ii))
(Select from dropdown)]],Table22[],2,FALSE))</f>
        <v/>
      </c>
      <c r="C471" s="129"/>
      <c r="D471" s="129"/>
      <c r="E471" s="131"/>
      <c r="F471" s="139"/>
      <c r="G471" s="145"/>
      <c r="H471" s="145"/>
      <c r="I471" s="129"/>
      <c r="J471" s="129"/>
      <c r="K471" s="146"/>
    </row>
    <row r="472" spans="1:11" s="53" customFormat="1" x14ac:dyDescent="0.3">
      <c r="A472" s="149"/>
      <c r="B472" s="150" t="str">
        <f>IF(Table24[[#This Row],[Affected CMS
(§63.567(o)(3)(ix), §63.567(o)(6)(ii))
(Select from dropdown)]]="","",VLOOKUP(Table24[[#This Row],[Affected CMS
(§63.567(o)(3)(ix), §63.567(o)(6)(ii))
(Select from dropdown)]],Table22[],2,FALSE))</f>
        <v/>
      </c>
      <c r="C472" s="129"/>
      <c r="D472" s="129"/>
      <c r="E472" s="131"/>
      <c r="F472" s="139"/>
      <c r="G472" s="145"/>
      <c r="H472" s="145"/>
      <c r="I472" s="129"/>
      <c r="J472" s="129"/>
      <c r="K472" s="146"/>
    </row>
    <row r="473" spans="1:11" s="53" customFormat="1" x14ac:dyDescent="0.3">
      <c r="A473" s="149"/>
      <c r="B473" s="150" t="str">
        <f>IF(Table24[[#This Row],[Affected CMS
(§63.567(o)(3)(ix), §63.567(o)(6)(ii))
(Select from dropdown)]]="","",VLOOKUP(Table24[[#This Row],[Affected CMS
(§63.567(o)(3)(ix), §63.567(o)(6)(ii))
(Select from dropdown)]],Table22[],2,FALSE))</f>
        <v/>
      </c>
      <c r="C473" s="129"/>
      <c r="D473" s="129"/>
      <c r="E473" s="131"/>
      <c r="F473" s="139"/>
      <c r="G473" s="145"/>
      <c r="H473" s="145"/>
      <c r="I473" s="129"/>
      <c r="J473" s="129"/>
      <c r="K473" s="146"/>
    </row>
    <row r="474" spans="1:11" s="53" customFormat="1" x14ac:dyDescent="0.3">
      <c r="A474" s="149"/>
      <c r="B474" s="150" t="str">
        <f>IF(Table24[[#This Row],[Affected CMS
(§63.567(o)(3)(ix), §63.567(o)(6)(ii))
(Select from dropdown)]]="","",VLOOKUP(Table24[[#This Row],[Affected CMS
(§63.567(o)(3)(ix), §63.567(o)(6)(ii))
(Select from dropdown)]],Table22[],2,FALSE))</f>
        <v/>
      </c>
      <c r="C474" s="129"/>
      <c r="D474" s="129"/>
      <c r="E474" s="131"/>
      <c r="F474" s="139"/>
      <c r="G474" s="145"/>
      <c r="H474" s="145"/>
      <c r="I474" s="129"/>
      <c r="J474" s="129"/>
      <c r="K474" s="146"/>
    </row>
    <row r="475" spans="1:11" s="53" customFormat="1" x14ac:dyDescent="0.3">
      <c r="A475" s="149"/>
      <c r="B475" s="150" t="str">
        <f>IF(Table24[[#This Row],[Affected CMS
(§63.567(o)(3)(ix), §63.567(o)(6)(ii))
(Select from dropdown)]]="","",VLOOKUP(Table24[[#This Row],[Affected CMS
(§63.567(o)(3)(ix), §63.567(o)(6)(ii))
(Select from dropdown)]],Table22[],2,FALSE))</f>
        <v/>
      </c>
      <c r="C475" s="129"/>
      <c r="D475" s="129"/>
      <c r="E475" s="131"/>
      <c r="F475" s="139"/>
      <c r="G475" s="145"/>
      <c r="H475" s="145"/>
      <c r="I475" s="129"/>
      <c r="J475" s="129"/>
      <c r="K475" s="146"/>
    </row>
    <row r="476" spans="1:11" s="53" customFormat="1" x14ac:dyDescent="0.3">
      <c r="A476" s="149"/>
      <c r="B476" s="150" t="str">
        <f>IF(Table24[[#This Row],[Affected CMS
(§63.567(o)(3)(ix), §63.567(o)(6)(ii))
(Select from dropdown)]]="","",VLOOKUP(Table24[[#This Row],[Affected CMS
(§63.567(o)(3)(ix), §63.567(o)(6)(ii))
(Select from dropdown)]],Table22[],2,FALSE))</f>
        <v/>
      </c>
      <c r="C476" s="129"/>
      <c r="D476" s="129"/>
      <c r="E476" s="131"/>
      <c r="F476" s="139"/>
      <c r="G476" s="145"/>
      <c r="H476" s="145"/>
      <c r="I476" s="129"/>
      <c r="J476" s="129"/>
      <c r="K476" s="146"/>
    </row>
    <row r="477" spans="1:11" s="53" customFormat="1" x14ac:dyDescent="0.3">
      <c r="A477" s="149"/>
      <c r="B477" s="150" t="str">
        <f>IF(Table24[[#This Row],[Affected CMS
(§63.567(o)(3)(ix), §63.567(o)(6)(ii))
(Select from dropdown)]]="","",VLOOKUP(Table24[[#This Row],[Affected CMS
(§63.567(o)(3)(ix), §63.567(o)(6)(ii))
(Select from dropdown)]],Table22[],2,FALSE))</f>
        <v/>
      </c>
      <c r="C477" s="129"/>
      <c r="D477" s="129"/>
      <c r="E477" s="131"/>
      <c r="F477" s="139"/>
      <c r="G477" s="145"/>
      <c r="H477" s="145"/>
      <c r="I477" s="129"/>
      <c r="J477" s="129"/>
      <c r="K477" s="146"/>
    </row>
    <row r="478" spans="1:11" s="53" customFormat="1" x14ac:dyDescent="0.3">
      <c r="A478" s="149"/>
      <c r="B478" s="150" t="str">
        <f>IF(Table24[[#This Row],[Affected CMS
(§63.567(o)(3)(ix), §63.567(o)(6)(ii))
(Select from dropdown)]]="","",VLOOKUP(Table24[[#This Row],[Affected CMS
(§63.567(o)(3)(ix), §63.567(o)(6)(ii))
(Select from dropdown)]],Table22[],2,FALSE))</f>
        <v/>
      </c>
      <c r="C478" s="129"/>
      <c r="D478" s="129"/>
      <c r="E478" s="131"/>
      <c r="F478" s="139"/>
      <c r="G478" s="145"/>
      <c r="H478" s="145"/>
      <c r="I478" s="129"/>
      <c r="J478" s="129"/>
      <c r="K478" s="146"/>
    </row>
    <row r="479" spans="1:11" s="53" customFormat="1" x14ac:dyDescent="0.3">
      <c r="A479" s="149"/>
      <c r="B479" s="150" t="str">
        <f>IF(Table24[[#This Row],[Affected CMS
(§63.567(o)(3)(ix), §63.567(o)(6)(ii))
(Select from dropdown)]]="","",VLOOKUP(Table24[[#This Row],[Affected CMS
(§63.567(o)(3)(ix), §63.567(o)(6)(ii))
(Select from dropdown)]],Table22[],2,FALSE))</f>
        <v/>
      </c>
      <c r="C479" s="129"/>
      <c r="D479" s="129"/>
      <c r="E479" s="131"/>
      <c r="F479" s="139"/>
      <c r="G479" s="145"/>
      <c r="H479" s="145"/>
      <c r="I479" s="129"/>
      <c r="J479" s="129"/>
      <c r="K479" s="146"/>
    </row>
    <row r="480" spans="1:11" s="53" customFormat="1" x14ac:dyDescent="0.3">
      <c r="A480" s="149"/>
      <c r="B480" s="150" t="str">
        <f>IF(Table24[[#This Row],[Affected CMS
(§63.567(o)(3)(ix), §63.567(o)(6)(ii))
(Select from dropdown)]]="","",VLOOKUP(Table24[[#This Row],[Affected CMS
(§63.567(o)(3)(ix), §63.567(o)(6)(ii))
(Select from dropdown)]],Table22[],2,FALSE))</f>
        <v/>
      </c>
      <c r="C480" s="129"/>
      <c r="D480" s="129"/>
      <c r="E480" s="131"/>
      <c r="F480" s="139"/>
      <c r="G480" s="145"/>
      <c r="H480" s="145"/>
      <c r="I480" s="129"/>
      <c r="J480" s="129"/>
      <c r="K480" s="146"/>
    </row>
    <row r="481" spans="1:11" s="53" customFormat="1" x14ac:dyDescent="0.3">
      <c r="A481" s="149"/>
      <c r="B481" s="150" t="str">
        <f>IF(Table24[[#This Row],[Affected CMS
(§63.567(o)(3)(ix), §63.567(o)(6)(ii))
(Select from dropdown)]]="","",VLOOKUP(Table24[[#This Row],[Affected CMS
(§63.567(o)(3)(ix), §63.567(o)(6)(ii))
(Select from dropdown)]],Table22[],2,FALSE))</f>
        <v/>
      </c>
      <c r="C481" s="129"/>
      <c r="D481" s="129"/>
      <c r="E481" s="131"/>
      <c r="F481" s="139"/>
      <c r="G481" s="145"/>
      <c r="H481" s="145"/>
      <c r="I481" s="129"/>
      <c r="J481" s="129"/>
      <c r="K481" s="146"/>
    </row>
    <row r="482" spans="1:11" s="53" customFormat="1" x14ac:dyDescent="0.3">
      <c r="A482" s="149"/>
      <c r="B482" s="150" t="str">
        <f>IF(Table24[[#This Row],[Affected CMS
(§63.567(o)(3)(ix), §63.567(o)(6)(ii))
(Select from dropdown)]]="","",VLOOKUP(Table24[[#This Row],[Affected CMS
(§63.567(o)(3)(ix), §63.567(o)(6)(ii))
(Select from dropdown)]],Table22[],2,FALSE))</f>
        <v/>
      </c>
      <c r="C482" s="129"/>
      <c r="D482" s="129"/>
      <c r="E482" s="131"/>
      <c r="F482" s="139"/>
      <c r="G482" s="145"/>
      <c r="H482" s="145"/>
      <c r="I482" s="129"/>
      <c r="J482" s="129"/>
      <c r="K482" s="146"/>
    </row>
    <row r="483" spans="1:11" s="53" customFormat="1" x14ac:dyDescent="0.3">
      <c r="A483" s="149"/>
      <c r="B483" s="150" t="str">
        <f>IF(Table24[[#This Row],[Affected CMS
(§63.567(o)(3)(ix), §63.567(o)(6)(ii))
(Select from dropdown)]]="","",VLOOKUP(Table24[[#This Row],[Affected CMS
(§63.567(o)(3)(ix), §63.567(o)(6)(ii))
(Select from dropdown)]],Table22[],2,FALSE))</f>
        <v/>
      </c>
      <c r="C483" s="129"/>
      <c r="D483" s="129"/>
      <c r="E483" s="131"/>
      <c r="F483" s="139"/>
      <c r="G483" s="145"/>
      <c r="H483" s="145"/>
      <c r="I483" s="129"/>
      <c r="J483" s="129"/>
      <c r="K483" s="146"/>
    </row>
    <row r="484" spans="1:11" s="53" customFormat="1" x14ac:dyDescent="0.3">
      <c r="A484" s="149"/>
      <c r="B484" s="150" t="str">
        <f>IF(Table24[[#This Row],[Affected CMS
(§63.567(o)(3)(ix), §63.567(o)(6)(ii))
(Select from dropdown)]]="","",VLOOKUP(Table24[[#This Row],[Affected CMS
(§63.567(o)(3)(ix), §63.567(o)(6)(ii))
(Select from dropdown)]],Table22[],2,FALSE))</f>
        <v/>
      </c>
      <c r="C484" s="129"/>
      <c r="D484" s="129"/>
      <c r="E484" s="131"/>
      <c r="F484" s="139"/>
      <c r="G484" s="145"/>
      <c r="H484" s="145"/>
      <c r="I484" s="129"/>
      <c r="J484" s="129"/>
      <c r="K484" s="146"/>
    </row>
    <row r="485" spans="1:11" s="53" customFormat="1" x14ac:dyDescent="0.3">
      <c r="A485" s="149"/>
      <c r="B485" s="150" t="str">
        <f>IF(Table24[[#This Row],[Affected CMS
(§63.567(o)(3)(ix), §63.567(o)(6)(ii))
(Select from dropdown)]]="","",VLOOKUP(Table24[[#This Row],[Affected CMS
(§63.567(o)(3)(ix), §63.567(o)(6)(ii))
(Select from dropdown)]],Table22[],2,FALSE))</f>
        <v/>
      </c>
      <c r="C485" s="129"/>
      <c r="D485" s="129"/>
      <c r="E485" s="131"/>
      <c r="F485" s="139"/>
      <c r="G485" s="145"/>
      <c r="H485" s="145"/>
      <c r="I485" s="129"/>
      <c r="J485" s="129"/>
      <c r="K485" s="146"/>
    </row>
    <row r="486" spans="1:11" s="53" customFormat="1" x14ac:dyDescent="0.3">
      <c r="A486" s="149"/>
      <c r="B486" s="150" t="str">
        <f>IF(Table24[[#This Row],[Affected CMS
(§63.567(o)(3)(ix), §63.567(o)(6)(ii))
(Select from dropdown)]]="","",VLOOKUP(Table24[[#This Row],[Affected CMS
(§63.567(o)(3)(ix), §63.567(o)(6)(ii))
(Select from dropdown)]],Table22[],2,FALSE))</f>
        <v/>
      </c>
      <c r="C486" s="129"/>
      <c r="D486" s="129"/>
      <c r="E486" s="131"/>
      <c r="F486" s="139"/>
      <c r="G486" s="145"/>
      <c r="H486" s="145"/>
      <c r="I486" s="129"/>
      <c r="J486" s="129"/>
      <c r="K486" s="146"/>
    </row>
    <row r="487" spans="1:11" s="53" customFormat="1" x14ac:dyDescent="0.3">
      <c r="A487" s="149"/>
      <c r="B487" s="150" t="str">
        <f>IF(Table24[[#This Row],[Affected CMS
(§63.567(o)(3)(ix), §63.567(o)(6)(ii))
(Select from dropdown)]]="","",VLOOKUP(Table24[[#This Row],[Affected CMS
(§63.567(o)(3)(ix), §63.567(o)(6)(ii))
(Select from dropdown)]],Table22[],2,FALSE))</f>
        <v/>
      </c>
      <c r="C487" s="129"/>
      <c r="D487" s="129"/>
      <c r="E487" s="131"/>
      <c r="F487" s="139"/>
      <c r="G487" s="145"/>
      <c r="H487" s="145"/>
      <c r="I487" s="129"/>
      <c r="J487" s="129"/>
      <c r="K487" s="146"/>
    </row>
    <row r="488" spans="1:11" s="53" customFormat="1" x14ac:dyDescent="0.3">
      <c r="A488" s="149"/>
      <c r="B488" s="150" t="str">
        <f>IF(Table24[[#This Row],[Affected CMS
(§63.567(o)(3)(ix), §63.567(o)(6)(ii))
(Select from dropdown)]]="","",VLOOKUP(Table24[[#This Row],[Affected CMS
(§63.567(o)(3)(ix), §63.567(o)(6)(ii))
(Select from dropdown)]],Table22[],2,FALSE))</f>
        <v/>
      </c>
      <c r="C488" s="129"/>
      <c r="D488" s="129"/>
      <c r="E488" s="131"/>
      <c r="F488" s="139"/>
      <c r="G488" s="145"/>
      <c r="H488" s="145"/>
      <c r="I488" s="129"/>
      <c r="J488" s="129"/>
      <c r="K488" s="146"/>
    </row>
    <row r="489" spans="1:11" s="53" customFormat="1" x14ac:dyDescent="0.3">
      <c r="A489" s="149"/>
      <c r="B489" s="150" t="str">
        <f>IF(Table24[[#This Row],[Affected CMS
(§63.567(o)(3)(ix), §63.567(o)(6)(ii))
(Select from dropdown)]]="","",VLOOKUP(Table24[[#This Row],[Affected CMS
(§63.567(o)(3)(ix), §63.567(o)(6)(ii))
(Select from dropdown)]],Table22[],2,FALSE))</f>
        <v/>
      </c>
      <c r="C489" s="129"/>
      <c r="D489" s="129"/>
      <c r="E489" s="131"/>
      <c r="F489" s="139"/>
      <c r="G489" s="145"/>
      <c r="H489" s="145"/>
      <c r="I489" s="129"/>
      <c r="J489" s="129"/>
      <c r="K489" s="146"/>
    </row>
    <row r="490" spans="1:11" s="53" customFormat="1" x14ac:dyDescent="0.3">
      <c r="A490" s="149"/>
      <c r="B490" s="150" t="str">
        <f>IF(Table24[[#This Row],[Affected CMS
(§63.567(o)(3)(ix), §63.567(o)(6)(ii))
(Select from dropdown)]]="","",VLOOKUP(Table24[[#This Row],[Affected CMS
(§63.567(o)(3)(ix), §63.567(o)(6)(ii))
(Select from dropdown)]],Table22[],2,FALSE))</f>
        <v/>
      </c>
      <c r="C490" s="129"/>
      <c r="D490" s="129"/>
      <c r="E490" s="131"/>
      <c r="F490" s="139"/>
      <c r="G490" s="145"/>
      <c r="H490" s="145"/>
      <c r="I490" s="129"/>
      <c r="J490" s="129"/>
      <c r="K490" s="146"/>
    </row>
    <row r="491" spans="1:11" s="53" customFormat="1" x14ac:dyDescent="0.3">
      <c r="A491" s="149"/>
      <c r="B491" s="150" t="str">
        <f>IF(Table24[[#This Row],[Affected CMS
(§63.567(o)(3)(ix), §63.567(o)(6)(ii))
(Select from dropdown)]]="","",VLOOKUP(Table24[[#This Row],[Affected CMS
(§63.567(o)(3)(ix), §63.567(o)(6)(ii))
(Select from dropdown)]],Table22[],2,FALSE))</f>
        <v/>
      </c>
      <c r="C491" s="129"/>
      <c r="D491" s="129"/>
      <c r="E491" s="131"/>
      <c r="F491" s="139"/>
      <c r="G491" s="145"/>
      <c r="H491" s="145"/>
      <c r="I491" s="129"/>
      <c r="J491" s="129"/>
      <c r="K491" s="146"/>
    </row>
    <row r="492" spans="1:11" s="53" customFormat="1" x14ac:dyDescent="0.3">
      <c r="A492" s="149"/>
      <c r="B492" s="150" t="str">
        <f>IF(Table24[[#This Row],[Affected CMS
(§63.567(o)(3)(ix), §63.567(o)(6)(ii))
(Select from dropdown)]]="","",VLOOKUP(Table24[[#This Row],[Affected CMS
(§63.567(o)(3)(ix), §63.567(o)(6)(ii))
(Select from dropdown)]],Table22[],2,FALSE))</f>
        <v/>
      </c>
      <c r="C492" s="129"/>
      <c r="D492" s="129"/>
      <c r="E492" s="131"/>
      <c r="F492" s="139"/>
      <c r="G492" s="145"/>
      <c r="H492" s="145"/>
      <c r="I492" s="129"/>
      <c r="J492" s="129"/>
      <c r="K492" s="146"/>
    </row>
    <row r="493" spans="1:11" s="53" customFormat="1" x14ac:dyDescent="0.3">
      <c r="A493" s="149"/>
      <c r="B493" s="150" t="str">
        <f>IF(Table24[[#This Row],[Affected CMS
(§63.567(o)(3)(ix), §63.567(o)(6)(ii))
(Select from dropdown)]]="","",VLOOKUP(Table24[[#This Row],[Affected CMS
(§63.567(o)(3)(ix), §63.567(o)(6)(ii))
(Select from dropdown)]],Table22[],2,FALSE))</f>
        <v/>
      </c>
      <c r="C493" s="129"/>
      <c r="D493" s="129"/>
      <c r="E493" s="131"/>
      <c r="F493" s="139"/>
      <c r="G493" s="145"/>
      <c r="H493" s="145"/>
      <c r="I493" s="129"/>
      <c r="J493" s="129"/>
      <c r="K493" s="146"/>
    </row>
    <row r="494" spans="1:11" s="53" customFormat="1" x14ac:dyDescent="0.3">
      <c r="A494" s="149"/>
      <c r="B494" s="150" t="str">
        <f>IF(Table24[[#This Row],[Affected CMS
(§63.567(o)(3)(ix), §63.567(o)(6)(ii))
(Select from dropdown)]]="","",VLOOKUP(Table24[[#This Row],[Affected CMS
(§63.567(o)(3)(ix), §63.567(o)(6)(ii))
(Select from dropdown)]],Table22[],2,FALSE))</f>
        <v/>
      </c>
      <c r="C494" s="129"/>
      <c r="D494" s="129"/>
      <c r="E494" s="131"/>
      <c r="F494" s="139"/>
      <c r="G494" s="145"/>
      <c r="H494" s="145"/>
      <c r="I494" s="129"/>
      <c r="J494" s="129"/>
      <c r="K494" s="146"/>
    </row>
    <row r="495" spans="1:11" s="53" customFormat="1" x14ac:dyDescent="0.3">
      <c r="A495" s="149"/>
      <c r="B495" s="150" t="str">
        <f>IF(Table24[[#This Row],[Affected CMS
(§63.567(o)(3)(ix), §63.567(o)(6)(ii))
(Select from dropdown)]]="","",VLOOKUP(Table24[[#This Row],[Affected CMS
(§63.567(o)(3)(ix), §63.567(o)(6)(ii))
(Select from dropdown)]],Table22[],2,FALSE))</f>
        <v/>
      </c>
      <c r="C495" s="129"/>
      <c r="D495" s="129"/>
      <c r="E495" s="131"/>
      <c r="F495" s="139"/>
      <c r="G495" s="145"/>
      <c r="H495" s="145"/>
      <c r="I495" s="129"/>
      <c r="J495" s="129"/>
      <c r="K495" s="146"/>
    </row>
    <row r="496" spans="1:11" s="53" customFormat="1" x14ac:dyDescent="0.3">
      <c r="A496" s="149"/>
      <c r="B496" s="150" t="str">
        <f>IF(Table24[[#This Row],[Affected CMS
(§63.567(o)(3)(ix), §63.567(o)(6)(ii))
(Select from dropdown)]]="","",VLOOKUP(Table24[[#This Row],[Affected CMS
(§63.567(o)(3)(ix), §63.567(o)(6)(ii))
(Select from dropdown)]],Table22[],2,FALSE))</f>
        <v/>
      </c>
      <c r="C496" s="129"/>
      <c r="D496" s="129"/>
      <c r="E496" s="131"/>
      <c r="F496" s="139"/>
      <c r="G496" s="145"/>
      <c r="H496" s="145"/>
      <c r="I496" s="129"/>
      <c r="J496" s="129"/>
      <c r="K496" s="146"/>
    </row>
    <row r="497" spans="1:11" s="53" customFormat="1" x14ac:dyDescent="0.3">
      <c r="A497" s="149"/>
      <c r="B497" s="150" t="str">
        <f>IF(Table24[[#This Row],[Affected CMS
(§63.567(o)(3)(ix), §63.567(o)(6)(ii))
(Select from dropdown)]]="","",VLOOKUP(Table24[[#This Row],[Affected CMS
(§63.567(o)(3)(ix), §63.567(o)(6)(ii))
(Select from dropdown)]],Table22[],2,FALSE))</f>
        <v/>
      </c>
      <c r="C497" s="129"/>
      <c r="D497" s="129"/>
      <c r="E497" s="131"/>
      <c r="F497" s="139"/>
      <c r="G497" s="145"/>
      <c r="H497" s="145"/>
      <c r="I497" s="129"/>
      <c r="J497" s="129"/>
      <c r="K497" s="146"/>
    </row>
    <row r="498" spans="1:11" s="53" customFormat="1" x14ac:dyDescent="0.3">
      <c r="A498" s="149"/>
      <c r="B498" s="150" t="str">
        <f>IF(Table24[[#This Row],[Affected CMS
(§63.567(o)(3)(ix), §63.567(o)(6)(ii))
(Select from dropdown)]]="","",VLOOKUP(Table24[[#This Row],[Affected CMS
(§63.567(o)(3)(ix), §63.567(o)(6)(ii))
(Select from dropdown)]],Table22[],2,FALSE))</f>
        <v/>
      </c>
      <c r="C498" s="129"/>
      <c r="D498" s="129"/>
      <c r="E498" s="131"/>
      <c r="F498" s="139"/>
      <c r="G498" s="145"/>
      <c r="H498" s="145"/>
      <c r="I498" s="129"/>
      <c r="J498" s="129"/>
      <c r="K498" s="146"/>
    </row>
    <row r="499" spans="1:11" s="53" customFormat="1" x14ac:dyDescent="0.3">
      <c r="A499" s="149"/>
      <c r="B499" s="150" t="str">
        <f>IF(Table24[[#This Row],[Affected CMS
(§63.567(o)(3)(ix), §63.567(o)(6)(ii))
(Select from dropdown)]]="","",VLOOKUP(Table24[[#This Row],[Affected CMS
(§63.567(o)(3)(ix), §63.567(o)(6)(ii))
(Select from dropdown)]],Table22[],2,FALSE))</f>
        <v/>
      </c>
      <c r="C499" s="129"/>
      <c r="D499" s="129"/>
      <c r="E499" s="131"/>
      <c r="F499" s="139"/>
      <c r="G499" s="145"/>
      <c r="H499" s="145"/>
      <c r="I499" s="129"/>
      <c r="J499" s="129"/>
      <c r="K499" s="146"/>
    </row>
    <row r="500" spans="1:11" s="53" customFormat="1" x14ac:dyDescent="0.3">
      <c r="A500" s="149"/>
      <c r="B500" s="150" t="str">
        <f>IF(Table24[[#This Row],[Affected CMS
(§63.567(o)(3)(ix), §63.567(o)(6)(ii))
(Select from dropdown)]]="","",VLOOKUP(Table24[[#This Row],[Affected CMS
(§63.567(o)(3)(ix), §63.567(o)(6)(ii))
(Select from dropdown)]],Table22[],2,FALSE))</f>
        <v/>
      </c>
      <c r="C500" s="129"/>
      <c r="D500" s="129"/>
      <c r="E500" s="131"/>
      <c r="F500" s="139"/>
      <c r="G500" s="145"/>
      <c r="H500" s="145"/>
      <c r="I500" s="129"/>
      <c r="J500" s="129"/>
      <c r="K500" s="146"/>
    </row>
    <row r="501" spans="1:11" x14ac:dyDescent="0.3">
      <c r="B501" s="150" t="str">
        <f>IF(Table24[[#This Row],[Affected CMS
(§63.567(o)(3)(ix), §63.567(o)(6)(ii))
(Select from dropdown)]]="","",VLOOKUP(Table24[[#This Row],[Affected CMS
(§63.567(o)(3)(ix), §63.567(o)(6)(ii))
(Select from dropdown)]],Table22[],2,FALSE))</f>
        <v/>
      </c>
      <c r="E501" s="132"/>
      <c r="F501" s="140"/>
      <c r="G501" s="147"/>
      <c r="H501" s="147"/>
      <c r="K501" s="148"/>
    </row>
    <row r="502" spans="1:11" x14ac:dyDescent="0.3">
      <c r="B502" s="150" t="str">
        <f>IF(Table24[[#This Row],[Affected CMS
(§63.567(o)(3)(ix), §63.567(o)(6)(ii))
(Select from dropdown)]]="","",VLOOKUP(Table24[[#This Row],[Affected CMS
(§63.567(o)(3)(ix), §63.567(o)(6)(ii))
(Select from dropdown)]],Table22[],2,FALSE))</f>
        <v/>
      </c>
      <c r="E502" s="132"/>
      <c r="F502" s="140"/>
      <c r="G502" s="147"/>
      <c r="H502" s="147"/>
      <c r="K502" s="148"/>
    </row>
    <row r="503" spans="1:11" x14ac:dyDescent="0.3">
      <c r="B503" s="150" t="str">
        <f>IF(Table24[[#This Row],[Affected CMS
(§63.567(o)(3)(ix), §63.567(o)(6)(ii))
(Select from dropdown)]]="","",VLOOKUP(Table24[[#This Row],[Affected CMS
(§63.567(o)(3)(ix), §63.567(o)(6)(ii))
(Select from dropdown)]],Table22[],2,FALSE))</f>
        <v/>
      </c>
      <c r="E503" s="132"/>
      <c r="F503" s="140"/>
      <c r="G503" s="147"/>
      <c r="H503" s="147"/>
      <c r="K503" s="148"/>
    </row>
    <row r="504" spans="1:11" x14ac:dyDescent="0.3">
      <c r="B504" s="150" t="str">
        <f>IF(Table24[[#This Row],[Affected CMS
(§63.567(o)(3)(ix), §63.567(o)(6)(ii))
(Select from dropdown)]]="","",VLOOKUP(Table24[[#This Row],[Affected CMS
(§63.567(o)(3)(ix), §63.567(o)(6)(ii))
(Select from dropdown)]],Table22[],2,FALSE))</f>
        <v/>
      </c>
      <c r="E504" s="132"/>
      <c r="F504" s="140"/>
      <c r="G504" s="147"/>
      <c r="H504" s="147"/>
      <c r="K504" s="148"/>
    </row>
    <row r="505" spans="1:11" x14ac:dyDescent="0.3">
      <c r="B505" s="150" t="str">
        <f>IF(Table24[[#This Row],[Affected CMS
(§63.567(o)(3)(ix), §63.567(o)(6)(ii))
(Select from dropdown)]]="","",VLOOKUP(Table24[[#This Row],[Affected CMS
(§63.567(o)(3)(ix), §63.567(o)(6)(ii))
(Select from dropdown)]],Table22[],2,FALSE))</f>
        <v/>
      </c>
      <c r="E505" s="132"/>
      <c r="F505" s="140"/>
      <c r="G505" s="147"/>
      <c r="H505" s="147"/>
      <c r="K505" s="148"/>
    </row>
    <row r="506" spans="1:11" x14ac:dyDescent="0.3">
      <c r="B506" s="150" t="str">
        <f>IF(Table24[[#This Row],[Affected CMS
(§63.567(o)(3)(ix), §63.567(o)(6)(ii))
(Select from dropdown)]]="","",VLOOKUP(Table24[[#This Row],[Affected CMS
(§63.567(o)(3)(ix), §63.567(o)(6)(ii))
(Select from dropdown)]],Table22[],2,FALSE))</f>
        <v/>
      </c>
      <c r="E506" s="132"/>
      <c r="F506" s="140"/>
      <c r="G506" s="147"/>
      <c r="H506" s="147"/>
      <c r="K506" s="148"/>
    </row>
    <row r="507" spans="1:11" x14ac:dyDescent="0.3">
      <c r="B507" s="150" t="str">
        <f>IF(Table24[[#This Row],[Affected CMS
(§63.567(o)(3)(ix), §63.567(o)(6)(ii))
(Select from dropdown)]]="","",VLOOKUP(Table24[[#This Row],[Affected CMS
(§63.567(o)(3)(ix), §63.567(o)(6)(ii))
(Select from dropdown)]],Table22[],2,FALSE))</f>
        <v/>
      </c>
      <c r="E507" s="132"/>
      <c r="F507" s="140"/>
      <c r="G507" s="147"/>
      <c r="H507" s="147"/>
      <c r="K507" s="148"/>
    </row>
    <row r="508" spans="1:11" x14ac:dyDescent="0.3">
      <c r="B508" s="150" t="str">
        <f>IF(Table24[[#This Row],[Affected CMS
(§63.567(o)(3)(ix), §63.567(o)(6)(ii))
(Select from dropdown)]]="","",VLOOKUP(Table24[[#This Row],[Affected CMS
(§63.567(o)(3)(ix), §63.567(o)(6)(ii))
(Select from dropdown)]],Table22[],2,FALSE))</f>
        <v/>
      </c>
      <c r="E508" s="132"/>
      <c r="F508" s="140"/>
      <c r="G508" s="147"/>
      <c r="H508" s="147"/>
      <c r="K508" s="148"/>
    </row>
    <row r="509" spans="1:11" x14ac:dyDescent="0.3">
      <c r="B509" s="150" t="str">
        <f>IF(Table24[[#This Row],[Affected CMS
(§63.567(o)(3)(ix), §63.567(o)(6)(ii))
(Select from dropdown)]]="","",VLOOKUP(Table24[[#This Row],[Affected CMS
(§63.567(o)(3)(ix), §63.567(o)(6)(ii))
(Select from dropdown)]],Table22[],2,FALSE))</f>
        <v/>
      </c>
      <c r="E509" s="132"/>
      <c r="F509" s="140"/>
      <c r="G509" s="147"/>
      <c r="H509" s="147"/>
      <c r="K509" s="148"/>
    </row>
    <row r="510" spans="1:11" x14ac:dyDescent="0.3">
      <c r="B510" s="150" t="str">
        <f>IF(Table24[[#This Row],[Affected CMS
(§63.567(o)(3)(ix), §63.567(o)(6)(ii))
(Select from dropdown)]]="","",VLOOKUP(Table24[[#This Row],[Affected CMS
(§63.567(o)(3)(ix), §63.567(o)(6)(ii))
(Select from dropdown)]],Table22[],2,FALSE))</f>
        <v/>
      </c>
      <c r="E510" s="132"/>
      <c r="F510" s="140"/>
      <c r="G510" s="147"/>
      <c r="H510" s="147"/>
      <c r="K510" s="148"/>
    </row>
    <row r="511" spans="1:11" x14ac:dyDescent="0.3">
      <c r="B511" s="150" t="str">
        <f>IF(Table24[[#This Row],[Affected CMS
(§63.567(o)(3)(ix), §63.567(o)(6)(ii))
(Select from dropdown)]]="","",VLOOKUP(Table24[[#This Row],[Affected CMS
(§63.567(o)(3)(ix), §63.567(o)(6)(ii))
(Select from dropdown)]],Table22[],2,FALSE))</f>
        <v/>
      </c>
      <c r="E511" s="132"/>
      <c r="F511" s="140"/>
      <c r="G511" s="147"/>
      <c r="H511" s="147"/>
      <c r="K511" s="148"/>
    </row>
    <row r="512" spans="1:11" x14ac:dyDescent="0.3">
      <c r="B512" s="150" t="str">
        <f>IF(Table24[[#This Row],[Affected CMS
(§63.567(o)(3)(ix), §63.567(o)(6)(ii))
(Select from dropdown)]]="","",VLOOKUP(Table24[[#This Row],[Affected CMS
(§63.567(o)(3)(ix), §63.567(o)(6)(ii))
(Select from dropdown)]],Table22[],2,FALSE))</f>
        <v/>
      </c>
      <c r="E512" s="132"/>
      <c r="F512" s="140"/>
      <c r="G512" s="147"/>
      <c r="H512" s="147"/>
      <c r="K512" s="148"/>
    </row>
    <row r="513" spans="2:11" x14ac:dyDescent="0.3">
      <c r="B513" s="150" t="str">
        <f>IF(Table24[[#This Row],[Affected CMS
(§63.567(o)(3)(ix), §63.567(o)(6)(ii))
(Select from dropdown)]]="","",VLOOKUP(Table24[[#This Row],[Affected CMS
(§63.567(o)(3)(ix), §63.567(o)(6)(ii))
(Select from dropdown)]],Table22[],2,FALSE))</f>
        <v/>
      </c>
      <c r="E513" s="132"/>
      <c r="F513" s="140"/>
      <c r="G513" s="147"/>
      <c r="H513" s="147"/>
      <c r="K513" s="148"/>
    </row>
    <row r="514" spans="2:11" x14ac:dyDescent="0.3">
      <c r="B514" s="150" t="str">
        <f>IF(Table24[[#This Row],[Affected CMS
(§63.567(o)(3)(ix), §63.567(o)(6)(ii))
(Select from dropdown)]]="","",VLOOKUP(Table24[[#This Row],[Affected CMS
(§63.567(o)(3)(ix), §63.567(o)(6)(ii))
(Select from dropdown)]],Table22[],2,FALSE))</f>
        <v/>
      </c>
      <c r="E514" s="132"/>
      <c r="F514" s="140"/>
      <c r="G514" s="147"/>
      <c r="H514" s="147"/>
      <c r="K514" s="148"/>
    </row>
    <row r="515" spans="2:11" x14ac:dyDescent="0.3">
      <c r="B515" s="150" t="str">
        <f>IF(Table24[[#This Row],[Affected CMS
(§63.567(o)(3)(ix), §63.567(o)(6)(ii))
(Select from dropdown)]]="","",VLOOKUP(Table24[[#This Row],[Affected CMS
(§63.567(o)(3)(ix), §63.567(o)(6)(ii))
(Select from dropdown)]],Table22[],2,FALSE))</f>
        <v/>
      </c>
      <c r="E515" s="132"/>
      <c r="F515" s="140"/>
      <c r="G515" s="147"/>
      <c r="H515" s="147"/>
      <c r="K515" s="148"/>
    </row>
    <row r="516" spans="2:11" x14ac:dyDescent="0.3">
      <c r="B516" s="150" t="str">
        <f>IF(Table24[[#This Row],[Affected CMS
(§63.567(o)(3)(ix), §63.567(o)(6)(ii))
(Select from dropdown)]]="","",VLOOKUP(Table24[[#This Row],[Affected CMS
(§63.567(o)(3)(ix), §63.567(o)(6)(ii))
(Select from dropdown)]],Table22[],2,FALSE))</f>
        <v/>
      </c>
      <c r="E516" s="132"/>
      <c r="F516" s="140"/>
      <c r="G516" s="147"/>
      <c r="H516" s="147"/>
      <c r="K516" s="148"/>
    </row>
    <row r="517" spans="2:11" x14ac:dyDescent="0.3">
      <c r="B517" s="150" t="str">
        <f>IF(Table24[[#This Row],[Affected CMS
(§63.567(o)(3)(ix), §63.567(o)(6)(ii))
(Select from dropdown)]]="","",VLOOKUP(Table24[[#This Row],[Affected CMS
(§63.567(o)(3)(ix), §63.567(o)(6)(ii))
(Select from dropdown)]],Table22[],2,FALSE))</f>
        <v/>
      </c>
      <c r="E517" s="132"/>
      <c r="F517" s="140"/>
      <c r="G517" s="147"/>
      <c r="H517" s="147"/>
      <c r="K517" s="148"/>
    </row>
    <row r="518" spans="2:11" x14ac:dyDescent="0.3">
      <c r="B518" s="150" t="str">
        <f>IF(Table24[[#This Row],[Affected CMS
(§63.567(o)(3)(ix), §63.567(o)(6)(ii))
(Select from dropdown)]]="","",VLOOKUP(Table24[[#This Row],[Affected CMS
(§63.567(o)(3)(ix), §63.567(o)(6)(ii))
(Select from dropdown)]],Table22[],2,FALSE))</f>
        <v/>
      </c>
      <c r="E518" s="132"/>
      <c r="F518" s="140"/>
      <c r="G518" s="147"/>
      <c r="H518" s="147"/>
      <c r="K518" s="148"/>
    </row>
    <row r="519" spans="2:11" x14ac:dyDescent="0.3">
      <c r="B519" s="150" t="str">
        <f>IF(Table24[[#This Row],[Affected CMS
(§63.567(o)(3)(ix), §63.567(o)(6)(ii))
(Select from dropdown)]]="","",VLOOKUP(Table24[[#This Row],[Affected CMS
(§63.567(o)(3)(ix), §63.567(o)(6)(ii))
(Select from dropdown)]],Table22[],2,FALSE))</f>
        <v/>
      </c>
      <c r="E519" s="132"/>
      <c r="F519" s="140"/>
      <c r="G519" s="147"/>
      <c r="H519" s="147"/>
      <c r="K519" s="148"/>
    </row>
    <row r="520" spans="2:11" x14ac:dyDescent="0.3">
      <c r="B520" s="150" t="str">
        <f>IF(Table24[[#This Row],[Affected CMS
(§63.567(o)(3)(ix), §63.567(o)(6)(ii))
(Select from dropdown)]]="","",VLOOKUP(Table24[[#This Row],[Affected CMS
(§63.567(o)(3)(ix), §63.567(o)(6)(ii))
(Select from dropdown)]],Table22[],2,FALSE))</f>
        <v/>
      </c>
      <c r="E520" s="132"/>
      <c r="F520" s="140"/>
      <c r="G520" s="147"/>
      <c r="H520" s="147"/>
      <c r="K520" s="148"/>
    </row>
    <row r="521" spans="2:11" x14ac:dyDescent="0.3">
      <c r="B521" s="150" t="str">
        <f>IF(Table24[[#This Row],[Affected CMS
(§63.567(o)(3)(ix), §63.567(o)(6)(ii))
(Select from dropdown)]]="","",VLOOKUP(Table24[[#This Row],[Affected CMS
(§63.567(o)(3)(ix), §63.567(o)(6)(ii))
(Select from dropdown)]],Table22[],2,FALSE))</f>
        <v/>
      </c>
      <c r="E521" s="132"/>
      <c r="F521" s="140"/>
      <c r="G521" s="147"/>
      <c r="H521" s="147"/>
      <c r="K521" s="148"/>
    </row>
    <row r="522" spans="2:11" x14ac:dyDescent="0.3">
      <c r="B522" s="150" t="str">
        <f>IF(Table24[[#This Row],[Affected CMS
(§63.567(o)(3)(ix), §63.567(o)(6)(ii))
(Select from dropdown)]]="","",VLOOKUP(Table24[[#This Row],[Affected CMS
(§63.567(o)(3)(ix), §63.567(o)(6)(ii))
(Select from dropdown)]],Table22[],2,FALSE))</f>
        <v/>
      </c>
      <c r="E522" s="132"/>
      <c r="F522" s="140"/>
      <c r="G522" s="147"/>
      <c r="H522" s="147"/>
      <c r="K522" s="148"/>
    </row>
    <row r="523" spans="2:11" x14ac:dyDescent="0.3">
      <c r="B523" s="150" t="str">
        <f>IF(Table24[[#This Row],[Affected CMS
(§63.567(o)(3)(ix), §63.567(o)(6)(ii))
(Select from dropdown)]]="","",VLOOKUP(Table24[[#This Row],[Affected CMS
(§63.567(o)(3)(ix), §63.567(o)(6)(ii))
(Select from dropdown)]],Table22[],2,FALSE))</f>
        <v/>
      </c>
      <c r="E523" s="132"/>
      <c r="F523" s="140"/>
      <c r="G523" s="147"/>
      <c r="H523" s="147"/>
      <c r="K523" s="148"/>
    </row>
    <row r="524" spans="2:11" x14ac:dyDescent="0.3">
      <c r="B524" s="150" t="str">
        <f>IF(Table24[[#This Row],[Affected CMS
(§63.567(o)(3)(ix), §63.567(o)(6)(ii))
(Select from dropdown)]]="","",VLOOKUP(Table24[[#This Row],[Affected CMS
(§63.567(o)(3)(ix), §63.567(o)(6)(ii))
(Select from dropdown)]],Table22[],2,FALSE))</f>
        <v/>
      </c>
      <c r="E524" s="132"/>
      <c r="F524" s="140"/>
      <c r="G524" s="147"/>
      <c r="H524" s="147"/>
      <c r="K524" s="148"/>
    </row>
    <row r="525" spans="2:11" x14ac:dyDescent="0.3">
      <c r="B525" s="150" t="str">
        <f>IF(Table24[[#This Row],[Affected CMS
(§63.567(o)(3)(ix), §63.567(o)(6)(ii))
(Select from dropdown)]]="","",VLOOKUP(Table24[[#This Row],[Affected CMS
(§63.567(o)(3)(ix), §63.567(o)(6)(ii))
(Select from dropdown)]],Table22[],2,FALSE))</f>
        <v/>
      </c>
      <c r="E525" s="132"/>
      <c r="F525" s="140"/>
      <c r="G525" s="147"/>
      <c r="H525" s="147"/>
      <c r="K525" s="148"/>
    </row>
    <row r="526" spans="2:11" x14ac:dyDescent="0.3">
      <c r="B526" s="150" t="str">
        <f>IF(Table24[[#This Row],[Affected CMS
(§63.567(o)(3)(ix), §63.567(o)(6)(ii))
(Select from dropdown)]]="","",VLOOKUP(Table24[[#This Row],[Affected CMS
(§63.567(o)(3)(ix), §63.567(o)(6)(ii))
(Select from dropdown)]],Table22[],2,FALSE))</f>
        <v/>
      </c>
      <c r="E526" s="132"/>
      <c r="F526" s="140"/>
      <c r="G526" s="147"/>
      <c r="H526" s="147"/>
      <c r="K526" s="148"/>
    </row>
    <row r="527" spans="2:11" x14ac:dyDescent="0.3">
      <c r="B527" s="150" t="str">
        <f>IF(Table24[[#This Row],[Affected CMS
(§63.567(o)(3)(ix), §63.567(o)(6)(ii))
(Select from dropdown)]]="","",VLOOKUP(Table24[[#This Row],[Affected CMS
(§63.567(o)(3)(ix), §63.567(o)(6)(ii))
(Select from dropdown)]],Table22[],2,FALSE))</f>
        <v/>
      </c>
      <c r="E527" s="132"/>
      <c r="F527" s="140"/>
      <c r="G527" s="147"/>
      <c r="H527" s="147"/>
      <c r="K527" s="148"/>
    </row>
    <row r="528" spans="2:11" x14ac:dyDescent="0.3">
      <c r="B528" s="150" t="str">
        <f>IF(Table24[[#This Row],[Affected CMS
(§63.567(o)(3)(ix), §63.567(o)(6)(ii))
(Select from dropdown)]]="","",VLOOKUP(Table24[[#This Row],[Affected CMS
(§63.567(o)(3)(ix), §63.567(o)(6)(ii))
(Select from dropdown)]],Table22[],2,FALSE))</f>
        <v/>
      </c>
      <c r="E528" s="132"/>
      <c r="F528" s="140"/>
      <c r="G528" s="147"/>
      <c r="H528" s="147"/>
      <c r="K528" s="148"/>
    </row>
    <row r="529" spans="2:11" x14ac:dyDescent="0.3">
      <c r="B529" s="150" t="str">
        <f>IF(Table24[[#This Row],[Affected CMS
(§63.567(o)(3)(ix), §63.567(o)(6)(ii))
(Select from dropdown)]]="","",VLOOKUP(Table24[[#This Row],[Affected CMS
(§63.567(o)(3)(ix), §63.567(o)(6)(ii))
(Select from dropdown)]],Table22[],2,FALSE))</f>
        <v/>
      </c>
      <c r="E529" s="132"/>
      <c r="F529" s="140"/>
      <c r="G529" s="147"/>
      <c r="H529" s="147"/>
      <c r="K529" s="148"/>
    </row>
    <row r="530" spans="2:11" x14ac:dyDescent="0.3">
      <c r="B530" s="150" t="str">
        <f>IF(Table24[[#This Row],[Affected CMS
(§63.567(o)(3)(ix), §63.567(o)(6)(ii))
(Select from dropdown)]]="","",VLOOKUP(Table24[[#This Row],[Affected CMS
(§63.567(o)(3)(ix), §63.567(o)(6)(ii))
(Select from dropdown)]],Table22[],2,FALSE))</f>
        <v/>
      </c>
      <c r="E530" s="132"/>
      <c r="F530" s="140"/>
      <c r="G530" s="147"/>
      <c r="H530" s="147"/>
      <c r="K530" s="148"/>
    </row>
    <row r="531" spans="2:11" x14ac:dyDescent="0.3">
      <c r="B531" s="150" t="str">
        <f>IF(Table24[[#This Row],[Affected CMS
(§63.567(o)(3)(ix), §63.567(o)(6)(ii))
(Select from dropdown)]]="","",VLOOKUP(Table24[[#This Row],[Affected CMS
(§63.567(o)(3)(ix), §63.567(o)(6)(ii))
(Select from dropdown)]],Table22[],2,FALSE))</f>
        <v/>
      </c>
      <c r="E531" s="132"/>
      <c r="F531" s="140"/>
      <c r="G531" s="147"/>
      <c r="H531" s="147"/>
      <c r="K531" s="148"/>
    </row>
    <row r="532" spans="2:11" x14ac:dyDescent="0.3">
      <c r="B532" s="150" t="str">
        <f>IF(Table24[[#This Row],[Affected CMS
(§63.567(o)(3)(ix), §63.567(o)(6)(ii))
(Select from dropdown)]]="","",VLOOKUP(Table24[[#This Row],[Affected CMS
(§63.567(o)(3)(ix), §63.567(o)(6)(ii))
(Select from dropdown)]],Table22[],2,FALSE))</f>
        <v/>
      </c>
      <c r="E532" s="132"/>
      <c r="F532" s="140"/>
      <c r="G532" s="147"/>
      <c r="H532" s="147"/>
      <c r="K532" s="148"/>
    </row>
    <row r="533" spans="2:11" x14ac:dyDescent="0.3">
      <c r="B533" s="150" t="str">
        <f>IF(Table24[[#This Row],[Affected CMS
(§63.567(o)(3)(ix), §63.567(o)(6)(ii))
(Select from dropdown)]]="","",VLOOKUP(Table24[[#This Row],[Affected CMS
(§63.567(o)(3)(ix), §63.567(o)(6)(ii))
(Select from dropdown)]],Table22[],2,FALSE))</f>
        <v/>
      </c>
      <c r="E533" s="132"/>
      <c r="F533" s="140"/>
      <c r="G533" s="147"/>
      <c r="H533" s="147"/>
      <c r="K533" s="148"/>
    </row>
    <row r="534" spans="2:11" x14ac:dyDescent="0.3">
      <c r="B534" s="150" t="str">
        <f>IF(Table24[[#This Row],[Affected CMS
(§63.567(o)(3)(ix), §63.567(o)(6)(ii))
(Select from dropdown)]]="","",VLOOKUP(Table24[[#This Row],[Affected CMS
(§63.567(o)(3)(ix), §63.567(o)(6)(ii))
(Select from dropdown)]],Table22[],2,FALSE))</f>
        <v/>
      </c>
      <c r="E534" s="132"/>
      <c r="F534" s="140"/>
      <c r="G534" s="147"/>
      <c r="H534" s="147"/>
      <c r="K534" s="148"/>
    </row>
    <row r="535" spans="2:11" x14ac:dyDescent="0.3">
      <c r="B535" s="150" t="str">
        <f>IF(Table24[[#This Row],[Affected CMS
(§63.567(o)(3)(ix), §63.567(o)(6)(ii))
(Select from dropdown)]]="","",VLOOKUP(Table24[[#This Row],[Affected CMS
(§63.567(o)(3)(ix), §63.567(o)(6)(ii))
(Select from dropdown)]],Table22[],2,FALSE))</f>
        <v/>
      </c>
      <c r="E535" s="132"/>
      <c r="F535" s="140"/>
      <c r="G535" s="147"/>
      <c r="H535" s="147"/>
      <c r="K535" s="148"/>
    </row>
    <row r="536" spans="2:11" x14ac:dyDescent="0.3">
      <c r="B536" s="150" t="str">
        <f>IF(Table24[[#This Row],[Affected CMS
(§63.567(o)(3)(ix), §63.567(o)(6)(ii))
(Select from dropdown)]]="","",VLOOKUP(Table24[[#This Row],[Affected CMS
(§63.567(o)(3)(ix), §63.567(o)(6)(ii))
(Select from dropdown)]],Table22[],2,FALSE))</f>
        <v/>
      </c>
      <c r="E536" s="132"/>
      <c r="F536" s="140"/>
      <c r="G536" s="147"/>
      <c r="H536" s="147"/>
      <c r="K536" s="148"/>
    </row>
    <row r="537" spans="2:11" x14ac:dyDescent="0.3">
      <c r="B537" s="150" t="str">
        <f>IF(Table24[[#This Row],[Affected CMS
(§63.567(o)(3)(ix), §63.567(o)(6)(ii))
(Select from dropdown)]]="","",VLOOKUP(Table24[[#This Row],[Affected CMS
(§63.567(o)(3)(ix), §63.567(o)(6)(ii))
(Select from dropdown)]],Table22[],2,FALSE))</f>
        <v/>
      </c>
      <c r="E537" s="132"/>
      <c r="F537" s="140"/>
      <c r="G537" s="147"/>
      <c r="H537" s="147"/>
      <c r="K537" s="148"/>
    </row>
    <row r="538" spans="2:11" x14ac:dyDescent="0.3">
      <c r="B538" s="150" t="str">
        <f>IF(Table24[[#This Row],[Affected CMS
(§63.567(o)(3)(ix), §63.567(o)(6)(ii))
(Select from dropdown)]]="","",VLOOKUP(Table24[[#This Row],[Affected CMS
(§63.567(o)(3)(ix), §63.567(o)(6)(ii))
(Select from dropdown)]],Table22[],2,FALSE))</f>
        <v/>
      </c>
      <c r="E538" s="132"/>
      <c r="F538" s="140"/>
      <c r="G538" s="147"/>
      <c r="H538" s="147"/>
      <c r="K538" s="148"/>
    </row>
    <row r="539" spans="2:11" x14ac:dyDescent="0.3">
      <c r="B539" s="150" t="str">
        <f>IF(Table24[[#This Row],[Affected CMS
(§63.567(o)(3)(ix), §63.567(o)(6)(ii))
(Select from dropdown)]]="","",VLOOKUP(Table24[[#This Row],[Affected CMS
(§63.567(o)(3)(ix), §63.567(o)(6)(ii))
(Select from dropdown)]],Table22[],2,FALSE))</f>
        <v/>
      </c>
      <c r="E539" s="132"/>
      <c r="F539" s="140"/>
      <c r="G539" s="147"/>
      <c r="H539" s="147"/>
      <c r="K539" s="148"/>
    </row>
    <row r="540" spans="2:11" x14ac:dyDescent="0.3">
      <c r="B540" s="150" t="str">
        <f>IF(Table24[[#This Row],[Affected CMS
(§63.567(o)(3)(ix), §63.567(o)(6)(ii))
(Select from dropdown)]]="","",VLOOKUP(Table24[[#This Row],[Affected CMS
(§63.567(o)(3)(ix), §63.567(o)(6)(ii))
(Select from dropdown)]],Table22[],2,FALSE))</f>
        <v/>
      </c>
      <c r="E540" s="132"/>
      <c r="F540" s="140"/>
      <c r="G540" s="147"/>
      <c r="H540" s="147"/>
      <c r="K540" s="148"/>
    </row>
    <row r="541" spans="2:11" x14ac:dyDescent="0.3">
      <c r="B541" s="150" t="str">
        <f>IF(Table24[[#This Row],[Affected CMS
(§63.567(o)(3)(ix), §63.567(o)(6)(ii))
(Select from dropdown)]]="","",VLOOKUP(Table24[[#This Row],[Affected CMS
(§63.567(o)(3)(ix), §63.567(o)(6)(ii))
(Select from dropdown)]],Table22[],2,FALSE))</f>
        <v/>
      </c>
      <c r="E541" s="132"/>
      <c r="F541" s="140"/>
      <c r="G541" s="147"/>
      <c r="H541" s="147"/>
      <c r="K541" s="148"/>
    </row>
    <row r="542" spans="2:11" x14ac:dyDescent="0.3">
      <c r="B542" s="150" t="str">
        <f>IF(Table24[[#This Row],[Affected CMS
(§63.567(o)(3)(ix), §63.567(o)(6)(ii))
(Select from dropdown)]]="","",VLOOKUP(Table24[[#This Row],[Affected CMS
(§63.567(o)(3)(ix), §63.567(o)(6)(ii))
(Select from dropdown)]],Table22[],2,FALSE))</f>
        <v/>
      </c>
      <c r="E542" s="132"/>
      <c r="F542" s="140"/>
      <c r="G542" s="147"/>
      <c r="H542" s="147"/>
      <c r="K542" s="148"/>
    </row>
    <row r="543" spans="2:11" x14ac:dyDescent="0.3">
      <c r="B543" s="150" t="str">
        <f>IF(Table24[[#This Row],[Affected CMS
(§63.567(o)(3)(ix), §63.567(o)(6)(ii))
(Select from dropdown)]]="","",VLOOKUP(Table24[[#This Row],[Affected CMS
(§63.567(o)(3)(ix), §63.567(o)(6)(ii))
(Select from dropdown)]],Table22[],2,FALSE))</f>
        <v/>
      </c>
      <c r="E543" s="132"/>
      <c r="F543" s="140"/>
      <c r="G543" s="147"/>
      <c r="H543" s="147"/>
      <c r="K543" s="148"/>
    </row>
    <row r="544" spans="2:11" x14ac:dyDescent="0.3">
      <c r="B544" s="150" t="str">
        <f>IF(Table24[[#This Row],[Affected CMS
(§63.567(o)(3)(ix), §63.567(o)(6)(ii))
(Select from dropdown)]]="","",VLOOKUP(Table24[[#This Row],[Affected CMS
(§63.567(o)(3)(ix), §63.567(o)(6)(ii))
(Select from dropdown)]],Table22[],2,FALSE))</f>
        <v/>
      </c>
      <c r="E544" s="132"/>
      <c r="F544" s="140"/>
      <c r="G544" s="147"/>
      <c r="H544" s="147"/>
      <c r="K544" s="148"/>
    </row>
    <row r="545" spans="2:11" x14ac:dyDescent="0.3">
      <c r="B545" s="150" t="str">
        <f>IF(Table24[[#This Row],[Affected CMS
(§63.567(o)(3)(ix), §63.567(o)(6)(ii))
(Select from dropdown)]]="","",VLOOKUP(Table24[[#This Row],[Affected CMS
(§63.567(o)(3)(ix), §63.567(o)(6)(ii))
(Select from dropdown)]],Table22[],2,FALSE))</f>
        <v/>
      </c>
      <c r="E545" s="132"/>
      <c r="F545" s="140"/>
      <c r="G545" s="147"/>
      <c r="H545" s="147"/>
      <c r="K545" s="148"/>
    </row>
    <row r="546" spans="2:11" x14ac:dyDescent="0.3">
      <c r="B546" s="150" t="str">
        <f>IF(Table24[[#This Row],[Affected CMS
(§63.567(o)(3)(ix), §63.567(o)(6)(ii))
(Select from dropdown)]]="","",VLOOKUP(Table24[[#This Row],[Affected CMS
(§63.567(o)(3)(ix), §63.567(o)(6)(ii))
(Select from dropdown)]],Table22[],2,FALSE))</f>
        <v/>
      </c>
      <c r="E546" s="132"/>
      <c r="F546" s="140"/>
      <c r="G546" s="147"/>
      <c r="H546" s="147"/>
      <c r="K546" s="148"/>
    </row>
    <row r="547" spans="2:11" x14ac:dyDescent="0.3">
      <c r="B547" s="150" t="str">
        <f>IF(Table24[[#This Row],[Affected CMS
(§63.567(o)(3)(ix), §63.567(o)(6)(ii))
(Select from dropdown)]]="","",VLOOKUP(Table24[[#This Row],[Affected CMS
(§63.567(o)(3)(ix), §63.567(o)(6)(ii))
(Select from dropdown)]],Table22[],2,FALSE))</f>
        <v/>
      </c>
      <c r="E547" s="132"/>
      <c r="F547" s="140"/>
      <c r="G547" s="147"/>
      <c r="H547" s="147"/>
      <c r="K547" s="148"/>
    </row>
    <row r="548" spans="2:11" x14ac:dyDescent="0.3">
      <c r="B548" s="150" t="str">
        <f>IF(Table24[[#This Row],[Affected CMS
(§63.567(o)(3)(ix), §63.567(o)(6)(ii))
(Select from dropdown)]]="","",VLOOKUP(Table24[[#This Row],[Affected CMS
(§63.567(o)(3)(ix), §63.567(o)(6)(ii))
(Select from dropdown)]],Table22[],2,FALSE))</f>
        <v/>
      </c>
      <c r="E548" s="132"/>
      <c r="F548" s="140"/>
      <c r="G548" s="147"/>
      <c r="H548" s="147"/>
      <c r="K548" s="148"/>
    </row>
    <row r="549" spans="2:11" x14ac:dyDescent="0.3">
      <c r="B549" s="150" t="str">
        <f>IF(Table24[[#This Row],[Affected CMS
(§63.567(o)(3)(ix), §63.567(o)(6)(ii))
(Select from dropdown)]]="","",VLOOKUP(Table24[[#This Row],[Affected CMS
(§63.567(o)(3)(ix), §63.567(o)(6)(ii))
(Select from dropdown)]],Table22[],2,FALSE))</f>
        <v/>
      </c>
      <c r="E549" s="132"/>
      <c r="F549" s="140"/>
      <c r="G549" s="147"/>
      <c r="H549" s="147"/>
      <c r="K549" s="148"/>
    </row>
    <row r="550" spans="2:11" x14ac:dyDescent="0.3">
      <c r="B550" s="150" t="str">
        <f>IF(Table24[[#This Row],[Affected CMS
(§63.567(o)(3)(ix), §63.567(o)(6)(ii))
(Select from dropdown)]]="","",VLOOKUP(Table24[[#This Row],[Affected CMS
(§63.567(o)(3)(ix), §63.567(o)(6)(ii))
(Select from dropdown)]],Table22[],2,FALSE))</f>
        <v/>
      </c>
      <c r="E550" s="132"/>
      <c r="F550" s="140"/>
      <c r="G550" s="147"/>
      <c r="H550" s="147"/>
      <c r="K550" s="148"/>
    </row>
    <row r="551" spans="2:11" x14ac:dyDescent="0.3">
      <c r="B551" s="150" t="str">
        <f>IF(Table24[[#This Row],[Affected CMS
(§63.567(o)(3)(ix), §63.567(o)(6)(ii))
(Select from dropdown)]]="","",VLOOKUP(Table24[[#This Row],[Affected CMS
(§63.567(o)(3)(ix), §63.567(o)(6)(ii))
(Select from dropdown)]],Table22[],2,FALSE))</f>
        <v/>
      </c>
      <c r="E551" s="132"/>
      <c r="F551" s="140"/>
      <c r="G551" s="147"/>
      <c r="H551" s="147"/>
      <c r="K551" s="148"/>
    </row>
    <row r="552" spans="2:11" x14ac:dyDescent="0.3">
      <c r="B552" s="150" t="str">
        <f>IF(Table24[[#This Row],[Affected CMS
(§63.567(o)(3)(ix), §63.567(o)(6)(ii))
(Select from dropdown)]]="","",VLOOKUP(Table24[[#This Row],[Affected CMS
(§63.567(o)(3)(ix), §63.567(o)(6)(ii))
(Select from dropdown)]],Table22[],2,FALSE))</f>
        <v/>
      </c>
      <c r="E552" s="132"/>
      <c r="F552" s="140"/>
      <c r="G552" s="147"/>
      <c r="H552" s="147"/>
      <c r="K552" s="148"/>
    </row>
    <row r="553" spans="2:11" x14ac:dyDescent="0.3">
      <c r="B553" s="150" t="str">
        <f>IF(Table24[[#This Row],[Affected CMS
(§63.567(o)(3)(ix), §63.567(o)(6)(ii))
(Select from dropdown)]]="","",VLOOKUP(Table24[[#This Row],[Affected CMS
(§63.567(o)(3)(ix), §63.567(o)(6)(ii))
(Select from dropdown)]],Table22[],2,FALSE))</f>
        <v/>
      </c>
      <c r="E553" s="132"/>
      <c r="F553" s="140"/>
      <c r="G553" s="147"/>
      <c r="H553" s="147"/>
      <c r="K553" s="148"/>
    </row>
    <row r="554" spans="2:11" x14ac:dyDescent="0.3">
      <c r="B554" s="150" t="str">
        <f>IF(Table24[[#This Row],[Affected CMS
(§63.567(o)(3)(ix), §63.567(o)(6)(ii))
(Select from dropdown)]]="","",VLOOKUP(Table24[[#This Row],[Affected CMS
(§63.567(o)(3)(ix), §63.567(o)(6)(ii))
(Select from dropdown)]],Table22[],2,FALSE))</f>
        <v/>
      </c>
      <c r="E554" s="132"/>
      <c r="F554" s="140"/>
      <c r="G554" s="147"/>
      <c r="H554" s="147"/>
      <c r="K554" s="148"/>
    </row>
    <row r="555" spans="2:11" x14ac:dyDescent="0.3">
      <c r="B555" s="150" t="str">
        <f>IF(Table24[[#This Row],[Affected CMS
(§63.567(o)(3)(ix), §63.567(o)(6)(ii))
(Select from dropdown)]]="","",VLOOKUP(Table24[[#This Row],[Affected CMS
(§63.567(o)(3)(ix), §63.567(o)(6)(ii))
(Select from dropdown)]],Table22[],2,FALSE))</f>
        <v/>
      </c>
      <c r="E555" s="132"/>
      <c r="F555" s="140"/>
      <c r="G555" s="147"/>
      <c r="H555" s="147"/>
      <c r="K555" s="148"/>
    </row>
    <row r="556" spans="2:11" x14ac:dyDescent="0.3">
      <c r="B556" s="150" t="str">
        <f>IF(Table24[[#This Row],[Affected CMS
(§63.567(o)(3)(ix), §63.567(o)(6)(ii))
(Select from dropdown)]]="","",VLOOKUP(Table24[[#This Row],[Affected CMS
(§63.567(o)(3)(ix), §63.567(o)(6)(ii))
(Select from dropdown)]],Table22[],2,FALSE))</f>
        <v/>
      </c>
      <c r="E556" s="132"/>
      <c r="F556" s="140"/>
      <c r="G556" s="147"/>
      <c r="H556" s="147"/>
      <c r="K556" s="148"/>
    </row>
    <row r="557" spans="2:11" x14ac:dyDescent="0.3">
      <c r="B557" s="150" t="str">
        <f>IF(Table24[[#This Row],[Affected CMS
(§63.567(o)(3)(ix), §63.567(o)(6)(ii))
(Select from dropdown)]]="","",VLOOKUP(Table24[[#This Row],[Affected CMS
(§63.567(o)(3)(ix), §63.567(o)(6)(ii))
(Select from dropdown)]],Table22[],2,FALSE))</f>
        <v/>
      </c>
      <c r="E557" s="132"/>
      <c r="F557" s="140"/>
      <c r="G557" s="147"/>
      <c r="H557" s="147"/>
      <c r="K557" s="148"/>
    </row>
    <row r="558" spans="2:11" x14ac:dyDescent="0.3">
      <c r="B558" s="150" t="str">
        <f>IF(Table24[[#This Row],[Affected CMS
(§63.567(o)(3)(ix), §63.567(o)(6)(ii))
(Select from dropdown)]]="","",VLOOKUP(Table24[[#This Row],[Affected CMS
(§63.567(o)(3)(ix), §63.567(o)(6)(ii))
(Select from dropdown)]],Table22[],2,FALSE))</f>
        <v/>
      </c>
      <c r="E558" s="132"/>
      <c r="F558" s="140"/>
      <c r="G558" s="147"/>
      <c r="H558" s="147"/>
      <c r="K558" s="148"/>
    </row>
    <row r="559" spans="2:11" x14ac:dyDescent="0.3">
      <c r="B559" s="150" t="str">
        <f>IF(Table24[[#This Row],[Affected CMS
(§63.567(o)(3)(ix), §63.567(o)(6)(ii))
(Select from dropdown)]]="","",VLOOKUP(Table24[[#This Row],[Affected CMS
(§63.567(o)(3)(ix), §63.567(o)(6)(ii))
(Select from dropdown)]],Table22[],2,FALSE))</f>
        <v/>
      </c>
      <c r="E559" s="132"/>
      <c r="F559" s="140"/>
      <c r="G559" s="147"/>
      <c r="H559" s="147"/>
      <c r="K559" s="148"/>
    </row>
    <row r="560" spans="2:11" x14ac:dyDescent="0.3">
      <c r="B560" s="150" t="str">
        <f>IF(Table24[[#This Row],[Affected CMS
(§63.567(o)(3)(ix), §63.567(o)(6)(ii))
(Select from dropdown)]]="","",VLOOKUP(Table24[[#This Row],[Affected CMS
(§63.567(o)(3)(ix), §63.567(o)(6)(ii))
(Select from dropdown)]],Table22[],2,FALSE))</f>
        <v/>
      </c>
      <c r="E560" s="132"/>
      <c r="F560" s="140"/>
      <c r="G560" s="147"/>
      <c r="H560" s="147"/>
      <c r="K560" s="148"/>
    </row>
    <row r="561" spans="2:11" x14ac:dyDescent="0.3">
      <c r="B561" s="150" t="str">
        <f>IF(Table24[[#This Row],[Affected CMS
(§63.567(o)(3)(ix), §63.567(o)(6)(ii))
(Select from dropdown)]]="","",VLOOKUP(Table24[[#This Row],[Affected CMS
(§63.567(o)(3)(ix), §63.567(o)(6)(ii))
(Select from dropdown)]],Table22[],2,FALSE))</f>
        <v/>
      </c>
      <c r="E561" s="132"/>
      <c r="F561" s="140"/>
      <c r="G561" s="147"/>
      <c r="H561" s="147"/>
      <c r="K561" s="148"/>
    </row>
    <row r="562" spans="2:11" x14ac:dyDescent="0.3">
      <c r="B562" s="150" t="str">
        <f>IF(Table24[[#This Row],[Affected CMS
(§63.567(o)(3)(ix), §63.567(o)(6)(ii))
(Select from dropdown)]]="","",VLOOKUP(Table24[[#This Row],[Affected CMS
(§63.567(o)(3)(ix), §63.567(o)(6)(ii))
(Select from dropdown)]],Table22[],2,FALSE))</f>
        <v/>
      </c>
      <c r="E562" s="132"/>
      <c r="F562" s="140"/>
      <c r="G562" s="147"/>
      <c r="H562" s="147"/>
      <c r="K562" s="148"/>
    </row>
    <row r="563" spans="2:11" x14ac:dyDescent="0.3">
      <c r="B563" s="150" t="str">
        <f>IF(Table24[[#This Row],[Affected CMS
(§63.567(o)(3)(ix), §63.567(o)(6)(ii))
(Select from dropdown)]]="","",VLOOKUP(Table24[[#This Row],[Affected CMS
(§63.567(o)(3)(ix), §63.567(o)(6)(ii))
(Select from dropdown)]],Table22[],2,FALSE))</f>
        <v/>
      </c>
      <c r="E563" s="132"/>
      <c r="F563" s="140"/>
      <c r="G563" s="147"/>
      <c r="H563" s="147"/>
      <c r="K563" s="148"/>
    </row>
    <row r="564" spans="2:11" x14ac:dyDescent="0.3">
      <c r="B564" s="150" t="str">
        <f>IF(Table24[[#This Row],[Affected CMS
(§63.567(o)(3)(ix), §63.567(o)(6)(ii))
(Select from dropdown)]]="","",VLOOKUP(Table24[[#This Row],[Affected CMS
(§63.567(o)(3)(ix), §63.567(o)(6)(ii))
(Select from dropdown)]],Table22[],2,FALSE))</f>
        <v/>
      </c>
      <c r="E564" s="132"/>
      <c r="F564" s="140"/>
      <c r="G564" s="147"/>
      <c r="H564" s="147"/>
      <c r="K564" s="148"/>
    </row>
    <row r="565" spans="2:11" x14ac:dyDescent="0.3">
      <c r="B565" s="150" t="str">
        <f>IF(Table24[[#This Row],[Affected CMS
(§63.567(o)(3)(ix), §63.567(o)(6)(ii))
(Select from dropdown)]]="","",VLOOKUP(Table24[[#This Row],[Affected CMS
(§63.567(o)(3)(ix), §63.567(o)(6)(ii))
(Select from dropdown)]],Table22[],2,FALSE))</f>
        <v/>
      </c>
      <c r="E565" s="132"/>
      <c r="F565" s="140"/>
      <c r="G565" s="147"/>
      <c r="H565" s="147"/>
      <c r="K565" s="148"/>
    </row>
    <row r="566" spans="2:11" x14ac:dyDescent="0.3">
      <c r="B566" s="150" t="str">
        <f>IF(Table24[[#This Row],[Affected CMS
(§63.567(o)(3)(ix), §63.567(o)(6)(ii))
(Select from dropdown)]]="","",VLOOKUP(Table24[[#This Row],[Affected CMS
(§63.567(o)(3)(ix), §63.567(o)(6)(ii))
(Select from dropdown)]],Table22[],2,FALSE))</f>
        <v/>
      </c>
      <c r="E566" s="132"/>
      <c r="F566" s="140"/>
      <c r="G566" s="147"/>
      <c r="H566" s="147"/>
      <c r="K566" s="148"/>
    </row>
    <row r="567" spans="2:11" x14ac:dyDescent="0.3">
      <c r="B567" s="150" t="str">
        <f>IF(Table24[[#This Row],[Affected CMS
(§63.567(o)(3)(ix), §63.567(o)(6)(ii))
(Select from dropdown)]]="","",VLOOKUP(Table24[[#This Row],[Affected CMS
(§63.567(o)(3)(ix), §63.567(o)(6)(ii))
(Select from dropdown)]],Table22[],2,FALSE))</f>
        <v/>
      </c>
      <c r="E567" s="132"/>
      <c r="F567" s="140"/>
      <c r="G567" s="147"/>
      <c r="H567" s="147"/>
      <c r="K567" s="148"/>
    </row>
    <row r="568" spans="2:11" x14ac:dyDescent="0.3">
      <c r="B568" s="150" t="str">
        <f>IF(Table24[[#This Row],[Affected CMS
(§63.567(o)(3)(ix), §63.567(o)(6)(ii))
(Select from dropdown)]]="","",VLOOKUP(Table24[[#This Row],[Affected CMS
(§63.567(o)(3)(ix), §63.567(o)(6)(ii))
(Select from dropdown)]],Table22[],2,FALSE))</f>
        <v/>
      </c>
      <c r="E568" s="132"/>
      <c r="F568" s="140"/>
      <c r="G568" s="147"/>
      <c r="H568" s="147"/>
      <c r="K568" s="148"/>
    </row>
    <row r="569" spans="2:11" x14ac:dyDescent="0.3">
      <c r="B569" s="150" t="str">
        <f>IF(Table24[[#This Row],[Affected CMS
(§63.567(o)(3)(ix), §63.567(o)(6)(ii))
(Select from dropdown)]]="","",VLOOKUP(Table24[[#This Row],[Affected CMS
(§63.567(o)(3)(ix), §63.567(o)(6)(ii))
(Select from dropdown)]],Table22[],2,FALSE))</f>
        <v/>
      </c>
      <c r="E569" s="132"/>
      <c r="F569" s="140"/>
      <c r="G569" s="147"/>
      <c r="H569" s="147"/>
      <c r="K569" s="148"/>
    </row>
    <row r="570" spans="2:11" x14ac:dyDescent="0.3">
      <c r="B570" s="150" t="str">
        <f>IF(Table24[[#This Row],[Affected CMS
(§63.567(o)(3)(ix), §63.567(o)(6)(ii))
(Select from dropdown)]]="","",VLOOKUP(Table24[[#This Row],[Affected CMS
(§63.567(o)(3)(ix), §63.567(o)(6)(ii))
(Select from dropdown)]],Table22[],2,FALSE))</f>
        <v/>
      </c>
      <c r="E570" s="132"/>
      <c r="F570" s="140"/>
      <c r="G570" s="147"/>
      <c r="H570" s="147"/>
      <c r="K570" s="148"/>
    </row>
    <row r="571" spans="2:11" x14ac:dyDescent="0.3">
      <c r="B571" s="150" t="str">
        <f>IF(Table24[[#This Row],[Affected CMS
(§63.567(o)(3)(ix), §63.567(o)(6)(ii))
(Select from dropdown)]]="","",VLOOKUP(Table24[[#This Row],[Affected CMS
(§63.567(o)(3)(ix), §63.567(o)(6)(ii))
(Select from dropdown)]],Table22[],2,FALSE))</f>
        <v/>
      </c>
      <c r="E571" s="132"/>
      <c r="F571" s="140"/>
      <c r="G571" s="147"/>
      <c r="H571" s="147"/>
      <c r="K571" s="148"/>
    </row>
    <row r="572" spans="2:11" x14ac:dyDescent="0.3">
      <c r="B572" s="150" t="str">
        <f>IF(Table24[[#This Row],[Affected CMS
(§63.567(o)(3)(ix), §63.567(o)(6)(ii))
(Select from dropdown)]]="","",VLOOKUP(Table24[[#This Row],[Affected CMS
(§63.567(o)(3)(ix), §63.567(o)(6)(ii))
(Select from dropdown)]],Table22[],2,FALSE))</f>
        <v/>
      </c>
      <c r="E572" s="132"/>
      <c r="F572" s="140"/>
      <c r="G572" s="147"/>
      <c r="H572" s="147"/>
      <c r="K572" s="148"/>
    </row>
    <row r="573" spans="2:11" x14ac:dyDescent="0.3">
      <c r="B573" s="150" t="str">
        <f>IF(Table24[[#This Row],[Affected CMS
(§63.567(o)(3)(ix), §63.567(o)(6)(ii))
(Select from dropdown)]]="","",VLOOKUP(Table24[[#This Row],[Affected CMS
(§63.567(o)(3)(ix), §63.567(o)(6)(ii))
(Select from dropdown)]],Table22[],2,FALSE))</f>
        <v/>
      </c>
      <c r="E573" s="132"/>
      <c r="F573" s="140"/>
      <c r="G573" s="147"/>
      <c r="H573" s="147"/>
      <c r="K573" s="148"/>
    </row>
    <row r="574" spans="2:11" x14ac:dyDescent="0.3">
      <c r="B574" s="150" t="str">
        <f>IF(Table24[[#This Row],[Affected CMS
(§63.567(o)(3)(ix), §63.567(o)(6)(ii))
(Select from dropdown)]]="","",VLOOKUP(Table24[[#This Row],[Affected CMS
(§63.567(o)(3)(ix), §63.567(o)(6)(ii))
(Select from dropdown)]],Table22[],2,FALSE))</f>
        <v/>
      </c>
      <c r="E574" s="132"/>
      <c r="F574" s="140"/>
      <c r="G574" s="147"/>
      <c r="H574" s="147"/>
      <c r="K574" s="148"/>
    </row>
    <row r="575" spans="2:11" x14ac:dyDescent="0.3">
      <c r="B575" s="150" t="str">
        <f>IF(Table24[[#This Row],[Affected CMS
(§63.567(o)(3)(ix), §63.567(o)(6)(ii))
(Select from dropdown)]]="","",VLOOKUP(Table24[[#This Row],[Affected CMS
(§63.567(o)(3)(ix), §63.567(o)(6)(ii))
(Select from dropdown)]],Table22[],2,FALSE))</f>
        <v/>
      </c>
      <c r="E575" s="132"/>
      <c r="F575" s="140"/>
      <c r="G575" s="147"/>
      <c r="H575" s="147"/>
      <c r="K575" s="148"/>
    </row>
    <row r="576" spans="2:11" x14ac:dyDescent="0.3">
      <c r="B576" s="150" t="str">
        <f>IF(Table24[[#This Row],[Affected CMS
(§63.567(o)(3)(ix), §63.567(o)(6)(ii))
(Select from dropdown)]]="","",VLOOKUP(Table24[[#This Row],[Affected CMS
(§63.567(o)(3)(ix), §63.567(o)(6)(ii))
(Select from dropdown)]],Table22[],2,FALSE))</f>
        <v/>
      </c>
      <c r="E576" s="132"/>
      <c r="F576" s="140"/>
      <c r="G576" s="147"/>
      <c r="H576" s="147"/>
      <c r="K576" s="148"/>
    </row>
    <row r="577" spans="2:11" x14ac:dyDescent="0.3">
      <c r="B577" s="150" t="str">
        <f>IF(Table24[[#This Row],[Affected CMS
(§63.567(o)(3)(ix), §63.567(o)(6)(ii))
(Select from dropdown)]]="","",VLOOKUP(Table24[[#This Row],[Affected CMS
(§63.567(o)(3)(ix), §63.567(o)(6)(ii))
(Select from dropdown)]],Table22[],2,FALSE))</f>
        <v/>
      </c>
      <c r="E577" s="132"/>
      <c r="F577" s="140"/>
      <c r="G577" s="147"/>
      <c r="H577" s="147"/>
      <c r="K577" s="148"/>
    </row>
    <row r="578" spans="2:11" x14ac:dyDescent="0.3">
      <c r="B578" s="150" t="str">
        <f>IF(Table24[[#This Row],[Affected CMS
(§63.567(o)(3)(ix), §63.567(o)(6)(ii))
(Select from dropdown)]]="","",VLOOKUP(Table24[[#This Row],[Affected CMS
(§63.567(o)(3)(ix), §63.567(o)(6)(ii))
(Select from dropdown)]],Table22[],2,FALSE))</f>
        <v/>
      </c>
      <c r="E578" s="132"/>
      <c r="F578" s="140"/>
      <c r="G578" s="147"/>
      <c r="H578" s="147"/>
      <c r="K578" s="148"/>
    </row>
    <row r="579" spans="2:11" x14ac:dyDescent="0.3">
      <c r="B579" s="150" t="str">
        <f>IF(Table24[[#This Row],[Affected CMS
(§63.567(o)(3)(ix), §63.567(o)(6)(ii))
(Select from dropdown)]]="","",VLOOKUP(Table24[[#This Row],[Affected CMS
(§63.567(o)(3)(ix), §63.567(o)(6)(ii))
(Select from dropdown)]],Table22[],2,FALSE))</f>
        <v/>
      </c>
      <c r="E579" s="132"/>
      <c r="F579" s="140"/>
      <c r="G579" s="147"/>
      <c r="H579" s="147"/>
      <c r="K579" s="148"/>
    </row>
    <row r="580" spans="2:11" x14ac:dyDescent="0.3">
      <c r="B580" s="150" t="str">
        <f>IF(Table24[[#This Row],[Affected CMS
(§63.567(o)(3)(ix), §63.567(o)(6)(ii))
(Select from dropdown)]]="","",VLOOKUP(Table24[[#This Row],[Affected CMS
(§63.567(o)(3)(ix), §63.567(o)(6)(ii))
(Select from dropdown)]],Table22[],2,FALSE))</f>
        <v/>
      </c>
      <c r="E580" s="132"/>
      <c r="F580" s="140"/>
      <c r="G580" s="147"/>
      <c r="H580" s="147"/>
      <c r="K580" s="148"/>
    </row>
    <row r="581" spans="2:11" x14ac:dyDescent="0.3">
      <c r="B581" s="150" t="str">
        <f>IF(Table24[[#This Row],[Affected CMS
(§63.567(o)(3)(ix), §63.567(o)(6)(ii))
(Select from dropdown)]]="","",VLOOKUP(Table24[[#This Row],[Affected CMS
(§63.567(o)(3)(ix), §63.567(o)(6)(ii))
(Select from dropdown)]],Table22[],2,FALSE))</f>
        <v/>
      </c>
      <c r="E581" s="132"/>
      <c r="F581" s="140"/>
      <c r="G581" s="147"/>
      <c r="H581" s="147"/>
      <c r="K581" s="148"/>
    </row>
    <row r="582" spans="2:11" x14ac:dyDescent="0.3">
      <c r="B582" s="150" t="str">
        <f>IF(Table24[[#This Row],[Affected CMS
(§63.567(o)(3)(ix), §63.567(o)(6)(ii))
(Select from dropdown)]]="","",VLOOKUP(Table24[[#This Row],[Affected CMS
(§63.567(o)(3)(ix), §63.567(o)(6)(ii))
(Select from dropdown)]],Table22[],2,FALSE))</f>
        <v/>
      </c>
      <c r="E582" s="132"/>
      <c r="F582" s="140"/>
      <c r="G582" s="147"/>
      <c r="H582" s="147"/>
      <c r="K582" s="148"/>
    </row>
    <row r="583" spans="2:11" x14ac:dyDescent="0.3">
      <c r="B583" s="150" t="str">
        <f>IF(Table24[[#This Row],[Affected CMS
(§63.567(o)(3)(ix), §63.567(o)(6)(ii))
(Select from dropdown)]]="","",VLOOKUP(Table24[[#This Row],[Affected CMS
(§63.567(o)(3)(ix), §63.567(o)(6)(ii))
(Select from dropdown)]],Table22[],2,FALSE))</f>
        <v/>
      </c>
      <c r="E583" s="132"/>
      <c r="F583" s="140"/>
      <c r="G583" s="147"/>
      <c r="H583" s="147"/>
      <c r="K583" s="148"/>
    </row>
    <row r="584" spans="2:11" x14ac:dyDescent="0.3">
      <c r="B584" s="150" t="str">
        <f>IF(Table24[[#This Row],[Affected CMS
(§63.567(o)(3)(ix), §63.567(o)(6)(ii))
(Select from dropdown)]]="","",VLOOKUP(Table24[[#This Row],[Affected CMS
(§63.567(o)(3)(ix), §63.567(o)(6)(ii))
(Select from dropdown)]],Table22[],2,FALSE))</f>
        <v/>
      </c>
      <c r="E584" s="132"/>
      <c r="F584" s="140"/>
      <c r="G584" s="147"/>
      <c r="H584" s="147"/>
      <c r="K584" s="148"/>
    </row>
    <row r="585" spans="2:11" x14ac:dyDescent="0.3">
      <c r="B585" s="150" t="str">
        <f>IF(Table24[[#This Row],[Affected CMS
(§63.567(o)(3)(ix), §63.567(o)(6)(ii))
(Select from dropdown)]]="","",VLOOKUP(Table24[[#This Row],[Affected CMS
(§63.567(o)(3)(ix), §63.567(o)(6)(ii))
(Select from dropdown)]],Table22[],2,FALSE))</f>
        <v/>
      </c>
      <c r="E585" s="132"/>
      <c r="F585" s="140"/>
      <c r="G585" s="147"/>
      <c r="H585" s="147"/>
      <c r="K585" s="148"/>
    </row>
    <row r="586" spans="2:11" x14ac:dyDescent="0.3">
      <c r="B586" s="150" t="str">
        <f>IF(Table24[[#This Row],[Affected CMS
(§63.567(o)(3)(ix), §63.567(o)(6)(ii))
(Select from dropdown)]]="","",VLOOKUP(Table24[[#This Row],[Affected CMS
(§63.567(o)(3)(ix), §63.567(o)(6)(ii))
(Select from dropdown)]],Table22[],2,FALSE))</f>
        <v/>
      </c>
      <c r="E586" s="132"/>
      <c r="F586" s="140"/>
      <c r="G586" s="147"/>
      <c r="H586" s="147"/>
      <c r="K586" s="148"/>
    </row>
    <row r="587" spans="2:11" x14ac:dyDescent="0.3">
      <c r="B587" s="150" t="str">
        <f>IF(Table24[[#This Row],[Affected CMS
(§63.567(o)(3)(ix), §63.567(o)(6)(ii))
(Select from dropdown)]]="","",VLOOKUP(Table24[[#This Row],[Affected CMS
(§63.567(o)(3)(ix), §63.567(o)(6)(ii))
(Select from dropdown)]],Table22[],2,FALSE))</f>
        <v/>
      </c>
      <c r="E587" s="132"/>
      <c r="F587" s="140"/>
      <c r="G587" s="147"/>
      <c r="H587" s="147"/>
      <c r="K587" s="148"/>
    </row>
    <row r="588" spans="2:11" x14ac:dyDescent="0.3">
      <c r="B588" s="150" t="str">
        <f>IF(Table24[[#This Row],[Affected CMS
(§63.567(o)(3)(ix), §63.567(o)(6)(ii))
(Select from dropdown)]]="","",VLOOKUP(Table24[[#This Row],[Affected CMS
(§63.567(o)(3)(ix), §63.567(o)(6)(ii))
(Select from dropdown)]],Table22[],2,FALSE))</f>
        <v/>
      </c>
      <c r="E588" s="132"/>
      <c r="F588" s="140"/>
      <c r="G588" s="147"/>
      <c r="H588" s="147"/>
      <c r="K588" s="148"/>
    </row>
    <row r="589" spans="2:11" x14ac:dyDescent="0.3">
      <c r="B589" s="150" t="str">
        <f>IF(Table24[[#This Row],[Affected CMS
(§63.567(o)(3)(ix), §63.567(o)(6)(ii))
(Select from dropdown)]]="","",VLOOKUP(Table24[[#This Row],[Affected CMS
(§63.567(o)(3)(ix), §63.567(o)(6)(ii))
(Select from dropdown)]],Table22[],2,FALSE))</f>
        <v/>
      </c>
      <c r="E589" s="132"/>
      <c r="F589" s="140"/>
      <c r="G589" s="147"/>
      <c r="H589" s="147"/>
      <c r="K589" s="148"/>
    </row>
    <row r="590" spans="2:11" x14ac:dyDescent="0.3">
      <c r="B590" s="150" t="str">
        <f>IF(Table24[[#This Row],[Affected CMS
(§63.567(o)(3)(ix), §63.567(o)(6)(ii))
(Select from dropdown)]]="","",VLOOKUP(Table24[[#This Row],[Affected CMS
(§63.567(o)(3)(ix), §63.567(o)(6)(ii))
(Select from dropdown)]],Table22[],2,FALSE))</f>
        <v/>
      </c>
      <c r="E590" s="132"/>
      <c r="F590" s="140"/>
      <c r="G590" s="147"/>
      <c r="H590" s="147"/>
      <c r="K590" s="148"/>
    </row>
    <row r="591" spans="2:11" x14ac:dyDescent="0.3">
      <c r="B591" s="150" t="str">
        <f>IF(Table24[[#This Row],[Affected CMS
(§63.567(o)(3)(ix), §63.567(o)(6)(ii))
(Select from dropdown)]]="","",VLOOKUP(Table24[[#This Row],[Affected CMS
(§63.567(o)(3)(ix), §63.567(o)(6)(ii))
(Select from dropdown)]],Table22[],2,FALSE))</f>
        <v/>
      </c>
      <c r="E591" s="132"/>
      <c r="F591" s="140"/>
      <c r="G591" s="147"/>
      <c r="H591" s="147"/>
      <c r="K591" s="148"/>
    </row>
    <row r="592" spans="2:11" x14ac:dyDescent="0.3">
      <c r="B592" s="150" t="str">
        <f>IF(Table24[[#This Row],[Affected CMS
(§63.567(o)(3)(ix), §63.567(o)(6)(ii))
(Select from dropdown)]]="","",VLOOKUP(Table24[[#This Row],[Affected CMS
(§63.567(o)(3)(ix), §63.567(o)(6)(ii))
(Select from dropdown)]],Table22[],2,FALSE))</f>
        <v/>
      </c>
      <c r="E592" s="132"/>
      <c r="F592" s="140"/>
      <c r="G592" s="147"/>
      <c r="H592" s="147"/>
      <c r="K592" s="148"/>
    </row>
    <row r="593" spans="2:11" x14ac:dyDescent="0.3">
      <c r="B593" s="150" t="str">
        <f>IF(Table24[[#This Row],[Affected CMS
(§63.567(o)(3)(ix), §63.567(o)(6)(ii))
(Select from dropdown)]]="","",VLOOKUP(Table24[[#This Row],[Affected CMS
(§63.567(o)(3)(ix), §63.567(o)(6)(ii))
(Select from dropdown)]],Table22[],2,FALSE))</f>
        <v/>
      </c>
      <c r="E593" s="132"/>
      <c r="F593" s="140"/>
      <c r="G593" s="147"/>
      <c r="H593" s="147"/>
      <c r="K593" s="148"/>
    </row>
    <row r="594" spans="2:11" x14ac:dyDescent="0.3">
      <c r="B594" s="150" t="str">
        <f>IF(Table24[[#This Row],[Affected CMS
(§63.567(o)(3)(ix), §63.567(o)(6)(ii))
(Select from dropdown)]]="","",VLOOKUP(Table24[[#This Row],[Affected CMS
(§63.567(o)(3)(ix), §63.567(o)(6)(ii))
(Select from dropdown)]],Table22[],2,FALSE))</f>
        <v/>
      </c>
      <c r="E594" s="132"/>
      <c r="F594" s="140"/>
      <c r="G594" s="147"/>
      <c r="H594" s="147"/>
      <c r="K594" s="148"/>
    </row>
    <row r="595" spans="2:11" x14ac:dyDescent="0.3">
      <c r="B595" s="150" t="str">
        <f>IF(Table24[[#This Row],[Affected CMS
(§63.567(o)(3)(ix), §63.567(o)(6)(ii))
(Select from dropdown)]]="","",VLOOKUP(Table24[[#This Row],[Affected CMS
(§63.567(o)(3)(ix), §63.567(o)(6)(ii))
(Select from dropdown)]],Table22[],2,FALSE))</f>
        <v/>
      </c>
      <c r="E595" s="132"/>
      <c r="F595" s="140"/>
      <c r="G595" s="147"/>
      <c r="H595" s="147"/>
      <c r="K595" s="148"/>
    </row>
    <row r="596" spans="2:11" x14ac:dyDescent="0.3">
      <c r="B596" s="150" t="str">
        <f>IF(Table24[[#This Row],[Affected CMS
(§63.567(o)(3)(ix), §63.567(o)(6)(ii))
(Select from dropdown)]]="","",VLOOKUP(Table24[[#This Row],[Affected CMS
(§63.567(o)(3)(ix), §63.567(o)(6)(ii))
(Select from dropdown)]],Table22[],2,FALSE))</f>
        <v/>
      </c>
      <c r="E596" s="132"/>
      <c r="F596" s="140"/>
      <c r="G596" s="147"/>
      <c r="H596" s="147"/>
      <c r="K596" s="148"/>
    </row>
    <row r="597" spans="2:11" x14ac:dyDescent="0.3">
      <c r="B597" s="150" t="str">
        <f>IF(Table24[[#This Row],[Affected CMS
(§63.567(o)(3)(ix), §63.567(o)(6)(ii))
(Select from dropdown)]]="","",VLOOKUP(Table24[[#This Row],[Affected CMS
(§63.567(o)(3)(ix), §63.567(o)(6)(ii))
(Select from dropdown)]],Table22[],2,FALSE))</f>
        <v/>
      </c>
      <c r="E597" s="132"/>
      <c r="F597" s="140"/>
      <c r="G597" s="147"/>
      <c r="H597" s="147"/>
      <c r="K597" s="148"/>
    </row>
    <row r="598" spans="2:11" x14ac:dyDescent="0.3">
      <c r="B598" s="150" t="str">
        <f>IF(Table24[[#This Row],[Affected CMS
(§63.567(o)(3)(ix), §63.567(o)(6)(ii))
(Select from dropdown)]]="","",VLOOKUP(Table24[[#This Row],[Affected CMS
(§63.567(o)(3)(ix), §63.567(o)(6)(ii))
(Select from dropdown)]],Table22[],2,FALSE))</f>
        <v/>
      </c>
      <c r="E598" s="132"/>
      <c r="F598" s="140"/>
      <c r="G598" s="147"/>
      <c r="H598" s="147"/>
      <c r="K598" s="148"/>
    </row>
    <row r="599" spans="2:11" x14ac:dyDescent="0.3">
      <c r="B599" s="150" t="str">
        <f>IF(Table24[[#This Row],[Affected CMS
(§63.567(o)(3)(ix), §63.567(o)(6)(ii))
(Select from dropdown)]]="","",VLOOKUP(Table24[[#This Row],[Affected CMS
(§63.567(o)(3)(ix), §63.567(o)(6)(ii))
(Select from dropdown)]],Table22[],2,FALSE))</f>
        <v/>
      </c>
      <c r="E599" s="132"/>
      <c r="F599" s="140"/>
      <c r="G599" s="147"/>
      <c r="H599" s="147"/>
      <c r="K599" s="148"/>
    </row>
    <row r="600" spans="2:11" x14ac:dyDescent="0.3">
      <c r="B600" s="150" t="str">
        <f>IF(Table24[[#This Row],[Affected CMS
(§63.567(o)(3)(ix), §63.567(o)(6)(ii))
(Select from dropdown)]]="","",VLOOKUP(Table24[[#This Row],[Affected CMS
(§63.567(o)(3)(ix), §63.567(o)(6)(ii))
(Select from dropdown)]],Table22[],2,FALSE))</f>
        <v/>
      </c>
      <c r="E600" s="132"/>
      <c r="F600" s="140"/>
      <c r="G600" s="147"/>
      <c r="H600" s="147"/>
      <c r="K600" s="148"/>
    </row>
    <row r="601" spans="2:11" x14ac:dyDescent="0.3">
      <c r="B601" s="150" t="str">
        <f>IF(Table24[[#This Row],[Affected CMS
(§63.567(o)(3)(ix), §63.567(o)(6)(ii))
(Select from dropdown)]]="","",VLOOKUP(Table24[[#This Row],[Affected CMS
(§63.567(o)(3)(ix), §63.567(o)(6)(ii))
(Select from dropdown)]],Table22[],2,FALSE))</f>
        <v/>
      </c>
      <c r="E601" s="132"/>
      <c r="F601" s="140"/>
      <c r="G601" s="147"/>
      <c r="H601" s="147"/>
      <c r="K601" s="148"/>
    </row>
    <row r="602" spans="2:11" x14ac:dyDescent="0.3">
      <c r="B602" s="150" t="str">
        <f>IF(Table24[[#This Row],[Affected CMS
(§63.567(o)(3)(ix), §63.567(o)(6)(ii))
(Select from dropdown)]]="","",VLOOKUP(Table24[[#This Row],[Affected CMS
(§63.567(o)(3)(ix), §63.567(o)(6)(ii))
(Select from dropdown)]],Table22[],2,FALSE))</f>
        <v/>
      </c>
      <c r="E602" s="132"/>
      <c r="F602" s="140"/>
      <c r="G602" s="147"/>
      <c r="H602" s="147"/>
      <c r="K602" s="148"/>
    </row>
    <row r="603" spans="2:11" x14ac:dyDescent="0.3">
      <c r="B603" s="150" t="str">
        <f>IF(Table24[[#This Row],[Affected CMS
(§63.567(o)(3)(ix), §63.567(o)(6)(ii))
(Select from dropdown)]]="","",VLOOKUP(Table24[[#This Row],[Affected CMS
(§63.567(o)(3)(ix), §63.567(o)(6)(ii))
(Select from dropdown)]],Table22[],2,FALSE))</f>
        <v/>
      </c>
      <c r="E603" s="132"/>
      <c r="F603" s="140"/>
      <c r="G603" s="147"/>
      <c r="H603" s="147"/>
      <c r="K603" s="148"/>
    </row>
    <row r="604" spans="2:11" x14ac:dyDescent="0.3">
      <c r="B604" s="150" t="str">
        <f>IF(Table24[[#This Row],[Affected CMS
(§63.567(o)(3)(ix), §63.567(o)(6)(ii))
(Select from dropdown)]]="","",VLOOKUP(Table24[[#This Row],[Affected CMS
(§63.567(o)(3)(ix), §63.567(o)(6)(ii))
(Select from dropdown)]],Table22[],2,FALSE))</f>
        <v/>
      </c>
      <c r="E604" s="132"/>
      <c r="F604" s="140"/>
      <c r="G604" s="147"/>
      <c r="H604" s="147"/>
      <c r="K604" s="148"/>
    </row>
    <row r="605" spans="2:11" x14ac:dyDescent="0.3">
      <c r="B605" s="150" t="str">
        <f>IF(Table24[[#This Row],[Affected CMS
(§63.567(o)(3)(ix), §63.567(o)(6)(ii))
(Select from dropdown)]]="","",VLOOKUP(Table24[[#This Row],[Affected CMS
(§63.567(o)(3)(ix), §63.567(o)(6)(ii))
(Select from dropdown)]],Table22[],2,FALSE))</f>
        <v/>
      </c>
      <c r="E605" s="132"/>
      <c r="F605" s="140"/>
      <c r="G605" s="147"/>
      <c r="H605" s="147"/>
      <c r="K605" s="148"/>
    </row>
    <row r="606" spans="2:11" x14ac:dyDescent="0.3">
      <c r="B606" s="150" t="str">
        <f>IF(Table24[[#This Row],[Affected CMS
(§63.567(o)(3)(ix), §63.567(o)(6)(ii))
(Select from dropdown)]]="","",VLOOKUP(Table24[[#This Row],[Affected CMS
(§63.567(o)(3)(ix), §63.567(o)(6)(ii))
(Select from dropdown)]],Table22[],2,FALSE))</f>
        <v/>
      </c>
      <c r="E606" s="132"/>
      <c r="F606" s="140"/>
      <c r="G606" s="147"/>
      <c r="H606" s="147"/>
      <c r="K606" s="148"/>
    </row>
    <row r="607" spans="2:11" x14ac:dyDescent="0.3">
      <c r="B607" s="150" t="str">
        <f>IF(Table24[[#This Row],[Affected CMS
(§63.567(o)(3)(ix), §63.567(o)(6)(ii))
(Select from dropdown)]]="","",VLOOKUP(Table24[[#This Row],[Affected CMS
(§63.567(o)(3)(ix), §63.567(o)(6)(ii))
(Select from dropdown)]],Table22[],2,FALSE))</f>
        <v/>
      </c>
      <c r="E607" s="132"/>
      <c r="F607" s="140"/>
      <c r="G607" s="147"/>
      <c r="H607" s="147"/>
      <c r="K607" s="148"/>
    </row>
    <row r="608" spans="2:11" x14ac:dyDescent="0.3">
      <c r="B608" s="150" t="str">
        <f>IF(Table24[[#This Row],[Affected CMS
(§63.567(o)(3)(ix), §63.567(o)(6)(ii))
(Select from dropdown)]]="","",VLOOKUP(Table24[[#This Row],[Affected CMS
(§63.567(o)(3)(ix), §63.567(o)(6)(ii))
(Select from dropdown)]],Table22[],2,FALSE))</f>
        <v/>
      </c>
      <c r="E608" s="132"/>
      <c r="F608" s="140"/>
      <c r="G608" s="147"/>
      <c r="H608" s="147"/>
      <c r="K608" s="148"/>
    </row>
    <row r="609" spans="2:11" x14ac:dyDescent="0.3">
      <c r="B609" s="150" t="str">
        <f>IF(Table24[[#This Row],[Affected CMS
(§63.567(o)(3)(ix), §63.567(o)(6)(ii))
(Select from dropdown)]]="","",VLOOKUP(Table24[[#This Row],[Affected CMS
(§63.567(o)(3)(ix), §63.567(o)(6)(ii))
(Select from dropdown)]],Table22[],2,FALSE))</f>
        <v/>
      </c>
      <c r="E609" s="132"/>
      <c r="F609" s="140"/>
      <c r="G609" s="147"/>
      <c r="H609" s="147"/>
      <c r="K609" s="148"/>
    </row>
    <row r="610" spans="2:11" x14ac:dyDescent="0.3">
      <c r="B610" s="150" t="str">
        <f>IF(Table24[[#This Row],[Affected CMS
(§63.567(o)(3)(ix), §63.567(o)(6)(ii))
(Select from dropdown)]]="","",VLOOKUP(Table24[[#This Row],[Affected CMS
(§63.567(o)(3)(ix), §63.567(o)(6)(ii))
(Select from dropdown)]],Table22[],2,FALSE))</f>
        <v/>
      </c>
      <c r="E610" s="132"/>
      <c r="F610" s="140"/>
      <c r="G610" s="147"/>
      <c r="H610" s="147"/>
      <c r="K610" s="148"/>
    </row>
    <row r="611" spans="2:11" x14ac:dyDescent="0.3">
      <c r="B611" s="150" t="str">
        <f>IF(Table24[[#This Row],[Affected CMS
(§63.567(o)(3)(ix), §63.567(o)(6)(ii))
(Select from dropdown)]]="","",VLOOKUP(Table24[[#This Row],[Affected CMS
(§63.567(o)(3)(ix), §63.567(o)(6)(ii))
(Select from dropdown)]],Table22[],2,FALSE))</f>
        <v/>
      </c>
      <c r="E611" s="132"/>
      <c r="F611" s="140"/>
      <c r="G611" s="147"/>
      <c r="H611" s="147"/>
      <c r="K611" s="148"/>
    </row>
    <row r="612" spans="2:11" x14ac:dyDescent="0.3">
      <c r="B612" s="150" t="str">
        <f>IF(Table24[[#This Row],[Affected CMS
(§63.567(o)(3)(ix), §63.567(o)(6)(ii))
(Select from dropdown)]]="","",VLOOKUP(Table24[[#This Row],[Affected CMS
(§63.567(o)(3)(ix), §63.567(o)(6)(ii))
(Select from dropdown)]],Table22[],2,FALSE))</f>
        <v/>
      </c>
      <c r="E612" s="132"/>
      <c r="F612" s="140"/>
      <c r="G612" s="147"/>
      <c r="H612" s="147"/>
      <c r="K612" s="148"/>
    </row>
    <row r="613" spans="2:11" x14ac:dyDescent="0.3">
      <c r="B613" s="150" t="str">
        <f>IF(Table24[[#This Row],[Affected CMS
(§63.567(o)(3)(ix), §63.567(o)(6)(ii))
(Select from dropdown)]]="","",VLOOKUP(Table24[[#This Row],[Affected CMS
(§63.567(o)(3)(ix), §63.567(o)(6)(ii))
(Select from dropdown)]],Table22[],2,FALSE))</f>
        <v/>
      </c>
      <c r="E613" s="132"/>
      <c r="F613" s="140"/>
      <c r="G613" s="147"/>
      <c r="H613" s="147"/>
      <c r="K613" s="148"/>
    </row>
    <row r="614" spans="2:11" x14ac:dyDescent="0.3">
      <c r="B614" s="150" t="str">
        <f>IF(Table24[[#This Row],[Affected CMS
(§63.567(o)(3)(ix), §63.567(o)(6)(ii))
(Select from dropdown)]]="","",VLOOKUP(Table24[[#This Row],[Affected CMS
(§63.567(o)(3)(ix), §63.567(o)(6)(ii))
(Select from dropdown)]],Table22[],2,FALSE))</f>
        <v/>
      </c>
      <c r="E614" s="132"/>
      <c r="F614" s="140"/>
      <c r="G614" s="147"/>
      <c r="H614" s="147"/>
      <c r="K614" s="148"/>
    </row>
    <row r="615" spans="2:11" x14ac:dyDescent="0.3">
      <c r="B615" s="150" t="str">
        <f>IF(Table24[[#This Row],[Affected CMS
(§63.567(o)(3)(ix), §63.567(o)(6)(ii))
(Select from dropdown)]]="","",VLOOKUP(Table24[[#This Row],[Affected CMS
(§63.567(o)(3)(ix), §63.567(o)(6)(ii))
(Select from dropdown)]],Table22[],2,FALSE))</f>
        <v/>
      </c>
      <c r="E615" s="132"/>
      <c r="F615" s="140"/>
      <c r="G615" s="147"/>
      <c r="H615" s="147"/>
      <c r="K615" s="148"/>
    </row>
    <row r="616" spans="2:11" x14ac:dyDescent="0.3">
      <c r="B616" s="150" t="str">
        <f>IF(Table24[[#This Row],[Affected CMS
(§63.567(o)(3)(ix), §63.567(o)(6)(ii))
(Select from dropdown)]]="","",VLOOKUP(Table24[[#This Row],[Affected CMS
(§63.567(o)(3)(ix), §63.567(o)(6)(ii))
(Select from dropdown)]],Table22[],2,FALSE))</f>
        <v/>
      </c>
      <c r="E616" s="132"/>
      <c r="F616" s="140"/>
      <c r="G616" s="147"/>
      <c r="H616" s="147"/>
      <c r="K616" s="148"/>
    </row>
    <row r="617" spans="2:11" x14ac:dyDescent="0.3">
      <c r="B617" s="150" t="str">
        <f>IF(Table24[[#This Row],[Affected CMS
(§63.567(o)(3)(ix), §63.567(o)(6)(ii))
(Select from dropdown)]]="","",VLOOKUP(Table24[[#This Row],[Affected CMS
(§63.567(o)(3)(ix), §63.567(o)(6)(ii))
(Select from dropdown)]],Table22[],2,FALSE))</f>
        <v/>
      </c>
      <c r="E617" s="132"/>
      <c r="F617" s="140"/>
      <c r="G617" s="147"/>
      <c r="H617" s="147"/>
      <c r="K617" s="148"/>
    </row>
    <row r="618" spans="2:11" x14ac:dyDescent="0.3">
      <c r="B618" s="150" t="str">
        <f>IF(Table24[[#This Row],[Affected CMS
(§63.567(o)(3)(ix), §63.567(o)(6)(ii))
(Select from dropdown)]]="","",VLOOKUP(Table24[[#This Row],[Affected CMS
(§63.567(o)(3)(ix), §63.567(o)(6)(ii))
(Select from dropdown)]],Table22[],2,FALSE))</f>
        <v/>
      </c>
      <c r="E618" s="132"/>
      <c r="F618" s="140"/>
      <c r="G618" s="147"/>
      <c r="H618" s="147"/>
      <c r="K618" s="148"/>
    </row>
    <row r="619" spans="2:11" x14ac:dyDescent="0.3">
      <c r="B619" s="150" t="str">
        <f>IF(Table24[[#This Row],[Affected CMS
(§63.567(o)(3)(ix), §63.567(o)(6)(ii))
(Select from dropdown)]]="","",VLOOKUP(Table24[[#This Row],[Affected CMS
(§63.567(o)(3)(ix), §63.567(o)(6)(ii))
(Select from dropdown)]],Table22[],2,FALSE))</f>
        <v/>
      </c>
      <c r="E619" s="132"/>
      <c r="F619" s="140"/>
      <c r="G619" s="147"/>
      <c r="H619" s="147"/>
      <c r="K619" s="148"/>
    </row>
    <row r="620" spans="2:11" x14ac:dyDescent="0.3">
      <c r="B620" s="150" t="str">
        <f>IF(Table24[[#This Row],[Affected CMS
(§63.567(o)(3)(ix), §63.567(o)(6)(ii))
(Select from dropdown)]]="","",VLOOKUP(Table24[[#This Row],[Affected CMS
(§63.567(o)(3)(ix), §63.567(o)(6)(ii))
(Select from dropdown)]],Table22[],2,FALSE))</f>
        <v/>
      </c>
      <c r="E620" s="132"/>
      <c r="F620" s="140"/>
      <c r="G620" s="147"/>
      <c r="H620" s="147"/>
      <c r="K620" s="148"/>
    </row>
    <row r="621" spans="2:11" x14ac:dyDescent="0.3">
      <c r="B621" s="150" t="str">
        <f>IF(Table24[[#This Row],[Affected CMS
(§63.567(o)(3)(ix), §63.567(o)(6)(ii))
(Select from dropdown)]]="","",VLOOKUP(Table24[[#This Row],[Affected CMS
(§63.567(o)(3)(ix), §63.567(o)(6)(ii))
(Select from dropdown)]],Table22[],2,FALSE))</f>
        <v/>
      </c>
      <c r="E621" s="132"/>
      <c r="F621" s="140"/>
      <c r="G621" s="147"/>
      <c r="H621" s="147"/>
      <c r="K621" s="148"/>
    </row>
    <row r="622" spans="2:11" x14ac:dyDescent="0.3">
      <c r="B622" s="150" t="str">
        <f>IF(Table24[[#This Row],[Affected CMS
(§63.567(o)(3)(ix), §63.567(o)(6)(ii))
(Select from dropdown)]]="","",VLOOKUP(Table24[[#This Row],[Affected CMS
(§63.567(o)(3)(ix), §63.567(o)(6)(ii))
(Select from dropdown)]],Table22[],2,FALSE))</f>
        <v/>
      </c>
      <c r="E622" s="132"/>
      <c r="F622" s="140"/>
      <c r="G622" s="147"/>
      <c r="H622" s="147"/>
      <c r="K622" s="148"/>
    </row>
    <row r="623" spans="2:11" x14ac:dyDescent="0.3">
      <c r="B623" s="150" t="str">
        <f>IF(Table24[[#This Row],[Affected CMS
(§63.567(o)(3)(ix), §63.567(o)(6)(ii))
(Select from dropdown)]]="","",VLOOKUP(Table24[[#This Row],[Affected CMS
(§63.567(o)(3)(ix), §63.567(o)(6)(ii))
(Select from dropdown)]],Table22[],2,FALSE))</f>
        <v/>
      </c>
      <c r="E623" s="132"/>
      <c r="F623" s="140"/>
      <c r="G623" s="147"/>
      <c r="H623" s="147"/>
      <c r="K623" s="148"/>
    </row>
    <row r="624" spans="2:11" x14ac:dyDescent="0.3">
      <c r="B624" s="150" t="str">
        <f>IF(Table24[[#This Row],[Affected CMS
(§63.567(o)(3)(ix), §63.567(o)(6)(ii))
(Select from dropdown)]]="","",VLOOKUP(Table24[[#This Row],[Affected CMS
(§63.567(o)(3)(ix), §63.567(o)(6)(ii))
(Select from dropdown)]],Table22[],2,FALSE))</f>
        <v/>
      </c>
      <c r="E624" s="132"/>
      <c r="F624" s="140"/>
      <c r="G624" s="147"/>
      <c r="H624" s="147"/>
      <c r="K624" s="148"/>
    </row>
    <row r="625" spans="2:11" x14ac:dyDescent="0.3">
      <c r="B625" s="150" t="str">
        <f>IF(Table24[[#This Row],[Affected CMS
(§63.567(o)(3)(ix), §63.567(o)(6)(ii))
(Select from dropdown)]]="","",VLOOKUP(Table24[[#This Row],[Affected CMS
(§63.567(o)(3)(ix), §63.567(o)(6)(ii))
(Select from dropdown)]],Table22[],2,FALSE))</f>
        <v/>
      </c>
      <c r="E625" s="132"/>
      <c r="F625" s="140"/>
      <c r="G625" s="147"/>
      <c r="H625" s="147"/>
      <c r="K625" s="148"/>
    </row>
    <row r="626" spans="2:11" x14ac:dyDescent="0.3">
      <c r="B626" s="150" t="str">
        <f>IF(Table24[[#This Row],[Affected CMS
(§63.567(o)(3)(ix), §63.567(o)(6)(ii))
(Select from dropdown)]]="","",VLOOKUP(Table24[[#This Row],[Affected CMS
(§63.567(o)(3)(ix), §63.567(o)(6)(ii))
(Select from dropdown)]],Table22[],2,FALSE))</f>
        <v/>
      </c>
      <c r="E626" s="132"/>
      <c r="F626" s="140"/>
      <c r="G626" s="147"/>
      <c r="H626" s="147"/>
      <c r="K626" s="148"/>
    </row>
    <row r="627" spans="2:11" x14ac:dyDescent="0.3">
      <c r="B627" s="150" t="str">
        <f>IF(Table24[[#This Row],[Affected CMS
(§63.567(o)(3)(ix), §63.567(o)(6)(ii))
(Select from dropdown)]]="","",VLOOKUP(Table24[[#This Row],[Affected CMS
(§63.567(o)(3)(ix), §63.567(o)(6)(ii))
(Select from dropdown)]],Table22[],2,FALSE))</f>
        <v/>
      </c>
      <c r="E627" s="132"/>
      <c r="F627" s="140"/>
      <c r="G627" s="147"/>
      <c r="H627" s="147"/>
      <c r="K627" s="148"/>
    </row>
    <row r="628" spans="2:11" x14ac:dyDescent="0.3">
      <c r="B628" s="150" t="str">
        <f>IF(Table24[[#This Row],[Affected CMS
(§63.567(o)(3)(ix), §63.567(o)(6)(ii))
(Select from dropdown)]]="","",VLOOKUP(Table24[[#This Row],[Affected CMS
(§63.567(o)(3)(ix), §63.567(o)(6)(ii))
(Select from dropdown)]],Table22[],2,FALSE))</f>
        <v/>
      </c>
      <c r="E628" s="132"/>
      <c r="F628" s="140"/>
      <c r="G628" s="147"/>
      <c r="H628" s="147"/>
      <c r="K628" s="148"/>
    </row>
    <row r="629" spans="2:11" x14ac:dyDescent="0.3">
      <c r="B629" s="150" t="str">
        <f>IF(Table24[[#This Row],[Affected CMS
(§63.567(o)(3)(ix), §63.567(o)(6)(ii))
(Select from dropdown)]]="","",VLOOKUP(Table24[[#This Row],[Affected CMS
(§63.567(o)(3)(ix), §63.567(o)(6)(ii))
(Select from dropdown)]],Table22[],2,FALSE))</f>
        <v/>
      </c>
      <c r="E629" s="132"/>
      <c r="F629" s="140"/>
      <c r="G629" s="147"/>
      <c r="H629" s="147"/>
      <c r="K629" s="148"/>
    </row>
    <row r="630" spans="2:11" x14ac:dyDescent="0.3">
      <c r="B630" s="150" t="str">
        <f>IF(Table24[[#This Row],[Affected CMS
(§63.567(o)(3)(ix), §63.567(o)(6)(ii))
(Select from dropdown)]]="","",VLOOKUP(Table24[[#This Row],[Affected CMS
(§63.567(o)(3)(ix), §63.567(o)(6)(ii))
(Select from dropdown)]],Table22[],2,FALSE))</f>
        <v/>
      </c>
      <c r="E630" s="132"/>
      <c r="F630" s="140"/>
      <c r="G630" s="147"/>
      <c r="H630" s="147"/>
      <c r="K630" s="148"/>
    </row>
    <row r="631" spans="2:11" x14ac:dyDescent="0.3">
      <c r="B631" s="150" t="str">
        <f>IF(Table24[[#This Row],[Affected CMS
(§63.567(o)(3)(ix), §63.567(o)(6)(ii))
(Select from dropdown)]]="","",VLOOKUP(Table24[[#This Row],[Affected CMS
(§63.567(o)(3)(ix), §63.567(o)(6)(ii))
(Select from dropdown)]],Table22[],2,FALSE))</f>
        <v/>
      </c>
      <c r="E631" s="132"/>
      <c r="F631" s="140"/>
      <c r="G631" s="147"/>
      <c r="H631" s="147"/>
      <c r="K631" s="148"/>
    </row>
    <row r="632" spans="2:11" x14ac:dyDescent="0.3">
      <c r="B632" s="150" t="str">
        <f>IF(Table24[[#This Row],[Affected CMS
(§63.567(o)(3)(ix), §63.567(o)(6)(ii))
(Select from dropdown)]]="","",VLOOKUP(Table24[[#This Row],[Affected CMS
(§63.567(o)(3)(ix), §63.567(o)(6)(ii))
(Select from dropdown)]],Table22[],2,FALSE))</f>
        <v/>
      </c>
      <c r="E632" s="132"/>
      <c r="F632" s="140"/>
      <c r="G632" s="147"/>
      <c r="H632" s="147"/>
      <c r="K632" s="148"/>
    </row>
    <row r="633" spans="2:11" x14ac:dyDescent="0.3">
      <c r="B633" s="150" t="str">
        <f>IF(Table24[[#This Row],[Affected CMS
(§63.567(o)(3)(ix), §63.567(o)(6)(ii))
(Select from dropdown)]]="","",VLOOKUP(Table24[[#This Row],[Affected CMS
(§63.567(o)(3)(ix), §63.567(o)(6)(ii))
(Select from dropdown)]],Table22[],2,FALSE))</f>
        <v/>
      </c>
      <c r="E633" s="132"/>
      <c r="F633" s="140"/>
      <c r="G633" s="147"/>
      <c r="H633" s="147"/>
      <c r="K633" s="148"/>
    </row>
    <row r="634" spans="2:11" x14ac:dyDescent="0.3">
      <c r="B634" s="150" t="str">
        <f>IF(Table24[[#This Row],[Affected CMS
(§63.567(o)(3)(ix), §63.567(o)(6)(ii))
(Select from dropdown)]]="","",VLOOKUP(Table24[[#This Row],[Affected CMS
(§63.567(o)(3)(ix), §63.567(o)(6)(ii))
(Select from dropdown)]],Table22[],2,FALSE))</f>
        <v/>
      </c>
      <c r="E634" s="132"/>
      <c r="F634" s="140"/>
      <c r="G634" s="147"/>
      <c r="H634" s="147"/>
      <c r="K634" s="148"/>
    </row>
    <row r="635" spans="2:11" x14ac:dyDescent="0.3">
      <c r="B635" s="150" t="str">
        <f>IF(Table24[[#This Row],[Affected CMS
(§63.567(o)(3)(ix), §63.567(o)(6)(ii))
(Select from dropdown)]]="","",VLOOKUP(Table24[[#This Row],[Affected CMS
(§63.567(o)(3)(ix), §63.567(o)(6)(ii))
(Select from dropdown)]],Table22[],2,FALSE))</f>
        <v/>
      </c>
      <c r="E635" s="132"/>
      <c r="F635" s="140"/>
      <c r="G635" s="147"/>
      <c r="H635" s="147"/>
      <c r="K635" s="148"/>
    </row>
    <row r="636" spans="2:11" x14ac:dyDescent="0.3">
      <c r="B636" s="150" t="str">
        <f>IF(Table24[[#This Row],[Affected CMS
(§63.567(o)(3)(ix), §63.567(o)(6)(ii))
(Select from dropdown)]]="","",VLOOKUP(Table24[[#This Row],[Affected CMS
(§63.567(o)(3)(ix), §63.567(o)(6)(ii))
(Select from dropdown)]],Table22[],2,FALSE))</f>
        <v/>
      </c>
      <c r="E636" s="132"/>
      <c r="F636" s="140"/>
      <c r="G636" s="147"/>
      <c r="H636" s="147"/>
      <c r="K636" s="148"/>
    </row>
    <row r="637" spans="2:11" x14ac:dyDescent="0.3">
      <c r="B637" s="150" t="str">
        <f>IF(Table24[[#This Row],[Affected CMS
(§63.567(o)(3)(ix), §63.567(o)(6)(ii))
(Select from dropdown)]]="","",VLOOKUP(Table24[[#This Row],[Affected CMS
(§63.567(o)(3)(ix), §63.567(o)(6)(ii))
(Select from dropdown)]],Table22[],2,FALSE))</f>
        <v/>
      </c>
      <c r="E637" s="132"/>
      <c r="F637" s="140"/>
      <c r="G637" s="147"/>
      <c r="H637" s="147"/>
      <c r="K637" s="148"/>
    </row>
    <row r="638" spans="2:11" x14ac:dyDescent="0.3">
      <c r="B638" s="150" t="str">
        <f>IF(Table24[[#This Row],[Affected CMS
(§63.567(o)(3)(ix), §63.567(o)(6)(ii))
(Select from dropdown)]]="","",VLOOKUP(Table24[[#This Row],[Affected CMS
(§63.567(o)(3)(ix), §63.567(o)(6)(ii))
(Select from dropdown)]],Table22[],2,FALSE))</f>
        <v/>
      </c>
      <c r="E638" s="132"/>
      <c r="F638" s="140"/>
      <c r="G638" s="147"/>
      <c r="H638" s="147"/>
      <c r="K638" s="148"/>
    </row>
    <row r="639" spans="2:11" x14ac:dyDescent="0.3">
      <c r="B639" s="150" t="str">
        <f>IF(Table24[[#This Row],[Affected CMS
(§63.567(o)(3)(ix), §63.567(o)(6)(ii))
(Select from dropdown)]]="","",VLOOKUP(Table24[[#This Row],[Affected CMS
(§63.567(o)(3)(ix), §63.567(o)(6)(ii))
(Select from dropdown)]],Table22[],2,FALSE))</f>
        <v/>
      </c>
      <c r="E639" s="132"/>
      <c r="F639" s="140"/>
      <c r="G639" s="147"/>
      <c r="H639" s="147"/>
      <c r="K639" s="148"/>
    </row>
    <row r="640" spans="2:11" x14ac:dyDescent="0.3">
      <c r="B640" s="150" t="str">
        <f>IF(Table24[[#This Row],[Affected CMS
(§63.567(o)(3)(ix), §63.567(o)(6)(ii))
(Select from dropdown)]]="","",VLOOKUP(Table24[[#This Row],[Affected CMS
(§63.567(o)(3)(ix), §63.567(o)(6)(ii))
(Select from dropdown)]],Table22[],2,FALSE))</f>
        <v/>
      </c>
      <c r="E640" s="132"/>
      <c r="F640" s="140"/>
      <c r="G640" s="147"/>
      <c r="H640" s="147"/>
      <c r="K640" s="148"/>
    </row>
    <row r="641" spans="2:11" x14ac:dyDescent="0.3">
      <c r="B641" s="150" t="str">
        <f>IF(Table24[[#This Row],[Affected CMS
(§63.567(o)(3)(ix), §63.567(o)(6)(ii))
(Select from dropdown)]]="","",VLOOKUP(Table24[[#This Row],[Affected CMS
(§63.567(o)(3)(ix), §63.567(o)(6)(ii))
(Select from dropdown)]],Table22[],2,FALSE))</f>
        <v/>
      </c>
      <c r="E641" s="132"/>
      <c r="F641" s="140"/>
      <c r="G641" s="147"/>
      <c r="H641" s="147"/>
      <c r="K641" s="148"/>
    </row>
    <row r="642" spans="2:11" x14ac:dyDescent="0.3">
      <c r="B642" s="150" t="str">
        <f>IF(Table24[[#This Row],[Affected CMS
(§63.567(o)(3)(ix), §63.567(o)(6)(ii))
(Select from dropdown)]]="","",VLOOKUP(Table24[[#This Row],[Affected CMS
(§63.567(o)(3)(ix), §63.567(o)(6)(ii))
(Select from dropdown)]],Table22[],2,FALSE))</f>
        <v/>
      </c>
      <c r="E642" s="132"/>
      <c r="F642" s="140"/>
      <c r="G642" s="147"/>
      <c r="H642" s="147"/>
      <c r="K642" s="148"/>
    </row>
    <row r="643" spans="2:11" x14ac:dyDescent="0.3">
      <c r="B643" s="150" t="str">
        <f>IF(Table24[[#This Row],[Affected CMS
(§63.567(o)(3)(ix), §63.567(o)(6)(ii))
(Select from dropdown)]]="","",VLOOKUP(Table24[[#This Row],[Affected CMS
(§63.567(o)(3)(ix), §63.567(o)(6)(ii))
(Select from dropdown)]],Table22[],2,FALSE))</f>
        <v/>
      </c>
      <c r="E643" s="132"/>
      <c r="F643" s="140"/>
      <c r="G643" s="147"/>
      <c r="H643" s="147"/>
      <c r="K643" s="148"/>
    </row>
    <row r="644" spans="2:11" x14ac:dyDescent="0.3">
      <c r="B644" s="150" t="str">
        <f>IF(Table24[[#This Row],[Affected CMS
(§63.567(o)(3)(ix), §63.567(o)(6)(ii))
(Select from dropdown)]]="","",VLOOKUP(Table24[[#This Row],[Affected CMS
(§63.567(o)(3)(ix), §63.567(o)(6)(ii))
(Select from dropdown)]],Table22[],2,FALSE))</f>
        <v/>
      </c>
      <c r="E644" s="132"/>
      <c r="F644" s="140"/>
      <c r="G644" s="147"/>
      <c r="H644" s="147"/>
      <c r="K644" s="148"/>
    </row>
    <row r="645" spans="2:11" x14ac:dyDescent="0.3">
      <c r="B645" s="150" t="str">
        <f>IF(Table24[[#This Row],[Affected CMS
(§63.567(o)(3)(ix), §63.567(o)(6)(ii))
(Select from dropdown)]]="","",VLOOKUP(Table24[[#This Row],[Affected CMS
(§63.567(o)(3)(ix), §63.567(o)(6)(ii))
(Select from dropdown)]],Table22[],2,FALSE))</f>
        <v/>
      </c>
      <c r="E645" s="132"/>
      <c r="F645" s="140"/>
      <c r="G645" s="147"/>
      <c r="H645" s="147"/>
      <c r="K645" s="148"/>
    </row>
    <row r="646" spans="2:11" x14ac:dyDescent="0.3">
      <c r="B646" s="150" t="str">
        <f>IF(Table24[[#This Row],[Affected CMS
(§63.567(o)(3)(ix), §63.567(o)(6)(ii))
(Select from dropdown)]]="","",VLOOKUP(Table24[[#This Row],[Affected CMS
(§63.567(o)(3)(ix), §63.567(o)(6)(ii))
(Select from dropdown)]],Table22[],2,FALSE))</f>
        <v/>
      </c>
      <c r="E646" s="132"/>
      <c r="F646" s="140"/>
      <c r="G646" s="147"/>
      <c r="H646" s="147"/>
      <c r="K646" s="148"/>
    </row>
    <row r="647" spans="2:11" x14ac:dyDescent="0.3">
      <c r="B647" s="150" t="str">
        <f>IF(Table24[[#This Row],[Affected CMS
(§63.567(o)(3)(ix), §63.567(o)(6)(ii))
(Select from dropdown)]]="","",VLOOKUP(Table24[[#This Row],[Affected CMS
(§63.567(o)(3)(ix), §63.567(o)(6)(ii))
(Select from dropdown)]],Table22[],2,FALSE))</f>
        <v/>
      </c>
      <c r="E647" s="132"/>
      <c r="F647" s="140"/>
      <c r="G647" s="147"/>
      <c r="H647" s="147"/>
      <c r="K647" s="148"/>
    </row>
    <row r="648" spans="2:11" x14ac:dyDescent="0.3">
      <c r="B648" s="150" t="str">
        <f>IF(Table24[[#This Row],[Affected CMS
(§63.567(o)(3)(ix), §63.567(o)(6)(ii))
(Select from dropdown)]]="","",VLOOKUP(Table24[[#This Row],[Affected CMS
(§63.567(o)(3)(ix), §63.567(o)(6)(ii))
(Select from dropdown)]],Table22[],2,FALSE))</f>
        <v/>
      </c>
      <c r="E648" s="132"/>
      <c r="F648" s="140"/>
      <c r="G648" s="147"/>
      <c r="H648" s="147"/>
      <c r="K648" s="148"/>
    </row>
    <row r="649" spans="2:11" x14ac:dyDescent="0.3">
      <c r="B649" s="150" t="str">
        <f>IF(Table24[[#This Row],[Affected CMS
(§63.567(o)(3)(ix), §63.567(o)(6)(ii))
(Select from dropdown)]]="","",VLOOKUP(Table24[[#This Row],[Affected CMS
(§63.567(o)(3)(ix), §63.567(o)(6)(ii))
(Select from dropdown)]],Table22[],2,FALSE))</f>
        <v/>
      </c>
      <c r="E649" s="132"/>
      <c r="F649" s="140"/>
      <c r="G649" s="147"/>
      <c r="H649" s="147"/>
      <c r="K649" s="148"/>
    </row>
    <row r="650" spans="2:11" x14ac:dyDescent="0.3">
      <c r="B650" s="150" t="str">
        <f>IF(Table24[[#This Row],[Affected CMS
(§63.567(o)(3)(ix), §63.567(o)(6)(ii))
(Select from dropdown)]]="","",VLOOKUP(Table24[[#This Row],[Affected CMS
(§63.567(o)(3)(ix), §63.567(o)(6)(ii))
(Select from dropdown)]],Table22[],2,FALSE))</f>
        <v/>
      </c>
      <c r="E650" s="132"/>
      <c r="F650" s="140"/>
      <c r="G650" s="147"/>
      <c r="H650" s="147"/>
      <c r="K650" s="148"/>
    </row>
    <row r="651" spans="2:11" x14ac:dyDescent="0.3">
      <c r="B651" s="150" t="str">
        <f>IF(Table24[[#This Row],[Affected CMS
(§63.567(o)(3)(ix), §63.567(o)(6)(ii))
(Select from dropdown)]]="","",VLOOKUP(Table24[[#This Row],[Affected CMS
(§63.567(o)(3)(ix), §63.567(o)(6)(ii))
(Select from dropdown)]],Table22[],2,FALSE))</f>
        <v/>
      </c>
      <c r="E651" s="132"/>
      <c r="F651" s="140"/>
      <c r="G651" s="147"/>
      <c r="H651" s="147"/>
      <c r="K651" s="148"/>
    </row>
    <row r="652" spans="2:11" x14ac:dyDescent="0.3">
      <c r="B652" s="150" t="str">
        <f>IF(Table24[[#This Row],[Affected CMS
(§63.567(o)(3)(ix), §63.567(o)(6)(ii))
(Select from dropdown)]]="","",VLOOKUP(Table24[[#This Row],[Affected CMS
(§63.567(o)(3)(ix), §63.567(o)(6)(ii))
(Select from dropdown)]],Table22[],2,FALSE))</f>
        <v/>
      </c>
      <c r="E652" s="132"/>
      <c r="F652" s="140"/>
      <c r="G652" s="147"/>
      <c r="H652" s="147"/>
      <c r="K652" s="148"/>
    </row>
    <row r="653" spans="2:11" x14ac:dyDescent="0.3">
      <c r="B653" s="150" t="str">
        <f>IF(Table24[[#This Row],[Affected CMS
(§63.567(o)(3)(ix), §63.567(o)(6)(ii))
(Select from dropdown)]]="","",VLOOKUP(Table24[[#This Row],[Affected CMS
(§63.567(o)(3)(ix), §63.567(o)(6)(ii))
(Select from dropdown)]],Table22[],2,FALSE))</f>
        <v/>
      </c>
      <c r="E653" s="132"/>
      <c r="F653" s="140"/>
      <c r="G653" s="147"/>
      <c r="H653" s="147"/>
      <c r="K653" s="148"/>
    </row>
    <row r="654" spans="2:11" x14ac:dyDescent="0.3">
      <c r="B654" s="150" t="str">
        <f>IF(Table24[[#This Row],[Affected CMS
(§63.567(o)(3)(ix), §63.567(o)(6)(ii))
(Select from dropdown)]]="","",VLOOKUP(Table24[[#This Row],[Affected CMS
(§63.567(o)(3)(ix), §63.567(o)(6)(ii))
(Select from dropdown)]],Table22[],2,FALSE))</f>
        <v/>
      </c>
      <c r="E654" s="132"/>
      <c r="F654" s="140"/>
      <c r="G654" s="147"/>
      <c r="H654" s="147"/>
      <c r="K654" s="148"/>
    </row>
    <row r="655" spans="2:11" x14ac:dyDescent="0.3">
      <c r="B655" s="150" t="str">
        <f>IF(Table24[[#This Row],[Affected CMS
(§63.567(o)(3)(ix), §63.567(o)(6)(ii))
(Select from dropdown)]]="","",VLOOKUP(Table24[[#This Row],[Affected CMS
(§63.567(o)(3)(ix), §63.567(o)(6)(ii))
(Select from dropdown)]],Table22[],2,FALSE))</f>
        <v/>
      </c>
      <c r="E655" s="132"/>
      <c r="F655" s="140"/>
      <c r="G655" s="147"/>
      <c r="H655" s="147"/>
      <c r="K655" s="148"/>
    </row>
    <row r="656" spans="2:11" x14ac:dyDescent="0.3">
      <c r="B656" s="150" t="str">
        <f>IF(Table24[[#This Row],[Affected CMS
(§63.567(o)(3)(ix), §63.567(o)(6)(ii))
(Select from dropdown)]]="","",VLOOKUP(Table24[[#This Row],[Affected CMS
(§63.567(o)(3)(ix), §63.567(o)(6)(ii))
(Select from dropdown)]],Table22[],2,FALSE))</f>
        <v/>
      </c>
      <c r="E656" s="132"/>
      <c r="F656" s="140"/>
      <c r="G656" s="147"/>
      <c r="H656" s="147"/>
      <c r="K656" s="148"/>
    </row>
    <row r="657" spans="2:11" x14ac:dyDescent="0.3">
      <c r="B657" s="150" t="str">
        <f>IF(Table24[[#This Row],[Affected CMS
(§63.567(o)(3)(ix), §63.567(o)(6)(ii))
(Select from dropdown)]]="","",VLOOKUP(Table24[[#This Row],[Affected CMS
(§63.567(o)(3)(ix), §63.567(o)(6)(ii))
(Select from dropdown)]],Table22[],2,FALSE))</f>
        <v/>
      </c>
      <c r="E657" s="132"/>
      <c r="F657" s="140"/>
      <c r="G657" s="147"/>
      <c r="H657" s="147"/>
      <c r="K657" s="148"/>
    </row>
    <row r="658" spans="2:11" x14ac:dyDescent="0.3">
      <c r="B658" s="150" t="str">
        <f>IF(Table24[[#This Row],[Affected CMS
(§63.567(o)(3)(ix), §63.567(o)(6)(ii))
(Select from dropdown)]]="","",VLOOKUP(Table24[[#This Row],[Affected CMS
(§63.567(o)(3)(ix), §63.567(o)(6)(ii))
(Select from dropdown)]],Table22[],2,FALSE))</f>
        <v/>
      </c>
      <c r="E658" s="132"/>
      <c r="F658" s="140"/>
      <c r="G658" s="147"/>
      <c r="H658" s="147"/>
      <c r="K658" s="148"/>
    </row>
    <row r="659" spans="2:11" x14ac:dyDescent="0.3">
      <c r="B659" s="150" t="str">
        <f>IF(Table24[[#This Row],[Affected CMS
(§63.567(o)(3)(ix), §63.567(o)(6)(ii))
(Select from dropdown)]]="","",VLOOKUP(Table24[[#This Row],[Affected CMS
(§63.567(o)(3)(ix), §63.567(o)(6)(ii))
(Select from dropdown)]],Table22[],2,FALSE))</f>
        <v/>
      </c>
      <c r="E659" s="132"/>
      <c r="F659" s="140"/>
      <c r="G659" s="147"/>
      <c r="H659" s="147"/>
      <c r="K659" s="148"/>
    </row>
    <row r="660" spans="2:11" x14ac:dyDescent="0.3">
      <c r="B660" s="150" t="str">
        <f>IF(Table24[[#This Row],[Affected CMS
(§63.567(o)(3)(ix), §63.567(o)(6)(ii))
(Select from dropdown)]]="","",VLOOKUP(Table24[[#This Row],[Affected CMS
(§63.567(o)(3)(ix), §63.567(o)(6)(ii))
(Select from dropdown)]],Table22[],2,FALSE))</f>
        <v/>
      </c>
      <c r="E660" s="132"/>
      <c r="F660" s="140"/>
      <c r="G660" s="147"/>
      <c r="H660" s="147"/>
      <c r="K660" s="148"/>
    </row>
    <row r="661" spans="2:11" x14ac:dyDescent="0.3">
      <c r="B661" s="150" t="str">
        <f>IF(Table24[[#This Row],[Affected CMS
(§63.567(o)(3)(ix), §63.567(o)(6)(ii))
(Select from dropdown)]]="","",VLOOKUP(Table24[[#This Row],[Affected CMS
(§63.567(o)(3)(ix), §63.567(o)(6)(ii))
(Select from dropdown)]],Table22[],2,FALSE))</f>
        <v/>
      </c>
      <c r="E661" s="132"/>
      <c r="F661" s="140"/>
      <c r="G661" s="147"/>
      <c r="H661" s="147"/>
      <c r="K661" s="148"/>
    </row>
    <row r="662" spans="2:11" x14ac:dyDescent="0.3">
      <c r="B662" s="150" t="str">
        <f>IF(Table24[[#This Row],[Affected CMS
(§63.567(o)(3)(ix), §63.567(o)(6)(ii))
(Select from dropdown)]]="","",VLOOKUP(Table24[[#This Row],[Affected CMS
(§63.567(o)(3)(ix), §63.567(o)(6)(ii))
(Select from dropdown)]],Table22[],2,FALSE))</f>
        <v/>
      </c>
      <c r="E662" s="132"/>
      <c r="F662" s="140"/>
      <c r="G662" s="147"/>
      <c r="H662" s="147"/>
      <c r="K662" s="148"/>
    </row>
    <row r="663" spans="2:11" x14ac:dyDescent="0.3">
      <c r="B663" s="150" t="str">
        <f>IF(Table24[[#This Row],[Affected CMS
(§63.567(o)(3)(ix), §63.567(o)(6)(ii))
(Select from dropdown)]]="","",VLOOKUP(Table24[[#This Row],[Affected CMS
(§63.567(o)(3)(ix), §63.567(o)(6)(ii))
(Select from dropdown)]],Table22[],2,FALSE))</f>
        <v/>
      </c>
      <c r="E663" s="132"/>
      <c r="F663" s="140"/>
      <c r="G663" s="147"/>
      <c r="H663" s="147"/>
      <c r="K663" s="148"/>
    </row>
    <row r="664" spans="2:11" x14ac:dyDescent="0.3">
      <c r="B664" s="150" t="str">
        <f>IF(Table24[[#This Row],[Affected CMS
(§63.567(o)(3)(ix), §63.567(o)(6)(ii))
(Select from dropdown)]]="","",VLOOKUP(Table24[[#This Row],[Affected CMS
(§63.567(o)(3)(ix), §63.567(o)(6)(ii))
(Select from dropdown)]],Table22[],2,FALSE))</f>
        <v/>
      </c>
      <c r="E664" s="132"/>
      <c r="F664" s="140"/>
      <c r="G664" s="147"/>
      <c r="H664" s="147"/>
      <c r="K664" s="148"/>
    </row>
    <row r="665" spans="2:11" x14ac:dyDescent="0.3">
      <c r="B665" s="150" t="str">
        <f>IF(Table24[[#This Row],[Affected CMS
(§63.567(o)(3)(ix), §63.567(o)(6)(ii))
(Select from dropdown)]]="","",VLOOKUP(Table24[[#This Row],[Affected CMS
(§63.567(o)(3)(ix), §63.567(o)(6)(ii))
(Select from dropdown)]],Table22[],2,FALSE))</f>
        <v/>
      </c>
      <c r="E665" s="132"/>
      <c r="F665" s="140"/>
      <c r="G665" s="147"/>
      <c r="H665" s="147"/>
      <c r="K665" s="148"/>
    </row>
    <row r="666" spans="2:11" x14ac:dyDescent="0.3">
      <c r="B666" s="150" t="str">
        <f>IF(Table24[[#This Row],[Affected CMS
(§63.567(o)(3)(ix), §63.567(o)(6)(ii))
(Select from dropdown)]]="","",VLOOKUP(Table24[[#This Row],[Affected CMS
(§63.567(o)(3)(ix), §63.567(o)(6)(ii))
(Select from dropdown)]],Table22[],2,FALSE))</f>
        <v/>
      </c>
      <c r="E666" s="132"/>
      <c r="F666" s="140"/>
      <c r="G666" s="147"/>
      <c r="H666" s="147"/>
      <c r="K666" s="148"/>
    </row>
    <row r="667" spans="2:11" x14ac:dyDescent="0.3">
      <c r="B667" s="150" t="str">
        <f>IF(Table24[[#This Row],[Affected CMS
(§63.567(o)(3)(ix), §63.567(o)(6)(ii))
(Select from dropdown)]]="","",VLOOKUP(Table24[[#This Row],[Affected CMS
(§63.567(o)(3)(ix), §63.567(o)(6)(ii))
(Select from dropdown)]],Table22[],2,FALSE))</f>
        <v/>
      </c>
      <c r="E667" s="132"/>
      <c r="F667" s="140"/>
      <c r="G667" s="147"/>
      <c r="H667" s="147"/>
      <c r="K667" s="148"/>
    </row>
    <row r="668" spans="2:11" x14ac:dyDescent="0.3">
      <c r="B668" s="150" t="str">
        <f>IF(Table24[[#This Row],[Affected CMS
(§63.567(o)(3)(ix), §63.567(o)(6)(ii))
(Select from dropdown)]]="","",VLOOKUP(Table24[[#This Row],[Affected CMS
(§63.567(o)(3)(ix), §63.567(o)(6)(ii))
(Select from dropdown)]],Table22[],2,FALSE))</f>
        <v/>
      </c>
      <c r="E668" s="132"/>
      <c r="F668" s="140"/>
      <c r="G668" s="147"/>
      <c r="H668" s="147"/>
      <c r="K668" s="148"/>
    </row>
    <row r="669" spans="2:11" x14ac:dyDescent="0.3">
      <c r="B669" s="150" t="str">
        <f>IF(Table24[[#This Row],[Affected CMS
(§63.567(o)(3)(ix), §63.567(o)(6)(ii))
(Select from dropdown)]]="","",VLOOKUP(Table24[[#This Row],[Affected CMS
(§63.567(o)(3)(ix), §63.567(o)(6)(ii))
(Select from dropdown)]],Table22[],2,FALSE))</f>
        <v/>
      </c>
      <c r="E669" s="132"/>
      <c r="F669" s="140"/>
      <c r="G669" s="147"/>
      <c r="H669" s="147"/>
      <c r="K669" s="148"/>
    </row>
    <row r="670" spans="2:11" x14ac:dyDescent="0.3">
      <c r="B670" s="150" t="str">
        <f>IF(Table24[[#This Row],[Affected CMS
(§63.567(o)(3)(ix), §63.567(o)(6)(ii))
(Select from dropdown)]]="","",VLOOKUP(Table24[[#This Row],[Affected CMS
(§63.567(o)(3)(ix), §63.567(o)(6)(ii))
(Select from dropdown)]],Table22[],2,FALSE))</f>
        <v/>
      </c>
      <c r="E670" s="132"/>
      <c r="F670" s="140"/>
      <c r="G670" s="147"/>
      <c r="H670" s="147"/>
      <c r="K670" s="148"/>
    </row>
    <row r="671" spans="2:11" x14ac:dyDescent="0.3">
      <c r="B671" s="150" t="str">
        <f>IF(Table24[[#This Row],[Affected CMS
(§63.567(o)(3)(ix), §63.567(o)(6)(ii))
(Select from dropdown)]]="","",VLOOKUP(Table24[[#This Row],[Affected CMS
(§63.567(o)(3)(ix), §63.567(o)(6)(ii))
(Select from dropdown)]],Table22[],2,FALSE))</f>
        <v/>
      </c>
      <c r="E671" s="132"/>
      <c r="F671" s="140"/>
      <c r="G671" s="147"/>
      <c r="H671" s="147"/>
      <c r="K671" s="148"/>
    </row>
    <row r="672" spans="2:11" x14ac:dyDescent="0.3">
      <c r="B672" s="150" t="str">
        <f>IF(Table24[[#This Row],[Affected CMS
(§63.567(o)(3)(ix), §63.567(o)(6)(ii))
(Select from dropdown)]]="","",VLOOKUP(Table24[[#This Row],[Affected CMS
(§63.567(o)(3)(ix), §63.567(o)(6)(ii))
(Select from dropdown)]],Table22[],2,FALSE))</f>
        <v/>
      </c>
      <c r="E672" s="132"/>
      <c r="F672" s="140"/>
      <c r="G672" s="147"/>
      <c r="H672" s="147"/>
      <c r="K672" s="148"/>
    </row>
    <row r="673" spans="2:11" x14ac:dyDescent="0.3">
      <c r="B673" s="150" t="str">
        <f>IF(Table24[[#This Row],[Affected CMS
(§63.567(o)(3)(ix), §63.567(o)(6)(ii))
(Select from dropdown)]]="","",VLOOKUP(Table24[[#This Row],[Affected CMS
(§63.567(o)(3)(ix), §63.567(o)(6)(ii))
(Select from dropdown)]],Table22[],2,FALSE))</f>
        <v/>
      </c>
      <c r="E673" s="132"/>
      <c r="F673" s="140"/>
      <c r="G673" s="147"/>
      <c r="H673" s="147"/>
      <c r="K673" s="148"/>
    </row>
    <row r="674" spans="2:11" x14ac:dyDescent="0.3">
      <c r="B674" s="150" t="str">
        <f>IF(Table24[[#This Row],[Affected CMS
(§63.567(o)(3)(ix), §63.567(o)(6)(ii))
(Select from dropdown)]]="","",VLOOKUP(Table24[[#This Row],[Affected CMS
(§63.567(o)(3)(ix), §63.567(o)(6)(ii))
(Select from dropdown)]],Table22[],2,FALSE))</f>
        <v/>
      </c>
      <c r="E674" s="132"/>
      <c r="F674" s="140"/>
      <c r="G674" s="147"/>
      <c r="H674" s="147"/>
      <c r="K674" s="148"/>
    </row>
    <row r="675" spans="2:11" x14ac:dyDescent="0.3">
      <c r="B675" s="150" t="str">
        <f>IF(Table24[[#This Row],[Affected CMS
(§63.567(o)(3)(ix), §63.567(o)(6)(ii))
(Select from dropdown)]]="","",VLOOKUP(Table24[[#This Row],[Affected CMS
(§63.567(o)(3)(ix), §63.567(o)(6)(ii))
(Select from dropdown)]],Table22[],2,FALSE))</f>
        <v/>
      </c>
      <c r="E675" s="132"/>
      <c r="F675" s="140"/>
      <c r="G675" s="147"/>
      <c r="H675" s="147"/>
      <c r="K675" s="148"/>
    </row>
    <row r="676" spans="2:11" x14ac:dyDescent="0.3">
      <c r="B676" s="150" t="str">
        <f>IF(Table24[[#This Row],[Affected CMS
(§63.567(o)(3)(ix), §63.567(o)(6)(ii))
(Select from dropdown)]]="","",VLOOKUP(Table24[[#This Row],[Affected CMS
(§63.567(o)(3)(ix), §63.567(o)(6)(ii))
(Select from dropdown)]],Table22[],2,FALSE))</f>
        <v/>
      </c>
      <c r="E676" s="132"/>
      <c r="F676" s="140"/>
      <c r="G676" s="147"/>
      <c r="H676" s="147"/>
      <c r="K676" s="148"/>
    </row>
    <row r="677" spans="2:11" x14ac:dyDescent="0.3">
      <c r="B677" s="150" t="str">
        <f>IF(Table24[[#This Row],[Affected CMS
(§63.567(o)(3)(ix), §63.567(o)(6)(ii))
(Select from dropdown)]]="","",VLOOKUP(Table24[[#This Row],[Affected CMS
(§63.567(o)(3)(ix), §63.567(o)(6)(ii))
(Select from dropdown)]],Table22[],2,FALSE))</f>
        <v/>
      </c>
      <c r="E677" s="132"/>
      <c r="F677" s="140"/>
      <c r="G677" s="147"/>
      <c r="H677" s="147"/>
      <c r="K677" s="148"/>
    </row>
    <row r="678" spans="2:11" x14ac:dyDescent="0.3">
      <c r="B678" s="150" t="str">
        <f>IF(Table24[[#This Row],[Affected CMS
(§63.567(o)(3)(ix), §63.567(o)(6)(ii))
(Select from dropdown)]]="","",VLOOKUP(Table24[[#This Row],[Affected CMS
(§63.567(o)(3)(ix), §63.567(o)(6)(ii))
(Select from dropdown)]],Table22[],2,FALSE))</f>
        <v/>
      </c>
      <c r="E678" s="132"/>
      <c r="F678" s="140"/>
      <c r="G678" s="147"/>
      <c r="H678" s="147"/>
      <c r="K678" s="148"/>
    </row>
    <row r="679" spans="2:11" x14ac:dyDescent="0.3">
      <c r="B679" s="150" t="str">
        <f>IF(Table24[[#This Row],[Affected CMS
(§63.567(o)(3)(ix), §63.567(o)(6)(ii))
(Select from dropdown)]]="","",VLOOKUP(Table24[[#This Row],[Affected CMS
(§63.567(o)(3)(ix), §63.567(o)(6)(ii))
(Select from dropdown)]],Table22[],2,FALSE))</f>
        <v/>
      </c>
      <c r="E679" s="132"/>
      <c r="F679" s="140"/>
      <c r="G679" s="147"/>
      <c r="H679" s="147"/>
      <c r="K679" s="148"/>
    </row>
    <row r="680" spans="2:11" x14ac:dyDescent="0.3">
      <c r="B680" s="150" t="str">
        <f>IF(Table24[[#This Row],[Affected CMS
(§63.567(o)(3)(ix), §63.567(o)(6)(ii))
(Select from dropdown)]]="","",VLOOKUP(Table24[[#This Row],[Affected CMS
(§63.567(o)(3)(ix), §63.567(o)(6)(ii))
(Select from dropdown)]],Table22[],2,FALSE))</f>
        <v/>
      </c>
      <c r="E680" s="132"/>
      <c r="F680" s="140"/>
      <c r="G680" s="147"/>
      <c r="H680" s="147"/>
      <c r="K680" s="148"/>
    </row>
    <row r="681" spans="2:11" x14ac:dyDescent="0.3">
      <c r="B681" s="150" t="str">
        <f>IF(Table24[[#This Row],[Affected CMS
(§63.567(o)(3)(ix), §63.567(o)(6)(ii))
(Select from dropdown)]]="","",VLOOKUP(Table24[[#This Row],[Affected CMS
(§63.567(o)(3)(ix), §63.567(o)(6)(ii))
(Select from dropdown)]],Table22[],2,FALSE))</f>
        <v/>
      </c>
      <c r="E681" s="132"/>
      <c r="F681" s="140"/>
      <c r="G681" s="147"/>
      <c r="H681" s="147"/>
      <c r="K681" s="148"/>
    </row>
    <row r="682" spans="2:11" x14ac:dyDescent="0.3">
      <c r="B682" s="150" t="str">
        <f>IF(Table24[[#This Row],[Affected CMS
(§63.567(o)(3)(ix), §63.567(o)(6)(ii))
(Select from dropdown)]]="","",VLOOKUP(Table24[[#This Row],[Affected CMS
(§63.567(o)(3)(ix), §63.567(o)(6)(ii))
(Select from dropdown)]],Table22[],2,FALSE))</f>
        <v/>
      </c>
      <c r="E682" s="132"/>
      <c r="F682" s="140"/>
      <c r="G682" s="147"/>
      <c r="H682" s="147"/>
      <c r="K682" s="148"/>
    </row>
    <row r="683" spans="2:11" x14ac:dyDescent="0.3">
      <c r="B683" s="150" t="str">
        <f>IF(Table24[[#This Row],[Affected CMS
(§63.567(o)(3)(ix), §63.567(o)(6)(ii))
(Select from dropdown)]]="","",VLOOKUP(Table24[[#This Row],[Affected CMS
(§63.567(o)(3)(ix), §63.567(o)(6)(ii))
(Select from dropdown)]],Table22[],2,FALSE))</f>
        <v/>
      </c>
      <c r="E683" s="132"/>
      <c r="F683" s="140"/>
      <c r="G683" s="147"/>
      <c r="H683" s="147"/>
      <c r="K683" s="148"/>
    </row>
    <row r="684" spans="2:11" x14ac:dyDescent="0.3">
      <c r="B684" s="150" t="str">
        <f>IF(Table24[[#This Row],[Affected CMS
(§63.567(o)(3)(ix), §63.567(o)(6)(ii))
(Select from dropdown)]]="","",VLOOKUP(Table24[[#This Row],[Affected CMS
(§63.567(o)(3)(ix), §63.567(o)(6)(ii))
(Select from dropdown)]],Table22[],2,FALSE))</f>
        <v/>
      </c>
      <c r="E684" s="132"/>
      <c r="F684" s="140"/>
      <c r="G684" s="147"/>
      <c r="H684" s="147"/>
      <c r="K684" s="148"/>
    </row>
    <row r="685" spans="2:11" x14ac:dyDescent="0.3">
      <c r="B685" s="150" t="str">
        <f>IF(Table24[[#This Row],[Affected CMS
(§63.567(o)(3)(ix), §63.567(o)(6)(ii))
(Select from dropdown)]]="","",VLOOKUP(Table24[[#This Row],[Affected CMS
(§63.567(o)(3)(ix), §63.567(o)(6)(ii))
(Select from dropdown)]],Table22[],2,FALSE))</f>
        <v/>
      </c>
      <c r="E685" s="132"/>
      <c r="F685" s="140"/>
      <c r="G685" s="147"/>
      <c r="H685" s="147"/>
      <c r="K685" s="148"/>
    </row>
    <row r="686" spans="2:11" x14ac:dyDescent="0.3">
      <c r="B686" s="150" t="str">
        <f>IF(Table24[[#This Row],[Affected CMS
(§63.567(o)(3)(ix), §63.567(o)(6)(ii))
(Select from dropdown)]]="","",VLOOKUP(Table24[[#This Row],[Affected CMS
(§63.567(o)(3)(ix), §63.567(o)(6)(ii))
(Select from dropdown)]],Table22[],2,FALSE))</f>
        <v/>
      </c>
      <c r="E686" s="132"/>
      <c r="F686" s="140"/>
      <c r="G686" s="147"/>
      <c r="H686" s="147"/>
      <c r="K686" s="148"/>
    </row>
    <row r="687" spans="2:11" x14ac:dyDescent="0.3">
      <c r="B687" s="150" t="str">
        <f>IF(Table24[[#This Row],[Affected CMS
(§63.567(o)(3)(ix), §63.567(o)(6)(ii))
(Select from dropdown)]]="","",VLOOKUP(Table24[[#This Row],[Affected CMS
(§63.567(o)(3)(ix), §63.567(o)(6)(ii))
(Select from dropdown)]],Table22[],2,FALSE))</f>
        <v/>
      </c>
      <c r="E687" s="132"/>
      <c r="F687" s="140"/>
      <c r="G687" s="147"/>
      <c r="H687" s="147"/>
      <c r="K687" s="148"/>
    </row>
    <row r="688" spans="2:11" x14ac:dyDescent="0.3">
      <c r="B688" s="150" t="str">
        <f>IF(Table24[[#This Row],[Affected CMS
(§63.567(o)(3)(ix), §63.567(o)(6)(ii))
(Select from dropdown)]]="","",VLOOKUP(Table24[[#This Row],[Affected CMS
(§63.567(o)(3)(ix), §63.567(o)(6)(ii))
(Select from dropdown)]],Table22[],2,FALSE))</f>
        <v/>
      </c>
      <c r="E688" s="132"/>
      <c r="F688" s="140"/>
      <c r="G688" s="147"/>
      <c r="H688" s="147"/>
      <c r="K688" s="148"/>
    </row>
    <row r="689" spans="2:11" x14ac:dyDescent="0.3">
      <c r="B689" s="150" t="str">
        <f>IF(Table24[[#This Row],[Affected CMS
(§63.567(o)(3)(ix), §63.567(o)(6)(ii))
(Select from dropdown)]]="","",VLOOKUP(Table24[[#This Row],[Affected CMS
(§63.567(o)(3)(ix), §63.567(o)(6)(ii))
(Select from dropdown)]],Table22[],2,FALSE))</f>
        <v/>
      </c>
      <c r="E689" s="132"/>
      <c r="F689" s="140"/>
      <c r="G689" s="147"/>
      <c r="H689" s="147"/>
      <c r="K689" s="148"/>
    </row>
    <row r="690" spans="2:11" x14ac:dyDescent="0.3">
      <c r="B690" s="150" t="str">
        <f>IF(Table24[[#This Row],[Affected CMS
(§63.567(o)(3)(ix), §63.567(o)(6)(ii))
(Select from dropdown)]]="","",VLOOKUP(Table24[[#This Row],[Affected CMS
(§63.567(o)(3)(ix), §63.567(o)(6)(ii))
(Select from dropdown)]],Table22[],2,FALSE))</f>
        <v/>
      </c>
      <c r="E690" s="132"/>
      <c r="F690" s="140"/>
      <c r="G690" s="147"/>
      <c r="H690" s="147"/>
      <c r="K690" s="148"/>
    </row>
    <row r="691" spans="2:11" x14ac:dyDescent="0.3">
      <c r="B691" s="150" t="str">
        <f>IF(Table24[[#This Row],[Affected CMS
(§63.567(o)(3)(ix), §63.567(o)(6)(ii))
(Select from dropdown)]]="","",VLOOKUP(Table24[[#This Row],[Affected CMS
(§63.567(o)(3)(ix), §63.567(o)(6)(ii))
(Select from dropdown)]],Table22[],2,FALSE))</f>
        <v/>
      </c>
      <c r="E691" s="132"/>
      <c r="F691" s="140"/>
      <c r="G691" s="147"/>
      <c r="H691" s="147"/>
      <c r="K691" s="148"/>
    </row>
    <row r="692" spans="2:11" x14ac:dyDescent="0.3">
      <c r="B692" s="150" t="str">
        <f>IF(Table24[[#This Row],[Affected CMS
(§63.567(o)(3)(ix), §63.567(o)(6)(ii))
(Select from dropdown)]]="","",VLOOKUP(Table24[[#This Row],[Affected CMS
(§63.567(o)(3)(ix), §63.567(o)(6)(ii))
(Select from dropdown)]],Table22[],2,FALSE))</f>
        <v/>
      </c>
      <c r="E692" s="132"/>
      <c r="F692" s="140"/>
      <c r="G692" s="147"/>
      <c r="H692" s="147"/>
      <c r="K692" s="148"/>
    </row>
    <row r="693" spans="2:11" x14ac:dyDescent="0.3">
      <c r="B693" s="150" t="str">
        <f>IF(Table24[[#This Row],[Affected CMS
(§63.567(o)(3)(ix), §63.567(o)(6)(ii))
(Select from dropdown)]]="","",VLOOKUP(Table24[[#This Row],[Affected CMS
(§63.567(o)(3)(ix), §63.567(o)(6)(ii))
(Select from dropdown)]],Table22[],2,FALSE))</f>
        <v/>
      </c>
      <c r="E693" s="132"/>
      <c r="F693" s="140"/>
      <c r="G693" s="147"/>
      <c r="H693" s="147"/>
      <c r="K693" s="148"/>
    </row>
    <row r="694" spans="2:11" x14ac:dyDescent="0.3">
      <c r="B694" s="150" t="str">
        <f>IF(Table24[[#This Row],[Affected CMS
(§63.567(o)(3)(ix), §63.567(o)(6)(ii))
(Select from dropdown)]]="","",VLOOKUP(Table24[[#This Row],[Affected CMS
(§63.567(o)(3)(ix), §63.567(o)(6)(ii))
(Select from dropdown)]],Table22[],2,FALSE))</f>
        <v/>
      </c>
      <c r="E694" s="132"/>
      <c r="F694" s="140"/>
      <c r="G694" s="147"/>
      <c r="H694" s="147"/>
      <c r="K694" s="148"/>
    </row>
    <row r="695" spans="2:11" x14ac:dyDescent="0.3">
      <c r="B695" s="150" t="str">
        <f>IF(Table24[[#This Row],[Affected CMS
(§63.567(o)(3)(ix), §63.567(o)(6)(ii))
(Select from dropdown)]]="","",VLOOKUP(Table24[[#This Row],[Affected CMS
(§63.567(o)(3)(ix), §63.567(o)(6)(ii))
(Select from dropdown)]],Table22[],2,FALSE))</f>
        <v/>
      </c>
      <c r="E695" s="132"/>
      <c r="F695" s="140"/>
      <c r="G695" s="147"/>
      <c r="H695" s="147"/>
      <c r="K695" s="148"/>
    </row>
    <row r="696" spans="2:11" x14ac:dyDescent="0.3">
      <c r="B696" s="150" t="str">
        <f>IF(Table24[[#This Row],[Affected CMS
(§63.567(o)(3)(ix), §63.567(o)(6)(ii))
(Select from dropdown)]]="","",VLOOKUP(Table24[[#This Row],[Affected CMS
(§63.567(o)(3)(ix), §63.567(o)(6)(ii))
(Select from dropdown)]],Table22[],2,FALSE))</f>
        <v/>
      </c>
      <c r="E696" s="132"/>
      <c r="F696" s="140"/>
      <c r="G696" s="147"/>
      <c r="H696" s="147"/>
      <c r="K696" s="148"/>
    </row>
    <row r="697" spans="2:11" x14ac:dyDescent="0.3">
      <c r="B697" s="150" t="str">
        <f>IF(Table24[[#This Row],[Affected CMS
(§63.567(o)(3)(ix), §63.567(o)(6)(ii))
(Select from dropdown)]]="","",VLOOKUP(Table24[[#This Row],[Affected CMS
(§63.567(o)(3)(ix), §63.567(o)(6)(ii))
(Select from dropdown)]],Table22[],2,FALSE))</f>
        <v/>
      </c>
      <c r="E697" s="132"/>
      <c r="F697" s="140"/>
      <c r="G697" s="147"/>
      <c r="H697" s="147"/>
      <c r="K697" s="148"/>
    </row>
    <row r="698" spans="2:11" x14ac:dyDescent="0.3">
      <c r="B698" s="150" t="str">
        <f>IF(Table24[[#This Row],[Affected CMS
(§63.567(o)(3)(ix), §63.567(o)(6)(ii))
(Select from dropdown)]]="","",VLOOKUP(Table24[[#This Row],[Affected CMS
(§63.567(o)(3)(ix), §63.567(o)(6)(ii))
(Select from dropdown)]],Table22[],2,FALSE))</f>
        <v/>
      </c>
      <c r="E698" s="132"/>
      <c r="F698" s="140"/>
      <c r="G698" s="147"/>
      <c r="H698" s="147"/>
      <c r="K698" s="148"/>
    </row>
    <row r="699" spans="2:11" x14ac:dyDescent="0.3">
      <c r="B699" s="150" t="str">
        <f>IF(Table24[[#This Row],[Affected CMS
(§63.567(o)(3)(ix), §63.567(o)(6)(ii))
(Select from dropdown)]]="","",VLOOKUP(Table24[[#This Row],[Affected CMS
(§63.567(o)(3)(ix), §63.567(o)(6)(ii))
(Select from dropdown)]],Table22[],2,FALSE))</f>
        <v/>
      </c>
      <c r="E699" s="132"/>
      <c r="F699" s="140"/>
      <c r="G699" s="147"/>
      <c r="H699" s="147"/>
      <c r="K699" s="148"/>
    </row>
    <row r="700" spans="2:11" x14ac:dyDescent="0.3">
      <c r="B700" s="150" t="str">
        <f>IF(Table24[[#This Row],[Affected CMS
(§63.567(o)(3)(ix), §63.567(o)(6)(ii))
(Select from dropdown)]]="","",VLOOKUP(Table24[[#This Row],[Affected CMS
(§63.567(o)(3)(ix), §63.567(o)(6)(ii))
(Select from dropdown)]],Table22[],2,FALSE))</f>
        <v/>
      </c>
      <c r="E700" s="132"/>
      <c r="F700" s="140"/>
      <c r="G700" s="147"/>
      <c r="H700" s="147"/>
      <c r="K700" s="148"/>
    </row>
    <row r="701" spans="2:11" x14ac:dyDescent="0.3">
      <c r="B701" s="150" t="str">
        <f>IF(Table24[[#This Row],[Affected CMS
(§63.567(o)(3)(ix), §63.567(o)(6)(ii))
(Select from dropdown)]]="","",VLOOKUP(Table24[[#This Row],[Affected CMS
(§63.567(o)(3)(ix), §63.567(o)(6)(ii))
(Select from dropdown)]],Table22[],2,FALSE))</f>
        <v/>
      </c>
      <c r="E701" s="132"/>
      <c r="F701" s="140"/>
      <c r="G701" s="147"/>
      <c r="H701" s="147"/>
      <c r="K701" s="148"/>
    </row>
    <row r="702" spans="2:11" x14ac:dyDescent="0.3">
      <c r="B702" s="150" t="str">
        <f>IF(Table24[[#This Row],[Affected CMS
(§63.567(o)(3)(ix), §63.567(o)(6)(ii))
(Select from dropdown)]]="","",VLOOKUP(Table24[[#This Row],[Affected CMS
(§63.567(o)(3)(ix), §63.567(o)(6)(ii))
(Select from dropdown)]],Table22[],2,FALSE))</f>
        <v/>
      </c>
      <c r="E702" s="132"/>
      <c r="F702" s="140"/>
      <c r="G702" s="147"/>
      <c r="H702" s="147"/>
      <c r="K702" s="148"/>
    </row>
    <row r="703" spans="2:11" x14ac:dyDescent="0.3">
      <c r="B703" s="150" t="str">
        <f>IF(Table24[[#This Row],[Affected CMS
(§63.567(o)(3)(ix), §63.567(o)(6)(ii))
(Select from dropdown)]]="","",VLOOKUP(Table24[[#This Row],[Affected CMS
(§63.567(o)(3)(ix), §63.567(o)(6)(ii))
(Select from dropdown)]],Table22[],2,FALSE))</f>
        <v/>
      </c>
      <c r="E703" s="132"/>
      <c r="F703" s="140"/>
      <c r="G703" s="147"/>
      <c r="H703" s="147"/>
      <c r="K703" s="148"/>
    </row>
    <row r="704" spans="2:11" x14ac:dyDescent="0.3">
      <c r="B704" s="150" t="str">
        <f>IF(Table24[[#This Row],[Affected CMS
(§63.567(o)(3)(ix), §63.567(o)(6)(ii))
(Select from dropdown)]]="","",VLOOKUP(Table24[[#This Row],[Affected CMS
(§63.567(o)(3)(ix), §63.567(o)(6)(ii))
(Select from dropdown)]],Table22[],2,FALSE))</f>
        <v/>
      </c>
      <c r="E704" s="132"/>
      <c r="F704" s="140"/>
      <c r="G704" s="147"/>
      <c r="H704" s="147"/>
      <c r="K704" s="148"/>
    </row>
    <row r="705" spans="2:11" x14ac:dyDescent="0.3">
      <c r="B705" s="150" t="str">
        <f>IF(Table24[[#This Row],[Affected CMS
(§63.567(o)(3)(ix), §63.567(o)(6)(ii))
(Select from dropdown)]]="","",VLOOKUP(Table24[[#This Row],[Affected CMS
(§63.567(o)(3)(ix), §63.567(o)(6)(ii))
(Select from dropdown)]],Table22[],2,FALSE))</f>
        <v/>
      </c>
      <c r="E705" s="132"/>
      <c r="F705" s="140"/>
      <c r="G705" s="147"/>
      <c r="H705" s="147"/>
      <c r="K705" s="148"/>
    </row>
    <row r="706" spans="2:11" x14ac:dyDescent="0.3">
      <c r="B706" s="150" t="str">
        <f>IF(Table24[[#This Row],[Affected CMS
(§63.567(o)(3)(ix), §63.567(o)(6)(ii))
(Select from dropdown)]]="","",VLOOKUP(Table24[[#This Row],[Affected CMS
(§63.567(o)(3)(ix), §63.567(o)(6)(ii))
(Select from dropdown)]],Table22[],2,FALSE))</f>
        <v/>
      </c>
      <c r="E706" s="132"/>
      <c r="F706" s="140"/>
      <c r="G706" s="147"/>
      <c r="H706" s="147"/>
      <c r="K706" s="148"/>
    </row>
    <row r="707" spans="2:11" x14ac:dyDescent="0.3">
      <c r="B707" s="150" t="str">
        <f>IF(Table24[[#This Row],[Affected CMS
(§63.567(o)(3)(ix), §63.567(o)(6)(ii))
(Select from dropdown)]]="","",VLOOKUP(Table24[[#This Row],[Affected CMS
(§63.567(o)(3)(ix), §63.567(o)(6)(ii))
(Select from dropdown)]],Table22[],2,FALSE))</f>
        <v/>
      </c>
      <c r="E707" s="132"/>
      <c r="F707" s="140"/>
      <c r="G707" s="147"/>
      <c r="H707" s="147"/>
      <c r="K707" s="148"/>
    </row>
    <row r="708" spans="2:11" x14ac:dyDescent="0.3">
      <c r="B708" s="150" t="str">
        <f>IF(Table24[[#This Row],[Affected CMS
(§63.567(o)(3)(ix), §63.567(o)(6)(ii))
(Select from dropdown)]]="","",VLOOKUP(Table24[[#This Row],[Affected CMS
(§63.567(o)(3)(ix), §63.567(o)(6)(ii))
(Select from dropdown)]],Table22[],2,FALSE))</f>
        <v/>
      </c>
      <c r="E708" s="132"/>
      <c r="F708" s="140"/>
      <c r="G708" s="147"/>
      <c r="H708" s="147"/>
      <c r="K708" s="148"/>
    </row>
    <row r="709" spans="2:11" x14ac:dyDescent="0.3">
      <c r="B709" s="150" t="str">
        <f>IF(Table24[[#This Row],[Affected CMS
(§63.567(o)(3)(ix), §63.567(o)(6)(ii))
(Select from dropdown)]]="","",VLOOKUP(Table24[[#This Row],[Affected CMS
(§63.567(o)(3)(ix), §63.567(o)(6)(ii))
(Select from dropdown)]],Table22[],2,FALSE))</f>
        <v/>
      </c>
      <c r="E709" s="132"/>
      <c r="F709" s="140"/>
      <c r="G709" s="147"/>
      <c r="H709" s="147"/>
      <c r="K709" s="148"/>
    </row>
    <row r="710" spans="2:11" x14ac:dyDescent="0.3">
      <c r="B710" s="150" t="str">
        <f>IF(Table24[[#This Row],[Affected CMS
(§63.567(o)(3)(ix), §63.567(o)(6)(ii))
(Select from dropdown)]]="","",VLOOKUP(Table24[[#This Row],[Affected CMS
(§63.567(o)(3)(ix), §63.567(o)(6)(ii))
(Select from dropdown)]],Table22[],2,FALSE))</f>
        <v/>
      </c>
      <c r="E710" s="132"/>
      <c r="F710" s="140"/>
      <c r="G710" s="147"/>
      <c r="H710" s="147"/>
      <c r="K710" s="148"/>
    </row>
    <row r="711" spans="2:11" x14ac:dyDescent="0.3">
      <c r="B711" s="150" t="str">
        <f>IF(Table24[[#This Row],[Affected CMS
(§63.567(o)(3)(ix), §63.567(o)(6)(ii))
(Select from dropdown)]]="","",VLOOKUP(Table24[[#This Row],[Affected CMS
(§63.567(o)(3)(ix), §63.567(o)(6)(ii))
(Select from dropdown)]],Table22[],2,FALSE))</f>
        <v/>
      </c>
      <c r="E711" s="132"/>
      <c r="F711" s="140"/>
      <c r="G711" s="147"/>
      <c r="H711" s="147"/>
      <c r="K711" s="148"/>
    </row>
    <row r="712" spans="2:11" x14ac:dyDescent="0.3">
      <c r="B712" s="150" t="str">
        <f>IF(Table24[[#This Row],[Affected CMS
(§63.567(o)(3)(ix), §63.567(o)(6)(ii))
(Select from dropdown)]]="","",VLOOKUP(Table24[[#This Row],[Affected CMS
(§63.567(o)(3)(ix), §63.567(o)(6)(ii))
(Select from dropdown)]],Table22[],2,FALSE))</f>
        <v/>
      </c>
      <c r="E712" s="132"/>
      <c r="F712" s="140"/>
      <c r="G712" s="147"/>
      <c r="H712" s="147"/>
      <c r="K712" s="148"/>
    </row>
    <row r="713" spans="2:11" x14ac:dyDescent="0.3">
      <c r="B713" s="150" t="str">
        <f>IF(Table24[[#This Row],[Affected CMS
(§63.567(o)(3)(ix), §63.567(o)(6)(ii))
(Select from dropdown)]]="","",VLOOKUP(Table24[[#This Row],[Affected CMS
(§63.567(o)(3)(ix), §63.567(o)(6)(ii))
(Select from dropdown)]],Table22[],2,FALSE))</f>
        <v/>
      </c>
      <c r="E713" s="132"/>
      <c r="F713" s="140"/>
      <c r="G713" s="147"/>
      <c r="H713" s="147"/>
      <c r="K713" s="148"/>
    </row>
    <row r="714" spans="2:11" x14ac:dyDescent="0.3">
      <c r="B714" s="150" t="str">
        <f>IF(Table24[[#This Row],[Affected CMS
(§63.567(o)(3)(ix), §63.567(o)(6)(ii))
(Select from dropdown)]]="","",VLOOKUP(Table24[[#This Row],[Affected CMS
(§63.567(o)(3)(ix), §63.567(o)(6)(ii))
(Select from dropdown)]],Table22[],2,FALSE))</f>
        <v/>
      </c>
      <c r="E714" s="132"/>
      <c r="F714" s="140"/>
      <c r="G714" s="147"/>
      <c r="H714" s="147"/>
      <c r="K714" s="148"/>
    </row>
    <row r="715" spans="2:11" x14ac:dyDescent="0.3">
      <c r="B715" s="150" t="str">
        <f>IF(Table24[[#This Row],[Affected CMS
(§63.567(o)(3)(ix), §63.567(o)(6)(ii))
(Select from dropdown)]]="","",VLOOKUP(Table24[[#This Row],[Affected CMS
(§63.567(o)(3)(ix), §63.567(o)(6)(ii))
(Select from dropdown)]],Table22[],2,FALSE))</f>
        <v/>
      </c>
      <c r="E715" s="132"/>
      <c r="F715" s="140"/>
      <c r="G715" s="147"/>
      <c r="H715" s="147"/>
      <c r="K715" s="148"/>
    </row>
    <row r="716" spans="2:11" x14ac:dyDescent="0.3">
      <c r="B716" s="150" t="str">
        <f>IF(Table24[[#This Row],[Affected CMS
(§63.567(o)(3)(ix), §63.567(o)(6)(ii))
(Select from dropdown)]]="","",VLOOKUP(Table24[[#This Row],[Affected CMS
(§63.567(o)(3)(ix), §63.567(o)(6)(ii))
(Select from dropdown)]],Table22[],2,FALSE))</f>
        <v/>
      </c>
      <c r="E716" s="132"/>
      <c r="F716" s="140"/>
      <c r="G716" s="147"/>
      <c r="H716" s="147"/>
      <c r="K716" s="148"/>
    </row>
    <row r="717" spans="2:11" x14ac:dyDescent="0.3">
      <c r="B717" s="150" t="str">
        <f>IF(Table24[[#This Row],[Affected CMS
(§63.567(o)(3)(ix), §63.567(o)(6)(ii))
(Select from dropdown)]]="","",VLOOKUP(Table24[[#This Row],[Affected CMS
(§63.567(o)(3)(ix), §63.567(o)(6)(ii))
(Select from dropdown)]],Table22[],2,FALSE))</f>
        <v/>
      </c>
      <c r="E717" s="132"/>
      <c r="F717" s="140"/>
      <c r="G717" s="147"/>
      <c r="H717" s="147"/>
      <c r="K717" s="148"/>
    </row>
    <row r="718" spans="2:11" x14ac:dyDescent="0.3">
      <c r="B718" s="150" t="str">
        <f>IF(Table24[[#This Row],[Affected CMS
(§63.567(o)(3)(ix), §63.567(o)(6)(ii))
(Select from dropdown)]]="","",VLOOKUP(Table24[[#This Row],[Affected CMS
(§63.567(o)(3)(ix), §63.567(o)(6)(ii))
(Select from dropdown)]],Table22[],2,FALSE))</f>
        <v/>
      </c>
      <c r="E718" s="132"/>
      <c r="F718" s="140"/>
      <c r="G718" s="147"/>
      <c r="H718" s="147"/>
      <c r="K718" s="148"/>
    </row>
    <row r="719" spans="2:11" x14ac:dyDescent="0.3">
      <c r="B719" s="150" t="str">
        <f>IF(Table24[[#This Row],[Affected CMS
(§63.567(o)(3)(ix), §63.567(o)(6)(ii))
(Select from dropdown)]]="","",VLOOKUP(Table24[[#This Row],[Affected CMS
(§63.567(o)(3)(ix), §63.567(o)(6)(ii))
(Select from dropdown)]],Table22[],2,FALSE))</f>
        <v/>
      </c>
      <c r="E719" s="132"/>
      <c r="F719" s="140"/>
      <c r="G719" s="147"/>
      <c r="H719" s="147"/>
      <c r="K719" s="148"/>
    </row>
    <row r="720" spans="2:11" x14ac:dyDescent="0.3">
      <c r="B720" s="150" t="str">
        <f>IF(Table24[[#This Row],[Affected CMS
(§63.567(o)(3)(ix), §63.567(o)(6)(ii))
(Select from dropdown)]]="","",VLOOKUP(Table24[[#This Row],[Affected CMS
(§63.567(o)(3)(ix), §63.567(o)(6)(ii))
(Select from dropdown)]],Table22[],2,FALSE))</f>
        <v/>
      </c>
      <c r="E720" s="132"/>
      <c r="F720" s="140"/>
      <c r="G720" s="147"/>
      <c r="H720" s="147"/>
      <c r="K720" s="148"/>
    </row>
    <row r="721" spans="2:11" x14ac:dyDescent="0.3">
      <c r="B721" s="150" t="str">
        <f>IF(Table24[[#This Row],[Affected CMS
(§63.567(o)(3)(ix), §63.567(o)(6)(ii))
(Select from dropdown)]]="","",VLOOKUP(Table24[[#This Row],[Affected CMS
(§63.567(o)(3)(ix), §63.567(o)(6)(ii))
(Select from dropdown)]],Table22[],2,FALSE))</f>
        <v/>
      </c>
      <c r="E721" s="132"/>
      <c r="F721" s="140"/>
      <c r="G721" s="147"/>
      <c r="H721" s="147"/>
      <c r="K721" s="148"/>
    </row>
    <row r="722" spans="2:11" x14ac:dyDescent="0.3">
      <c r="B722" s="150" t="str">
        <f>IF(Table24[[#This Row],[Affected CMS
(§63.567(o)(3)(ix), §63.567(o)(6)(ii))
(Select from dropdown)]]="","",VLOOKUP(Table24[[#This Row],[Affected CMS
(§63.567(o)(3)(ix), §63.567(o)(6)(ii))
(Select from dropdown)]],Table22[],2,FALSE))</f>
        <v/>
      </c>
      <c r="E722" s="132"/>
      <c r="F722" s="140"/>
      <c r="G722" s="147"/>
      <c r="H722" s="147"/>
      <c r="K722" s="148"/>
    </row>
    <row r="723" spans="2:11" x14ac:dyDescent="0.3">
      <c r="B723" s="150" t="str">
        <f>IF(Table24[[#This Row],[Affected CMS
(§63.567(o)(3)(ix), §63.567(o)(6)(ii))
(Select from dropdown)]]="","",VLOOKUP(Table24[[#This Row],[Affected CMS
(§63.567(o)(3)(ix), §63.567(o)(6)(ii))
(Select from dropdown)]],Table22[],2,FALSE))</f>
        <v/>
      </c>
      <c r="E723" s="132"/>
      <c r="F723" s="140"/>
      <c r="G723" s="147"/>
      <c r="H723" s="147"/>
      <c r="K723" s="148"/>
    </row>
    <row r="724" spans="2:11" x14ac:dyDescent="0.3">
      <c r="B724" s="150" t="str">
        <f>IF(Table24[[#This Row],[Affected CMS
(§63.567(o)(3)(ix), §63.567(o)(6)(ii))
(Select from dropdown)]]="","",VLOOKUP(Table24[[#This Row],[Affected CMS
(§63.567(o)(3)(ix), §63.567(o)(6)(ii))
(Select from dropdown)]],Table22[],2,FALSE))</f>
        <v/>
      </c>
      <c r="E724" s="132"/>
      <c r="F724" s="140"/>
      <c r="G724" s="147"/>
      <c r="H724" s="147"/>
      <c r="K724" s="148"/>
    </row>
    <row r="725" spans="2:11" x14ac:dyDescent="0.3">
      <c r="B725" s="150" t="str">
        <f>IF(Table24[[#This Row],[Affected CMS
(§63.567(o)(3)(ix), §63.567(o)(6)(ii))
(Select from dropdown)]]="","",VLOOKUP(Table24[[#This Row],[Affected CMS
(§63.567(o)(3)(ix), §63.567(o)(6)(ii))
(Select from dropdown)]],Table22[],2,FALSE))</f>
        <v/>
      </c>
      <c r="E725" s="132"/>
      <c r="F725" s="140"/>
      <c r="G725" s="147"/>
      <c r="H725" s="147"/>
      <c r="K725" s="148"/>
    </row>
    <row r="726" spans="2:11" x14ac:dyDescent="0.3">
      <c r="B726" s="150" t="str">
        <f>IF(Table24[[#This Row],[Affected CMS
(§63.567(o)(3)(ix), §63.567(o)(6)(ii))
(Select from dropdown)]]="","",VLOOKUP(Table24[[#This Row],[Affected CMS
(§63.567(o)(3)(ix), §63.567(o)(6)(ii))
(Select from dropdown)]],Table22[],2,FALSE))</f>
        <v/>
      </c>
      <c r="E726" s="132"/>
      <c r="F726" s="140"/>
      <c r="G726" s="147"/>
      <c r="H726" s="147"/>
      <c r="K726" s="148"/>
    </row>
    <row r="727" spans="2:11" x14ac:dyDescent="0.3">
      <c r="B727" s="150" t="str">
        <f>IF(Table24[[#This Row],[Affected CMS
(§63.567(o)(3)(ix), §63.567(o)(6)(ii))
(Select from dropdown)]]="","",VLOOKUP(Table24[[#This Row],[Affected CMS
(§63.567(o)(3)(ix), §63.567(o)(6)(ii))
(Select from dropdown)]],Table22[],2,FALSE))</f>
        <v/>
      </c>
      <c r="E727" s="132"/>
      <c r="F727" s="140"/>
      <c r="G727" s="147"/>
      <c r="H727" s="147"/>
      <c r="K727" s="148"/>
    </row>
    <row r="728" spans="2:11" x14ac:dyDescent="0.3">
      <c r="B728" s="150" t="str">
        <f>IF(Table24[[#This Row],[Affected CMS
(§63.567(o)(3)(ix), §63.567(o)(6)(ii))
(Select from dropdown)]]="","",VLOOKUP(Table24[[#This Row],[Affected CMS
(§63.567(o)(3)(ix), §63.567(o)(6)(ii))
(Select from dropdown)]],Table22[],2,FALSE))</f>
        <v/>
      </c>
      <c r="E728" s="132"/>
      <c r="F728" s="140"/>
      <c r="G728" s="147"/>
      <c r="H728" s="147"/>
      <c r="K728" s="148"/>
    </row>
    <row r="729" spans="2:11" x14ac:dyDescent="0.3">
      <c r="B729" s="150" t="str">
        <f>IF(Table24[[#This Row],[Affected CMS
(§63.567(o)(3)(ix), §63.567(o)(6)(ii))
(Select from dropdown)]]="","",VLOOKUP(Table24[[#This Row],[Affected CMS
(§63.567(o)(3)(ix), §63.567(o)(6)(ii))
(Select from dropdown)]],Table22[],2,FALSE))</f>
        <v/>
      </c>
      <c r="E729" s="132"/>
      <c r="F729" s="140"/>
      <c r="G729" s="147"/>
      <c r="H729" s="147"/>
      <c r="K729" s="148"/>
    </row>
    <row r="730" spans="2:11" x14ac:dyDescent="0.3">
      <c r="B730" s="150" t="str">
        <f>IF(Table24[[#This Row],[Affected CMS
(§63.567(o)(3)(ix), §63.567(o)(6)(ii))
(Select from dropdown)]]="","",VLOOKUP(Table24[[#This Row],[Affected CMS
(§63.567(o)(3)(ix), §63.567(o)(6)(ii))
(Select from dropdown)]],Table22[],2,FALSE))</f>
        <v/>
      </c>
      <c r="E730" s="132"/>
      <c r="F730" s="140"/>
      <c r="G730" s="147"/>
      <c r="H730" s="147"/>
      <c r="K730" s="148"/>
    </row>
    <row r="731" spans="2:11" x14ac:dyDescent="0.3">
      <c r="B731" s="150" t="str">
        <f>IF(Table24[[#This Row],[Affected CMS
(§63.567(o)(3)(ix), §63.567(o)(6)(ii))
(Select from dropdown)]]="","",VLOOKUP(Table24[[#This Row],[Affected CMS
(§63.567(o)(3)(ix), §63.567(o)(6)(ii))
(Select from dropdown)]],Table22[],2,FALSE))</f>
        <v/>
      </c>
      <c r="E731" s="132"/>
      <c r="F731" s="140"/>
      <c r="G731" s="147"/>
      <c r="H731" s="147"/>
      <c r="K731" s="148"/>
    </row>
    <row r="732" spans="2:11" x14ac:dyDescent="0.3">
      <c r="B732" s="150" t="str">
        <f>IF(Table24[[#This Row],[Affected CMS
(§63.567(o)(3)(ix), §63.567(o)(6)(ii))
(Select from dropdown)]]="","",VLOOKUP(Table24[[#This Row],[Affected CMS
(§63.567(o)(3)(ix), §63.567(o)(6)(ii))
(Select from dropdown)]],Table22[],2,FALSE))</f>
        <v/>
      </c>
      <c r="E732" s="132"/>
      <c r="F732" s="140"/>
      <c r="G732" s="147"/>
      <c r="H732" s="147"/>
      <c r="K732" s="148"/>
    </row>
    <row r="733" spans="2:11" x14ac:dyDescent="0.3">
      <c r="B733" s="150" t="str">
        <f>IF(Table24[[#This Row],[Affected CMS
(§63.567(o)(3)(ix), §63.567(o)(6)(ii))
(Select from dropdown)]]="","",VLOOKUP(Table24[[#This Row],[Affected CMS
(§63.567(o)(3)(ix), §63.567(o)(6)(ii))
(Select from dropdown)]],Table22[],2,FALSE))</f>
        <v/>
      </c>
      <c r="E733" s="132"/>
      <c r="F733" s="140"/>
      <c r="G733" s="147"/>
      <c r="H733" s="147"/>
      <c r="K733" s="148"/>
    </row>
    <row r="734" spans="2:11" x14ac:dyDescent="0.3">
      <c r="B734" s="150" t="str">
        <f>IF(Table24[[#This Row],[Affected CMS
(§63.567(o)(3)(ix), §63.567(o)(6)(ii))
(Select from dropdown)]]="","",VLOOKUP(Table24[[#This Row],[Affected CMS
(§63.567(o)(3)(ix), §63.567(o)(6)(ii))
(Select from dropdown)]],Table22[],2,FALSE))</f>
        <v/>
      </c>
      <c r="E734" s="132"/>
      <c r="F734" s="140"/>
      <c r="G734" s="147"/>
      <c r="H734" s="147"/>
      <c r="K734" s="148"/>
    </row>
    <row r="735" spans="2:11" x14ac:dyDescent="0.3">
      <c r="B735" s="150" t="str">
        <f>IF(Table24[[#This Row],[Affected CMS
(§63.567(o)(3)(ix), §63.567(o)(6)(ii))
(Select from dropdown)]]="","",VLOOKUP(Table24[[#This Row],[Affected CMS
(§63.567(o)(3)(ix), §63.567(o)(6)(ii))
(Select from dropdown)]],Table22[],2,FALSE))</f>
        <v/>
      </c>
      <c r="E735" s="132"/>
      <c r="F735" s="140"/>
      <c r="G735" s="147"/>
      <c r="H735" s="147"/>
      <c r="K735" s="148"/>
    </row>
    <row r="736" spans="2:11" x14ac:dyDescent="0.3">
      <c r="B736" s="150" t="str">
        <f>IF(Table24[[#This Row],[Affected CMS
(§63.567(o)(3)(ix), §63.567(o)(6)(ii))
(Select from dropdown)]]="","",VLOOKUP(Table24[[#This Row],[Affected CMS
(§63.567(o)(3)(ix), §63.567(o)(6)(ii))
(Select from dropdown)]],Table22[],2,FALSE))</f>
        <v/>
      </c>
      <c r="E736" s="132"/>
      <c r="F736" s="140"/>
      <c r="G736" s="147"/>
      <c r="H736" s="147"/>
      <c r="K736" s="148"/>
    </row>
    <row r="737" spans="2:11" x14ac:dyDescent="0.3">
      <c r="B737" s="150" t="str">
        <f>IF(Table24[[#This Row],[Affected CMS
(§63.567(o)(3)(ix), §63.567(o)(6)(ii))
(Select from dropdown)]]="","",VLOOKUP(Table24[[#This Row],[Affected CMS
(§63.567(o)(3)(ix), §63.567(o)(6)(ii))
(Select from dropdown)]],Table22[],2,FALSE))</f>
        <v/>
      </c>
      <c r="E737" s="132"/>
      <c r="F737" s="140"/>
      <c r="G737" s="147"/>
      <c r="H737" s="147"/>
      <c r="K737" s="148"/>
    </row>
    <row r="738" spans="2:11" x14ac:dyDescent="0.3">
      <c r="B738" s="150" t="str">
        <f>IF(Table24[[#This Row],[Affected CMS
(§63.567(o)(3)(ix), §63.567(o)(6)(ii))
(Select from dropdown)]]="","",VLOOKUP(Table24[[#This Row],[Affected CMS
(§63.567(o)(3)(ix), §63.567(o)(6)(ii))
(Select from dropdown)]],Table22[],2,FALSE))</f>
        <v/>
      </c>
      <c r="E738" s="132"/>
      <c r="F738" s="140"/>
      <c r="G738" s="147"/>
      <c r="H738" s="147"/>
      <c r="K738" s="148"/>
    </row>
    <row r="739" spans="2:11" x14ac:dyDescent="0.3">
      <c r="B739" s="150" t="str">
        <f>IF(Table24[[#This Row],[Affected CMS
(§63.567(o)(3)(ix), §63.567(o)(6)(ii))
(Select from dropdown)]]="","",VLOOKUP(Table24[[#This Row],[Affected CMS
(§63.567(o)(3)(ix), §63.567(o)(6)(ii))
(Select from dropdown)]],Table22[],2,FALSE))</f>
        <v/>
      </c>
      <c r="E739" s="132"/>
      <c r="F739" s="140"/>
      <c r="G739" s="147"/>
      <c r="H739" s="147"/>
      <c r="K739" s="148"/>
    </row>
    <row r="740" spans="2:11" x14ac:dyDescent="0.3">
      <c r="B740" s="150" t="str">
        <f>IF(Table24[[#This Row],[Affected CMS
(§63.567(o)(3)(ix), §63.567(o)(6)(ii))
(Select from dropdown)]]="","",VLOOKUP(Table24[[#This Row],[Affected CMS
(§63.567(o)(3)(ix), §63.567(o)(6)(ii))
(Select from dropdown)]],Table22[],2,FALSE))</f>
        <v/>
      </c>
      <c r="E740" s="132"/>
      <c r="F740" s="140"/>
      <c r="G740" s="147"/>
      <c r="H740" s="147"/>
      <c r="K740" s="148"/>
    </row>
    <row r="741" spans="2:11" x14ac:dyDescent="0.3">
      <c r="B741" s="150" t="str">
        <f>IF(Table24[[#This Row],[Affected CMS
(§63.567(o)(3)(ix), §63.567(o)(6)(ii))
(Select from dropdown)]]="","",VLOOKUP(Table24[[#This Row],[Affected CMS
(§63.567(o)(3)(ix), §63.567(o)(6)(ii))
(Select from dropdown)]],Table22[],2,FALSE))</f>
        <v/>
      </c>
      <c r="E741" s="132"/>
      <c r="F741" s="140"/>
      <c r="G741" s="147"/>
      <c r="H741" s="147"/>
      <c r="K741" s="148"/>
    </row>
    <row r="742" spans="2:11" x14ac:dyDescent="0.3">
      <c r="B742" s="150" t="str">
        <f>IF(Table24[[#This Row],[Affected CMS
(§63.567(o)(3)(ix), §63.567(o)(6)(ii))
(Select from dropdown)]]="","",VLOOKUP(Table24[[#This Row],[Affected CMS
(§63.567(o)(3)(ix), §63.567(o)(6)(ii))
(Select from dropdown)]],Table22[],2,FALSE))</f>
        <v/>
      </c>
      <c r="E742" s="132"/>
      <c r="F742" s="140"/>
      <c r="G742" s="147"/>
      <c r="H742" s="147"/>
      <c r="K742" s="148"/>
    </row>
    <row r="743" spans="2:11" x14ac:dyDescent="0.3">
      <c r="B743" s="150" t="str">
        <f>IF(Table24[[#This Row],[Affected CMS
(§63.567(o)(3)(ix), §63.567(o)(6)(ii))
(Select from dropdown)]]="","",VLOOKUP(Table24[[#This Row],[Affected CMS
(§63.567(o)(3)(ix), §63.567(o)(6)(ii))
(Select from dropdown)]],Table22[],2,FALSE))</f>
        <v/>
      </c>
      <c r="E743" s="132"/>
      <c r="F743" s="140"/>
      <c r="G743" s="147"/>
      <c r="H743" s="147"/>
      <c r="K743" s="148"/>
    </row>
    <row r="744" spans="2:11" x14ac:dyDescent="0.3">
      <c r="B744" s="150" t="str">
        <f>IF(Table24[[#This Row],[Affected CMS
(§63.567(o)(3)(ix), §63.567(o)(6)(ii))
(Select from dropdown)]]="","",VLOOKUP(Table24[[#This Row],[Affected CMS
(§63.567(o)(3)(ix), §63.567(o)(6)(ii))
(Select from dropdown)]],Table22[],2,FALSE))</f>
        <v/>
      </c>
      <c r="E744" s="132"/>
      <c r="F744" s="140"/>
      <c r="G744" s="147"/>
      <c r="H744" s="147"/>
      <c r="K744" s="148"/>
    </row>
    <row r="745" spans="2:11" x14ac:dyDescent="0.3">
      <c r="B745" s="150" t="str">
        <f>IF(Table24[[#This Row],[Affected CMS
(§63.567(o)(3)(ix), §63.567(o)(6)(ii))
(Select from dropdown)]]="","",VLOOKUP(Table24[[#This Row],[Affected CMS
(§63.567(o)(3)(ix), §63.567(o)(6)(ii))
(Select from dropdown)]],Table22[],2,FALSE))</f>
        <v/>
      </c>
      <c r="E745" s="132"/>
      <c r="F745" s="140"/>
      <c r="G745" s="147"/>
      <c r="H745" s="147"/>
      <c r="K745" s="148"/>
    </row>
    <row r="746" spans="2:11" x14ac:dyDescent="0.3">
      <c r="B746" s="150" t="str">
        <f>IF(Table24[[#This Row],[Affected CMS
(§63.567(o)(3)(ix), §63.567(o)(6)(ii))
(Select from dropdown)]]="","",VLOOKUP(Table24[[#This Row],[Affected CMS
(§63.567(o)(3)(ix), §63.567(o)(6)(ii))
(Select from dropdown)]],Table22[],2,FALSE))</f>
        <v/>
      </c>
      <c r="E746" s="132"/>
      <c r="F746" s="140"/>
      <c r="G746" s="147"/>
      <c r="H746" s="147"/>
      <c r="K746" s="148"/>
    </row>
    <row r="747" spans="2:11" x14ac:dyDescent="0.3">
      <c r="B747" s="150" t="str">
        <f>IF(Table24[[#This Row],[Affected CMS
(§63.567(o)(3)(ix), §63.567(o)(6)(ii))
(Select from dropdown)]]="","",VLOOKUP(Table24[[#This Row],[Affected CMS
(§63.567(o)(3)(ix), §63.567(o)(6)(ii))
(Select from dropdown)]],Table22[],2,FALSE))</f>
        <v/>
      </c>
      <c r="E747" s="132"/>
      <c r="F747" s="140"/>
      <c r="G747" s="147"/>
      <c r="H747" s="147"/>
      <c r="K747" s="148"/>
    </row>
    <row r="748" spans="2:11" x14ac:dyDescent="0.3">
      <c r="B748" s="150" t="str">
        <f>IF(Table24[[#This Row],[Affected CMS
(§63.567(o)(3)(ix), §63.567(o)(6)(ii))
(Select from dropdown)]]="","",VLOOKUP(Table24[[#This Row],[Affected CMS
(§63.567(o)(3)(ix), §63.567(o)(6)(ii))
(Select from dropdown)]],Table22[],2,FALSE))</f>
        <v/>
      </c>
      <c r="E748" s="132"/>
      <c r="F748" s="140"/>
      <c r="G748" s="147"/>
      <c r="H748" s="147"/>
      <c r="K748" s="148"/>
    </row>
    <row r="749" spans="2:11" x14ac:dyDescent="0.3">
      <c r="B749" s="150" t="str">
        <f>IF(Table24[[#This Row],[Affected CMS
(§63.567(o)(3)(ix), §63.567(o)(6)(ii))
(Select from dropdown)]]="","",VLOOKUP(Table24[[#This Row],[Affected CMS
(§63.567(o)(3)(ix), §63.567(o)(6)(ii))
(Select from dropdown)]],Table22[],2,FALSE))</f>
        <v/>
      </c>
      <c r="E749" s="132"/>
      <c r="F749" s="140"/>
      <c r="G749" s="147"/>
      <c r="H749" s="147"/>
      <c r="K749" s="148"/>
    </row>
    <row r="750" spans="2:11" x14ac:dyDescent="0.3">
      <c r="B750" s="150" t="str">
        <f>IF(Table24[[#This Row],[Affected CMS
(§63.567(o)(3)(ix), §63.567(o)(6)(ii))
(Select from dropdown)]]="","",VLOOKUP(Table24[[#This Row],[Affected CMS
(§63.567(o)(3)(ix), §63.567(o)(6)(ii))
(Select from dropdown)]],Table22[],2,FALSE))</f>
        <v/>
      </c>
      <c r="E750" s="132"/>
      <c r="F750" s="140"/>
      <c r="G750" s="147"/>
      <c r="H750" s="147"/>
      <c r="K750" s="148"/>
    </row>
    <row r="751" spans="2:11" x14ac:dyDescent="0.3">
      <c r="B751" s="150" t="str">
        <f>IF(Table24[[#This Row],[Affected CMS
(§63.567(o)(3)(ix), §63.567(o)(6)(ii))
(Select from dropdown)]]="","",VLOOKUP(Table24[[#This Row],[Affected CMS
(§63.567(o)(3)(ix), §63.567(o)(6)(ii))
(Select from dropdown)]],Table22[],2,FALSE))</f>
        <v/>
      </c>
      <c r="E751" s="132"/>
      <c r="F751" s="140"/>
      <c r="G751" s="147"/>
      <c r="H751" s="147"/>
      <c r="K751" s="148"/>
    </row>
    <row r="752" spans="2:11" x14ac:dyDescent="0.3">
      <c r="B752" s="150" t="str">
        <f>IF(Table24[[#This Row],[Affected CMS
(§63.567(o)(3)(ix), §63.567(o)(6)(ii))
(Select from dropdown)]]="","",VLOOKUP(Table24[[#This Row],[Affected CMS
(§63.567(o)(3)(ix), §63.567(o)(6)(ii))
(Select from dropdown)]],Table22[],2,FALSE))</f>
        <v/>
      </c>
      <c r="E752" s="132"/>
      <c r="F752" s="140"/>
      <c r="G752" s="147"/>
      <c r="H752" s="147"/>
      <c r="K752" s="148"/>
    </row>
    <row r="753" spans="2:11" x14ac:dyDescent="0.3">
      <c r="B753" s="150" t="str">
        <f>IF(Table24[[#This Row],[Affected CMS
(§63.567(o)(3)(ix), §63.567(o)(6)(ii))
(Select from dropdown)]]="","",VLOOKUP(Table24[[#This Row],[Affected CMS
(§63.567(o)(3)(ix), §63.567(o)(6)(ii))
(Select from dropdown)]],Table22[],2,FALSE))</f>
        <v/>
      </c>
      <c r="E753" s="132"/>
      <c r="F753" s="140"/>
      <c r="G753" s="147"/>
      <c r="H753" s="147"/>
      <c r="K753" s="148"/>
    </row>
    <row r="754" spans="2:11" x14ac:dyDescent="0.3">
      <c r="B754" s="150" t="str">
        <f>IF(Table24[[#This Row],[Affected CMS
(§63.567(o)(3)(ix), §63.567(o)(6)(ii))
(Select from dropdown)]]="","",VLOOKUP(Table24[[#This Row],[Affected CMS
(§63.567(o)(3)(ix), §63.567(o)(6)(ii))
(Select from dropdown)]],Table22[],2,FALSE))</f>
        <v/>
      </c>
      <c r="E754" s="132"/>
      <c r="F754" s="140"/>
      <c r="G754" s="147"/>
      <c r="H754" s="147"/>
      <c r="K754" s="148"/>
    </row>
    <row r="755" spans="2:11" x14ac:dyDescent="0.3">
      <c r="B755" s="150" t="str">
        <f>IF(Table24[[#This Row],[Affected CMS
(§63.567(o)(3)(ix), §63.567(o)(6)(ii))
(Select from dropdown)]]="","",VLOOKUP(Table24[[#This Row],[Affected CMS
(§63.567(o)(3)(ix), §63.567(o)(6)(ii))
(Select from dropdown)]],Table22[],2,FALSE))</f>
        <v/>
      </c>
      <c r="E755" s="132"/>
      <c r="F755" s="140"/>
      <c r="G755" s="147"/>
      <c r="H755" s="147"/>
      <c r="K755" s="148"/>
    </row>
    <row r="756" spans="2:11" x14ac:dyDescent="0.3">
      <c r="B756" s="150" t="str">
        <f>IF(Table24[[#This Row],[Affected CMS
(§63.567(o)(3)(ix), §63.567(o)(6)(ii))
(Select from dropdown)]]="","",VLOOKUP(Table24[[#This Row],[Affected CMS
(§63.567(o)(3)(ix), §63.567(o)(6)(ii))
(Select from dropdown)]],Table22[],2,FALSE))</f>
        <v/>
      </c>
      <c r="E756" s="132"/>
      <c r="F756" s="140"/>
      <c r="G756" s="147"/>
      <c r="H756" s="147"/>
      <c r="K756" s="148"/>
    </row>
    <row r="757" spans="2:11" x14ac:dyDescent="0.3">
      <c r="B757" s="150" t="str">
        <f>IF(Table24[[#This Row],[Affected CMS
(§63.567(o)(3)(ix), §63.567(o)(6)(ii))
(Select from dropdown)]]="","",VLOOKUP(Table24[[#This Row],[Affected CMS
(§63.567(o)(3)(ix), §63.567(o)(6)(ii))
(Select from dropdown)]],Table22[],2,FALSE))</f>
        <v/>
      </c>
      <c r="E757" s="132"/>
      <c r="F757" s="140"/>
      <c r="G757" s="147"/>
      <c r="H757" s="147"/>
      <c r="K757" s="148"/>
    </row>
    <row r="758" spans="2:11" x14ac:dyDescent="0.3">
      <c r="B758" s="150" t="str">
        <f>IF(Table24[[#This Row],[Affected CMS
(§63.567(o)(3)(ix), §63.567(o)(6)(ii))
(Select from dropdown)]]="","",VLOOKUP(Table24[[#This Row],[Affected CMS
(§63.567(o)(3)(ix), §63.567(o)(6)(ii))
(Select from dropdown)]],Table22[],2,FALSE))</f>
        <v/>
      </c>
      <c r="E758" s="132"/>
      <c r="F758" s="140"/>
      <c r="G758" s="147"/>
      <c r="H758" s="147"/>
      <c r="K758" s="148"/>
    </row>
    <row r="759" spans="2:11" x14ac:dyDescent="0.3">
      <c r="B759" s="150" t="str">
        <f>IF(Table24[[#This Row],[Affected CMS
(§63.567(o)(3)(ix), §63.567(o)(6)(ii))
(Select from dropdown)]]="","",VLOOKUP(Table24[[#This Row],[Affected CMS
(§63.567(o)(3)(ix), §63.567(o)(6)(ii))
(Select from dropdown)]],Table22[],2,FALSE))</f>
        <v/>
      </c>
      <c r="E759" s="132"/>
      <c r="F759" s="140"/>
      <c r="G759" s="147"/>
      <c r="H759" s="147"/>
      <c r="K759" s="148"/>
    </row>
    <row r="760" spans="2:11" x14ac:dyDescent="0.3">
      <c r="B760" s="150" t="str">
        <f>IF(Table24[[#This Row],[Affected CMS
(§63.567(o)(3)(ix), §63.567(o)(6)(ii))
(Select from dropdown)]]="","",VLOOKUP(Table24[[#This Row],[Affected CMS
(§63.567(o)(3)(ix), §63.567(o)(6)(ii))
(Select from dropdown)]],Table22[],2,FALSE))</f>
        <v/>
      </c>
      <c r="E760" s="132"/>
      <c r="F760" s="140"/>
      <c r="G760" s="147"/>
      <c r="H760" s="147"/>
      <c r="K760" s="148"/>
    </row>
    <row r="761" spans="2:11" x14ac:dyDescent="0.3">
      <c r="B761" s="150" t="str">
        <f>IF(Table24[[#This Row],[Affected CMS
(§63.567(o)(3)(ix), §63.567(o)(6)(ii))
(Select from dropdown)]]="","",VLOOKUP(Table24[[#This Row],[Affected CMS
(§63.567(o)(3)(ix), §63.567(o)(6)(ii))
(Select from dropdown)]],Table22[],2,FALSE))</f>
        <v/>
      </c>
      <c r="E761" s="132"/>
      <c r="F761" s="140"/>
      <c r="G761" s="147"/>
      <c r="H761" s="147"/>
      <c r="K761" s="148"/>
    </row>
    <row r="762" spans="2:11" x14ac:dyDescent="0.3">
      <c r="B762" s="150" t="str">
        <f>IF(Table24[[#This Row],[Affected CMS
(§63.567(o)(3)(ix), §63.567(o)(6)(ii))
(Select from dropdown)]]="","",VLOOKUP(Table24[[#This Row],[Affected CMS
(§63.567(o)(3)(ix), §63.567(o)(6)(ii))
(Select from dropdown)]],Table22[],2,FALSE))</f>
        <v/>
      </c>
      <c r="E762" s="132"/>
      <c r="F762" s="140"/>
      <c r="G762" s="147"/>
      <c r="H762" s="147"/>
      <c r="K762" s="148"/>
    </row>
    <row r="763" spans="2:11" x14ac:dyDescent="0.3">
      <c r="B763" s="150" t="str">
        <f>IF(Table24[[#This Row],[Affected CMS
(§63.567(o)(3)(ix), §63.567(o)(6)(ii))
(Select from dropdown)]]="","",VLOOKUP(Table24[[#This Row],[Affected CMS
(§63.567(o)(3)(ix), §63.567(o)(6)(ii))
(Select from dropdown)]],Table22[],2,FALSE))</f>
        <v/>
      </c>
      <c r="E763" s="132"/>
      <c r="F763" s="140"/>
      <c r="G763" s="147"/>
      <c r="H763" s="147"/>
      <c r="K763" s="148"/>
    </row>
    <row r="764" spans="2:11" x14ac:dyDescent="0.3">
      <c r="B764" s="150" t="str">
        <f>IF(Table24[[#This Row],[Affected CMS
(§63.567(o)(3)(ix), §63.567(o)(6)(ii))
(Select from dropdown)]]="","",VLOOKUP(Table24[[#This Row],[Affected CMS
(§63.567(o)(3)(ix), §63.567(o)(6)(ii))
(Select from dropdown)]],Table22[],2,FALSE))</f>
        <v/>
      </c>
      <c r="E764" s="132"/>
      <c r="F764" s="140"/>
      <c r="G764" s="147"/>
      <c r="H764" s="147"/>
      <c r="K764" s="148"/>
    </row>
    <row r="765" spans="2:11" x14ac:dyDescent="0.3">
      <c r="B765" s="150" t="str">
        <f>IF(Table24[[#This Row],[Affected CMS
(§63.567(o)(3)(ix), §63.567(o)(6)(ii))
(Select from dropdown)]]="","",VLOOKUP(Table24[[#This Row],[Affected CMS
(§63.567(o)(3)(ix), §63.567(o)(6)(ii))
(Select from dropdown)]],Table22[],2,FALSE))</f>
        <v/>
      </c>
      <c r="E765" s="132"/>
      <c r="F765" s="140"/>
      <c r="G765" s="147"/>
      <c r="H765" s="147"/>
      <c r="K765" s="148"/>
    </row>
    <row r="766" spans="2:11" x14ac:dyDescent="0.3">
      <c r="B766" s="150" t="str">
        <f>IF(Table24[[#This Row],[Affected CMS
(§63.567(o)(3)(ix), §63.567(o)(6)(ii))
(Select from dropdown)]]="","",VLOOKUP(Table24[[#This Row],[Affected CMS
(§63.567(o)(3)(ix), §63.567(o)(6)(ii))
(Select from dropdown)]],Table22[],2,FALSE))</f>
        <v/>
      </c>
      <c r="E766" s="132"/>
      <c r="F766" s="140"/>
      <c r="G766" s="147"/>
      <c r="H766" s="147"/>
      <c r="K766" s="148"/>
    </row>
    <row r="767" spans="2:11" x14ac:dyDescent="0.3">
      <c r="B767" s="150" t="str">
        <f>IF(Table24[[#This Row],[Affected CMS
(§63.567(o)(3)(ix), §63.567(o)(6)(ii))
(Select from dropdown)]]="","",VLOOKUP(Table24[[#This Row],[Affected CMS
(§63.567(o)(3)(ix), §63.567(o)(6)(ii))
(Select from dropdown)]],Table22[],2,FALSE))</f>
        <v/>
      </c>
      <c r="E767" s="132"/>
      <c r="F767" s="140"/>
      <c r="G767" s="147"/>
      <c r="H767" s="147"/>
      <c r="K767" s="148"/>
    </row>
    <row r="768" spans="2:11" x14ac:dyDescent="0.3">
      <c r="B768" s="150" t="str">
        <f>IF(Table24[[#This Row],[Affected CMS
(§63.567(o)(3)(ix), §63.567(o)(6)(ii))
(Select from dropdown)]]="","",VLOOKUP(Table24[[#This Row],[Affected CMS
(§63.567(o)(3)(ix), §63.567(o)(6)(ii))
(Select from dropdown)]],Table22[],2,FALSE))</f>
        <v/>
      </c>
      <c r="E768" s="132"/>
      <c r="F768" s="140"/>
      <c r="G768" s="147"/>
      <c r="H768" s="147"/>
      <c r="K768" s="148"/>
    </row>
    <row r="769" spans="2:11" x14ac:dyDescent="0.3">
      <c r="B769" s="150" t="str">
        <f>IF(Table24[[#This Row],[Affected CMS
(§63.567(o)(3)(ix), §63.567(o)(6)(ii))
(Select from dropdown)]]="","",VLOOKUP(Table24[[#This Row],[Affected CMS
(§63.567(o)(3)(ix), §63.567(o)(6)(ii))
(Select from dropdown)]],Table22[],2,FALSE))</f>
        <v/>
      </c>
      <c r="E769" s="132"/>
      <c r="F769" s="140"/>
      <c r="G769" s="147"/>
      <c r="H769" s="147"/>
      <c r="K769" s="148"/>
    </row>
    <row r="770" spans="2:11" x14ac:dyDescent="0.3">
      <c r="B770" s="150" t="str">
        <f>IF(Table24[[#This Row],[Affected CMS
(§63.567(o)(3)(ix), §63.567(o)(6)(ii))
(Select from dropdown)]]="","",VLOOKUP(Table24[[#This Row],[Affected CMS
(§63.567(o)(3)(ix), §63.567(o)(6)(ii))
(Select from dropdown)]],Table22[],2,FALSE))</f>
        <v/>
      </c>
      <c r="E770" s="132"/>
      <c r="F770" s="140"/>
      <c r="G770" s="147"/>
      <c r="H770" s="147"/>
      <c r="K770" s="148"/>
    </row>
    <row r="771" spans="2:11" x14ac:dyDescent="0.3">
      <c r="B771" s="150" t="str">
        <f>IF(Table24[[#This Row],[Affected CMS
(§63.567(o)(3)(ix), §63.567(o)(6)(ii))
(Select from dropdown)]]="","",VLOOKUP(Table24[[#This Row],[Affected CMS
(§63.567(o)(3)(ix), §63.567(o)(6)(ii))
(Select from dropdown)]],Table22[],2,FALSE))</f>
        <v/>
      </c>
      <c r="E771" s="132"/>
      <c r="F771" s="140"/>
      <c r="G771" s="147"/>
      <c r="H771" s="147"/>
      <c r="K771" s="148"/>
    </row>
    <row r="772" spans="2:11" x14ac:dyDescent="0.3">
      <c r="B772" s="150" t="str">
        <f>IF(Table24[[#This Row],[Affected CMS
(§63.567(o)(3)(ix), §63.567(o)(6)(ii))
(Select from dropdown)]]="","",VLOOKUP(Table24[[#This Row],[Affected CMS
(§63.567(o)(3)(ix), §63.567(o)(6)(ii))
(Select from dropdown)]],Table22[],2,FALSE))</f>
        <v/>
      </c>
      <c r="E772" s="132"/>
      <c r="F772" s="140"/>
      <c r="G772" s="147"/>
      <c r="H772" s="147"/>
      <c r="K772" s="148"/>
    </row>
    <row r="773" spans="2:11" x14ac:dyDescent="0.3">
      <c r="B773" s="150" t="str">
        <f>IF(Table24[[#This Row],[Affected CMS
(§63.567(o)(3)(ix), §63.567(o)(6)(ii))
(Select from dropdown)]]="","",VLOOKUP(Table24[[#This Row],[Affected CMS
(§63.567(o)(3)(ix), §63.567(o)(6)(ii))
(Select from dropdown)]],Table22[],2,FALSE))</f>
        <v/>
      </c>
      <c r="E773" s="132"/>
      <c r="F773" s="140"/>
      <c r="G773" s="147"/>
      <c r="H773" s="147"/>
      <c r="K773" s="148"/>
    </row>
    <row r="774" spans="2:11" x14ac:dyDescent="0.3">
      <c r="B774" s="150" t="str">
        <f>IF(Table24[[#This Row],[Affected CMS
(§63.567(o)(3)(ix), §63.567(o)(6)(ii))
(Select from dropdown)]]="","",VLOOKUP(Table24[[#This Row],[Affected CMS
(§63.567(o)(3)(ix), §63.567(o)(6)(ii))
(Select from dropdown)]],Table22[],2,FALSE))</f>
        <v/>
      </c>
      <c r="E774" s="132"/>
      <c r="F774" s="140"/>
      <c r="G774" s="147"/>
      <c r="H774" s="147"/>
      <c r="K774" s="148"/>
    </row>
    <row r="775" spans="2:11" x14ac:dyDescent="0.3">
      <c r="B775" s="150" t="str">
        <f>IF(Table24[[#This Row],[Affected CMS
(§63.567(o)(3)(ix), §63.567(o)(6)(ii))
(Select from dropdown)]]="","",VLOOKUP(Table24[[#This Row],[Affected CMS
(§63.567(o)(3)(ix), §63.567(o)(6)(ii))
(Select from dropdown)]],Table22[],2,FALSE))</f>
        <v/>
      </c>
      <c r="E775" s="132"/>
      <c r="F775" s="140"/>
      <c r="G775" s="147"/>
      <c r="H775" s="147"/>
      <c r="K775" s="148"/>
    </row>
    <row r="776" spans="2:11" x14ac:dyDescent="0.3">
      <c r="B776" s="150" t="str">
        <f>IF(Table24[[#This Row],[Affected CMS
(§63.567(o)(3)(ix), §63.567(o)(6)(ii))
(Select from dropdown)]]="","",VLOOKUP(Table24[[#This Row],[Affected CMS
(§63.567(o)(3)(ix), §63.567(o)(6)(ii))
(Select from dropdown)]],Table22[],2,FALSE))</f>
        <v/>
      </c>
      <c r="E776" s="132"/>
      <c r="F776" s="140"/>
      <c r="G776" s="147"/>
      <c r="H776" s="147"/>
      <c r="K776" s="148"/>
    </row>
    <row r="777" spans="2:11" x14ac:dyDescent="0.3">
      <c r="B777" s="150" t="str">
        <f>IF(Table24[[#This Row],[Affected CMS
(§63.567(o)(3)(ix), §63.567(o)(6)(ii))
(Select from dropdown)]]="","",VLOOKUP(Table24[[#This Row],[Affected CMS
(§63.567(o)(3)(ix), §63.567(o)(6)(ii))
(Select from dropdown)]],Table22[],2,FALSE))</f>
        <v/>
      </c>
      <c r="E777" s="132"/>
      <c r="F777" s="140"/>
      <c r="G777" s="147"/>
      <c r="H777" s="147"/>
      <c r="K777" s="148"/>
    </row>
    <row r="778" spans="2:11" x14ac:dyDescent="0.3">
      <c r="B778" s="150" t="str">
        <f>IF(Table24[[#This Row],[Affected CMS
(§63.567(o)(3)(ix), §63.567(o)(6)(ii))
(Select from dropdown)]]="","",VLOOKUP(Table24[[#This Row],[Affected CMS
(§63.567(o)(3)(ix), §63.567(o)(6)(ii))
(Select from dropdown)]],Table22[],2,FALSE))</f>
        <v/>
      </c>
      <c r="E778" s="132"/>
      <c r="F778" s="140"/>
      <c r="G778" s="147"/>
      <c r="H778" s="147"/>
      <c r="K778" s="148"/>
    </row>
    <row r="779" spans="2:11" x14ac:dyDescent="0.3">
      <c r="B779" s="150" t="str">
        <f>IF(Table24[[#This Row],[Affected CMS
(§63.567(o)(3)(ix), §63.567(o)(6)(ii))
(Select from dropdown)]]="","",VLOOKUP(Table24[[#This Row],[Affected CMS
(§63.567(o)(3)(ix), §63.567(o)(6)(ii))
(Select from dropdown)]],Table22[],2,FALSE))</f>
        <v/>
      </c>
      <c r="E779" s="132"/>
      <c r="F779" s="140"/>
      <c r="G779" s="147"/>
      <c r="H779" s="147"/>
      <c r="K779" s="148"/>
    </row>
    <row r="780" spans="2:11" x14ac:dyDescent="0.3">
      <c r="B780" s="150" t="str">
        <f>IF(Table24[[#This Row],[Affected CMS
(§63.567(o)(3)(ix), §63.567(o)(6)(ii))
(Select from dropdown)]]="","",VLOOKUP(Table24[[#This Row],[Affected CMS
(§63.567(o)(3)(ix), §63.567(o)(6)(ii))
(Select from dropdown)]],Table22[],2,FALSE))</f>
        <v/>
      </c>
      <c r="E780" s="132"/>
      <c r="F780" s="140"/>
      <c r="G780" s="147"/>
      <c r="H780" s="147"/>
      <c r="K780" s="148"/>
    </row>
    <row r="781" spans="2:11" x14ac:dyDescent="0.3">
      <c r="B781" s="150" t="str">
        <f>IF(Table24[[#This Row],[Affected CMS
(§63.567(o)(3)(ix), §63.567(o)(6)(ii))
(Select from dropdown)]]="","",VLOOKUP(Table24[[#This Row],[Affected CMS
(§63.567(o)(3)(ix), §63.567(o)(6)(ii))
(Select from dropdown)]],Table22[],2,FALSE))</f>
        <v/>
      </c>
      <c r="E781" s="132"/>
      <c r="F781" s="140"/>
      <c r="G781" s="147"/>
      <c r="H781" s="147"/>
      <c r="K781" s="148"/>
    </row>
    <row r="782" spans="2:11" x14ac:dyDescent="0.3">
      <c r="B782" s="150" t="str">
        <f>IF(Table24[[#This Row],[Affected CMS
(§63.567(o)(3)(ix), §63.567(o)(6)(ii))
(Select from dropdown)]]="","",VLOOKUP(Table24[[#This Row],[Affected CMS
(§63.567(o)(3)(ix), §63.567(o)(6)(ii))
(Select from dropdown)]],Table22[],2,FALSE))</f>
        <v/>
      </c>
      <c r="E782" s="132"/>
      <c r="F782" s="140"/>
      <c r="G782" s="147"/>
      <c r="H782" s="147"/>
      <c r="K782" s="148"/>
    </row>
    <row r="783" spans="2:11" x14ac:dyDescent="0.3">
      <c r="B783" s="150" t="str">
        <f>IF(Table24[[#This Row],[Affected CMS
(§63.567(o)(3)(ix), §63.567(o)(6)(ii))
(Select from dropdown)]]="","",VLOOKUP(Table24[[#This Row],[Affected CMS
(§63.567(o)(3)(ix), §63.567(o)(6)(ii))
(Select from dropdown)]],Table22[],2,FALSE))</f>
        <v/>
      </c>
      <c r="E783" s="132"/>
      <c r="F783" s="140"/>
      <c r="G783" s="147"/>
      <c r="H783" s="147"/>
      <c r="K783" s="148"/>
    </row>
    <row r="784" spans="2:11" x14ac:dyDescent="0.3">
      <c r="B784" s="150" t="str">
        <f>IF(Table24[[#This Row],[Affected CMS
(§63.567(o)(3)(ix), §63.567(o)(6)(ii))
(Select from dropdown)]]="","",VLOOKUP(Table24[[#This Row],[Affected CMS
(§63.567(o)(3)(ix), §63.567(o)(6)(ii))
(Select from dropdown)]],Table22[],2,FALSE))</f>
        <v/>
      </c>
      <c r="E784" s="132"/>
      <c r="F784" s="140"/>
      <c r="G784" s="147"/>
      <c r="H784" s="147"/>
      <c r="K784" s="148"/>
    </row>
    <row r="785" spans="2:11" x14ac:dyDescent="0.3">
      <c r="B785" s="150" t="str">
        <f>IF(Table24[[#This Row],[Affected CMS
(§63.567(o)(3)(ix), §63.567(o)(6)(ii))
(Select from dropdown)]]="","",VLOOKUP(Table24[[#This Row],[Affected CMS
(§63.567(o)(3)(ix), §63.567(o)(6)(ii))
(Select from dropdown)]],Table22[],2,FALSE))</f>
        <v/>
      </c>
      <c r="E785" s="132"/>
      <c r="F785" s="140"/>
      <c r="G785" s="147"/>
      <c r="H785" s="147"/>
      <c r="K785" s="148"/>
    </row>
    <row r="786" spans="2:11" x14ac:dyDescent="0.3">
      <c r="B786" s="150" t="str">
        <f>IF(Table24[[#This Row],[Affected CMS
(§63.567(o)(3)(ix), §63.567(o)(6)(ii))
(Select from dropdown)]]="","",VLOOKUP(Table24[[#This Row],[Affected CMS
(§63.567(o)(3)(ix), §63.567(o)(6)(ii))
(Select from dropdown)]],Table22[],2,FALSE))</f>
        <v/>
      </c>
      <c r="E786" s="132"/>
      <c r="F786" s="140"/>
      <c r="G786" s="147"/>
      <c r="H786" s="147"/>
      <c r="K786" s="148"/>
    </row>
    <row r="787" spans="2:11" x14ac:dyDescent="0.3">
      <c r="B787" s="150" t="str">
        <f>IF(Table24[[#This Row],[Affected CMS
(§63.567(o)(3)(ix), §63.567(o)(6)(ii))
(Select from dropdown)]]="","",VLOOKUP(Table24[[#This Row],[Affected CMS
(§63.567(o)(3)(ix), §63.567(o)(6)(ii))
(Select from dropdown)]],Table22[],2,FALSE))</f>
        <v/>
      </c>
      <c r="E787" s="132"/>
      <c r="F787" s="140"/>
      <c r="G787" s="147"/>
      <c r="H787" s="147"/>
      <c r="K787" s="148"/>
    </row>
    <row r="788" spans="2:11" x14ac:dyDescent="0.3">
      <c r="B788" s="150" t="str">
        <f>IF(Table24[[#This Row],[Affected CMS
(§63.567(o)(3)(ix), §63.567(o)(6)(ii))
(Select from dropdown)]]="","",VLOOKUP(Table24[[#This Row],[Affected CMS
(§63.567(o)(3)(ix), §63.567(o)(6)(ii))
(Select from dropdown)]],Table22[],2,FALSE))</f>
        <v/>
      </c>
      <c r="E788" s="132"/>
      <c r="F788" s="140"/>
      <c r="G788" s="147"/>
      <c r="H788" s="147"/>
      <c r="K788" s="148"/>
    </row>
    <row r="789" spans="2:11" x14ac:dyDescent="0.3">
      <c r="B789" s="150" t="str">
        <f>IF(Table24[[#This Row],[Affected CMS
(§63.567(o)(3)(ix), §63.567(o)(6)(ii))
(Select from dropdown)]]="","",VLOOKUP(Table24[[#This Row],[Affected CMS
(§63.567(o)(3)(ix), §63.567(o)(6)(ii))
(Select from dropdown)]],Table22[],2,FALSE))</f>
        <v/>
      </c>
      <c r="E789" s="132"/>
      <c r="F789" s="140"/>
      <c r="G789" s="147"/>
      <c r="H789" s="147"/>
      <c r="K789" s="148"/>
    </row>
    <row r="790" spans="2:11" x14ac:dyDescent="0.3">
      <c r="B790" s="150" t="str">
        <f>IF(Table24[[#This Row],[Affected CMS
(§63.567(o)(3)(ix), §63.567(o)(6)(ii))
(Select from dropdown)]]="","",VLOOKUP(Table24[[#This Row],[Affected CMS
(§63.567(o)(3)(ix), §63.567(o)(6)(ii))
(Select from dropdown)]],Table22[],2,FALSE))</f>
        <v/>
      </c>
      <c r="E790" s="132"/>
      <c r="F790" s="140"/>
      <c r="G790" s="147"/>
      <c r="H790" s="147"/>
      <c r="K790" s="148"/>
    </row>
    <row r="791" spans="2:11" x14ac:dyDescent="0.3">
      <c r="B791" s="150" t="str">
        <f>IF(Table24[[#This Row],[Affected CMS
(§63.567(o)(3)(ix), §63.567(o)(6)(ii))
(Select from dropdown)]]="","",VLOOKUP(Table24[[#This Row],[Affected CMS
(§63.567(o)(3)(ix), §63.567(o)(6)(ii))
(Select from dropdown)]],Table22[],2,FALSE))</f>
        <v/>
      </c>
      <c r="E791" s="132"/>
      <c r="F791" s="140"/>
      <c r="G791" s="147"/>
      <c r="H791" s="147"/>
      <c r="K791" s="148"/>
    </row>
    <row r="792" spans="2:11" x14ac:dyDescent="0.3">
      <c r="B792" s="150" t="str">
        <f>IF(Table24[[#This Row],[Affected CMS
(§63.567(o)(3)(ix), §63.567(o)(6)(ii))
(Select from dropdown)]]="","",VLOOKUP(Table24[[#This Row],[Affected CMS
(§63.567(o)(3)(ix), §63.567(o)(6)(ii))
(Select from dropdown)]],Table22[],2,FALSE))</f>
        <v/>
      </c>
      <c r="E792" s="132"/>
      <c r="F792" s="140"/>
      <c r="G792" s="147"/>
      <c r="H792" s="147"/>
      <c r="K792" s="148"/>
    </row>
    <row r="793" spans="2:11" x14ac:dyDescent="0.3">
      <c r="B793" s="150" t="str">
        <f>IF(Table24[[#This Row],[Affected CMS
(§63.567(o)(3)(ix), §63.567(o)(6)(ii))
(Select from dropdown)]]="","",VLOOKUP(Table24[[#This Row],[Affected CMS
(§63.567(o)(3)(ix), §63.567(o)(6)(ii))
(Select from dropdown)]],Table22[],2,FALSE))</f>
        <v/>
      </c>
      <c r="E793" s="132"/>
      <c r="F793" s="140"/>
      <c r="G793" s="147"/>
      <c r="H793" s="147"/>
      <c r="K793" s="148"/>
    </row>
    <row r="794" spans="2:11" x14ac:dyDescent="0.3">
      <c r="B794" s="150" t="str">
        <f>IF(Table24[[#This Row],[Affected CMS
(§63.567(o)(3)(ix), §63.567(o)(6)(ii))
(Select from dropdown)]]="","",VLOOKUP(Table24[[#This Row],[Affected CMS
(§63.567(o)(3)(ix), §63.567(o)(6)(ii))
(Select from dropdown)]],Table22[],2,FALSE))</f>
        <v/>
      </c>
      <c r="E794" s="132"/>
      <c r="F794" s="140"/>
      <c r="G794" s="147"/>
      <c r="H794" s="147"/>
      <c r="K794" s="148"/>
    </row>
    <row r="795" spans="2:11" x14ac:dyDescent="0.3">
      <c r="B795" s="150" t="str">
        <f>IF(Table24[[#This Row],[Affected CMS
(§63.567(o)(3)(ix), §63.567(o)(6)(ii))
(Select from dropdown)]]="","",VLOOKUP(Table24[[#This Row],[Affected CMS
(§63.567(o)(3)(ix), §63.567(o)(6)(ii))
(Select from dropdown)]],Table22[],2,FALSE))</f>
        <v/>
      </c>
      <c r="E795" s="132"/>
      <c r="F795" s="140"/>
      <c r="G795" s="147"/>
      <c r="H795" s="147"/>
      <c r="K795" s="148"/>
    </row>
    <row r="796" spans="2:11" x14ac:dyDescent="0.3">
      <c r="B796" s="150" t="str">
        <f>IF(Table24[[#This Row],[Affected CMS
(§63.567(o)(3)(ix), §63.567(o)(6)(ii))
(Select from dropdown)]]="","",VLOOKUP(Table24[[#This Row],[Affected CMS
(§63.567(o)(3)(ix), §63.567(o)(6)(ii))
(Select from dropdown)]],Table22[],2,FALSE))</f>
        <v/>
      </c>
      <c r="E796" s="132"/>
      <c r="F796" s="140"/>
      <c r="G796" s="147"/>
      <c r="H796" s="147"/>
      <c r="K796" s="148"/>
    </row>
    <row r="797" spans="2:11" x14ac:dyDescent="0.3">
      <c r="B797" s="150" t="str">
        <f>IF(Table24[[#This Row],[Affected CMS
(§63.567(o)(3)(ix), §63.567(o)(6)(ii))
(Select from dropdown)]]="","",VLOOKUP(Table24[[#This Row],[Affected CMS
(§63.567(o)(3)(ix), §63.567(o)(6)(ii))
(Select from dropdown)]],Table22[],2,FALSE))</f>
        <v/>
      </c>
      <c r="E797" s="132"/>
      <c r="F797" s="140"/>
      <c r="G797" s="147"/>
      <c r="H797" s="147"/>
      <c r="K797" s="148"/>
    </row>
    <row r="798" spans="2:11" x14ac:dyDescent="0.3">
      <c r="B798" s="150" t="str">
        <f>IF(Table24[[#This Row],[Affected CMS
(§63.567(o)(3)(ix), §63.567(o)(6)(ii))
(Select from dropdown)]]="","",VLOOKUP(Table24[[#This Row],[Affected CMS
(§63.567(o)(3)(ix), §63.567(o)(6)(ii))
(Select from dropdown)]],Table22[],2,FALSE))</f>
        <v/>
      </c>
      <c r="E798" s="132"/>
      <c r="F798" s="140"/>
      <c r="G798" s="147"/>
      <c r="H798" s="147"/>
      <c r="K798" s="148"/>
    </row>
    <row r="799" spans="2:11" x14ac:dyDescent="0.3">
      <c r="B799" s="150" t="str">
        <f>IF(Table24[[#This Row],[Affected CMS
(§63.567(o)(3)(ix), §63.567(o)(6)(ii))
(Select from dropdown)]]="","",VLOOKUP(Table24[[#This Row],[Affected CMS
(§63.567(o)(3)(ix), §63.567(o)(6)(ii))
(Select from dropdown)]],Table22[],2,FALSE))</f>
        <v/>
      </c>
      <c r="E799" s="132"/>
      <c r="F799" s="140"/>
      <c r="G799" s="147"/>
      <c r="H799" s="147"/>
      <c r="K799" s="148"/>
    </row>
    <row r="800" spans="2:11" x14ac:dyDescent="0.3">
      <c r="B800" s="150" t="str">
        <f>IF(Table24[[#This Row],[Affected CMS
(§63.567(o)(3)(ix), §63.567(o)(6)(ii))
(Select from dropdown)]]="","",VLOOKUP(Table24[[#This Row],[Affected CMS
(§63.567(o)(3)(ix), §63.567(o)(6)(ii))
(Select from dropdown)]],Table22[],2,FALSE))</f>
        <v/>
      </c>
      <c r="E800" s="132"/>
      <c r="F800" s="140"/>
      <c r="G800" s="147"/>
      <c r="H800" s="147"/>
      <c r="K800" s="148"/>
    </row>
    <row r="801" spans="2:11" x14ac:dyDescent="0.3">
      <c r="B801" s="150" t="str">
        <f>IF(Table24[[#This Row],[Affected CMS
(§63.567(o)(3)(ix), §63.567(o)(6)(ii))
(Select from dropdown)]]="","",VLOOKUP(Table24[[#This Row],[Affected CMS
(§63.567(o)(3)(ix), §63.567(o)(6)(ii))
(Select from dropdown)]],Table22[],2,FALSE))</f>
        <v/>
      </c>
      <c r="E801" s="132"/>
      <c r="F801" s="140"/>
      <c r="G801" s="147"/>
      <c r="H801" s="147"/>
      <c r="K801" s="148"/>
    </row>
    <row r="802" spans="2:11" x14ac:dyDescent="0.3">
      <c r="B802" s="150" t="str">
        <f>IF(Table24[[#This Row],[Affected CMS
(§63.567(o)(3)(ix), §63.567(o)(6)(ii))
(Select from dropdown)]]="","",VLOOKUP(Table24[[#This Row],[Affected CMS
(§63.567(o)(3)(ix), §63.567(o)(6)(ii))
(Select from dropdown)]],Table22[],2,FALSE))</f>
        <v/>
      </c>
      <c r="E802" s="132"/>
      <c r="F802" s="140"/>
      <c r="G802" s="147"/>
      <c r="H802" s="147"/>
      <c r="K802" s="148"/>
    </row>
    <row r="803" spans="2:11" x14ac:dyDescent="0.3">
      <c r="B803" s="150" t="str">
        <f>IF(Table24[[#This Row],[Affected CMS
(§63.567(o)(3)(ix), §63.567(o)(6)(ii))
(Select from dropdown)]]="","",VLOOKUP(Table24[[#This Row],[Affected CMS
(§63.567(o)(3)(ix), §63.567(o)(6)(ii))
(Select from dropdown)]],Table22[],2,FALSE))</f>
        <v/>
      </c>
      <c r="E803" s="132"/>
      <c r="F803" s="140"/>
      <c r="G803" s="147"/>
      <c r="H803" s="147"/>
      <c r="K803" s="148"/>
    </row>
    <row r="804" spans="2:11" x14ac:dyDescent="0.3">
      <c r="B804" s="150" t="str">
        <f>IF(Table24[[#This Row],[Affected CMS
(§63.567(o)(3)(ix), §63.567(o)(6)(ii))
(Select from dropdown)]]="","",VLOOKUP(Table24[[#This Row],[Affected CMS
(§63.567(o)(3)(ix), §63.567(o)(6)(ii))
(Select from dropdown)]],Table22[],2,FALSE))</f>
        <v/>
      </c>
      <c r="E804" s="132"/>
      <c r="F804" s="140"/>
      <c r="G804" s="147"/>
      <c r="H804" s="147"/>
      <c r="K804" s="148"/>
    </row>
    <row r="805" spans="2:11" x14ac:dyDescent="0.3">
      <c r="B805" s="150" t="str">
        <f>IF(Table24[[#This Row],[Affected CMS
(§63.567(o)(3)(ix), §63.567(o)(6)(ii))
(Select from dropdown)]]="","",VLOOKUP(Table24[[#This Row],[Affected CMS
(§63.567(o)(3)(ix), §63.567(o)(6)(ii))
(Select from dropdown)]],Table22[],2,FALSE))</f>
        <v/>
      </c>
      <c r="E805" s="132"/>
      <c r="F805" s="140"/>
      <c r="G805" s="147"/>
      <c r="H805" s="147"/>
      <c r="K805" s="148"/>
    </row>
    <row r="806" spans="2:11" x14ac:dyDescent="0.3">
      <c r="B806" s="150" t="str">
        <f>IF(Table24[[#This Row],[Affected CMS
(§63.567(o)(3)(ix), §63.567(o)(6)(ii))
(Select from dropdown)]]="","",VLOOKUP(Table24[[#This Row],[Affected CMS
(§63.567(o)(3)(ix), §63.567(o)(6)(ii))
(Select from dropdown)]],Table22[],2,FALSE))</f>
        <v/>
      </c>
      <c r="E806" s="132"/>
      <c r="F806" s="140"/>
      <c r="G806" s="147"/>
      <c r="H806" s="147"/>
      <c r="K806" s="148"/>
    </row>
    <row r="807" spans="2:11" x14ac:dyDescent="0.3">
      <c r="B807" s="150" t="str">
        <f>IF(Table24[[#This Row],[Affected CMS
(§63.567(o)(3)(ix), §63.567(o)(6)(ii))
(Select from dropdown)]]="","",VLOOKUP(Table24[[#This Row],[Affected CMS
(§63.567(o)(3)(ix), §63.567(o)(6)(ii))
(Select from dropdown)]],Table22[],2,FALSE))</f>
        <v/>
      </c>
      <c r="E807" s="132"/>
      <c r="F807" s="140"/>
      <c r="G807" s="147"/>
      <c r="H807" s="147"/>
      <c r="K807" s="148"/>
    </row>
    <row r="808" spans="2:11" x14ac:dyDescent="0.3">
      <c r="B808" s="150" t="str">
        <f>IF(Table24[[#This Row],[Affected CMS
(§63.567(o)(3)(ix), §63.567(o)(6)(ii))
(Select from dropdown)]]="","",VLOOKUP(Table24[[#This Row],[Affected CMS
(§63.567(o)(3)(ix), §63.567(o)(6)(ii))
(Select from dropdown)]],Table22[],2,FALSE))</f>
        <v/>
      </c>
      <c r="E808" s="132"/>
      <c r="F808" s="140"/>
      <c r="G808" s="147"/>
      <c r="H808" s="147"/>
      <c r="K808" s="148"/>
    </row>
    <row r="809" spans="2:11" x14ac:dyDescent="0.3">
      <c r="B809" s="150" t="str">
        <f>IF(Table24[[#This Row],[Affected CMS
(§63.567(o)(3)(ix), §63.567(o)(6)(ii))
(Select from dropdown)]]="","",VLOOKUP(Table24[[#This Row],[Affected CMS
(§63.567(o)(3)(ix), §63.567(o)(6)(ii))
(Select from dropdown)]],Table22[],2,FALSE))</f>
        <v/>
      </c>
      <c r="E809" s="132"/>
      <c r="F809" s="140"/>
      <c r="G809" s="147"/>
      <c r="H809" s="147"/>
      <c r="K809" s="148"/>
    </row>
    <row r="810" spans="2:11" x14ac:dyDescent="0.3">
      <c r="B810" s="150" t="str">
        <f>IF(Table24[[#This Row],[Affected CMS
(§63.567(o)(3)(ix), §63.567(o)(6)(ii))
(Select from dropdown)]]="","",VLOOKUP(Table24[[#This Row],[Affected CMS
(§63.567(o)(3)(ix), §63.567(o)(6)(ii))
(Select from dropdown)]],Table22[],2,FALSE))</f>
        <v/>
      </c>
      <c r="E810" s="132"/>
      <c r="F810" s="140"/>
      <c r="G810" s="147"/>
      <c r="H810" s="147"/>
      <c r="K810" s="148"/>
    </row>
    <row r="811" spans="2:11" x14ac:dyDescent="0.3">
      <c r="B811" s="150" t="str">
        <f>IF(Table24[[#This Row],[Affected CMS
(§63.567(o)(3)(ix), §63.567(o)(6)(ii))
(Select from dropdown)]]="","",VLOOKUP(Table24[[#This Row],[Affected CMS
(§63.567(o)(3)(ix), §63.567(o)(6)(ii))
(Select from dropdown)]],Table22[],2,FALSE))</f>
        <v/>
      </c>
      <c r="E811" s="132"/>
      <c r="F811" s="140"/>
      <c r="G811" s="147"/>
      <c r="H811" s="147"/>
      <c r="K811" s="148"/>
    </row>
    <row r="812" spans="2:11" x14ac:dyDescent="0.3">
      <c r="B812" s="150" t="str">
        <f>IF(Table24[[#This Row],[Affected CMS
(§63.567(o)(3)(ix), §63.567(o)(6)(ii))
(Select from dropdown)]]="","",VLOOKUP(Table24[[#This Row],[Affected CMS
(§63.567(o)(3)(ix), §63.567(o)(6)(ii))
(Select from dropdown)]],Table22[],2,FALSE))</f>
        <v/>
      </c>
      <c r="E812" s="132"/>
      <c r="F812" s="140"/>
      <c r="G812" s="147"/>
      <c r="H812" s="147"/>
      <c r="K812" s="148"/>
    </row>
    <row r="813" spans="2:11" x14ac:dyDescent="0.3">
      <c r="B813" s="150" t="str">
        <f>IF(Table24[[#This Row],[Affected CMS
(§63.567(o)(3)(ix), §63.567(o)(6)(ii))
(Select from dropdown)]]="","",VLOOKUP(Table24[[#This Row],[Affected CMS
(§63.567(o)(3)(ix), §63.567(o)(6)(ii))
(Select from dropdown)]],Table22[],2,FALSE))</f>
        <v/>
      </c>
      <c r="E813" s="132"/>
      <c r="F813" s="140"/>
      <c r="G813" s="147"/>
      <c r="H813" s="147"/>
      <c r="K813" s="148"/>
    </row>
    <row r="814" spans="2:11" x14ac:dyDescent="0.3">
      <c r="B814" s="150" t="str">
        <f>IF(Table24[[#This Row],[Affected CMS
(§63.567(o)(3)(ix), §63.567(o)(6)(ii))
(Select from dropdown)]]="","",VLOOKUP(Table24[[#This Row],[Affected CMS
(§63.567(o)(3)(ix), §63.567(o)(6)(ii))
(Select from dropdown)]],Table22[],2,FALSE))</f>
        <v/>
      </c>
      <c r="E814" s="132"/>
      <c r="F814" s="140"/>
      <c r="G814" s="147"/>
      <c r="H814" s="147"/>
      <c r="K814" s="148"/>
    </row>
    <row r="815" spans="2:11" x14ac:dyDescent="0.3">
      <c r="B815" s="150" t="str">
        <f>IF(Table24[[#This Row],[Affected CMS
(§63.567(o)(3)(ix), §63.567(o)(6)(ii))
(Select from dropdown)]]="","",VLOOKUP(Table24[[#This Row],[Affected CMS
(§63.567(o)(3)(ix), §63.567(o)(6)(ii))
(Select from dropdown)]],Table22[],2,FALSE))</f>
        <v/>
      </c>
      <c r="E815" s="132"/>
      <c r="F815" s="140"/>
      <c r="G815" s="147"/>
      <c r="H815" s="147"/>
      <c r="K815" s="148"/>
    </row>
    <row r="816" spans="2:11" x14ac:dyDescent="0.3">
      <c r="B816" s="150" t="str">
        <f>IF(Table24[[#This Row],[Affected CMS
(§63.567(o)(3)(ix), §63.567(o)(6)(ii))
(Select from dropdown)]]="","",VLOOKUP(Table24[[#This Row],[Affected CMS
(§63.567(o)(3)(ix), §63.567(o)(6)(ii))
(Select from dropdown)]],Table22[],2,FALSE))</f>
        <v/>
      </c>
      <c r="E816" s="132"/>
      <c r="F816" s="140"/>
      <c r="G816" s="147"/>
      <c r="H816" s="147"/>
      <c r="K816" s="148"/>
    </row>
    <row r="817" spans="2:11" x14ac:dyDescent="0.3">
      <c r="B817" s="150" t="str">
        <f>IF(Table24[[#This Row],[Affected CMS
(§63.567(o)(3)(ix), §63.567(o)(6)(ii))
(Select from dropdown)]]="","",VLOOKUP(Table24[[#This Row],[Affected CMS
(§63.567(o)(3)(ix), §63.567(o)(6)(ii))
(Select from dropdown)]],Table22[],2,FALSE))</f>
        <v/>
      </c>
      <c r="E817" s="132"/>
      <c r="F817" s="140"/>
      <c r="G817" s="147"/>
      <c r="H817" s="147"/>
      <c r="K817" s="148"/>
    </row>
    <row r="818" spans="2:11" x14ac:dyDescent="0.3">
      <c r="B818" s="150" t="str">
        <f>IF(Table24[[#This Row],[Affected CMS
(§63.567(o)(3)(ix), §63.567(o)(6)(ii))
(Select from dropdown)]]="","",VLOOKUP(Table24[[#This Row],[Affected CMS
(§63.567(o)(3)(ix), §63.567(o)(6)(ii))
(Select from dropdown)]],Table22[],2,FALSE))</f>
        <v/>
      </c>
      <c r="E818" s="132"/>
      <c r="F818" s="140"/>
      <c r="G818" s="147"/>
      <c r="H818" s="147"/>
      <c r="K818" s="148"/>
    </row>
    <row r="819" spans="2:11" x14ac:dyDescent="0.3">
      <c r="B819" s="150" t="str">
        <f>IF(Table24[[#This Row],[Affected CMS
(§63.567(o)(3)(ix), §63.567(o)(6)(ii))
(Select from dropdown)]]="","",VLOOKUP(Table24[[#This Row],[Affected CMS
(§63.567(o)(3)(ix), §63.567(o)(6)(ii))
(Select from dropdown)]],Table22[],2,FALSE))</f>
        <v/>
      </c>
      <c r="E819" s="132"/>
      <c r="F819" s="140"/>
      <c r="G819" s="147"/>
      <c r="H819" s="147"/>
      <c r="K819" s="148"/>
    </row>
    <row r="820" spans="2:11" x14ac:dyDescent="0.3">
      <c r="B820" s="150" t="str">
        <f>IF(Table24[[#This Row],[Affected CMS
(§63.567(o)(3)(ix), §63.567(o)(6)(ii))
(Select from dropdown)]]="","",VLOOKUP(Table24[[#This Row],[Affected CMS
(§63.567(o)(3)(ix), §63.567(o)(6)(ii))
(Select from dropdown)]],Table22[],2,FALSE))</f>
        <v/>
      </c>
      <c r="E820" s="132"/>
      <c r="F820" s="140"/>
      <c r="G820" s="147"/>
      <c r="H820" s="147"/>
      <c r="K820" s="148"/>
    </row>
    <row r="821" spans="2:11" x14ac:dyDescent="0.3">
      <c r="B821" s="150" t="str">
        <f>IF(Table24[[#This Row],[Affected CMS
(§63.567(o)(3)(ix), §63.567(o)(6)(ii))
(Select from dropdown)]]="","",VLOOKUP(Table24[[#This Row],[Affected CMS
(§63.567(o)(3)(ix), §63.567(o)(6)(ii))
(Select from dropdown)]],Table22[],2,FALSE))</f>
        <v/>
      </c>
      <c r="E821" s="132"/>
      <c r="F821" s="140"/>
      <c r="G821" s="147"/>
      <c r="H821" s="147"/>
      <c r="K821" s="148"/>
    </row>
    <row r="822" spans="2:11" x14ac:dyDescent="0.3">
      <c r="B822" s="150" t="str">
        <f>IF(Table24[[#This Row],[Affected CMS
(§63.567(o)(3)(ix), §63.567(o)(6)(ii))
(Select from dropdown)]]="","",VLOOKUP(Table24[[#This Row],[Affected CMS
(§63.567(o)(3)(ix), §63.567(o)(6)(ii))
(Select from dropdown)]],Table22[],2,FALSE))</f>
        <v/>
      </c>
      <c r="E822" s="132"/>
      <c r="F822" s="140"/>
      <c r="G822" s="147"/>
      <c r="H822" s="147"/>
      <c r="K822" s="148"/>
    </row>
    <row r="823" spans="2:11" x14ac:dyDescent="0.3">
      <c r="B823" s="150" t="str">
        <f>IF(Table24[[#This Row],[Affected CMS
(§63.567(o)(3)(ix), §63.567(o)(6)(ii))
(Select from dropdown)]]="","",VLOOKUP(Table24[[#This Row],[Affected CMS
(§63.567(o)(3)(ix), §63.567(o)(6)(ii))
(Select from dropdown)]],Table22[],2,FALSE))</f>
        <v/>
      </c>
      <c r="E823" s="132"/>
      <c r="F823" s="140"/>
      <c r="G823" s="147"/>
      <c r="H823" s="147"/>
      <c r="K823" s="148"/>
    </row>
    <row r="824" spans="2:11" x14ac:dyDescent="0.3">
      <c r="B824" s="150" t="str">
        <f>IF(Table24[[#This Row],[Affected CMS
(§63.567(o)(3)(ix), §63.567(o)(6)(ii))
(Select from dropdown)]]="","",VLOOKUP(Table24[[#This Row],[Affected CMS
(§63.567(o)(3)(ix), §63.567(o)(6)(ii))
(Select from dropdown)]],Table22[],2,FALSE))</f>
        <v/>
      </c>
      <c r="E824" s="132"/>
      <c r="F824" s="140"/>
      <c r="G824" s="147"/>
      <c r="H824" s="147"/>
      <c r="K824" s="148"/>
    </row>
    <row r="825" spans="2:11" x14ac:dyDescent="0.3">
      <c r="B825" s="150" t="str">
        <f>IF(Table24[[#This Row],[Affected CMS
(§63.567(o)(3)(ix), §63.567(o)(6)(ii))
(Select from dropdown)]]="","",VLOOKUP(Table24[[#This Row],[Affected CMS
(§63.567(o)(3)(ix), §63.567(o)(6)(ii))
(Select from dropdown)]],Table22[],2,FALSE))</f>
        <v/>
      </c>
      <c r="E825" s="132"/>
      <c r="F825" s="140"/>
      <c r="G825" s="147"/>
      <c r="H825" s="147"/>
      <c r="K825" s="148"/>
    </row>
    <row r="826" spans="2:11" x14ac:dyDescent="0.3">
      <c r="B826" s="150" t="str">
        <f>IF(Table24[[#This Row],[Affected CMS
(§63.567(o)(3)(ix), §63.567(o)(6)(ii))
(Select from dropdown)]]="","",VLOOKUP(Table24[[#This Row],[Affected CMS
(§63.567(o)(3)(ix), §63.567(o)(6)(ii))
(Select from dropdown)]],Table22[],2,FALSE))</f>
        <v/>
      </c>
      <c r="E826" s="132"/>
      <c r="F826" s="140"/>
      <c r="G826" s="147"/>
      <c r="H826" s="147"/>
      <c r="K826" s="148"/>
    </row>
    <row r="827" spans="2:11" x14ac:dyDescent="0.3">
      <c r="B827" s="150" t="str">
        <f>IF(Table24[[#This Row],[Affected CMS
(§63.567(o)(3)(ix), §63.567(o)(6)(ii))
(Select from dropdown)]]="","",VLOOKUP(Table24[[#This Row],[Affected CMS
(§63.567(o)(3)(ix), §63.567(o)(6)(ii))
(Select from dropdown)]],Table22[],2,FALSE))</f>
        <v/>
      </c>
      <c r="E827" s="132"/>
      <c r="F827" s="140"/>
      <c r="G827" s="147"/>
      <c r="H827" s="147"/>
      <c r="K827" s="148"/>
    </row>
    <row r="828" spans="2:11" x14ac:dyDescent="0.3">
      <c r="B828" s="150" t="str">
        <f>IF(Table24[[#This Row],[Affected CMS
(§63.567(o)(3)(ix), §63.567(o)(6)(ii))
(Select from dropdown)]]="","",VLOOKUP(Table24[[#This Row],[Affected CMS
(§63.567(o)(3)(ix), §63.567(o)(6)(ii))
(Select from dropdown)]],Table22[],2,FALSE))</f>
        <v/>
      </c>
      <c r="E828" s="132"/>
      <c r="F828" s="140"/>
      <c r="G828" s="147"/>
      <c r="H828" s="147"/>
      <c r="K828" s="148"/>
    </row>
    <row r="829" spans="2:11" x14ac:dyDescent="0.3">
      <c r="B829" s="150" t="str">
        <f>IF(Table24[[#This Row],[Affected CMS
(§63.567(o)(3)(ix), §63.567(o)(6)(ii))
(Select from dropdown)]]="","",VLOOKUP(Table24[[#This Row],[Affected CMS
(§63.567(o)(3)(ix), §63.567(o)(6)(ii))
(Select from dropdown)]],Table22[],2,FALSE))</f>
        <v/>
      </c>
      <c r="E829" s="132"/>
      <c r="F829" s="140"/>
      <c r="G829" s="147"/>
      <c r="H829" s="147"/>
      <c r="K829" s="148"/>
    </row>
    <row r="830" spans="2:11" x14ac:dyDescent="0.3">
      <c r="B830" s="150" t="str">
        <f>IF(Table24[[#This Row],[Affected CMS
(§63.567(o)(3)(ix), §63.567(o)(6)(ii))
(Select from dropdown)]]="","",VLOOKUP(Table24[[#This Row],[Affected CMS
(§63.567(o)(3)(ix), §63.567(o)(6)(ii))
(Select from dropdown)]],Table22[],2,FALSE))</f>
        <v/>
      </c>
      <c r="E830" s="132"/>
      <c r="F830" s="140"/>
      <c r="G830" s="147"/>
      <c r="H830" s="147"/>
      <c r="K830" s="148"/>
    </row>
    <row r="831" spans="2:11" x14ac:dyDescent="0.3">
      <c r="B831" s="150" t="str">
        <f>IF(Table24[[#This Row],[Affected CMS
(§63.567(o)(3)(ix), §63.567(o)(6)(ii))
(Select from dropdown)]]="","",VLOOKUP(Table24[[#This Row],[Affected CMS
(§63.567(o)(3)(ix), §63.567(o)(6)(ii))
(Select from dropdown)]],Table22[],2,FALSE))</f>
        <v/>
      </c>
      <c r="E831" s="132"/>
      <c r="F831" s="140"/>
      <c r="G831" s="147"/>
      <c r="H831" s="147"/>
      <c r="K831" s="148"/>
    </row>
    <row r="832" spans="2:11" x14ac:dyDescent="0.3">
      <c r="B832" s="150" t="str">
        <f>IF(Table24[[#This Row],[Affected CMS
(§63.567(o)(3)(ix), §63.567(o)(6)(ii))
(Select from dropdown)]]="","",VLOOKUP(Table24[[#This Row],[Affected CMS
(§63.567(o)(3)(ix), §63.567(o)(6)(ii))
(Select from dropdown)]],Table22[],2,FALSE))</f>
        <v/>
      </c>
      <c r="E832" s="132"/>
      <c r="F832" s="140"/>
      <c r="G832" s="147"/>
      <c r="H832" s="147"/>
      <c r="K832" s="148"/>
    </row>
    <row r="833" spans="2:11" x14ac:dyDescent="0.3">
      <c r="B833" s="150" t="str">
        <f>IF(Table24[[#This Row],[Affected CMS
(§63.567(o)(3)(ix), §63.567(o)(6)(ii))
(Select from dropdown)]]="","",VLOOKUP(Table24[[#This Row],[Affected CMS
(§63.567(o)(3)(ix), §63.567(o)(6)(ii))
(Select from dropdown)]],Table22[],2,FALSE))</f>
        <v/>
      </c>
      <c r="E833" s="132"/>
      <c r="F833" s="140"/>
      <c r="G833" s="147"/>
      <c r="H833" s="147"/>
      <c r="K833" s="148"/>
    </row>
    <row r="834" spans="2:11" x14ac:dyDescent="0.3">
      <c r="B834" s="150" t="str">
        <f>IF(Table24[[#This Row],[Affected CMS
(§63.567(o)(3)(ix), §63.567(o)(6)(ii))
(Select from dropdown)]]="","",VLOOKUP(Table24[[#This Row],[Affected CMS
(§63.567(o)(3)(ix), §63.567(o)(6)(ii))
(Select from dropdown)]],Table22[],2,FALSE))</f>
        <v/>
      </c>
      <c r="E834" s="132"/>
      <c r="F834" s="140"/>
      <c r="G834" s="147"/>
      <c r="H834" s="147"/>
      <c r="K834" s="148"/>
    </row>
    <row r="835" spans="2:11" x14ac:dyDescent="0.3">
      <c r="B835" s="150" t="str">
        <f>IF(Table24[[#This Row],[Affected CMS
(§63.567(o)(3)(ix), §63.567(o)(6)(ii))
(Select from dropdown)]]="","",VLOOKUP(Table24[[#This Row],[Affected CMS
(§63.567(o)(3)(ix), §63.567(o)(6)(ii))
(Select from dropdown)]],Table22[],2,FALSE))</f>
        <v/>
      </c>
      <c r="E835" s="132"/>
      <c r="F835" s="140"/>
      <c r="G835" s="147"/>
      <c r="H835" s="147"/>
      <c r="K835" s="148"/>
    </row>
    <row r="836" spans="2:11" x14ac:dyDescent="0.3">
      <c r="B836" s="150" t="str">
        <f>IF(Table24[[#This Row],[Affected CMS
(§63.567(o)(3)(ix), §63.567(o)(6)(ii))
(Select from dropdown)]]="","",VLOOKUP(Table24[[#This Row],[Affected CMS
(§63.567(o)(3)(ix), §63.567(o)(6)(ii))
(Select from dropdown)]],Table22[],2,FALSE))</f>
        <v/>
      </c>
      <c r="E836" s="132"/>
      <c r="F836" s="140"/>
      <c r="G836" s="147"/>
      <c r="H836" s="147"/>
      <c r="K836" s="148"/>
    </row>
    <row r="837" spans="2:11" x14ac:dyDescent="0.3">
      <c r="B837" s="150" t="str">
        <f>IF(Table24[[#This Row],[Affected CMS
(§63.567(o)(3)(ix), §63.567(o)(6)(ii))
(Select from dropdown)]]="","",VLOOKUP(Table24[[#This Row],[Affected CMS
(§63.567(o)(3)(ix), §63.567(o)(6)(ii))
(Select from dropdown)]],Table22[],2,FALSE))</f>
        <v/>
      </c>
      <c r="E837" s="132"/>
      <c r="F837" s="140"/>
      <c r="G837" s="147"/>
      <c r="H837" s="147"/>
      <c r="K837" s="148"/>
    </row>
    <row r="838" spans="2:11" x14ac:dyDescent="0.3">
      <c r="B838" s="150" t="str">
        <f>IF(Table24[[#This Row],[Affected CMS
(§63.567(o)(3)(ix), §63.567(o)(6)(ii))
(Select from dropdown)]]="","",VLOOKUP(Table24[[#This Row],[Affected CMS
(§63.567(o)(3)(ix), §63.567(o)(6)(ii))
(Select from dropdown)]],Table22[],2,FALSE))</f>
        <v/>
      </c>
      <c r="E838" s="132"/>
      <c r="F838" s="140"/>
      <c r="G838" s="147"/>
      <c r="H838" s="147"/>
      <c r="K838" s="148"/>
    </row>
    <row r="839" spans="2:11" x14ac:dyDescent="0.3">
      <c r="B839" s="150" t="str">
        <f>IF(Table24[[#This Row],[Affected CMS
(§63.567(o)(3)(ix), §63.567(o)(6)(ii))
(Select from dropdown)]]="","",VLOOKUP(Table24[[#This Row],[Affected CMS
(§63.567(o)(3)(ix), §63.567(o)(6)(ii))
(Select from dropdown)]],Table22[],2,FALSE))</f>
        <v/>
      </c>
      <c r="E839" s="132"/>
      <c r="F839" s="140"/>
      <c r="G839" s="147"/>
      <c r="H839" s="147"/>
      <c r="K839" s="148"/>
    </row>
    <row r="840" spans="2:11" x14ac:dyDescent="0.3">
      <c r="B840" s="150" t="str">
        <f>IF(Table24[[#This Row],[Affected CMS
(§63.567(o)(3)(ix), §63.567(o)(6)(ii))
(Select from dropdown)]]="","",VLOOKUP(Table24[[#This Row],[Affected CMS
(§63.567(o)(3)(ix), §63.567(o)(6)(ii))
(Select from dropdown)]],Table22[],2,FALSE))</f>
        <v/>
      </c>
      <c r="E840" s="132"/>
      <c r="F840" s="140"/>
      <c r="G840" s="147"/>
      <c r="H840" s="147"/>
      <c r="K840" s="148"/>
    </row>
    <row r="841" spans="2:11" x14ac:dyDescent="0.3">
      <c r="B841" s="150" t="str">
        <f>IF(Table24[[#This Row],[Affected CMS
(§63.567(o)(3)(ix), §63.567(o)(6)(ii))
(Select from dropdown)]]="","",VLOOKUP(Table24[[#This Row],[Affected CMS
(§63.567(o)(3)(ix), §63.567(o)(6)(ii))
(Select from dropdown)]],Table22[],2,FALSE))</f>
        <v/>
      </c>
      <c r="E841" s="132"/>
      <c r="F841" s="140"/>
      <c r="G841" s="147"/>
      <c r="H841" s="147"/>
      <c r="K841" s="148"/>
    </row>
    <row r="842" spans="2:11" x14ac:dyDescent="0.3">
      <c r="B842" s="150" t="str">
        <f>IF(Table24[[#This Row],[Affected CMS
(§63.567(o)(3)(ix), §63.567(o)(6)(ii))
(Select from dropdown)]]="","",VLOOKUP(Table24[[#This Row],[Affected CMS
(§63.567(o)(3)(ix), §63.567(o)(6)(ii))
(Select from dropdown)]],Table22[],2,FALSE))</f>
        <v/>
      </c>
      <c r="E842" s="132"/>
      <c r="F842" s="140"/>
      <c r="G842" s="147"/>
      <c r="H842" s="147"/>
      <c r="K842" s="148"/>
    </row>
    <row r="843" spans="2:11" x14ac:dyDescent="0.3">
      <c r="B843" s="150" t="str">
        <f>IF(Table24[[#This Row],[Affected CMS
(§63.567(o)(3)(ix), §63.567(o)(6)(ii))
(Select from dropdown)]]="","",VLOOKUP(Table24[[#This Row],[Affected CMS
(§63.567(o)(3)(ix), §63.567(o)(6)(ii))
(Select from dropdown)]],Table22[],2,FALSE))</f>
        <v/>
      </c>
      <c r="E843" s="132"/>
      <c r="F843" s="140"/>
      <c r="G843" s="147"/>
      <c r="H843" s="147"/>
      <c r="K843" s="148"/>
    </row>
    <row r="844" spans="2:11" x14ac:dyDescent="0.3">
      <c r="B844" s="150" t="str">
        <f>IF(Table24[[#This Row],[Affected CMS
(§63.567(o)(3)(ix), §63.567(o)(6)(ii))
(Select from dropdown)]]="","",VLOOKUP(Table24[[#This Row],[Affected CMS
(§63.567(o)(3)(ix), §63.567(o)(6)(ii))
(Select from dropdown)]],Table22[],2,FALSE))</f>
        <v/>
      </c>
      <c r="E844" s="132"/>
      <c r="F844" s="140"/>
      <c r="G844" s="147"/>
      <c r="H844" s="147"/>
      <c r="K844" s="148"/>
    </row>
    <row r="845" spans="2:11" x14ac:dyDescent="0.3">
      <c r="B845" s="150" t="str">
        <f>IF(Table24[[#This Row],[Affected CMS
(§63.567(o)(3)(ix), §63.567(o)(6)(ii))
(Select from dropdown)]]="","",VLOOKUP(Table24[[#This Row],[Affected CMS
(§63.567(o)(3)(ix), §63.567(o)(6)(ii))
(Select from dropdown)]],Table22[],2,FALSE))</f>
        <v/>
      </c>
      <c r="E845" s="132"/>
      <c r="F845" s="140"/>
      <c r="G845" s="147"/>
      <c r="H845" s="147"/>
      <c r="K845" s="148"/>
    </row>
    <row r="846" spans="2:11" x14ac:dyDescent="0.3">
      <c r="B846" s="150" t="str">
        <f>IF(Table24[[#This Row],[Affected CMS
(§63.567(o)(3)(ix), §63.567(o)(6)(ii))
(Select from dropdown)]]="","",VLOOKUP(Table24[[#This Row],[Affected CMS
(§63.567(o)(3)(ix), §63.567(o)(6)(ii))
(Select from dropdown)]],Table22[],2,FALSE))</f>
        <v/>
      </c>
      <c r="E846" s="132"/>
      <c r="F846" s="140"/>
      <c r="G846" s="147"/>
      <c r="H846" s="147"/>
      <c r="K846" s="148"/>
    </row>
    <row r="847" spans="2:11" x14ac:dyDescent="0.3">
      <c r="B847" s="150" t="str">
        <f>IF(Table24[[#This Row],[Affected CMS
(§63.567(o)(3)(ix), §63.567(o)(6)(ii))
(Select from dropdown)]]="","",VLOOKUP(Table24[[#This Row],[Affected CMS
(§63.567(o)(3)(ix), §63.567(o)(6)(ii))
(Select from dropdown)]],Table22[],2,FALSE))</f>
        <v/>
      </c>
      <c r="E847" s="132"/>
      <c r="F847" s="140"/>
      <c r="G847" s="147"/>
      <c r="H847" s="147"/>
      <c r="K847" s="148"/>
    </row>
    <row r="848" spans="2:11" x14ac:dyDescent="0.3">
      <c r="B848" s="150" t="str">
        <f>IF(Table24[[#This Row],[Affected CMS
(§63.567(o)(3)(ix), §63.567(o)(6)(ii))
(Select from dropdown)]]="","",VLOOKUP(Table24[[#This Row],[Affected CMS
(§63.567(o)(3)(ix), §63.567(o)(6)(ii))
(Select from dropdown)]],Table22[],2,FALSE))</f>
        <v/>
      </c>
      <c r="E848" s="132"/>
      <c r="F848" s="140"/>
      <c r="G848" s="147"/>
      <c r="H848" s="147"/>
      <c r="K848" s="148"/>
    </row>
    <row r="849" spans="2:11" x14ac:dyDescent="0.3">
      <c r="B849" s="150" t="str">
        <f>IF(Table24[[#This Row],[Affected CMS
(§63.567(o)(3)(ix), §63.567(o)(6)(ii))
(Select from dropdown)]]="","",VLOOKUP(Table24[[#This Row],[Affected CMS
(§63.567(o)(3)(ix), §63.567(o)(6)(ii))
(Select from dropdown)]],Table22[],2,FALSE))</f>
        <v/>
      </c>
      <c r="E849" s="132"/>
      <c r="F849" s="140"/>
      <c r="G849" s="147"/>
      <c r="H849" s="147"/>
      <c r="K849" s="148"/>
    </row>
    <row r="850" spans="2:11" x14ac:dyDescent="0.3">
      <c r="B850" s="150" t="str">
        <f>IF(Table24[[#This Row],[Affected CMS
(§63.567(o)(3)(ix), §63.567(o)(6)(ii))
(Select from dropdown)]]="","",VLOOKUP(Table24[[#This Row],[Affected CMS
(§63.567(o)(3)(ix), §63.567(o)(6)(ii))
(Select from dropdown)]],Table22[],2,FALSE))</f>
        <v/>
      </c>
      <c r="E850" s="132"/>
      <c r="F850" s="140"/>
      <c r="G850" s="147"/>
      <c r="H850" s="147"/>
      <c r="K850" s="148"/>
    </row>
    <row r="851" spans="2:11" x14ac:dyDescent="0.3">
      <c r="B851" s="150" t="str">
        <f>IF(Table24[[#This Row],[Affected CMS
(§63.567(o)(3)(ix), §63.567(o)(6)(ii))
(Select from dropdown)]]="","",VLOOKUP(Table24[[#This Row],[Affected CMS
(§63.567(o)(3)(ix), §63.567(o)(6)(ii))
(Select from dropdown)]],Table22[],2,FALSE))</f>
        <v/>
      </c>
      <c r="E851" s="132"/>
      <c r="F851" s="140"/>
      <c r="G851" s="147"/>
      <c r="H851" s="147"/>
      <c r="K851" s="148"/>
    </row>
    <row r="852" spans="2:11" x14ac:dyDescent="0.3">
      <c r="B852" s="150" t="str">
        <f>IF(Table24[[#This Row],[Affected CMS
(§63.567(o)(3)(ix), §63.567(o)(6)(ii))
(Select from dropdown)]]="","",VLOOKUP(Table24[[#This Row],[Affected CMS
(§63.567(o)(3)(ix), §63.567(o)(6)(ii))
(Select from dropdown)]],Table22[],2,FALSE))</f>
        <v/>
      </c>
      <c r="E852" s="132"/>
      <c r="F852" s="140"/>
      <c r="G852" s="147"/>
      <c r="H852" s="147"/>
      <c r="K852" s="148"/>
    </row>
    <row r="853" spans="2:11" x14ac:dyDescent="0.3">
      <c r="B853" s="150" t="str">
        <f>IF(Table24[[#This Row],[Affected CMS
(§63.567(o)(3)(ix), §63.567(o)(6)(ii))
(Select from dropdown)]]="","",VLOOKUP(Table24[[#This Row],[Affected CMS
(§63.567(o)(3)(ix), §63.567(o)(6)(ii))
(Select from dropdown)]],Table22[],2,FALSE))</f>
        <v/>
      </c>
      <c r="E853" s="132"/>
      <c r="F853" s="140"/>
      <c r="G853" s="147"/>
      <c r="H853" s="147"/>
      <c r="K853" s="148"/>
    </row>
    <row r="854" spans="2:11" x14ac:dyDescent="0.3">
      <c r="B854" s="150" t="str">
        <f>IF(Table24[[#This Row],[Affected CMS
(§63.567(o)(3)(ix), §63.567(o)(6)(ii))
(Select from dropdown)]]="","",VLOOKUP(Table24[[#This Row],[Affected CMS
(§63.567(o)(3)(ix), §63.567(o)(6)(ii))
(Select from dropdown)]],Table22[],2,FALSE))</f>
        <v/>
      </c>
      <c r="E854" s="132"/>
      <c r="F854" s="140"/>
      <c r="G854" s="147"/>
      <c r="H854" s="147"/>
      <c r="K854" s="148"/>
    </row>
    <row r="855" spans="2:11" x14ac:dyDescent="0.3">
      <c r="B855" s="150" t="str">
        <f>IF(Table24[[#This Row],[Affected CMS
(§63.567(o)(3)(ix), §63.567(o)(6)(ii))
(Select from dropdown)]]="","",VLOOKUP(Table24[[#This Row],[Affected CMS
(§63.567(o)(3)(ix), §63.567(o)(6)(ii))
(Select from dropdown)]],Table22[],2,FALSE))</f>
        <v/>
      </c>
      <c r="E855" s="132"/>
      <c r="F855" s="140"/>
      <c r="G855" s="147"/>
      <c r="H855" s="147"/>
      <c r="K855" s="148"/>
    </row>
    <row r="856" spans="2:11" x14ac:dyDescent="0.3">
      <c r="B856" s="150" t="str">
        <f>IF(Table24[[#This Row],[Affected CMS
(§63.567(o)(3)(ix), §63.567(o)(6)(ii))
(Select from dropdown)]]="","",VLOOKUP(Table24[[#This Row],[Affected CMS
(§63.567(o)(3)(ix), §63.567(o)(6)(ii))
(Select from dropdown)]],Table22[],2,FALSE))</f>
        <v/>
      </c>
      <c r="E856" s="132"/>
      <c r="F856" s="140"/>
      <c r="G856" s="147"/>
      <c r="H856" s="147"/>
      <c r="K856" s="148"/>
    </row>
    <row r="857" spans="2:11" x14ac:dyDescent="0.3">
      <c r="B857" s="150" t="str">
        <f>IF(Table24[[#This Row],[Affected CMS
(§63.567(o)(3)(ix), §63.567(o)(6)(ii))
(Select from dropdown)]]="","",VLOOKUP(Table24[[#This Row],[Affected CMS
(§63.567(o)(3)(ix), §63.567(o)(6)(ii))
(Select from dropdown)]],Table22[],2,FALSE))</f>
        <v/>
      </c>
      <c r="E857" s="132"/>
      <c r="F857" s="140"/>
      <c r="G857" s="147"/>
      <c r="H857" s="147"/>
      <c r="K857" s="148"/>
    </row>
    <row r="858" spans="2:11" x14ac:dyDescent="0.3">
      <c r="B858" s="150" t="str">
        <f>IF(Table24[[#This Row],[Affected CMS
(§63.567(o)(3)(ix), §63.567(o)(6)(ii))
(Select from dropdown)]]="","",VLOOKUP(Table24[[#This Row],[Affected CMS
(§63.567(o)(3)(ix), §63.567(o)(6)(ii))
(Select from dropdown)]],Table22[],2,FALSE))</f>
        <v/>
      </c>
      <c r="E858" s="132"/>
      <c r="F858" s="140"/>
      <c r="G858" s="147"/>
      <c r="H858" s="147"/>
      <c r="K858" s="148"/>
    </row>
    <row r="859" spans="2:11" x14ac:dyDescent="0.3">
      <c r="B859" s="150" t="str">
        <f>IF(Table24[[#This Row],[Affected CMS
(§63.567(o)(3)(ix), §63.567(o)(6)(ii))
(Select from dropdown)]]="","",VLOOKUP(Table24[[#This Row],[Affected CMS
(§63.567(o)(3)(ix), §63.567(o)(6)(ii))
(Select from dropdown)]],Table22[],2,FALSE))</f>
        <v/>
      </c>
      <c r="E859" s="132"/>
      <c r="F859" s="140"/>
      <c r="G859" s="147"/>
      <c r="H859" s="147"/>
      <c r="K859" s="148"/>
    </row>
    <row r="860" spans="2:11" x14ac:dyDescent="0.3">
      <c r="B860" s="150" t="str">
        <f>IF(Table24[[#This Row],[Affected CMS
(§63.567(o)(3)(ix), §63.567(o)(6)(ii))
(Select from dropdown)]]="","",VLOOKUP(Table24[[#This Row],[Affected CMS
(§63.567(o)(3)(ix), §63.567(o)(6)(ii))
(Select from dropdown)]],Table22[],2,FALSE))</f>
        <v/>
      </c>
      <c r="E860" s="132"/>
      <c r="F860" s="140"/>
      <c r="G860" s="147"/>
      <c r="H860" s="147"/>
      <c r="K860" s="148"/>
    </row>
    <row r="861" spans="2:11" x14ac:dyDescent="0.3">
      <c r="B861" s="150" t="str">
        <f>IF(Table24[[#This Row],[Affected CMS
(§63.567(o)(3)(ix), §63.567(o)(6)(ii))
(Select from dropdown)]]="","",VLOOKUP(Table24[[#This Row],[Affected CMS
(§63.567(o)(3)(ix), §63.567(o)(6)(ii))
(Select from dropdown)]],Table22[],2,FALSE))</f>
        <v/>
      </c>
      <c r="E861" s="132"/>
      <c r="F861" s="140"/>
      <c r="G861" s="147"/>
      <c r="H861" s="147"/>
      <c r="K861" s="148"/>
    </row>
    <row r="862" spans="2:11" x14ac:dyDescent="0.3">
      <c r="B862" s="150" t="str">
        <f>IF(Table24[[#This Row],[Affected CMS
(§63.567(o)(3)(ix), §63.567(o)(6)(ii))
(Select from dropdown)]]="","",VLOOKUP(Table24[[#This Row],[Affected CMS
(§63.567(o)(3)(ix), §63.567(o)(6)(ii))
(Select from dropdown)]],Table22[],2,FALSE))</f>
        <v/>
      </c>
      <c r="E862" s="132"/>
      <c r="F862" s="140"/>
      <c r="G862" s="147"/>
      <c r="H862" s="147"/>
      <c r="K862" s="148"/>
    </row>
    <row r="863" spans="2:11" x14ac:dyDescent="0.3">
      <c r="B863" s="150" t="str">
        <f>IF(Table24[[#This Row],[Affected CMS
(§63.567(o)(3)(ix), §63.567(o)(6)(ii))
(Select from dropdown)]]="","",VLOOKUP(Table24[[#This Row],[Affected CMS
(§63.567(o)(3)(ix), §63.567(o)(6)(ii))
(Select from dropdown)]],Table22[],2,FALSE))</f>
        <v/>
      </c>
      <c r="E863" s="132"/>
      <c r="F863" s="140"/>
      <c r="G863" s="147"/>
      <c r="H863" s="147"/>
      <c r="K863" s="148"/>
    </row>
    <row r="864" spans="2:11" x14ac:dyDescent="0.3">
      <c r="B864" s="150" t="str">
        <f>IF(Table24[[#This Row],[Affected CMS
(§63.567(o)(3)(ix), §63.567(o)(6)(ii))
(Select from dropdown)]]="","",VLOOKUP(Table24[[#This Row],[Affected CMS
(§63.567(o)(3)(ix), §63.567(o)(6)(ii))
(Select from dropdown)]],Table22[],2,FALSE))</f>
        <v/>
      </c>
      <c r="E864" s="132"/>
      <c r="F864" s="140"/>
      <c r="G864" s="147"/>
      <c r="H864" s="147"/>
      <c r="K864" s="148"/>
    </row>
    <row r="865" spans="2:11" x14ac:dyDescent="0.3">
      <c r="B865" s="150" t="str">
        <f>IF(Table24[[#This Row],[Affected CMS
(§63.567(o)(3)(ix), §63.567(o)(6)(ii))
(Select from dropdown)]]="","",VLOOKUP(Table24[[#This Row],[Affected CMS
(§63.567(o)(3)(ix), §63.567(o)(6)(ii))
(Select from dropdown)]],Table22[],2,FALSE))</f>
        <v/>
      </c>
      <c r="E865" s="132"/>
      <c r="F865" s="140"/>
      <c r="G865" s="147"/>
      <c r="H865" s="147"/>
      <c r="K865" s="148"/>
    </row>
    <row r="866" spans="2:11" x14ac:dyDescent="0.3">
      <c r="B866" s="150" t="str">
        <f>IF(Table24[[#This Row],[Affected CMS
(§63.567(o)(3)(ix), §63.567(o)(6)(ii))
(Select from dropdown)]]="","",VLOOKUP(Table24[[#This Row],[Affected CMS
(§63.567(o)(3)(ix), §63.567(o)(6)(ii))
(Select from dropdown)]],Table22[],2,FALSE))</f>
        <v/>
      </c>
      <c r="E866" s="132"/>
      <c r="F866" s="140"/>
      <c r="G866" s="147"/>
      <c r="H866" s="147"/>
      <c r="K866" s="148"/>
    </row>
    <row r="867" spans="2:11" x14ac:dyDescent="0.3">
      <c r="B867" s="150" t="str">
        <f>IF(Table24[[#This Row],[Affected CMS
(§63.567(o)(3)(ix), §63.567(o)(6)(ii))
(Select from dropdown)]]="","",VLOOKUP(Table24[[#This Row],[Affected CMS
(§63.567(o)(3)(ix), §63.567(o)(6)(ii))
(Select from dropdown)]],Table22[],2,FALSE))</f>
        <v/>
      </c>
      <c r="E867" s="132"/>
      <c r="F867" s="140"/>
      <c r="G867" s="147"/>
      <c r="H867" s="147"/>
      <c r="K867" s="148"/>
    </row>
    <row r="868" spans="2:11" x14ac:dyDescent="0.3">
      <c r="B868" s="150" t="str">
        <f>IF(Table24[[#This Row],[Affected CMS
(§63.567(o)(3)(ix), §63.567(o)(6)(ii))
(Select from dropdown)]]="","",VLOOKUP(Table24[[#This Row],[Affected CMS
(§63.567(o)(3)(ix), §63.567(o)(6)(ii))
(Select from dropdown)]],Table22[],2,FALSE))</f>
        <v/>
      </c>
      <c r="E868" s="132"/>
      <c r="F868" s="140"/>
      <c r="G868" s="147"/>
      <c r="H868" s="147"/>
      <c r="K868" s="148"/>
    </row>
    <row r="869" spans="2:11" x14ac:dyDescent="0.3">
      <c r="B869" s="150" t="str">
        <f>IF(Table24[[#This Row],[Affected CMS
(§63.567(o)(3)(ix), §63.567(o)(6)(ii))
(Select from dropdown)]]="","",VLOOKUP(Table24[[#This Row],[Affected CMS
(§63.567(o)(3)(ix), §63.567(o)(6)(ii))
(Select from dropdown)]],Table22[],2,FALSE))</f>
        <v/>
      </c>
      <c r="E869" s="132"/>
      <c r="F869" s="140"/>
      <c r="G869" s="147"/>
      <c r="H869" s="147"/>
      <c r="K869" s="148"/>
    </row>
    <row r="870" spans="2:11" x14ac:dyDescent="0.3">
      <c r="B870" s="150" t="str">
        <f>IF(Table24[[#This Row],[Affected CMS
(§63.567(o)(3)(ix), §63.567(o)(6)(ii))
(Select from dropdown)]]="","",VLOOKUP(Table24[[#This Row],[Affected CMS
(§63.567(o)(3)(ix), §63.567(o)(6)(ii))
(Select from dropdown)]],Table22[],2,FALSE))</f>
        <v/>
      </c>
      <c r="E870" s="132"/>
      <c r="F870" s="140"/>
      <c r="G870" s="147"/>
      <c r="H870" s="147"/>
      <c r="K870" s="148"/>
    </row>
    <row r="871" spans="2:11" x14ac:dyDescent="0.3">
      <c r="B871" s="150" t="str">
        <f>IF(Table24[[#This Row],[Affected CMS
(§63.567(o)(3)(ix), §63.567(o)(6)(ii))
(Select from dropdown)]]="","",VLOOKUP(Table24[[#This Row],[Affected CMS
(§63.567(o)(3)(ix), §63.567(o)(6)(ii))
(Select from dropdown)]],Table22[],2,FALSE))</f>
        <v/>
      </c>
      <c r="E871" s="132"/>
      <c r="F871" s="140"/>
      <c r="G871" s="147"/>
      <c r="H871" s="147"/>
      <c r="K871" s="148"/>
    </row>
    <row r="872" spans="2:11" x14ac:dyDescent="0.3">
      <c r="B872" s="150" t="str">
        <f>IF(Table24[[#This Row],[Affected CMS
(§63.567(o)(3)(ix), §63.567(o)(6)(ii))
(Select from dropdown)]]="","",VLOOKUP(Table24[[#This Row],[Affected CMS
(§63.567(o)(3)(ix), §63.567(o)(6)(ii))
(Select from dropdown)]],Table22[],2,FALSE))</f>
        <v/>
      </c>
      <c r="E872" s="132"/>
      <c r="F872" s="140"/>
      <c r="G872" s="147"/>
      <c r="H872" s="147"/>
      <c r="K872" s="148"/>
    </row>
    <row r="873" spans="2:11" x14ac:dyDescent="0.3">
      <c r="B873" s="150" t="str">
        <f>IF(Table24[[#This Row],[Affected CMS
(§63.567(o)(3)(ix), §63.567(o)(6)(ii))
(Select from dropdown)]]="","",VLOOKUP(Table24[[#This Row],[Affected CMS
(§63.567(o)(3)(ix), §63.567(o)(6)(ii))
(Select from dropdown)]],Table22[],2,FALSE))</f>
        <v/>
      </c>
      <c r="E873" s="132"/>
      <c r="F873" s="140"/>
      <c r="G873" s="147"/>
      <c r="H873" s="147"/>
      <c r="K873" s="148"/>
    </row>
    <row r="874" spans="2:11" x14ac:dyDescent="0.3">
      <c r="B874" s="150" t="str">
        <f>IF(Table24[[#This Row],[Affected CMS
(§63.567(o)(3)(ix), §63.567(o)(6)(ii))
(Select from dropdown)]]="","",VLOOKUP(Table24[[#This Row],[Affected CMS
(§63.567(o)(3)(ix), §63.567(o)(6)(ii))
(Select from dropdown)]],Table22[],2,FALSE))</f>
        <v/>
      </c>
      <c r="E874" s="132"/>
      <c r="F874" s="140"/>
      <c r="G874" s="147"/>
      <c r="H874" s="147"/>
      <c r="K874" s="148"/>
    </row>
    <row r="875" spans="2:11" x14ac:dyDescent="0.3">
      <c r="B875" s="150" t="str">
        <f>IF(Table24[[#This Row],[Affected CMS
(§63.567(o)(3)(ix), §63.567(o)(6)(ii))
(Select from dropdown)]]="","",VLOOKUP(Table24[[#This Row],[Affected CMS
(§63.567(o)(3)(ix), §63.567(o)(6)(ii))
(Select from dropdown)]],Table22[],2,FALSE))</f>
        <v/>
      </c>
      <c r="E875" s="132"/>
      <c r="F875" s="140"/>
      <c r="G875" s="147"/>
      <c r="H875" s="147"/>
      <c r="K875" s="148"/>
    </row>
    <row r="876" spans="2:11" x14ac:dyDescent="0.3">
      <c r="B876" s="150" t="str">
        <f>IF(Table24[[#This Row],[Affected CMS
(§63.567(o)(3)(ix), §63.567(o)(6)(ii))
(Select from dropdown)]]="","",VLOOKUP(Table24[[#This Row],[Affected CMS
(§63.567(o)(3)(ix), §63.567(o)(6)(ii))
(Select from dropdown)]],Table22[],2,FALSE))</f>
        <v/>
      </c>
      <c r="E876" s="132"/>
      <c r="F876" s="140"/>
      <c r="G876" s="147"/>
      <c r="H876" s="147"/>
      <c r="K876" s="148"/>
    </row>
    <row r="877" spans="2:11" x14ac:dyDescent="0.3">
      <c r="B877" s="150" t="str">
        <f>IF(Table24[[#This Row],[Affected CMS
(§63.567(o)(3)(ix), §63.567(o)(6)(ii))
(Select from dropdown)]]="","",VLOOKUP(Table24[[#This Row],[Affected CMS
(§63.567(o)(3)(ix), §63.567(o)(6)(ii))
(Select from dropdown)]],Table22[],2,FALSE))</f>
        <v/>
      </c>
      <c r="E877" s="132"/>
      <c r="F877" s="140"/>
      <c r="G877" s="147"/>
      <c r="H877" s="147"/>
      <c r="K877" s="148"/>
    </row>
    <row r="878" spans="2:11" x14ac:dyDescent="0.3">
      <c r="B878" s="150" t="str">
        <f>IF(Table24[[#This Row],[Affected CMS
(§63.567(o)(3)(ix), §63.567(o)(6)(ii))
(Select from dropdown)]]="","",VLOOKUP(Table24[[#This Row],[Affected CMS
(§63.567(o)(3)(ix), §63.567(o)(6)(ii))
(Select from dropdown)]],Table22[],2,FALSE))</f>
        <v/>
      </c>
      <c r="E878" s="132"/>
      <c r="F878" s="140"/>
      <c r="G878" s="147"/>
      <c r="H878" s="147"/>
      <c r="K878" s="148"/>
    </row>
    <row r="879" spans="2:11" x14ac:dyDescent="0.3">
      <c r="B879" s="150" t="str">
        <f>IF(Table24[[#This Row],[Affected CMS
(§63.567(o)(3)(ix), §63.567(o)(6)(ii))
(Select from dropdown)]]="","",VLOOKUP(Table24[[#This Row],[Affected CMS
(§63.567(o)(3)(ix), §63.567(o)(6)(ii))
(Select from dropdown)]],Table22[],2,FALSE))</f>
        <v/>
      </c>
      <c r="E879" s="132"/>
      <c r="F879" s="140"/>
      <c r="G879" s="147"/>
      <c r="H879" s="147"/>
      <c r="K879" s="148"/>
    </row>
    <row r="880" spans="2:11" x14ac:dyDescent="0.3">
      <c r="B880" s="150" t="str">
        <f>IF(Table24[[#This Row],[Affected CMS
(§63.567(o)(3)(ix), §63.567(o)(6)(ii))
(Select from dropdown)]]="","",VLOOKUP(Table24[[#This Row],[Affected CMS
(§63.567(o)(3)(ix), §63.567(o)(6)(ii))
(Select from dropdown)]],Table22[],2,FALSE))</f>
        <v/>
      </c>
      <c r="E880" s="132"/>
      <c r="F880" s="140"/>
      <c r="G880" s="147"/>
      <c r="H880" s="147"/>
      <c r="K880" s="148"/>
    </row>
    <row r="881" spans="2:11" x14ac:dyDescent="0.3">
      <c r="B881" s="150" t="str">
        <f>IF(Table24[[#This Row],[Affected CMS
(§63.567(o)(3)(ix), §63.567(o)(6)(ii))
(Select from dropdown)]]="","",VLOOKUP(Table24[[#This Row],[Affected CMS
(§63.567(o)(3)(ix), §63.567(o)(6)(ii))
(Select from dropdown)]],Table22[],2,FALSE))</f>
        <v/>
      </c>
      <c r="E881" s="132"/>
      <c r="F881" s="140"/>
      <c r="G881" s="147"/>
      <c r="H881" s="147"/>
      <c r="K881" s="148"/>
    </row>
    <row r="882" spans="2:11" x14ac:dyDescent="0.3">
      <c r="B882" s="150" t="str">
        <f>IF(Table24[[#This Row],[Affected CMS
(§63.567(o)(3)(ix), §63.567(o)(6)(ii))
(Select from dropdown)]]="","",VLOOKUP(Table24[[#This Row],[Affected CMS
(§63.567(o)(3)(ix), §63.567(o)(6)(ii))
(Select from dropdown)]],Table22[],2,FALSE))</f>
        <v/>
      </c>
      <c r="E882" s="132"/>
      <c r="F882" s="140"/>
      <c r="G882" s="147"/>
      <c r="H882" s="147"/>
      <c r="K882" s="148"/>
    </row>
    <row r="883" spans="2:11" x14ac:dyDescent="0.3">
      <c r="B883" s="150" t="str">
        <f>IF(Table24[[#This Row],[Affected CMS
(§63.567(o)(3)(ix), §63.567(o)(6)(ii))
(Select from dropdown)]]="","",VLOOKUP(Table24[[#This Row],[Affected CMS
(§63.567(o)(3)(ix), §63.567(o)(6)(ii))
(Select from dropdown)]],Table22[],2,FALSE))</f>
        <v/>
      </c>
      <c r="E883" s="132"/>
      <c r="F883" s="140"/>
      <c r="G883" s="147"/>
      <c r="H883" s="147"/>
      <c r="K883" s="148"/>
    </row>
    <row r="884" spans="2:11" x14ac:dyDescent="0.3">
      <c r="B884" s="150" t="str">
        <f>IF(Table24[[#This Row],[Affected CMS
(§63.567(o)(3)(ix), §63.567(o)(6)(ii))
(Select from dropdown)]]="","",VLOOKUP(Table24[[#This Row],[Affected CMS
(§63.567(o)(3)(ix), §63.567(o)(6)(ii))
(Select from dropdown)]],Table22[],2,FALSE))</f>
        <v/>
      </c>
      <c r="E884" s="132"/>
      <c r="F884" s="140"/>
      <c r="G884" s="147"/>
      <c r="H884" s="147"/>
      <c r="K884" s="148"/>
    </row>
    <row r="885" spans="2:11" x14ac:dyDescent="0.3">
      <c r="B885" s="150" t="str">
        <f>IF(Table24[[#This Row],[Affected CMS
(§63.567(o)(3)(ix), §63.567(o)(6)(ii))
(Select from dropdown)]]="","",VLOOKUP(Table24[[#This Row],[Affected CMS
(§63.567(o)(3)(ix), §63.567(o)(6)(ii))
(Select from dropdown)]],Table22[],2,FALSE))</f>
        <v/>
      </c>
      <c r="E885" s="132"/>
      <c r="F885" s="140"/>
      <c r="G885" s="147"/>
      <c r="H885" s="147"/>
      <c r="K885" s="148"/>
    </row>
    <row r="886" spans="2:11" x14ac:dyDescent="0.3">
      <c r="B886" s="150" t="str">
        <f>IF(Table24[[#This Row],[Affected CMS
(§63.567(o)(3)(ix), §63.567(o)(6)(ii))
(Select from dropdown)]]="","",VLOOKUP(Table24[[#This Row],[Affected CMS
(§63.567(o)(3)(ix), §63.567(o)(6)(ii))
(Select from dropdown)]],Table22[],2,FALSE))</f>
        <v/>
      </c>
      <c r="E886" s="132"/>
      <c r="F886" s="140"/>
      <c r="G886" s="147"/>
      <c r="H886" s="147"/>
      <c r="K886" s="148"/>
    </row>
    <row r="887" spans="2:11" x14ac:dyDescent="0.3">
      <c r="B887" s="150" t="str">
        <f>IF(Table24[[#This Row],[Affected CMS
(§63.567(o)(3)(ix), §63.567(o)(6)(ii))
(Select from dropdown)]]="","",VLOOKUP(Table24[[#This Row],[Affected CMS
(§63.567(o)(3)(ix), §63.567(o)(6)(ii))
(Select from dropdown)]],Table22[],2,FALSE))</f>
        <v/>
      </c>
      <c r="E887" s="132"/>
      <c r="F887" s="140"/>
      <c r="G887" s="147"/>
      <c r="H887" s="147"/>
      <c r="K887" s="148"/>
    </row>
    <row r="888" spans="2:11" x14ac:dyDescent="0.3">
      <c r="B888" s="150" t="str">
        <f>IF(Table24[[#This Row],[Affected CMS
(§63.567(o)(3)(ix), §63.567(o)(6)(ii))
(Select from dropdown)]]="","",VLOOKUP(Table24[[#This Row],[Affected CMS
(§63.567(o)(3)(ix), §63.567(o)(6)(ii))
(Select from dropdown)]],Table22[],2,FALSE))</f>
        <v/>
      </c>
      <c r="E888" s="132"/>
      <c r="F888" s="140"/>
      <c r="G888" s="147"/>
      <c r="H888" s="147"/>
      <c r="K888" s="148"/>
    </row>
    <row r="889" spans="2:11" x14ac:dyDescent="0.3">
      <c r="B889" s="150" t="str">
        <f>IF(Table24[[#This Row],[Affected CMS
(§63.567(o)(3)(ix), §63.567(o)(6)(ii))
(Select from dropdown)]]="","",VLOOKUP(Table24[[#This Row],[Affected CMS
(§63.567(o)(3)(ix), §63.567(o)(6)(ii))
(Select from dropdown)]],Table22[],2,FALSE))</f>
        <v/>
      </c>
      <c r="E889" s="132"/>
      <c r="F889" s="140"/>
      <c r="G889" s="147"/>
      <c r="H889" s="147"/>
      <c r="K889" s="148"/>
    </row>
    <row r="890" spans="2:11" x14ac:dyDescent="0.3">
      <c r="B890" s="150" t="str">
        <f>IF(Table24[[#This Row],[Affected CMS
(§63.567(o)(3)(ix), §63.567(o)(6)(ii))
(Select from dropdown)]]="","",VLOOKUP(Table24[[#This Row],[Affected CMS
(§63.567(o)(3)(ix), §63.567(o)(6)(ii))
(Select from dropdown)]],Table22[],2,FALSE))</f>
        <v/>
      </c>
      <c r="E890" s="132"/>
      <c r="F890" s="140"/>
      <c r="G890" s="147"/>
      <c r="H890" s="147"/>
      <c r="K890" s="148"/>
    </row>
    <row r="891" spans="2:11" x14ac:dyDescent="0.3">
      <c r="B891" s="150" t="str">
        <f>IF(Table24[[#This Row],[Affected CMS
(§63.567(o)(3)(ix), §63.567(o)(6)(ii))
(Select from dropdown)]]="","",VLOOKUP(Table24[[#This Row],[Affected CMS
(§63.567(o)(3)(ix), §63.567(o)(6)(ii))
(Select from dropdown)]],Table22[],2,FALSE))</f>
        <v/>
      </c>
      <c r="E891" s="132"/>
      <c r="F891" s="140"/>
      <c r="G891" s="147"/>
      <c r="H891" s="147"/>
      <c r="K891" s="148"/>
    </row>
    <row r="892" spans="2:11" x14ac:dyDescent="0.3">
      <c r="B892" s="150" t="str">
        <f>IF(Table24[[#This Row],[Affected CMS
(§63.567(o)(3)(ix), §63.567(o)(6)(ii))
(Select from dropdown)]]="","",VLOOKUP(Table24[[#This Row],[Affected CMS
(§63.567(o)(3)(ix), §63.567(o)(6)(ii))
(Select from dropdown)]],Table22[],2,FALSE))</f>
        <v/>
      </c>
      <c r="E892" s="132"/>
      <c r="F892" s="140"/>
      <c r="G892" s="147"/>
      <c r="H892" s="147"/>
      <c r="K892" s="148"/>
    </row>
    <row r="893" spans="2:11" x14ac:dyDescent="0.3">
      <c r="B893" s="150" t="str">
        <f>IF(Table24[[#This Row],[Affected CMS
(§63.567(o)(3)(ix), §63.567(o)(6)(ii))
(Select from dropdown)]]="","",VLOOKUP(Table24[[#This Row],[Affected CMS
(§63.567(o)(3)(ix), §63.567(o)(6)(ii))
(Select from dropdown)]],Table22[],2,FALSE))</f>
        <v/>
      </c>
      <c r="E893" s="132"/>
      <c r="F893" s="140"/>
      <c r="G893" s="147"/>
      <c r="H893" s="147"/>
      <c r="K893" s="148"/>
    </row>
    <row r="894" spans="2:11" x14ac:dyDescent="0.3">
      <c r="B894" s="150" t="str">
        <f>IF(Table24[[#This Row],[Affected CMS
(§63.567(o)(3)(ix), §63.567(o)(6)(ii))
(Select from dropdown)]]="","",VLOOKUP(Table24[[#This Row],[Affected CMS
(§63.567(o)(3)(ix), §63.567(o)(6)(ii))
(Select from dropdown)]],Table22[],2,FALSE))</f>
        <v/>
      </c>
      <c r="E894" s="132"/>
      <c r="F894" s="140"/>
      <c r="G894" s="147"/>
      <c r="H894" s="147"/>
      <c r="K894" s="148"/>
    </row>
    <row r="895" spans="2:11" x14ac:dyDescent="0.3">
      <c r="B895" s="150" t="str">
        <f>IF(Table24[[#This Row],[Affected CMS
(§63.567(o)(3)(ix), §63.567(o)(6)(ii))
(Select from dropdown)]]="","",VLOOKUP(Table24[[#This Row],[Affected CMS
(§63.567(o)(3)(ix), §63.567(o)(6)(ii))
(Select from dropdown)]],Table22[],2,FALSE))</f>
        <v/>
      </c>
      <c r="E895" s="132"/>
      <c r="F895" s="140"/>
      <c r="G895" s="147"/>
      <c r="H895" s="147"/>
      <c r="K895" s="148"/>
    </row>
    <row r="896" spans="2:11" x14ac:dyDescent="0.3">
      <c r="B896" s="150" t="str">
        <f>IF(Table24[[#This Row],[Affected CMS
(§63.567(o)(3)(ix), §63.567(o)(6)(ii))
(Select from dropdown)]]="","",VLOOKUP(Table24[[#This Row],[Affected CMS
(§63.567(o)(3)(ix), §63.567(o)(6)(ii))
(Select from dropdown)]],Table22[],2,FALSE))</f>
        <v/>
      </c>
      <c r="E896" s="132"/>
      <c r="F896" s="140"/>
      <c r="G896" s="147"/>
      <c r="H896" s="147"/>
      <c r="K896" s="148"/>
    </row>
    <row r="897" spans="2:11" x14ac:dyDescent="0.3">
      <c r="B897" s="150" t="str">
        <f>IF(Table24[[#This Row],[Affected CMS
(§63.567(o)(3)(ix), §63.567(o)(6)(ii))
(Select from dropdown)]]="","",VLOOKUP(Table24[[#This Row],[Affected CMS
(§63.567(o)(3)(ix), §63.567(o)(6)(ii))
(Select from dropdown)]],Table22[],2,FALSE))</f>
        <v/>
      </c>
      <c r="E897" s="132"/>
      <c r="F897" s="140"/>
      <c r="G897" s="147"/>
      <c r="H897" s="147"/>
      <c r="K897" s="148"/>
    </row>
    <row r="898" spans="2:11" x14ac:dyDescent="0.3">
      <c r="B898" s="150" t="str">
        <f>IF(Table24[[#This Row],[Affected CMS
(§63.567(o)(3)(ix), §63.567(o)(6)(ii))
(Select from dropdown)]]="","",VLOOKUP(Table24[[#This Row],[Affected CMS
(§63.567(o)(3)(ix), §63.567(o)(6)(ii))
(Select from dropdown)]],Table22[],2,FALSE))</f>
        <v/>
      </c>
      <c r="E898" s="132"/>
      <c r="F898" s="140"/>
      <c r="G898" s="147"/>
      <c r="H898" s="147"/>
      <c r="K898" s="148"/>
    </row>
    <row r="899" spans="2:11" x14ac:dyDescent="0.3">
      <c r="B899" s="150" t="str">
        <f>IF(Table24[[#This Row],[Affected CMS
(§63.567(o)(3)(ix), §63.567(o)(6)(ii))
(Select from dropdown)]]="","",VLOOKUP(Table24[[#This Row],[Affected CMS
(§63.567(o)(3)(ix), §63.567(o)(6)(ii))
(Select from dropdown)]],Table22[],2,FALSE))</f>
        <v/>
      </c>
      <c r="E899" s="132"/>
      <c r="F899" s="140"/>
      <c r="G899" s="147"/>
      <c r="H899" s="147"/>
      <c r="K899" s="148"/>
    </row>
    <row r="900" spans="2:11" x14ac:dyDescent="0.3">
      <c r="B900" s="150" t="str">
        <f>IF(Table24[[#This Row],[Affected CMS
(§63.567(o)(3)(ix), §63.567(o)(6)(ii))
(Select from dropdown)]]="","",VLOOKUP(Table24[[#This Row],[Affected CMS
(§63.567(o)(3)(ix), §63.567(o)(6)(ii))
(Select from dropdown)]],Table22[],2,FALSE))</f>
        <v/>
      </c>
      <c r="E900" s="132"/>
      <c r="F900" s="140"/>
      <c r="G900" s="147"/>
      <c r="H900" s="147"/>
      <c r="K900" s="148"/>
    </row>
    <row r="901" spans="2:11" x14ac:dyDescent="0.3">
      <c r="B901" s="150" t="str">
        <f>IF(Table24[[#This Row],[Affected CMS
(§63.567(o)(3)(ix), §63.567(o)(6)(ii))
(Select from dropdown)]]="","",VLOOKUP(Table24[[#This Row],[Affected CMS
(§63.567(o)(3)(ix), §63.567(o)(6)(ii))
(Select from dropdown)]],Table22[],2,FALSE))</f>
        <v/>
      </c>
      <c r="E901" s="132"/>
      <c r="F901" s="140"/>
      <c r="G901" s="147"/>
      <c r="H901" s="147"/>
      <c r="K901" s="148"/>
    </row>
    <row r="902" spans="2:11" x14ac:dyDescent="0.3">
      <c r="B902" s="150" t="str">
        <f>IF(Table24[[#This Row],[Affected CMS
(§63.567(o)(3)(ix), §63.567(o)(6)(ii))
(Select from dropdown)]]="","",VLOOKUP(Table24[[#This Row],[Affected CMS
(§63.567(o)(3)(ix), §63.567(o)(6)(ii))
(Select from dropdown)]],Table22[],2,FALSE))</f>
        <v/>
      </c>
      <c r="E902" s="132"/>
      <c r="F902" s="140"/>
      <c r="G902" s="147"/>
      <c r="H902" s="147"/>
      <c r="K902" s="148"/>
    </row>
    <row r="903" spans="2:11" x14ac:dyDescent="0.3">
      <c r="B903" s="150" t="str">
        <f>IF(Table24[[#This Row],[Affected CMS
(§63.567(o)(3)(ix), §63.567(o)(6)(ii))
(Select from dropdown)]]="","",VLOOKUP(Table24[[#This Row],[Affected CMS
(§63.567(o)(3)(ix), §63.567(o)(6)(ii))
(Select from dropdown)]],Table22[],2,FALSE))</f>
        <v/>
      </c>
      <c r="E903" s="132"/>
      <c r="F903" s="140"/>
      <c r="G903" s="147"/>
      <c r="H903" s="147"/>
      <c r="K903" s="148"/>
    </row>
    <row r="904" spans="2:11" x14ac:dyDescent="0.3">
      <c r="B904" s="150" t="str">
        <f>IF(Table24[[#This Row],[Affected CMS
(§63.567(o)(3)(ix), §63.567(o)(6)(ii))
(Select from dropdown)]]="","",VLOOKUP(Table24[[#This Row],[Affected CMS
(§63.567(o)(3)(ix), §63.567(o)(6)(ii))
(Select from dropdown)]],Table22[],2,FALSE))</f>
        <v/>
      </c>
      <c r="E904" s="132"/>
      <c r="F904" s="140"/>
      <c r="G904" s="147"/>
      <c r="H904" s="147"/>
      <c r="K904" s="148"/>
    </row>
    <row r="905" spans="2:11" x14ac:dyDescent="0.3">
      <c r="B905" s="150" t="str">
        <f>IF(Table24[[#This Row],[Affected CMS
(§63.567(o)(3)(ix), §63.567(o)(6)(ii))
(Select from dropdown)]]="","",VLOOKUP(Table24[[#This Row],[Affected CMS
(§63.567(o)(3)(ix), §63.567(o)(6)(ii))
(Select from dropdown)]],Table22[],2,FALSE))</f>
        <v/>
      </c>
      <c r="E905" s="132"/>
      <c r="F905" s="140"/>
      <c r="G905" s="147"/>
      <c r="H905" s="147"/>
      <c r="K905" s="148"/>
    </row>
    <row r="906" spans="2:11" x14ac:dyDescent="0.3">
      <c r="B906" s="150" t="str">
        <f>IF(Table24[[#This Row],[Affected CMS
(§63.567(o)(3)(ix), §63.567(o)(6)(ii))
(Select from dropdown)]]="","",VLOOKUP(Table24[[#This Row],[Affected CMS
(§63.567(o)(3)(ix), §63.567(o)(6)(ii))
(Select from dropdown)]],Table22[],2,FALSE))</f>
        <v/>
      </c>
      <c r="E906" s="132"/>
      <c r="F906" s="140"/>
      <c r="G906" s="147"/>
      <c r="H906" s="147"/>
      <c r="K906" s="148"/>
    </row>
    <row r="907" spans="2:11" x14ac:dyDescent="0.3">
      <c r="B907" s="150" t="str">
        <f>IF(Table24[[#This Row],[Affected CMS
(§63.567(o)(3)(ix), §63.567(o)(6)(ii))
(Select from dropdown)]]="","",VLOOKUP(Table24[[#This Row],[Affected CMS
(§63.567(o)(3)(ix), §63.567(o)(6)(ii))
(Select from dropdown)]],Table22[],2,FALSE))</f>
        <v/>
      </c>
      <c r="E907" s="132"/>
      <c r="F907" s="140"/>
      <c r="G907" s="147"/>
      <c r="H907" s="147"/>
      <c r="K907" s="148"/>
    </row>
    <row r="908" spans="2:11" x14ac:dyDescent="0.3">
      <c r="B908" s="150" t="str">
        <f>IF(Table24[[#This Row],[Affected CMS
(§63.567(o)(3)(ix), §63.567(o)(6)(ii))
(Select from dropdown)]]="","",VLOOKUP(Table24[[#This Row],[Affected CMS
(§63.567(o)(3)(ix), §63.567(o)(6)(ii))
(Select from dropdown)]],Table22[],2,FALSE))</f>
        <v/>
      </c>
      <c r="E908" s="132"/>
      <c r="F908" s="140"/>
      <c r="G908" s="147"/>
      <c r="H908" s="147"/>
      <c r="K908" s="148"/>
    </row>
    <row r="909" spans="2:11" x14ac:dyDescent="0.3">
      <c r="B909" s="150" t="str">
        <f>IF(Table24[[#This Row],[Affected CMS
(§63.567(o)(3)(ix), §63.567(o)(6)(ii))
(Select from dropdown)]]="","",VLOOKUP(Table24[[#This Row],[Affected CMS
(§63.567(o)(3)(ix), §63.567(o)(6)(ii))
(Select from dropdown)]],Table22[],2,FALSE))</f>
        <v/>
      </c>
      <c r="E909" s="132"/>
      <c r="F909" s="140"/>
      <c r="G909" s="147"/>
      <c r="H909" s="147"/>
      <c r="K909" s="148"/>
    </row>
    <row r="910" spans="2:11" x14ac:dyDescent="0.3">
      <c r="B910" s="150" t="str">
        <f>IF(Table24[[#This Row],[Affected CMS
(§63.567(o)(3)(ix), §63.567(o)(6)(ii))
(Select from dropdown)]]="","",VLOOKUP(Table24[[#This Row],[Affected CMS
(§63.567(o)(3)(ix), §63.567(o)(6)(ii))
(Select from dropdown)]],Table22[],2,FALSE))</f>
        <v/>
      </c>
      <c r="E910" s="132"/>
      <c r="F910" s="140"/>
      <c r="G910" s="147"/>
      <c r="H910" s="147"/>
      <c r="K910" s="148"/>
    </row>
    <row r="911" spans="2:11" x14ac:dyDescent="0.3">
      <c r="B911" s="150" t="str">
        <f>IF(Table24[[#This Row],[Affected CMS
(§63.567(o)(3)(ix), §63.567(o)(6)(ii))
(Select from dropdown)]]="","",VLOOKUP(Table24[[#This Row],[Affected CMS
(§63.567(o)(3)(ix), §63.567(o)(6)(ii))
(Select from dropdown)]],Table22[],2,FALSE))</f>
        <v/>
      </c>
      <c r="E911" s="132"/>
      <c r="F911" s="140"/>
      <c r="G911" s="147"/>
      <c r="H911" s="147"/>
      <c r="K911" s="148"/>
    </row>
    <row r="912" spans="2:11" x14ac:dyDescent="0.3">
      <c r="B912" s="150" t="str">
        <f>IF(Table24[[#This Row],[Affected CMS
(§63.567(o)(3)(ix), §63.567(o)(6)(ii))
(Select from dropdown)]]="","",VLOOKUP(Table24[[#This Row],[Affected CMS
(§63.567(o)(3)(ix), §63.567(o)(6)(ii))
(Select from dropdown)]],Table22[],2,FALSE))</f>
        <v/>
      </c>
      <c r="E912" s="132"/>
      <c r="F912" s="140"/>
      <c r="G912" s="147"/>
      <c r="H912" s="147"/>
      <c r="K912" s="148"/>
    </row>
    <row r="913" spans="2:11" x14ac:dyDescent="0.3">
      <c r="B913" s="150" t="str">
        <f>IF(Table24[[#This Row],[Affected CMS
(§63.567(o)(3)(ix), §63.567(o)(6)(ii))
(Select from dropdown)]]="","",VLOOKUP(Table24[[#This Row],[Affected CMS
(§63.567(o)(3)(ix), §63.567(o)(6)(ii))
(Select from dropdown)]],Table22[],2,FALSE))</f>
        <v/>
      </c>
      <c r="E913" s="132"/>
      <c r="F913" s="140"/>
      <c r="G913" s="147"/>
      <c r="H913" s="147"/>
      <c r="K913" s="148"/>
    </row>
    <row r="914" spans="2:11" x14ac:dyDescent="0.3">
      <c r="B914" s="150" t="str">
        <f>IF(Table24[[#This Row],[Affected CMS
(§63.567(o)(3)(ix), §63.567(o)(6)(ii))
(Select from dropdown)]]="","",VLOOKUP(Table24[[#This Row],[Affected CMS
(§63.567(o)(3)(ix), §63.567(o)(6)(ii))
(Select from dropdown)]],Table22[],2,FALSE))</f>
        <v/>
      </c>
      <c r="E914" s="132"/>
      <c r="F914" s="140"/>
      <c r="G914" s="147"/>
      <c r="H914" s="147"/>
      <c r="K914" s="148"/>
    </row>
    <row r="915" spans="2:11" x14ac:dyDescent="0.3">
      <c r="B915" s="150" t="str">
        <f>IF(Table24[[#This Row],[Affected CMS
(§63.567(o)(3)(ix), §63.567(o)(6)(ii))
(Select from dropdown)]]="","",VLOOKUP(Table24[[#This Row],[Affected CMS
(§63.567(o)(3)(ix), §63.567(o)(6)(ii))
(Select from dropdown)]],Table22[],2,FALSE))</f>
        <v/>
      </c>
      <c r="E915" s="132"/>
      <c r="F915" s="140"/>
      <c r="G915" s="147"/>
      <c r="H915" s="147"/>
      <c r="K915" s="148"/>
    </row>
    <row r="916" spans="2:11" x14ac:dyDescent="0.3">
      <c r="B916" s="150" t="str">
        <f>IF(Table24[[#This Row],[Affected CMS
(§63.567(o)(3)(ix), §63.567(o)(6)(ii))
(Select from dropdown)]]="","",VLOOKUP(Table24[[#This Row],[Affected CMS
(§63.567(o)(3)(ix), §63.567(o)(6)(ii))
(Select from dropdown)]],Table22[],2,FALSE))</f>
        <v/>
      </c>
      <c r="E916" s="132"/>
      <c r="F916" s="140"/>
      <c r="G916" s="147"/>
      <c r="H916" s="147"/>
      <c r="K916" s="148"/>
    </row>
    <row r="917" spans="2:11" x14ac:dyDescent="0.3">
      <c r="B917" s="150" t="str">
        <f>IF(Table24[[#This Row],[Affected CMS
(§63.567(o)(3)(ix), §63.567(o)(6)(ii))
(Select from dropdown)]]="","",VLOOKUP(Table24[[#This Row],[Affected CMS
(§63.567(o)(3)(ix), §63.567(o)(6)(ii))
(Select from dropdown)]],Table22[],2,FALSE))</f>
        <v/>
      </c>
      <c r="E917" s="132"/>
      <c r="F917" s="140"/>
      <c r="G917" s="147"/>
      <c r="H917" s="147"/>
      <c r="K917" s="148"/>
    </row>
    <row r="918" spans="2:11" x14ac:dyDescent="0.3">
      <c r="B918" s="150" t="str">
        <f>IF(Table24[[#This Row],[Affected CMS
(§63.567(o)(3)(ix), §63.567(o)(6)(ii))
(Select from dropdown)]]="","",VLOOKUP(Table24[[#This Row],[Affected CMS
(§63.567(o)(3)(ix), §63.567(o)(6)(ii))
(Select from dropdown)]],Table22[],2,FALSE))</f>
        <v/>
      </c>
      <c r="E918" s="132"/>
      <c r="F918" s="140"/>
      <c r="G918" s="147"/>
      <c r="H918" s="147"/>
      <c r="K918" s="148"/>
    </row>
    <row r="919" spans="2:11" x14ac:dyDescent="0.3">
      <c r="B919" s="150" t="str">
        <f>IF(Table24[[#This Row],[Affected CMS
(§63.567(o)(3)(ix), §63.567(o)(6)(ii))
(Select from dropdown)]]="","",VLOOKUP(Table24[[#This Row],[Affected CMS
(§63.567(o)(3)(ix), §63.567(o)(6)(ii))
(Select from dropdown)]],Table22[],2,FALSE))</f>
        <v/>
      </c>
      <c r="E919" s="132"/>
      <c r="F919" s="140"/>
      <c r="G919" s="147"/>
      <c r="H919" s="147"/>
      <c r="K919" s="148"/>
    </row>
    <row r="920" spans="2:11" x14ac:dyDescent="0.3">
      <c r="B920" s="150" t="str">
        <f>IF(Table24[[#This Row],[Affected CMS
(§63.567(o)(3)(ix), §63.567(o)(6)(ii))
(Select from dropdown)]]="","",VLOOKUP(Table24[[#This Row],[Affected CMS
(§63.567(o)(3)(ix), §63.567(o)(6)(ii))
(Select from dropdown)]],Table22[],2,FALSE))</f>
        <v/>
      </c>
      <c r="E920" s="132"/>
      <c r="F920" s="140"/>
      <c r="G920" s="147"/>
      <c r="H920" s="147"/>
      <c r="K920" s="148"/>
    </row>
    <row r="921" spans="2:11" x14ac:dyDescent="0.3">
      <c r="B921" s="150" t="str">
        <f>IF(Table24[[#This Row],[Affected CMS
(§63.567(o)(3)(ix), §63.567(o)(6)(ii))
(Select from dropdown)]]="","",VLOOKUP(Table24[[#This Row],[Affected CMS
(§63.567(o)(3)(ix), §63.567(o)(6)(ii))
(Select from dropdown)]],Table22[],2,FALSE))</f>
        <v/>
      </c>
      <c r="E921" s="132"/>
      <c r="F921" s="140"/>
      <c r="G921" s="147"/>
      <c r="H921" s="147"/>
      <c r="K921" s="148"/>
    </row>
    <row r="922" spans="2:11" x14ac:dyDescent="0.3">
      <c r="B922" s="150" t="str">
        <f>IF(Table24[[#This Row],[Affected CMS
(§63.567(o)(3)(ix), §63.567(o)(6)(ii))
(Select from dropdown)]]="","",VLOOKUP(Table24[[#This Row],[Affected CMS
(§63.567(o)(3)(ix), §63.567(o)(6)(ii))
(Select from dropdown)]],Table22[],2,FALSE))</f>
        <v/>
      </c>
      <c r="E922" s="132"/>
      <c r="F922" s="140"/>
      <c r="G922" s="147"/>
      <c r="H922" s="147"/>
      <c r="K922" s="148"/>
    </row>
    <row r="923" spans="2:11" x14ac:dyDescent="0.3">
      <c r="B923" s="150" t="str">
        <f>IF(Table24[[#This Row],[Affected CMS
(§63.567(o)(3)(ix), §63.567(o)(6)(ii))
(Select from dropdown)]]="","",VLOOKUP(Table24[[#This Row],[Affected CMS
(§63.567(o)(3)(ix), §63.567(o)(6)(ii))
(Select from dropdown)]],Table22[],2,FALSE))</f>
        <v/>
      </c>
      <c r="E923" s="132"/>
      <c r="F923" s="140"/>
      <c r="G923" s="147"/>
      <c r="H923" s="147"/>
      <c r="K923" s="148"/>
    </row>
    <row r="924" spans="2:11" x14ac:dyDescent="0.3">
      <c r="B924" s="150" t="str">
        <f>IF(Table24[[#This Row],[Affected CMS
(§63.567(o)(3)(ix), §63.567(o)(6)(ii))
(Select from dropdown)]]="","",VLOOKUP(Table24[[#This Row],[Affected CMS
(§63.567(o)(3)(ix), §63.567(o)(6)(ii))
(Select from dropdown)]],Table22[],2,FALSE))</f>
        <v/>
      </c>
      <c r="E924" s="132"/>
      <c r="F924" s="140"/>
      <c r="G924" s="147"/>
      <c r="H924" s="147"/>
      <c r="K924" s="148"/>
    </row>
    <row r="925" spans="2:11" x14ac:dyDescent="0.3">
      <c r="B925" s="150" t="str">
        <f>IF(Table24[[#This Row],[Affected CMS
(§63.567(o)(3)(ix), §63.567(o)(6)(ii))
(Select from dropdown)]]="","",VLOOKUP(Table24[[#This Row],[Affected CMS
(§63.567(o)(3)(ix), §63.567(o)(6)(ii))
(Select from dropdown)]],Table22[],2,FALSE))</f>
        <v/>
      </c>
      <c r="E925" s="132"/>
      <c r="F925" s="140"/>
      <c r="G925" s="147"/>
      <c r="H925" s="147"/>
      <c r="K925" s="148"/>
    </row>
    <row r="926" spans="2:11" x14ac:dyDescent="0.3">
      <c r="B926" s="150" t="str">
        <f>IF(Table24[[#This Row],[Affected CMS
(§63.567(o)(3)(ix), §63.567(o)(6)(ii))
(Select from dropdown)]]="","",VLOOKUP(Table24[[#This Row],[Affected CMS
(§63.567(o)(3)(ix), §63.567(o)(6)(ii))
(Select from dropdown)]],Table22[],2,FALSE))</f>
        <v/>
      </c>
      <c r="E926" s="132"/>
      <c r="F926" s="140"/>
      <c r="G926" s="147"/>
      <c r="H926" s="147"/>
      <c r="K926" s="148"/>
    </row>
    <row r="927" spans="2:11" x14ac:dyDescent="0.3">
      <c r="B927" s="150" t="str">
        <f>IF(Table24[[#This Row],[Affected CMS
(§63.567(o)(3)(ix), §63.567(o)(6)(ii))
(Select from dropdown)]]="","",VLOOKUP(Table24[[#This Row],[Affected CMS
(§63.567(o)(3)(ix), §63.567(o)(6)(ii))
(Select from dropdown)]],Table22[],2,FALSE))</f>
        <v/>
      </c>
      <c r="E927" s="132"/>
      <c r="F927" s="140"/>
      <c r="G927" s="147"/>
      <c r="H927" s="147"/>
      <c r="K927" s="148"/>
    </row>
    <row r="928" spans="2:11" x14ac:dyDescent="0.3">
      <c r="B928" s="150" t="str">
        <f>IF(Table24[[#This Row],[Affected CMS
(§63.567(o)(3)(ix), §63.567(o)(6)(ii))
(Select from dropdown)]]="","",VLOOKUP(Table24[[#This Row],[Affected CMS
(§63.567(o)(3)(ix), §63.567(o)(6)(ii))
(Select from dropdown)]],Table22[],2,FALSE))</f>
        <v/>
      </c>
      <c r="E928" s="132"/>
      <c r="F928" s="140"/>
      <c r="G928" s="147"/>
      <c r="H928" s="147"/>
      <c r="K928" s="148"/>
    </row>
    <row r="929" spans="2:11" x14ac:dyDescent="0.3">
      <c r="B929" s="150" t="str">
        <f>IF(Table24[[#This Row],[Affected CMS
(§63.567(o)(3)(ix), §63.567(o)(6)(ii))
(Select from dropdown)]]="","",VLOOKUP(Table24[[#This Row],[Affected CMS
(§63.567(o)(3)(ix), §63.567(o)(6)(ii))
(Select from dropdown)]],Table22[],2,FALSE))</f>
        <v/>
      </c>
      <c r="E929" s="132"/>
      <c r="F929" s="140"/>
      <c r="G929" s="147"/>
      <c r="H929" s="147"/>
      <c r="K929" s="148"/>
    </row>
    <row r="930" spans="2:11" x14ac:dyDescent="0.3">
      <c r="B930" s="150" t="str">
        <f>IF(Table24[[#This Row],[Affected CMS
(§63.567(o)(3)(ix), §63.567(o)(6)(ii))
(Select from dropdown)]]="","",VLOOKUP(Table24[[#This Row],[Affected CMS
(§63.567(o)(3)(ix), §63.567(o)(6)(ii))
(Select from dropdown)]],Table22[],2,FALSE))</f>
        <v/>
      </c>
      <c r="E930" s="132"/>
      <c r="F930" s="140"/>
      <c r="G930" s="147"/>
      <c r="H930" s="147"/>
      <c r="K930" s="148"/>
    </row>
    <row r="931" spans="2:11" x14ac:dyDescent="0.3">
      <c r="B931" s="150" t="str">
        <f>IF(Table24[[#This Row],[Affected CMS
(§63.567(o)(3)(ix), §63.567(o)(6)(ii))
(Select from dropdown)]]="","",VLOOKUP(Table24[[#This Row],[Affected CMS
(§63.567(o)(3)(ix), §63.567(o)(6)(ii))
(Select from dropdown)]],Table22[],2,FALSE))</f>
        <v/>
      </c>
      <c r="E931" s="132"/>
      <c r="F931" s="140"/>
      <c r="G931" s="147"/>
      <c r="H931" s="147"/>
      <c r="K931" s="148"/>
    </row>
    <row r="932" spans="2:11" x14ac:dyDescent="0.3">
      <c r="B932" s="150" t="str">
        <f>IF(Table24[[#This Row],[Affected CMS
(§63.567(o)(3)(ix), §63.567(o)(6)(ii))
(Select from dropdown)]]="","",VLOOKUP(Table24[[#This Row],[Affected CMS
(§63.567(o)(3)(ix), §63.567(o)(6)(ii))
(Select from dropdown)]],Table22[],2,FALSE))</f>
        <v/>
      </c>
      <c r="E932" s="132"/>
      <c r="F932" s="140"/>
      <c r="G932" s="147"/>
      <c r="H932" s="147"/>
      <c r="K932" s="148"/>
    </row>
    <row r="933" spans="2:11" x14ac:dyDescent="0.3">
      <c r="B933" s="150" t="str">
        <f>IF(Table24[[#This Row],[Affected CMS
(§63.567(o)(3)(ix), §63.567(o)(6)(ii))
(Select from dropdown)]]="","",VLOOKUP(Table24[[#This Row],[Affected CMS
(§63.567(o)(3)(ix), §63.567(o)(6)(ii))
(Select from dropdown)]],Table22[],2,FALSE))</f>
        <v/>
      </c>
      <c r="E933" s="132"/>
      <c r="F933" s="140"/>
      <c r="G933" s="147"/>
      <c r="H933" s="147"/>
      <c r="K933" s="148"/>
    </row>
    <row r="934" spans="2:11" x14ac:dyDescent="0.3">
      <c r="B934" s="150" t="str">
        <f>IF(Table24[[#This Row],[Affected CMS
(§63.567(o)(3)(ix), §63.567(o)(6)(ii))
(Select from dropdown)]]="","",VLOOKUP(Table24[[#This Row],[Affected CMS
(§63.567(o)(3)(ix), §63.567(o)(6)(ii))
(Select from dropdown)]],Table22[],2,FALSE))</f>
        <v/>
      </c>
      <c r="E934" s="132"/>
      <c r="F934" s="140"/>
      <c r="G934" s="147"/>
      <c r="H934" s="147"/>
      <c r="K934" s="148"/>
    </row>
    <row r="935" spans="2:11" x14ac:dyDescent="0.3">
      <c r="B935" s="150" t="str">
        <f>IF(Table24[[#This Row],[Affected CMS
(§63.567(o)(3)(ix), §63.567(o)(6)(ii))
(Select from dropdown)]]="","",VLOOKUP(Table24[[#This Row],[Affected CMS
(§63.567(o)(3)(ix), §63.567(o)(6)(ii))
(Select from dropdown)]],Table22[],2,FALSE))</f>
        <v/>
      </c>
      <c r="E935" s="132"/>
      <c r="F935" s="140"/>
      <c r="G935" s="147"/>
      <c r="H935" s="147"/>
      <c r="K935" s="148"/>
    </row>
    <row r="936" spans="2:11" x14ac:dyDescent="0.3">
      <c r="B936" s="150" t="str">
        <f>IF(Table24[[#This Row],[Affected CMS
(§63.567(o)(3)(ix), §63.567(o)(6)(ii))
(Select from dropdown)]]="","",VLOOKUP(Table24[[#This Row],[Affected CMS
(§63.567(o)(3)(ix), §63.567(o)(6)(ii))
(Select from dropdown)]],Table22[],2,FALSE))</f>
        <v/>
      </c>
      <c r="E936" s="132"/>
      <c r="F936" s="140"/>
      <c r="G936" s="147"/>
      <c r="H936" s="147"/>
      <c r="K936" s="148"/>
    </row>
    <row r="937" spans="2:11" x14ac:dyDescent="0.3">
      <c r="B937" s="150" t="str">
        <f>IF(Table24[[#This Row],[Affected CMS
(§63.567(o)(3)(ix), §63.567(o)(6)(ii))
(Select from dropdown)]]="","",VLOOKUP(Table24[[#This Row],[Affected CMS
(§63.567(o)(3)(ix), §63.567(o)(6)(ii))
(Select from dropdown)]],Table22[],2,FALSE))</f>
        <v/>
      </c>
      <c r="E937" s="132"/>
      <c r="F937" s="140"/>
      <c r="G937" s="147"/>
      <c r="H937" s="147"/>
      <c r="K937" s="148"/>
    </row>
    <row r="938" spans="2:11" x14ac:dyDescent="0.3">
      <c r="B938" s="150" t="str">
        <f>IF(Table24[[#This Row],[Affected CMS
(§63.567(o)(3)(ix), §63.567(o)(6)(ii))
(Select from dropdown)]]="","",VLOOKUP(Table24[[#This Row],[Affected CMS
(§63.567(o)(3)(ix), §63.567(o)(6)(ii))
(Select from dropdown)]],Table22[],2,FALSE))</f>
        <v/>
      </c>
      <c r="E938" s="132"/>
      <c r="F938" s="140"/>
      <c r="G938" s="147"/>
      <c r="H938" s="147"/>
      <c r="K938" s="148"/>
    </row>
    <row r="939" spans="2:11" x14ac:dyDescent="0.3">
      <c r="B939" s="150" t="str">
        <f>IF(Table24[[#This Row],[Affected CMS
(§63.567(o)(3)(ix), §63.567(o)(6)(ii))
(Select from dropdown)]]="","",VLOOKUP(Table24[[#This Row],[Affected CMS
(§63.567(o)(3)(ix), §63.567(o)(6)(ii))
(Select from dropdown)]],Table22[],2,FALSE))</f>
        <v/>
      </c>
      <c r="E939" s="132"/>
      <c r="F939" s="140"/>
      <c r="G939" s="147"/>
      <c r="H939" s="147"/>
      <c r="K939" s="148"/>
    </row>
    <row r="940" spans="2:11" x14ac:dyDescent="0.3">
      <c r="B940" s="150" t="str">
        <f>IF(Table24[[#This Row],[Affected CMS
(§63.567(o)(3)(ix), §63.567(o)(6)(ii))
(Select from dropdown)]]="","",VLOOKUP(Table24[[#This Row],[Affected CMS
(§63.567(o)(3)(ix), §63.567(o)(6)(ii))
(Select from dropdown)]],Table22[],2,FALSE))</f>
        <v/>
      </c>
      <c r="E940" s="132"/>
      <c r="F940" s="140"/>
      <c r="G940" s="147"/>
      <c r="H940" s="147"/>
      <c r="K940" s="148"/>
    </row>
    <row r="941" spans="2:11" x14ac:dyDescent="0.3">
      <c r="B941" s="150" t="str">
        <f>IF(Table24[[#This Row],[Affected CMS
(§63.567(o)(3)(ix), §63.567(o)(6)(ii))
(Select from dropdown)]]="","",VLOOKUP(Table24[[#This Row],[Affected CMS
(§63.567(o)(3)(ix), §63.567(o)(6)(ii))
(Select from dropdown)]],Table22[],2,FALSE))</f>
        <v/>
      </c>
      <c r="E941" s="132"/>
      <c r="F941" s="140"/>
      <c r="G941" s="147"/>
      <c r="H941" s="147"/>
      <c r="K941" s="148"/>
    </row>
    <row r="942" spans="2:11" x14ac:dyDescent="0.3">
      <c r="B942" s="150" t="str">
        <f>IF(Table24[[#This Row],[Affected CMS
(§63.567(o)(3)(ix), §63.567(o)(6)(ii))
(Select from dropdown)]]="","",VLOOKUP(Table24[[#This Row],[Affected CMS
(§63.567(o)(3)(ix), §63.567(o)(6)(ii))
(Select from dropdown)]],Table22[],2,FALSE))</f>
        <v/>
      </c>
      <c r="E942" s="132"/>
      <c r="F942" s="140"/>
      <c r="G942" s="147"/>
      <c r="H942" s="147"/>
      <c r="K942" s="148"/>
    </row>
    <row r="943" spans="2:11" x14ac:dyDescent="0.3">
      <c r="B943" s="150" t="str">
        <f>IF(Table24[[#This Row],[Affected CMS
(§63.567(o)(3)(ix), §63.567(o)(6)(ii))
(Select from dropdown)]]="","",VLOOKUP(Table24[[#This Row],[Affected CMS
(§63.567(o)(3)(ix), §63.567(o)(6)(ii))
(Select from dropdown)]],Table22[],2,FALSE))</f>
        <v/>
      </c>
      <c r="E943" s="132"/>
      <c r="F943" s="140"/>
      <c r="G943" s="147"/>
      <c r="H943" s="147"/>
      <c r="K943" s="148"/>
    </row>
    <row r="944" spans="2:11" x14ac:dyDescent="0.3">
      <c r="B944" s="150" t="str">
        <f>IF(Table24[[#This Row],[Affected CMS
(§63.567(o)(3)(ix), §63.567(o)(6)(ii))
(Select from dropdown)]]="","",VLOOKUP(Table24[[#This Row],[Affected CMS
(§63.567(o)(3)(ix), §63.567(o)(6)(ii))
(Select from dropdown)]],Table22[],2,FALSE))</f>
        <v/>
      </c>
      <c r="E944" s="132"/>
      <c r="F944" s="140"/>
      <c r="G944" s="147"/>
      <c r="H944" s="147"/>
      <c r="K944" s="148"/>
    </row>
    <row r="945" spans="2:11" x14ac:dyDescent="0.3">
      <c r="B945" s="150" t="str">
        <f>IF(Table24[[#This Row],[Affected CMS
(§63.567(o)(3)(ix), §63.567(o)(6)(ii))
(Select from dropdown)]]="","",VLOOKUP(Table24[[#This Row],[Affected CMS
(§63.567(o)(3)(ix), §63.567(o)(6)(ii))
(Select from dropdown)]],Table22[],2,FALSE))</f>
        <v/>
      </c>
      <c r="E945" s="132"/>
      <c r="F945" s="140"/>
      <c r="G945" s="147"/>
      <c r="H945" s="147"/>
      <c r="K945" s="148"/>
    </row>
    <row r="946" spans="2:11" x14ac:dyDescent="0.3">
      <c r="B946" s="150" t="str">
        <f>IF(Table24[[#This Row],[Affected CMS
(§63.567(o)(3)(ix), §63.567(o)(6)(ii))
(Select from dropdown)]]="","",VLOOKUP(Table24[[#This Row],[Affected CMS
(§63.567(o)(3)(ix), §63.567(o)(6)(ii))
(Select from dropdown)]],Table22[],2,FALSE))</f>
        <v/>
      </c>
      <c r="E946" s="132"/>
      <c r="F946" s="140"/>
      <c r="G946" s="147"/>
      <c r="H946" s="147"/>
      <c r="K946" s="148"/>
    </row>
    <row r="947" spans="2:11" x14ac:dyDescent="0.3">
      <c r="B947" s="150" t="str">
        <f>IF(Table24[[#This Row],[Affected CMS
(§63.567(o)(3)(ix), §63.567(o)(6)(ii))
(Select from dropdown)]]="","",VLOOKUP(Table24[[#This Row],[Affected CMS
(§63.567(o)(3)(ix), §63.567(o)(6)(ii))
(Select from dropdown)]],Table22[],2,FALSE))</f>
        <v/>
      </c>
      <c r="E947" s="132"/>
      <c r="F947" s="140"/>
      <c r="G947" s="147"/>
      <c r="H947" s="147"/>
      <c r="K947" s="148"/>
    </row>
    <row r="948" spans="2:11" x14ac:dyDescent="0.3">
      <c r="B948" s="150" t="str">
        <f>IF(Table24[[#This Row],[Affected CMS
(§63.567(o)(3)(ix), §63.567(o)(6)(ii))
(Select from dropdown)]]="","",VLOOKUP(Table24[[#This Row],[Affected CMS
(§63.567(o)(3)(ix), §63.567(o)(6)(ii))
(Select from dropdown)]],Table22[],2,FALSE))</f>
        <v/>
      </c>
      <c r="E948" s="132"/>
      <c r="F948" s="140"/>
      <c r="G948" s="147"/>
      <c r="H948" s="147"/>
      <c r="K948" s="148"/>
    </row>
    <row r="949" spans="2:11" x14ac:dyDescent="0.3">
      <c r="B949" s="150" t="str">
        <f>IF(Table24[[#This Row],[Affected CMS
(§63.567(o)(3)(ix), §63.567(o)(6)(ii))
(Select from dropdown)]]="","",VLOOKUP(Table24[[#This Row],[Affected CMS
(§63.567(o)(3)(ix), §63.567(o)(6)(ii))
(Select from dropdown)]],Table22[],2,FALSE))</f>
        <v/>
      </c>
      <c r="E949" s="132"/>
      <c r="F949" s="140"/>
      <c r="G949" s="147"/>
      <c r="H949" s="147"/>
      <c r="K949" s="148"/>
    </row>
    <row r="950" spans="2:11" x14ac:dyDescent="0.3">
      <c r="B950" s="150" t="str">
        <f>IF(Table24[[#This Row],[Affected CMS
(§63.567(o)(3)(ix), §63.567(o)(6)(ii))
(Select from dropdown)]]="","",VLOOKUP(Table24[[#This Row],[Affected CMS
(§63.567(o)(3)(ix), §63.567(o)(6)(ii))
(Select from dropdown)]],Table22[],2,FALSE))</f>
        <v/>
      </c>
      <c r="E950" s="132"/>
      <c r="F950" s="140"/>
      <c r="G950" s="147"/>
      <c r="H950" s="147"/>
      <c r="K950" s="148"/>
    </row>
    <row r="951" spans="2:11" x14ac:dyDescent="0.3">
      <c r="B951" s="150" t="str">
        <f>IF(Table24[[#This Row],[Affected CMS
(§63.567(o)(3)(ix), §63.567(o)(6)(ii))
(Select from dropdown)]]="","",VLOOKUP(Table24[[#This Row],[Affected CMS
(§63.567(o)(3)(ix), §63.567(o)(6)(ii))
(Select from dropdown)]],Table22[],2,FALSE))</f>
        <v/>
      </c>
      <c r="E951" s="132"/>
      <c r="F951" s="140"/>
      <c r="G951" s="147"/>
      <c r="H951" s="147"/>
      <c r="K951" s="148"/>
    </row>
    <row r="952" spans="2:11" x14ac:dyDescent="0.3">
      <c r="B952" s="150" t="str">
        <f>IF(Table24[[#This Row],[Affected CMS
(§63.567(o)(3)(ix), §63.567(o)(6)(ii))
(Select from dropdown)]]="","",VLOOKUP(Table24[[#This Row],[Affected CMS
(§63.567(o)(3)(ix), §63.567(o)(6)(ii))
(Select from dropdown)]],Table22[],2,FALSE))</f>
        <v/>
      </c>
      <c r="E952" s="132"/>
      <c r="F952" s="140"/>
      <c r="G952" s="147"/>
      <c r="H952" s="147"/>
      <c r="K952" s="148"/>
    </row>
    <row r="953" spans="2:11" x14ac:dyDescent="0.3">
      <c r="B953" s="150" t="str">
        <f>IF(Table24[[#This Row],[Affected CMS
(§63.567(o)(3)(ix), §63.567(o)(6)(ii))
(Select from dropdown)]]="","",VLOOKUP(Table24[[#This Row],[Affected CMS
(§63.567(o)(3)(ix), §63.567(o)(6)(ii))
(Select from dropdown)]],Table22[],2,FALSE))</f>
        <v/>
      </c>
      <c r="E953" s="132"/>
      <c r="F953" s="140"/>
      <c r="G953" s="147"/>
      <c r="H953" s="147"/>
      <c r="K953" s="148"/>
    </row>
    <row r="954" spans="2:11" x14ac:dyDescent="0.3">
      <c r="B954" s="150" t="str">
        <f>IF(Table24[[#This Row],[Affected CMS
(§63.567(o)(3)(ix), §63.567(o)(6)(ii))
(Select from dropdown)]]="","",VLOOKUP(Table24[[#This Row],[Affected CMS
(§63.567(o)(3)(ix), §63.567(o)(6)(ii))
(Select from dropdown)]],Table22[],2,FALSE))</f>
        <v/>
      </c>
      <c r="E954" s="132"/>
      <c r="F954" s="140"/>
      <c r="G954" s="147"/>
      <c r="H954" s="147"/>
      <c r="K954" s="148"/>
    </row>
    <row r="955" spans="2:11" x14ac:dyDescent="0.3">
      <c r="B955" s="150" t="str">
        <f>IF(Table24[[#This Row],[Affected CMS
(§63.567(o)(3)(ix), §63.567(o)(6)(ii))
(Select from dropdown)]]="","",VLOOKUP(Table24[[#This Row],[Affected CMS
(§63.567(o)(3)(ix), §63.567(o)(6)(ii))
(Select from dropdown)]],Table22[],2,FALSE))</f>
        <v/>
      </c>
      <c r="E955" s="132"/>
      <c r="F955" s="140"/>
      <c r="G955" s="147"/>
      <c r="H955" s="147"/>
      <c r="K955" s="148"/>
    </row>
    <row r="956" spans="2:11" x14ac:dyDescent="0.3">
      <c r="B956" s="150" t="str">
        <f>IF(Table24[[#This Row],[Affected CMS
(§63.567(o)(3)(ix), §63.567(o)(6)(ii))
(Select from dropdown)]]="","",VLOOKUP(Table24[[#This Row],[Affected CMS
(§63.567(o)(3)(ix), §63.567(o)(6)(ii))
(Select from dropdown)]],Table22[],2,FALSE))</f>
        <v/>
      </c>
      <c r="E956" s="132"/>
      <c r="F956" s="140"/>
      <c r="G956" s="147"/>
      <c r="H956" s="147"/>
      <c r="K956" s="148"/>
    </row>
    <row r="957" spans="2:11" x14ac:dyDescent="0.3">
      <c r="B957" s="150" t="str">
        <f>IF(Table24[[#This Row],[Affected CMS
(§63.567(o)(3)(ix), §63.567(o)(6)(ii))
(Select from dropdown)]]="","",VLOOKUP(Table24[[#This Row],[Affected CMS
(§63.567(o)(3)(ix), §63.567(o)(6)(ii))
(Select from dropdown)]],Table22[],2,FALSE))</f>
        <v/>
      </c>
      <c r="E957" s="132"/>
      <c r="F957" s="140"/>
      <c r="G957" s="147"/>
      <c r="H957" s="147"/>
      <c r="K957" s="148"/>
    </row>
    <row r="958" spans="2:11" x14ac:dyDescent="0.3">
      <c r="B958" s="150" t="str">
        <f>IF(Table24[[#This Row],[Affected CMS
(§63.567(o)(3)(ix), §63.567(o)(6)(ii))
(Select from dropdown)]]="","",VLOOKUP(Table24[[#This Row],[Affected CMS
(§63.567(o)(3)(ix), §63.567(o)(6)(ii))
(Select from dropdown)]],Table22[],2,FALSE))</f>
        <v/>
      </c>
      <c r="E958" s="132"/>
      <c r="F958" s="140"/>
      <c r="G958" s="147"/>
      <c r="H958" s="147"/>
      <c r="K958" s="148"/>
    </row>
    <row r="959" spans="2:11" x14ac:dyDescent="0.3">
      <c r="B959" s="150" t="str">
        <f>IF(Table24[[#This Row],[Affected CMS
(§63.567(o)(3)(ix), §63.567(o)(6)(ii))
(Select from dropdown)]]="","",VLOOKUP(Table24[[#This Row],[Affected CMS
(§63.567(o)(3)(ix), §63.567(o)(6)(ii))
(Select from dropdown)]],Table22[],2,FALSE))</f>
        <v/>
      </c>
      <c r="E959" s="132"/>
      <c r="F959" s="140"/>
      <c r="G959" s="147"/>
      <c r="H959" s="147"/>
      <c r="K959" s="148"/>
    </row>
    <row r="960" spans="2:11" x14ac:dyDescent="0.3">
      <c r="B960" s="150" t="str">
        <f>IF(Table24[[#This Row],[Affected CMS
(§63.567(o)(3)(ix), §63.567(o)(6)(ii))
(Select from dropdown)]]="","",VLOOKUP(Table24[[#This Row],[Affected CMS
(§63.567(o)(3)(ix), §63.567(o)(6)(ii))
(Select from dropdown)]],Table22[],2,FALSE))</f>
        <v/>
      </c>
      <c r="E960" s="132"/>
      <c r="F960" s="140"/>
      <c r="G960" s="147"/>
      <c r="H960" s="147"/>
      <c r="K960" s="148"/>
    </row>
    <row r="961" spans="2:11" x14ac:dyDescent="0.3">
      <c r="B961" s="150" t="str">
        <f>IF(Table24[[#This Row],[Affected CMS
(§63.567(o)(3)(ix), §63.567(o)(6)(ii))
(Select from dropdown)]]="","",VLOOKUP(Table24[[#This Row],[Affected CMS
(§63.567(o)(3)(ix), §63.567(o)(6)(ii))
(Select from dropdown)]],Table22[],2,FALSE))</f>
        <v/>
      </c>
      <c r="E961" s="132"/>
      <c r="F961" s="140"/>
      <c r="G961" s="147"/>
      <c r="H961" s="147"/>
      <c r="K961" s="148"/>
    </row>
    <row r="962" spans="2:11" x14ac:dyDescent="0.3">
      <c r="B962" s="150" t="str">
        <f>IF(Table24[[#This Row],[Affected CMS
(§63.567(o)(3)(ix), §63.567(o)(6)(ii))
(Select from dropdown)]]="","",VLOOKUP(Table24[[#This Row],[Affected CMS
(§63.567(o)(3)(ix), §63.567(o)(6)(ii))
(Select from dropdown)]],Table22[],2,FALSE))</f>
        <v/>
      </c>
      <c r="E962" s="132"/>
      <c r="F962" s="140"/>
      <c r="G962" s="147"/>
      <c r="H962" s="147"/>
      <c r="K962" s="148"/>
    </row>
    <row r="963" spans="2:11" x14ac:dyDescent="0.3">
      <c r="B963" s="150" t="str">
        <f>IF(Table24[[#This Row],[Affected CMS
(§63.567(o)(3)(ix), §63.567(o)(6)(ii))
(Select from dropdown)]]="","",VLOOKUP(Table24[[#This Row],[Affected CMS
(§63.567(o)(3)(ix), §63.567(o)(6)(ii))
(Select from dropdown)]],Table22[],2,FALSE))</f>
        <v/>
      </c>
      <c r="E963" s="132"/>
      <c r="F963" s="140"/>
      <c r="G963" s="147"/>
      <c r="H963" s="147"/>
      <c r="K963" s="148"/>
    </row>
    <row r="964" spans="2:11" x14ac:dyDescent="0.3">
      <c r="B964" s="150" t="str">
        <f>IF(Table24[[#This Row],[Affected CMS
(§63.567(o)(3)(ix), §63.567(o)(6)(ii))
(Select from dropdown)]]="","",VLOOKUP(Table24[[#This Row],[Affected CMS
(§63.567(o)(3)(ix), §63.567(o)(6)(ii))
(Select from dropdown)]],Table22[],2,FALSE))</f>
        <v/>
      </c>
      <c r="E964" s="132"/>
      <c r="F964" s="140"/>
      <c r="G964" s="147"/>
      <c r="H964" s="147"/>
      <c r="K964" s="148"/>
    </row>
    <row r="965" spans="2:11" x14ac:dyDescent="0.3">
      <c r="B965" s="150" t="str">
        <f>IF(Table24[[#This Row],[Affected CMS
(§63.567(o)(3)(ix), §63.567(o)(6)(ii))
(Select from dropdown)]]="","",VLOOKUP(Table24[[#This Row],[Affected CMS
(§63.567(o)(3)(ix), §63.567(o)(6)(ii))
(Select from dropdown)]],Table22[],2,FALSE))</f>
        <v/>
      </c>
      <c r="E965" s="132"/>
      <c r="F965" s="140"/>
      <c r="G965" s="147"/>
      <c r="H965" s="147"/>
      <c r="K965" s="148"/>
    </row>
    <row r="966" spans="2:11" x14ac:dyDescent="0.3">
      <c r="B966" s="150" t="str">
        <f>IF(Table24[[#This Row],[Affected CMS
(§63.567(o)(3)(ix), §63.567(o)(6)(ii))
(Select from dropdown)]]="","",VLOOKUP(Table24[[#This Row],[Affected CMS
(§63.567(o)(3)(ix), §63.567(o)(6)(ii))
(Select from dropdown)]],Table22[],2,FALSE))</f>
        <v/>
      </c>
      <c r="E966" s="132"/>
      <c r="F966" s="140"/>
      <c r="G966" s="147"/>
      <c r="H966" s="147"/>
      <c r="K966" s="148"/>
    </row>
    <row r="967" spans="2:11" x14ac:dyDescent="0.3">
      <c r="B967" s="150" t="str">
        <f>IF(Table24[[#This Row],[Affected CMS
(§63.567(o)(3)(ix), §63.567(o)(6)(ii))
(Select from dropdown)]]="","",VLOOKUP(Table24[[#This Row],[Affected CMS
(§63.567(o)(3)(ix), §63.567(o)(6)(ii))
(Select from dropdown)]],Table22[],2,FALSE))</f>
        <v/>
      </c>
      <c r="E967" s="132"/>
      <c r="F967" s="140"/>
      <c r="G967" s="147"/>
      <c r="H967" s="147"/>
      <c r="K967" s="148"/>
    </row>
    <row r="968" spans="2:11" x14ac:dyDescent="0.3">
      <c r="B968" s="150" t="str">
        <f>IF(Table24[[#This Row],[Affected CMS
(§63.567(o)(3)(ix), §63.567(o)(6)(ii))
(Select from dropdown)]]="","",VLOOKUP(Table24[[#This Row],[Affected CMS
(§63.567(o)(3)(ix), §63.567(o)(6)(ii))
(Select from dropdown)]],Table22[],2,FALSE))</f>
        <v/>
      </c>
      <c r="E968" s="132"/>
      <c r="F968" s="140"/>
      <c r="G968" s="147"/>
      <c r="H968" s="147"/>
      <c r="K968" s="148"/>
    </row>
    <row r="969" spans="2:11" x14ac:dyDescent="0.3">
      <c r="B969" s="150" t="str">
        <f>IF(Table24[[#This Row],[Affected CMS
(§63.567(o)(3)(ix), §63.567(o)(6)(ii))
(Select from dropdown)]]="","",VLOOKUP(Table24[[#This Row],[Affected CMS
(§63.567(o)(3)(ix), §63.567(o)(6)(ii))
(Select from dropdown)]],Table22[],2,FALSE))</f>
        <v/>
      </c>
      <c r="E969" s="132"/>
      <c r="F969" s="140"/>
      <c r="G969" s="147"/>
      <c r="H969" s="147"/>
      <c r="K969" s="148"/>
    </row>
    <row r="970" spans="2:11" x14ac:dyDescent="0.3">
      <c r="B970" s="150" t="str">
        <f>IF(Table24[[#This Row],[Affected CMS
(§63.567(o)(3)(ix), §63.567(o)(6)(ii))
(Select from dropdown)]]="","",VLOOKUP(Table24[[#This Row],[Affected CMS
(§63.567(o)(3)(ix), §63.567(o)(6)(ii))
(Select from dropdown)]],Table22[],2,FALSE))</f>
        <v/>
      </c>
      <c r="E970" s="132"/>
      <c r="F970" s="140"/>
      <c r="G970" s="147"/>
      <c r="H970" s="147"/>
      <c r="K970" s="148"/>
    </row>
    <row r="971" spans="2:11" x14ac:dyDescent="0.3">
      <c r="B971" s="150" t="str">
        <f>IF(Table24[[#This Row],[Affected CMS
(§63.567(o)(3)(ix), §63.567(o)(6)(ii))
(Select from dropdown)]]="","",VLOOKUP(Table24[[#This Row],[Affected CMS
(§63.567(o)(3)(ix), §63.567(o)(6)(ii))
(Select from dropdown)]],Table22[],2,FALSE))</f>
        <v/>
      </c>
      <c r="E971" s="132"/>
      <c r="F971" s="140"/>
      <c r="G971" s="147"/>
      <c r="H971" s="147"/>
      <c r="K971" s="148"/>
    </row>
    <row r="972" spans="2:11" x14ac:dyDescent="0.3">
      <c r="B972" s="150" t="str">
        <f>IF(Table24[[#This Row],[Affected CMS
(§63.567(o)(3)(ix), §63.567(o)(6)(ii))
(Select from dropdown)]]="","",VLOOKUP(Table24[[#This Row],[Affected CMS
(§63.567(o)(3)(ix), §63.567(o)(6)(ii))
(Select from dropdown)]],Table22[],2,FALSE))</f>
        <v/>
      </c>
      <c r="E972" s="132"/>
      <c r="F972" s="140"/>
      <c r="G972" s="147"/>
      <c r="H972" s="147"/>
      <c r="K972" s="148"/>
    </row>
    <row r="973" spans="2:11" x14ac:dyDescent="0.3">
      <c r="B973" s="150" t="str">
        <f>IF(Table24[[#This Row],[Affected CMS
(§63.567(o)(3)(ix), §63.567(o)(6)(ii))
(Select from dropdown)]]="","",VLOOKUP(Table24[[#This Row],[Affected CMS
(§63.567(o)(3)(ix), §63.567(o)(6)(ii))
(Select from dropdown)]],Table22[],2,FALSE))</f>
        <v/>
      </c>
      <c r="E973" s="132"/>
      <c r="F973" s="140"/>
      <c r="G973" s="147"/>
      <c r="H973" s="147"/>
      <c r="K973" s="148"/>
    </row>
    <row r="974" spans="2:11" x14ac:dyDescent="0.3">
      <c r="B974" s="150" t="str">
        <f>IF(Table24[[#This Row],[Affected CMS
(§63.567(o)(3)(ix), §63.567(o)(6)(ii))
(Select from dropdown)]]="","",VLOOKUP(Table24[[#This Row],[Affected CMS
(§63.567(o)(3)(ix), §63.567(o)(6)(ii))
(Select from dropdown)]],Table22[],2,FALSE))</f>
        <v/>
      </c>
      <c r="E974" s="132"/>
      <c r="F974" s="140"/>
      <c r="G974" s="147"/>
      <c r="H974" s="147"/>
      <c r="K974" s="148"/>
    </row>
    <row r="975" spans="2:11" x14ac:dyDescent="0.3">
      <c r="B975" s="150" t="str">
        <f>IF(Table24[[#This Row],[Affected CMS
(§63.567(o)(3)(ix), §63.567(o)(6)(ii))
(Select from dropdown)]]="","",VLOOKUP(Table24[[#This Row],[Affected CMS
(§63.567(o)(3)(ix), §63.567(o)(6)(ii))
(Select from dropdown)]],Table22[],2,FALSE))</f>
        <v/>
      </c>
      <c r="E975" s="132"/>
      <c r="F975" s="140"/>
      <c r="G975" s="147"/>
      <c r="H975" s="147"/>
      <c r="K975" s="148"/>
    </row>
    <row r="976" spans="2:11" x14ac:dyDescent="0.3">
      <c r="B976" s="150" t="str">
        <f>IF(Table24[[#This Row],[Affected CMS
(§63.567(o)(3)(ix), §63.567(o)(6)(ii))
(Select from dropdown)]]="","",VLOOKUP(Table24[[#This Row],[Affected CMS
(§63.567(o)(3)(ix), §63.567(o)(6)(ii))
(Select from dropdown)]],Table22[],2,FALSE))</f>
        <v/>
      </c>
      <c r="E976" s="132"/>
      <c r="F976" s="140"/>
      <c r="G976" s="147"/>
      <c r="H976" s="147"/>
      <c r="K976" s="148"/>
    </row>
    <row r="977" spans="2:11" x14ac:dyDescent="0.3">
      <c r="B977" s="150" t="str">
        <f>IF(Table24[[#This Row],[Affected CMS
(§63.567(o)(3)(ix), §63.567(o)(6)(ii))
(Select from dropdown)]]="","",VLOOKUP(Table24[[#This Row],[Affected CMS
(§63.567(o)(3)(ix), §63.567(o)(6)(ii))
(Select from dropdown)]],Table22[],2,FALSE))</f>
        <v/>
      </c>
      <c r="E977" s="132"/>
      <c r="F977" s="140"/>
      <c r="G977" s="147"/>
      <c r="H977" s="147"/>
      <c r="K977" s="148"/>
    </row>
    <row r="978" spans="2:11" x14ac:dyDescent="0.3">
      <c r="B978" s="150" t="str">
        <f>IF(Table24[[#This Row],[Affected CMS
(§63.567(o)(3)(ix), §63.567(o)(6)(ii))
(Select from dropdown)]]="","",VLOOKUP(Table24[[#This Row],[Affected CMS
(§63.567(o)(3)(ix), §63.567(o)(6)(ii))
(Select from dropdown)]],Table22[],2,FALSE))</f>
        <v/>
      </c>
      <c r="E978" s="132"/>
      <c r="F978" s="140"/>
      <c r="G978" s="147"/>
      <c r="H978" s="147"/>
      <c r="K978" s="148"/>
    </row>
    <row r="979" spans="2:11" x14ac:dyDescent="0.3">
      <c r="B979" s="150" t="str">
        <f>IF(Table24[[#This Row],[Affected CMS
(§63.567(o)(3)(ix), §63.567(o)(6)(ii))
(Select from dropdown)]]="","",VLOOKUP(Table24[[#This Row],[Affected CMS
(§63.567(o)(3)(ix), §63.567(o)(6)(ii))
(Select from dropdown)]],Table22[],2,FALSE))</f>
        <v/>
      </c>
      <c r="E979" s="132"/>
      <c r="F979" s="140"/>
      <c r="G979" s="147"/>
      <c r="H979" s="147"/>
      <c r="K979" s="148"/>
    </row>
    <row r="980" spans="2:11" x14ac:dyDescent="0.3">
      <c r="B980" s="150" t="str">
        <f>IF(Table24[[#This Row],[Affected CMS
(§63.567(o)(3)(ix), §63.567(o)(6)(ii))
(Select from dropdown)]]="","",VLOOKUP(Table24[[#This Row],[Affected CMS
(§63.567(o)(3)(ix), §63.567(o)(6)(ii))
(Select from dropdown)]],Table22[],2,FALSE))</f>
        <v/>
      </c>
      <c r="E980" s="132"/>
      <c r="F980" s="140"/>
      <c r="G980" s="147"/>
      <c r="H980" s="147"/>
      <c r="K980" s="148"/>
    </row>
    <row r="981" spans="2:11" x14ac:dyDescent="0.3">
      <c r="B981" s="150" t="str">
        <f>IF(Table24[[#This Row],[Affected CMS
(§63.567(o)(3)(ix), §63.567(o)(6)(ii))
(Select from dropdown)]]="","",VLOOKUP(Table24[[#This Row],[Affected CMS
(§63.567(o)(3)(ix), §63.567(o)(6)(ii))
(Select from dropdown)]],Table22[],2,FALSE))</f>
        <v/>
      </c>
      <c r="E981" s="132"/>
      <c r="F981" s="140"/>
      <c r="G981" s="147"/>
      <c r="H981" s="147"/>
      <c r="K981" s="148"/>
    </row>
    <row r="982" spans="2:11" x14ac:dyDescent="0.3">
      <c r="B982" s="150" t="str">
        <f>IF(Table24[[#This Row],[Affected CMS
(§63.567(o)(3)(ix), §63.567(o)(6)(ii))
(Select from dropdown)]]="","",VLOOKUP(Table24[[#This Row],[Affected CMS
(§63.567(o)(3)(ix), §63.567(o)(6)(ii))
(Select from dropdown)]],Table22[],2,FALSE))</f>
        <v/>
      </c>
      <c r="E982" s="132"/>
      <c r="F982" s="140"/>
      <c r="G982" s="147"/>
      <c r="H982" s="147"/>
      <c r="K982" s="148"/>
    </row>
    <row r="983" spans="2:11" x14ac:dyDescent="0.3">
      <c r="B983" s="150" t="str">
        <f>IF(Table24[[#This Row],[Affected CMS
(§63.567(o)(3)(ix), §63.567(o)(6)(ii))
(Select from dropdown)]]="","",VLOOKUP(Table24[[#This Row],[Affected CMS
(§63.567(o)(3)(ix), §63.567(o)(6)(ii))
(Select from dropdown)]],Table22[],2,FALSE))</f>
        <v/>
      </c>
      <c r="E983" s="132"/>
      <c r="F983" s="140"/>
      <c r="G983" s="147"/>
      <c r="H983" s="147"/>
      <c r="K983" s="148"/>
    </row>
    <row r="984" spans="2:11" x14ac:dyDescent="0.3">
      <c r="B984" s="150" t="str">
        <f>IF(Table24[[#This Row],[Affected CMS
(§63.567(o)(3)(ix), §63.567(o)(6)(ii))
(Select from dropdown)]]="","",VLOOKUP(Table24[[#This Row],[Affected CMS
(§63.567(o)(3)(ix), §63.567(o)(6)(ii))
(Select from dropdown)]],Table22[],2,FALSE))</f>
        <v/>
      </c>
      <c r="E984" s="132"/>
      <c r="F984" s="140"/>
      <c r="G984" s="147"/>
      <c r="H984" s="147"/>
      <c r="K984" s="148"/>
    </row>
    <row r="985" spans="2:11" x14ac:dyDescent="0.3">
      <c r="B985" s="150" t="str">
        <f>IF(Table24[[#This Row],[Affected CMS
(§63.567(o)(3)(ix), §63.567(o)(6)(ii))
(Select from dropdown)]]="","",VLOOKUP(Table24[[#This Row],[Affected CMS
(§63.567(o)(3)(ix), §63.567(o)(6)(ii))
(Select from dropdown)]],Table22[],2,FALSE))</f>
        <v/>
      </c>
      <c r="E985" s="132"/>
      <c r="F985" s="140"/>
      <c r="G985" s="147"/>
      <c r="H985" s="147"/>
      <c r="K985" s="148"/>
    </row>
    <row r="986" spans="2:11" x14ac:dyDescent="0.3">
      <c r="B986" s="150" t="str">
        <f>IF(Table24[[#This Row],[Affected CMS
(§63.567(o)(3)(ix), §63.567(o)(6)(ii))
(Select from dropdown)]]="","",VLOOKUP(Table24[[#This Row],[Affected CMS
(§63.567(o)(3)(ix), §63.567(o)(6)(ii))
(Select from dropdown)]],Table22[],2,FALSE))</f>
        <v/>
      </c>
      <c r="E986" s="132"/>
      <c r="F986" s="140"/>
      <c r="G986" s="147"/>
      <c r="H986" s="147"/>
      <c r="K986" s="148"/>
    </row>
    <row r="987" spans="2:11" x14ac:dyDescent="0.3">
      <c r="B987" s="150" t="str">
        <f>IF(Table24[[#This Row],[Affected CMS
(§63.567(o)(3)(ix), §63.567(o)(6)(ii))
(Select from dropdown)]]="","",VLOOKUP(Table24[[#This Row],[Affected CMS
(§63.567(o)(3)(ix), §63.567(o)(6)(ii))
(Select from dropdown)]],Table22[],2,FALSE))</f>
        <v/>
      </c>
      <c r="E987" s="132"/>
      <c r="F987" s="140"/>
      <c r="G987" s="147"/>
      <c r="H987" s="147"/>
      <c r="K987" s="148"/>
    </row>
    <row r="988" spans="2:11" x14ac:dyDescent="0.3">
      <c r="B988" s="150" t="str">
        <f>IF(Table24[[#This Row],[Affected CMS
(§63.567(o)(3)(ix), §63.567(o)(6)(ii))
(Select from dropdown)]]="","",VLOOKUP(Table24[[#This Row],[Affected CMS
(§63.567(o)(3)(ix), §63.567(o)(6)(ii))
(Select from dropdown)]],Table22[],2,FALSE))</f>
        <v/>
      </c>
      <c r="E988" s="132"/>
      <c r="F988" s="140"/>
      <c r="G988" s="147"/>
      <c r="H988" s="147"/>
      <c r="K988" s="148"/>
    </row>
    <row r="989" spans="2:11" x14ac:dyDescent="0.3">
      <c r="B989" s="150" t="str">
        <f>IF(Table24[[#This Row],[Affected CMS
(§63.567(o)(3)(ix), §63.567(o)(6)(ii))
(Select from dropdown)]]="","",VLOOKUP(Table24[[#This Row],[Affected CMS
(§63.567(o)(3)(ix), §63.567(o)(6)(ii))
(Select from dropdown)]],Table22[],2,FALSE))</f>
        <v/>
      </c>
      <c r="E989" s="132"/>
      <c r="F989" s="140"/>
      <c r="G989" s="147"/>
      <c r="H989" s="147"/>
      <c r="K989" s="148"/>
    </row>
    <row r="990" spans="2:11" x14ac:dyDescent="0.3">
      <c r="B990" s="150" t="str">
        <f>IF(Table24[[#This Row],[Affected CMS
(§63.567(o)(3)(ix), §63.567(o)(6)(ii))
(Select from dropdown)]]="","",VLOOKUP(Table24[[#This Row],[Affected CMS
(§63.567(o)(3)(ix), §63.567(o)(6)(ii))
(Select from dropdown)]],Table22[],2,FALSE))</f>
        <v/>
      </c>
      <c r="E990" s="132"/>
      <c r="F990" s="140"/>
      <c r="G990" s="147"/>
      <c r="H990" s="147"/>
      <c r="K990" s="148"/>
    </row>
    <row r="991" spans="2:11" x14ac:dyDescent="0.3">
      <c r="B991" s="150" t="str">
        <f>IF(Table24[[#This Row],[Affected CMS
(§63.567(o)(3)(ix), §63.567(o)(6)(ii))
(Select from dropdown)]]="","",VLOOKUP(Table24[[#This Row],[Affected CMS
(§63.567(o)(3)(ix), §63.567(o)(6)(ii))
(Select from dropdown)]],Table22[],2,FALSE))</f>
        <v/>
      </c>
      <c r="E991" s="132"/>
      <c r="F991" s="140"/>
      <c r="G991" s="147"/>
      <c r="H991" s="147"/>
      <c r="K991" s="148"/>
    </row>
    <row r="992" spans="2:11" x14ac:dyDescent="0.3">
      <c r="B992" s="150" t="str">
        <f>IF(Table24[[#This Row],[Affected CMS
(§63.567(o)(3)(ix), §63.567(o)(6)(ii))
(Select from dropdown)]]="","",VLOOKUP(Table24[[#This Row],[Affected CMS
(§63.567(o)(3)(ix), §63.567(o)(6)(ii))
(Select from dropdown)]],Table22[],2,FALSE))</f>
        <v/>
      </c>
      <c r="E992" s="132"/>
      <c r="F992" s="140"/>
      <c r="G992" s="147"/>
      <c r="H992" s="147"/>
      <c r="K992" s="148"/>
    </row>
    <row r="993" spans="2:11" x14ac:dyDescent="0.3">
      <c r="B993" s="150" t="str">
        <f>IF(Table24[[#This Row],[Affected CMS
(§63.567(o)(3)(ix), §63.567(o)(6)(ii))
(Select from dropdown)]]="","",VLOOKUP(Table24[[#This Row],[Affected CMS
(§63.567(o)(3)(ix), §63.567(o)(6)(ii))
(Select from dropdown)]],Table22[],2,FALSE))</f>
        <v/>
      </c>
      <c r="E993" s="132"/>
      <c r="F993" s="140"/>
      <c r="G993" s="147"/>
      <c r="H993" s="147"/>
      <c r="K993" s="148"/>
    </row>
    <row r="994" spans="2:11" x14ac:dyDescent="0.3">
      <c r="B994" s="150" t="str">
        <f>IF(Table24[[#This Row],[Affected CMS
(§63.567(o)(3)(ix), §63.567(o)(6)(ii))
(Select from dropdown)]]="","",VLOOKUP(Table24[[#This Row],[Affected CMS
(§63.567(o)(3)(ix), §63.567(o)(6)(ii))
(Select from dropdown)]],Table22[],2,FALSE))</f>
        <v/>
      </c>
      <c r="E994" s="132"/>
      <c r="F994" s="140"/>
      <c r="G994" s="147"/>
      <c r="H994" s="147"/>
      <c r="K994" s="148"/>
    </row>
    <row r="995" spans="2:11" x14ac:dyDescent="0.3">
      <c r="B995" s="150" t="str">
        <f>IF(Table24[[#This Row],[Affected CMS
(§63.567(o)(3)(ix), §63.567(o)(6)(ii))
(Select from dropdown)]]="","",VLOOKUP(Table24[[#This Row],[Affected CMS
(§63.567(o)(3)(ix), §63.567(o)(6)(ii))
(Select from dropdown)]],Table22[],2,FALSE))</f>
        <v/>
      </c>
      <c r="E995" s="132"/>
      <c r="F995" s="140"/>
      <c r="G995" s="147"/>
      <c r="H995" s="147"/>
      <c r="K995" s="148"/>
    </row>
    <row r="996" spans="2:11" x14ac:dyDescent="0.3">
      <c r="B996" s="150" t="str">
        <f>IF(Table24[[#This Row],[Affected CMS
(§63.567(o)(3)(ix), §63.567(o)(6)(ii))
(Select from dropdown)]]="","",VLOOKUP(Table24[[#This Row],[Affected CMS
(§63.567(o)(3)(ix), §63.567(o)(6)(ii))
(Select from dropdown)]],Table22[],2,FALSE))</f>
        <v/>
      </c>
      <c r="E996" s="132"/>
      <c r="F996" s="140"/>
      <c r="G996" s="147"/>
      <c r="H996" s="147"/>
      <c r="K996" s="148"/>
    </row>
    <row r="997" spans="2:11" x14ac:dyDescent="0.3">
      <c r="B997" s="150" t="str">
        <f>IF(Table24[[#This Row],[Affected CMS
(§63.567(o)(3)(ix), §63.567(o)(6)(ii))
(Select from dropdown)]]="","",VLOOKUP(Table24[[#This Row],[Affected CMS
(§63.567(o)(3)(ix), §63.567(o)(6)(ii))
(Select from dropdown)]],Table22[],2,FALSE))</f>
        <v/>
      </c>
      <c r="E997" s="132"/>
      <c r="F997" s="140"/>
      <c r="G997" s="147"/>
      <c r="H997" s="147"/>
      <c r="K997" s="148"/>
    </row>
    <row r="998" spans="2:11" x14ac:dyDescent="0.3">
      <c r="B998" s="150" t="str">
        <f>IF(Table24[[#This Row],[Affected CMS
(§63.567(o)(3)(ix), §63.567(o)(6)(ii))
(Select from dropdown)]]="","",VLOOKUP(Table24[[#This Row],[Affected CMS
(§63.567(o)(3)(ix), §63.567(o)(6)(ii))
(Select from dropdown)]],Table22[],2,FALSE))</f>
        <v/>
      </c>
      <c r="E998" s="132"/>
      <c r="F998" s="140"/>
      <c r="G998" s="147"/>
      <c r="H998" s="147"/>
      <c r="K998" s="148"/>
    </row>
    <row r="999" spans="2:11" x14ac:dyDescent="0.3">
      <c r="B999" s="150" t="str">
        <f>IF(Table24[[#This Row],[Affected CMS
(§63.567(o)(3)(ix), §63.567(o)(6)(ii))
(Select from dropdown)]]="","",VLOOKUP(Table24[[#This Row],[Affected CMS
(§63.567(o)(3)(ix), §63.567(o)(6)(ii))
(Select from dropdown)]],Table22[],2,FALSE))</f>
        <v/>
      </c>
      <c r="E999" s="132"/>
      <c r="F999" s="140"/>
      <c r="G999" s="147"/>
      <c r="H999" s="147"/>
      <c r="K999" s="148"/>
    </row>
    <row r="1000" spans="2:11" x14ac:dyDescent="0.3">
      <c r="B1000" s="150" t="str">
        <f>IF(Table24[[#This Row],[Affected CMS
(§63.567(o)(3)(ix), §63.567(o)(6)(ii))
(Select from dropdown)]]="","",VLOOKUP(Table24[[#This Row],[Affected CMS
(§63.567(o)(3)(ix), §63.567(o)(6)(ii))
(Select from dropdown)]],Table22[],2,FALSE))</f>
        <v/>
      </c>
      <c r="E1000" s="132"/>
      <c r="F1000" s="140"/>
      <c r="G1000" s="147"/>
      <c r="H1000" s="147"/>
      <c r="K1000" s="148"/>
    </row>
    <row r="1001" spans="2:11" x14ac:dyDescent="0.3">
      <c r="B1001" s="150" t="str">
        <f>IF(Table24[[#This Row],[Affected CMS
(§63.567(o)(3)(ix), §63.567(o)(6)(ii))
(Select from dropdown)]]="","",VLOOKUP(Table24[[#This Row],[Affected CMS
(§63.567(o)(3)(ix), §63.567(o)(6)(ii))
(Select from dropdown)]],Table22[],2,FALSE))</f>
        <v/>
      </c>
      <c r="E1001" s="132"/>
      <c r="F1001" s="140"/>
      <c r="G1001" s="147"/>
      <c r="H1001" s="147"/>
      <c r="K1001" s="148"/>
    </row>
    <row r="1002" spans="2:11" x14ac:dyDescent="0.3">
      <c r="B1002" s="150" t="str">
        <f>IF(Table24[[#This Row],[Affected CMS
(§63.567(o)(3)(ix), §63.567(o)(6)(ii))
(Select from dropdown)]]="","",VLOOKUP(Table24[[#This Row],[Affected CMS
(§63.567(o)(3)(ix), §63.567(o)(6)(ii))
(Select from dropdown)]],Table22[],2,FALSE))</f>
        <v/>
      </c>
      <c r="E1002" s="132"/>
      <c r="F1002" s="140"/>
      <c r="G1002" s="147"/>
      <c r="H1002" s="147"/>
      <c r="K1002" s="148"/>
    </row>
    <row r="1003" spans="2:11" x14ac:dyDescent="0.3">
      <c r="B1003" s="150" t="str">
        <f>IF(Table24[[#This Row],[Affected CMS
(§63.567(o)(3)(ix), §63.567(o)(6)(ii))
(Select from dropdown)]]="","",VLOOKUP(Table24[[#This Row],[Affected CMS
(§63.567(o)(3)(ix), §63.567(o)(6)(ii))
(Select from dropdown)]],Table22[],2,FALSE))</f>
        <v/>
      </c>
      <c r="E1003" s="132"/>
      <c r="F1003" s="140"/>
      <c r="G1003" s="147"/>
      <c r="H1003" s="147"/>
      <c r="K1003" s="148"/>
    </row>
    <row r="1004" spans="2:11" x14ac:dyDescent="0.3">
      <c r="B1004" s="150" t="str">
        <f>IF(Table24[[#This Row],[Affected CMS
(§63.567(o)(3)(ix), §63.567(o)(6)(ii))
(Select from dropdown)]]="","",VLOOKUP(Table24[[#This Row],[Affected CMS
(§63.567(o)(3)(ix), §63.567(o)(6)(ii))
(Select from dropdown)]],Table22[],2,FALSE))</f>
        <v/>
      </c>
      <c r="E1004" s="132"/>
      <c r="F1004" s="140"/>
      <c r="G1004" s="147"/>
      <c r="H1004" s="147"/>
      <c r="K1004" s="148"/>
    </row>
    <row r="1005" spans="2:11" x14ac:dyDescent="0.3">
      <c r="B1005" s="150" t="str">
        <f>IF(Table24[[#This Row],[Affected CMS
(§63.567(o)(3)(ix), §63.567(o)(6)(ii))
(Select from dropdown)]]="","",VLOOKUP(Table24[[#This Row],[Affected CMS
(§63.567(o)(3)(ix), §63.567(o)(6)(ii))
(Select from dropdown)]],Table22[],2,FALSE))</f>
        <v/>
      </c>
      <c r="E1005" s="132"/>
      <c r="F1005" s="140"/>
      <c r="G1005" s="147"/>
      <c r="H1005" s="147"/>
      <c r="K1005" s="148"/>
    </row>
    <row r="1006" spans="2:11" x14ac:dyDescent="0.3">
      <c r="B1006" s="150" t="str">
        <f>IF(Table24[[#This Row],[Affected CMS
(§63.567(o)(3)(ix), §63.567(o)(6)(ii))
(Select from dropdown)]]="","",VLOOKUP(Table24[[#This Row],[Affected CMS
(§63.567(o)(3)(ix), §63.567(o)(6)(ii))
(Select from dropdown)]],Table22[],2,FALSE))</f>
        <v/>
      </c>
      <c r="E1006" s="132"/>
      <c r="F1006" s="140"/>
      <c r="G1006" s="147"/>
      <c r="H1006" s="147"/>
      <c r="K1006" s="148"/>
    </row>
    <row r="1007" spans="2:11" x14ac:dyDescent="0.3">
      <c r="B1007" s="150" t="str">
        <f>IF(Table24[[#This Row],[Affected CMS
(§63.567(o)(3)(ix), §63.567(o)(6)(ii))
(Select from dropdown)]]="","",VLOOKUP(Table24[[#This Row],[Affected CMS
(§63.567(o)(3)(ix), §63.567(o)(6)(ii))
(Select from dropdown)]],Table22[],2,FALSE))</f>
        <v/>
      </c>
      <c r="E1007" s="132"/>
      <c r="F1007" s="140"/>
      <c r="G1007" s="147"/>
      <c r="H1007" s="147"/>
      <c r="K1007" s="148"/>
    </row>
    <row r="1008" spans="2:11" x14ac:dyDescent="0.3">
      <c r="B1008" s="150" t="str">
        <f>IF(Table24[[#This Row],[Affected CMS
(§63.567(o)(3)(ix), §63.567(o)(6)(ii))
(Select from dropdown)]]="","",VLOOKUP(Table24[[#This Row],[Affected CMS
(§63.567(o)(3)(ix), §63.567(o)(6)(ii))
(Select from dropdown)]],Table22[],2,FALSE))</f>
        <v/>
      </c>
      <c r="E1008" s="132"/>
      <c r="F1008" s="140"/>
      <c r="G1008" s="147"/>
      <c r="H1008" s="147"/>
      <c r="K1008" s="148"/>
    </row>
    <row r="1009" spans="2:11" x14ac:dyDescent="0.3">
      <c r="B1009" s="150" t="str">
        <f>IF(Table24[[#This Row],[Affected CMS
(§63.567(o)(3)(ix), §63.567(o)(6)(ii))
(Select from dropdown)]]="","",VLOOKUP(Table24[[#This Row],[Affected CMS
(§63.567(o)(3)(ix), §63.567(o)(6)(ii))
(Select from dropdown)]],Table22[],2,FALSE))</f>
        <v/>
      </c>
      <c r="E1009" s="132"/>
      <c r="F1009" s="140"/>
      <c r="G1009" s="147"/>
      <c r="H1009" s="147"/>
      <c r="K1009" s="148"/>
    </row>
    <row r="1010" spans="2:11" x14ac:dyDescent="0.3">
      <c r="B1010" s="150" t="str">
        <f>IF(Table24[[#This Row],[Affected CMS
(§63.567(o)(3)(ix), §63.567(o)(6)(ii))
(Select from dropdown)]]="","",VLOOKUP(Table24[[#This Row],[Affected CMS
(§63.567(o)(3)(ix), §63.567(o)(6)(ii))
(Select from dropdown)]],Table22[],2,FALSE))</f>
        <v/>
      </c>
      <c r="E1010" s="132"/>
      <c r="F1010" s="140"/>
      <c r="G1010" s="147"/>
      <c r="H1010" s="147"/>
      <c r="K1010" s="148"/>
    </row>
    <row r="1011" spans="2:11" x14ac:dyDescent="0.3">
      <c r="B1011" s="150" t="str">
        <f>IF(Table24[[#This Row],[Affected CMS
(§63.567(o)(3)(ix), §63.567(o)(6)(ii))
(Select from dropdown)]]="","",VLOOKUP(Table24[[#This Row],[Affected CMS
(§63.567(o)(3)(ix), §63.567(o)(6)(ii))
(Select from dropdown)]],Table22[],2,FALSE))</f>
        <v/>
      </c>
      <c r="E1011" s="132"/>
      <c r="F1011" s="140"/>
      <c r="G1011" s="147"/>
      <c r="H1011" s="147"/>
      <c r="K1011" s="148"/>
    </row>
    <row r="1012" spans="2:11" x14ac:dyDescent="0.3">
      <c r="B1012" s="150" t="str">
        <f>IF(Table24[[#This Row],[Affected CMS
(§63.567(o)(3)(ix), §63.567(o)(6)(ii))
(Select from dropdown)]]="","",VLOOKUP(Table24[[#This Row],[Affected CMS
(§63.567(o)(3)(ix), §63.567(o)(6)(ii))
(Select from dropdown)]],Table22[],2,FALSE))</f>
        <v/>
      </c>
      <c r="E1012" s="132"/>
      <c r="F1012" s="140"/>
      <c r="G1012" s="147"/>
      <c r="H1012" s="147"/>
      <c r="K1012" s="148"/>
    </row>
    <row r="1013" spans="2:11" x14ac:dyDescent="0.3">
      <c r="B1013" s="150" t="str">
        <f>IF(Table24[[#This Row],[Affected CMS
(§63.567(o)(3)(ix), §63.567(o)(6)(ii))
(Select from dropdown)]]="","",VLOOKUP(Table24[[#This Row],[Affected CMS
(§63.567(o)(3)(ix), §63.567(o)(6)(ii))
(Select from dropdown)]],Table22[],2,FALSE))</f>
        <v/>
      </c>
      <c r="E1013" s="132"/>
      <c r="F1013" s="140"/>
      <c r="G1013" s="147"/>
      <c r="H1013" s="147"/>
      <c r="K1013" s="148"/>
    </row>
    <row r="1014" spans="2:11" x14ac:dyDescent="0.3">
      <c r="B1014" s="150" t="str">
        <f>IF(Table24[[#This Row],[Affected CMS
(§63.567(o)(3)(ix), §63.567(o)(6)(ii))
(Select from dropdown)]]="","",VLOOKUP(Table24[[#This Row],[Affected CMS
(§63.567(o)(3)(ix), §63.567(o)(6)(ii))
(Select from dropdown)]],Table22[],2,FALSE))</f>
        <v/>
      </c>
      <c r="E1014" s="132"/>
      <c r="F1014" s="140"/>
      <c r="G1014" s="147"/>
      <c r="H1014" s="147"/>
      <c r="K1014" s="148"/>
    </row>
    <row r="1015" spans="2:11" x14ac:dyDescent="0.3">
      <c r="B1015" s="150" t="str">
        <f>IF(Table24[[#This Row],[Affected CMS
(§63.567(o)(3)(ix), §63.567(o)(6)(ii))
(Select from dropdown)]]="","",VLOOKUP(Table24[[#This Row],[Affected CMS
(§63.567(o)(3)(ix), §63.567(o)(6)(ii))
(Select from dropdown)]],Table22[],2,FALSE))</f>
        <v/>
      </c>
      <c r="E1015" s="132"/>
      <c r="F1015" s="140"/>
      <c r="G1015" s="147"/>
      <c r="H1015" s="147"/>
      <c r="K1015" s="148"/>
    </row>
    <row r="1016" spans="2:11" x14ac:dyDescent="0.3">
      <c r="B1016" s="150" t="str">
        <f>IF(Table24[[#This Row],[Affected CMS
(§63.567(o)(3)(ix), §63.567(o)(6)(ii))
(Select from dropdown)]]="","",VLOOKUP(Table24[[#This Row],[Affected CMS
(§63.567(o)(3)(ix), §63.567(o)(6)(ii))
(Select from dropdown)]],Table22[],2,FALSE))</f>
        <v/>
      </c>
      <c r="E1016" s="132"/>
      <c r="F1016" s="140"/>
      <c r="G1016" s="147"/>
      <c r="H1016" s="147"/>
      <c r="K1016" s="148"/>
    </row>
    <row r="1017" spans="2:11" x14ac:dyDescent="0.3">
      <c r="B1017" s="150" t="str">
        <f>IF(Table24[[#This Row],[Affected CMS
(§63.567(o)(3)(ix), §63.567(o)(6)(ii))
(Select from dropdown)]]="","",VLOOKUP(Table24[[#This Row],[Affected CMS
(§63.567(o)(3)(ix), §63.567(o)(6)(ii))
(Select from dropdown)]],Table22[],2,FALSE))</f>
        <v/>
      </c>
      <c r="E1017" s="132"/>
      <c r="F1017" s="140"/>
      <c r="G1017" s="147"/>
      <c r="H1017" s="147"/>
      <c r="K1017" s="148"/>
    </row>
    <row r="1018" spans="2:11" x14ac:dyDescent="0.3">
      <c r="B1018" s="150" t="str">
        <f>IF(Table24[[#This Row],[Affected CMS
(§63.567(o)(3)(ix), §63.567(o)(6)(ii))
(Select from dropdown)]]="","",VLOOKUP(Table24[[#This Row],[Affected CMS
(§63.567(o)(3)(ix), §63.567(o)(6)(ii))
(Select from dropdown)]],Table22[],2,FALSE))</f>
        <v/>
      </c>
      <c r="E1018" s="132"/>
      <c r="F1018" s="140"/>
      <c r="G1018" s="147"/>
      <c r="H1018" s="147"/>
      <c r="K1018" s="148"/>
    </row>
    <row r="1019" spans="2:11" x14ac:dyDescent="0.3">
      <c r="B1019" s="150" t="str">
        <f>IF(Table24[[#This Row],[Affected CMS
(§63.567(o)(3)(ix), §63.567(o)(6)(ii))
(Select from dropdown)]]="","",VLOOKUP(Table24[[#This Row],[Affected CMS
(§63.567(o)(3)(ix), §63.567(o)(6)(ii))
(Select from dropdown)]],Table22[],2,FALSE))</f>
        <v/>
      </c>
      <c r="E1019" s="132"/>
      <c r="F1019" s="140"/>
      <c r="G1019" s="147"/>
      <c r="H1019" s="147"/>
      <c r="K1019" s="148"/>
    </row>
    <row r="1020" spans="2:11" x14ac:dyDescent="0.3">
      <c r="B1020" s="150" t="str">
        <f>IF(Table24[[#This Row],[Affected CMS
(§63.567(o)(3)(ix), §63.567(o)(6)(ii))
(Select from dropdown)]]="","",VLOOKUP(Table24[[#This Row],[Affected CMS
(§63.567(o)(3)(ix), §63.567(o)(6)(ii))
(Select from dropdown)]],Table22[],2,FALSE))</f>
        <v/>
      </c>
      <c r="E1020" s="132"/>
      <c r="F1020" s="140"/>
      <c r="G1020" s="147"/>
      <c r="H1020" s="147"/>
      <c r="K1020" s="148"/>
    </row>
    <row r="1021" spans="2:11" x14ac:dyDescent="0.3">
      <c r="B1021" s="150" t="str">
        <f>IF(Table24[[#This Row],[Affected CMS
(§63.567(o)(3)(ix), §63.567(o)(6)(ii))
(Select from dropdown)]]="","",VLOOKUP(Table24[[#This Row],[Affected CMS
(§63.567(o)(3)(ix), §63.567(o)(6)(ii))
(Select from dropdown)]],Table22[],2,FALSE))</f>
        <v/>
      </c>
      <c r="E1021" s="132"/>
      <c r="F1021" s="140"/>
      <c r="G1021" s="147"/>
      <c r="H1021" s="147"/>
      <c r="K1021" s="148"/>
    </row>
    <row r="1022" spans="2:11" x14ac:dyDescent="0.3">
      <c r="B1022" s="150" t="str">
        <f>IF(Table24[[#This Row],[Affected CMS
(§63.567(o)(3)(ix), §63.567(o)(6)(ii))
(Select from dropdown)]]="","",VLOOKUP(Table24[[#This Row],[Affected CMS
(§63.567(o)(3)(ix), §63.567(o)(6)(ii))
(Select from dropdown)]],Table22[],2,FALSE))</f>
        <v/>
      </c>
      <c r="E1022" s="132"/>
      <c r="F1022" s="140"/>
      <c r="G1022" s="147"/>
      <c r="H1022" s="147"/>
      <c r="K1022" s="148"/>
    </row>
    <row r="1023" spans="2:11" x14ac:dyDescent="0.3">
      <c r="B1023" s="150" t="str">
        <f>IF(Table24[[#This Row],[Affected CMS
(§63.567(o)(3)(ix), §63.567(o)(6)(ii))
(Select from dropdown)]]="","",VLOOKUP(Table24[[#This Row],[Affected CMS
(§63.567(o)(3)(ix), §63.567(o)(6)(ii))
(Select from dropdown)]],Table22[],2,FALSE))</f>
        <v/>
      </c>
      <c r="E1023" s="132"/>
      <c r="F1023" s="140"/>
      <c r="G1023" s="147"/>
      <c r="H1023" s="147"/>
      <c r="K1023" s="148"/>
    </row>
  </sheetData>
  <sheetProtection sort="0" autoFilter="0"/>
  <dataValidations count="4">
    <dataValidation type="list" allowBlank="1" showInputMessage="1" showErrorMessage="1" sqref="C24:C1023" xr:uid="{2EA2E9FC-BCAD-4E63-B9C5-EED176767EC3}">
      <formula1>CMS</formula1>
    </dataValidation>
    <dataValidation type="list" allowBlank="1" showInputMessage="1" showErrorMessage="1" sqref="D24:D1023" xr:uid="{2E5A8408-C615-485B-A62C-A8EEFA65666F}">
      <formula1>"inoperative,out of control"</formula1>
    </dataValidation>
    <dataValidation type="date" operator="greaterThan" allowBlank="1" showInputMessage="1" showErrorMessage="1" sqref="E24:E1023" xr:uid="{9435D79B-8037-419E-8A1B-C9386A766ABA}">
      <formula1>43831</formula1>
    </dataValidation>
    <dataValidation type="decimal" operator="greaterThanOrEqual" allowBlank="1" showInputMessage="1" showErrorMessage="1" sqref="G24:G1023" xr:uid="{50AF26B5-64F1-4B1E-86B5-0A6125DB43DF}">
      <formula1>0</formula1>
    </dataValidation>
  </dataValidations>
  <pageMargins left="0.25" right="0.25" top="0.75" bottom="0.75" header="0.3" footer="0.3"/>
  <pageSetup scale="78" fitToWidth="2" fitToHeight="0" pageOrder="overThenDown" orientation="landscape" r:id="rId1"/>
  <headerFooter>
    <oddHeader>&amp;C&amp;10 40 CFR Part 63, Subpart EEEE National Emission Standards for Hazardous Air Pollutants: Organic Liquids Distribution (Non-Gasoline) - Compliance Report</oddHeader>
    <oddFooter>&amp;L&amp;10&amp;A&amp;R&amp;10Page &amp;P</oddFooter>
  </headerFooter>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operator="greaterThanOrEqual" allowBlank="1" showInputMessage="1" showErrorMessage="1" errorTitle="Invalid Entry!" error="Please select an answer from the dropdown list." promptTitle="Cause of Deviation" prompt="Please select an answer from the dropdown list." xr:uid="{BC2F1D60-5CC6-4F9D-98FB-24034A84D717}">
          <x14:formula1>
            <xm:f>Lists!$G$41:$G$45</xm:f>
          </x14:formula1>
          <xm:sqref>H24:H1023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52F14-2CD1-4360-9C64-27A7C7C98372}">
  <sheetPr codeName="Sheet32">
    <tabColor theme="3" tint="0.59999389629810485"/>
    <pageSetUpPr fitToPage="1"/>
  </sheetPr>
  <dimension ref="A1:K1508"/>
  <sheetViews>
    <sheetView showGridLines="0" topLeftCell="B7" zoomScaleNormal="100" workbookViewId="0">
      <selection activeCell="B7" sqref="B7"/>
    </sheetView>
  </sheetViews>
  <sheetFormatPr defaultColWidth="9.109375" defaultRowHeight="14.4" zeroHeight="1" x14ac:dyDescent="0.3"/>
  <cols>
    <col min="1" max="1" width="9.109375" style="79" hidden="1" customWidth="1"/>
    <col min="2" max="2" width="15" style="79" customWidth="1"/>
    <col min="3" max="3" width="47.5546875" style="79" customWidth="1"/>
    <col min="4" max="4" width="37.88671875" style="79" bestFit="1" customWidth="1"/>
    <col min="5" max="5" width="26" style="82" customWidth="1"/>
    <col min="6" max="6" width="58" style="82" bestFit="1" customWidth="1"/>
    <col min="7" max="7" width="56.5546875" style="82" customWidth="1"/>
    <col min="8" max="8" width="37" style="79" bestFit="1" customWidth="1"/>
    <col min="9" max="26" width="13" style="79" customWidth="1"/>
    <col min="27" max="16384" width="9.109375" style="79"/>
  </cols>
  <sheetData>
    <row r="1" spans="1:11" s="94" customFormat="1" ht="24.75" hidden="1" customHeight="1" x14ac:dyDescent="0.3">
      <c r="A1" s="88"/>
      <c r="B1" s="2"/>
      <c r="C1" s="2"/>
      <c r="D1" s="2"/>
      <c r="E1" s="93"/>
      <c r="F1" s="93"/>
      <c r="G1" s="93"/>
    </row>
    <row r="2" spans="1:11" s="88" customFormat="1" ht="13.8" hidden="1" x14ac:dyDescent="0.3">
      <c r="B2" s="3"/>
      <c r="C2" s="3"/>
      <c r="D2" s="3"/>
      <c r="E2" s="16"/>
      <c r="F2" s="16"/>
      <c r="G2" s="16"/>
    </row>
    <row r="3" spans="1:11" s="88" customFormat="1" ht="13.8" hidden="1" x14ac:dyDescent="0.3">
      <c r="B3" s="16"/>
      <c r="C3" s="16"/>
      <c r="D3" s="16"/>
      <c r="E3" s="16"/>
      <c r="F3" s="16"/>
      <c r="G3" s="16"/>
    </row>
    <row r="4" spans="1:11" s="88" customFormat="1" ht="13.8" hidden="1" x14ac:dyDescent="0.3">
      <c r="B4" s="54"/>
      <c r="C4" s="54"/>
      <c r="D4" s="54"/>
      <c r="E4" s="16"/>
      <c r="F4" s="16"/>
      <c r="G4" s="16"/>
    </row>
    <row r="5" spans="1:11" s="88" customFormat="1" ht="13.8" hidden="1" x14ac:dyDescent="0.3">
      <c r="B5" s="55"/>
      <c r="C5" s="55"/>
      <c r="D5" s="55"/>
      <c r="E5" s="16"/>
      <c r="F5" s="16"/>
      <c r="G5" s="16"/>
    </row>
    <row r="6" spans="1:11" s="56" customFormat="1" hidden="1" x14ac:dyDescent="0.3"/>
    <row r="7" spans="1:11" s="56" customFormat="1" x14ac:dyDescent="0.3">
      <c r="B7" s="10" t="str">
        <f>Company_Information!B7</f>
        <v>40 CFR Part 63, Subpart Y National Emission Standards for Hazardous Air Pollutants: Marine Tank Vessel Loading Operations</v>
      </c>
      <c r="D7" s="10"/>
      <c r="E7" s="57"/>
      <c r="F7" s="57"/>
      <c r="G7" s="57"/>
      <c r="H7" s="57"/>
      <c r="I7" s="57"/>
      <c r="J7" s="57"/>
      <c r="K7" s="57"/>
    </row>
    <row r="8" spans="1:11" s="56" customFormat="1" x14ac:dyDescent="0.3">
      <c r="B8" s="10" t="str">
        <f>Company_Information!B8</f>
        <v>§63.567(o) Periodic Report Spreadsheet Template</v>
      </c>
      <c r="D8" s="10"/>
      <c r="E8" s="57"/>
      <c r="F8" s="57"/>
      <c r="G8" s="57"/>
      <c r="H8" s="57"/>
      <c r="I8" s="57"/>
      <c r="J8" s="57"/>
      <c r="K8" s="57"/>
    </row>
    <row r="9" spans="1:11" s="56" customFormat="1" ht="32.25" customHeight="1" x14ac:dyDescent="0.3">
      <c r="B9" s="59" t="s">
        <v>376</v>
      </c>
      <c r="D9" s="59"/>
      <c r="E9" s="58"/>
      <c r="F9" s="58"/>
      <c r="G9" s="58"/>
      <c r="H9" s="58"/>
      <c r="I9" s="58"/>
      <c r="J9" s="58"/>
      <c r="K9" s="58"/>
    </row>
    <row r="10" spans="1:11" s="56" customFormat="1" x14ac:dyDescent="0.3">
      <c r="B10" s="89" t="s">
        <v>162</v>
      </c>
      <c r="D10" s="89"/>
      <c r="E10" s="59"/>
      <c r="F10" s="59"/>
      <c r="G10" s="59"/>
      <c r="H10" s="59"/>
      <c r="I10" s="59"/>
      <c r="J10" s="59"/>
      <c r="K10" s="59"/>
    </row>
    <row r="11" spans="1:11" s="56" customFormat="1" ht="15" thickBot="1" x14ac:dyDescent="0.35">
      <c r="B11" s="57"/>
      <c r="D11" s="57"/>
    </row>
    <row r="12" spans="1:11" s="92" customFormat="1" ht="58.2" thickBot="1" x14ac:dyDescent="0.35">
      <c r="B12" s="17" t="s">
        <v>136</v>
      </c>
      <c r="C12" s="21" t="s">
        <v>272</v>
      </c>
      <c r="D12" s="212" t="s">
        <v>377</v>
      </c>
      <c r="E12" s="27" t="s">
        <v>378</v>
      </c>
      <c r="F12" s="64" t="s">
        <v>374</v>
      </c>
      <c r="G12" s="22" t="s">
        <v>379</v>
      </c>
      <c r="H12" s="215" t="s">
        <v>250</v>
      </c>
    </row>
    <row r="13" spans="1:11" s="46" customFormat="1" x14ac:dyDescent="0.3">
      <c r="B13" s="69" t="s">
        <v>190</v>
      </c>
      <c r="C13" s="108" t="s">
        <v>248</v>
      </c>
      <c r="D13" s="108" t="s">
        <v>251</v>
      </c>
      <c r="E13" s="76" t="s">
        <v>252</v>
      </c>
      <c r="F13" s="213" t="s">
        <v>258</v>
      </c>
      <c r="G13" s="95" t="s">
        <v>254</v>
      </c>
      <c r="H13" s="95" t="s">
        <v>253</v>
      </c>
    </row>
    <row r="14" spans="1:11" s="44" customFormat="1" x14ac:dyDescent="0.3">
      <c r="B14" s="71" t="s">
        <v>5</v>
      </c>
      <c r="C14" s="136" t="s">
        <v>249</v>
      </c>
      <c r="D14" s="136" t="s">
        <v>255</v>
      </c>
      <c r="E14" s="78" t="s">
        <v>375</v>
      </c>
      <c r="F14" s="214" t="s">
        <v>256</v>
      </c>
      <c r="G14" s="96" t="s">
        <v>257</v>
      </c>
      <c r="H14" s="72"/>
    </row>
    <row r="15" spans="1:11" hidden="1" x14ac:dyDescent="0.3">
      <c r="B15" s="71" t="s">
        <v>188</v>
      </c>
      <c r="C15" s="72"/>
      <c r="D15" s="72"/>
      <c r="E15" s="72" t="s">
        <v>188</v>
      </c>
      <c r="F15" s="72"/>
      <c r="G15" s="72" t="s">
        <v>188</v>
      </c>
      <c r="H15" s="72" t="s">
        <v>188</v>
      </c>
    </row>
    <row r="16" spans="1:11" hidden="1" x14ac:dyDescent="0.3">
      <c r="B16" s="71" t="s">
        <v>188</v>
      </c>
      <c r="C16" s="72"/>
      <c r="D16" s="72"/>
      <c r="E16" s="72" t="s">
        <v>188</v>
      </c>
      <c r="F16" s="72"/>
      <c r="G16" s="72" t="s">
        <v>188</v>
      </c>
      <c r="H16" s="72" t="s">
        <v>188</v>
      </c>
    </row>
    <row r="17" spans="2:8" hidden="1" x14ac:dyDescent="0.3">
      <c r="B17" s="71" t="s">
        <v>188</v>
      </c>
      <c r="C17" s="72"/>
      <c r="D17" s="72"/>
      <c r="E17" s="72" t="s">
        <v>188</v>
      </c>
      <c r="F17" s="72"/>
      <c r="G17" s="72" t="s">
        <v>188</v>
      </c>
      <c r="H17" s="72" t="s">
        <v>188</v>
      </c>
    </row>
    <row r="18" spans="2:8" hidden="1" x14ac:dyDescent="0.3">
      <c r="B18" s="71" t="s">
        <v>188</v>
      </c>
      <c r="C18" s="72"/>
      <c r="D18" s="72"/>
      <c r="E18" s="72" t="s">
        <v>188</v>
      </c>
      <c r="F18" s="72"/>
      <c r="G18" s="72" t="s">
        <v>188</v>
      </c>
      <c r="H18" s="72" t="s">
        <v>188</v>
      </c>
    </row>
    <row r="19" spans="2:8" hidden="1" x14ac:dyDescent="0.3">
      <c r="B19" s="71" t="s">
        <v>188</v>
      </c>
      <c r="C19" s="72"/>
      <c r="D19" s="72"/>
      <c r="E19" s="72" t="s">
        <v>188</v>
      </c>
      <c r="F19" s="72"/>
      <c r="G19" s="72" t="s">
        <v>188</v>
      </c>
      <c r="H19" s="72" t="s">
        <v>188</v>
      </c>
    </row>
    <row r="20" spans="2:8" hidden="1" x14ac:dyDescent="0.3">
      <c r="B20" s="71" t="s">
        <v>188</v>
      </c>
      <c r="C20" s="72"/>
      <c r="D20" s="72"/>
      <c r="E20" s="72" t="s">
        <v>188</v>
      </c>
      <c r="F20" s="72"/>
      <c r="G20" s="72" t="s">
        <v>188</v>
      </c>
      <c r="H20" s="72" t="s">
        <v>188</v>
      </c>
    </row>
    <row r="21" spans="2:8" hidden="1" x14ac:dyDescent="0.3">
      <c r="B21" s="71" t="s">
        <v>188</v>
      </c>
      <c r="C21" s="72"/>
      <c r="D21" s="72"/>
      <c r="E21" s="72" t="s">
        <v>188</v>
      </c>
      <c r="F21" s="72"/>
      <c r="G21" s="72" t="s">
        <v>188</v>
      </c>
      <c r="H21" s="72" t="s">
        <v>188</v>
      </c>
    </row>
    <row r="22" spans="2:8" hidden="1" x14ac:dyDescent="0.3">
      <c r="B22" s="71" t="s">
        <v>188</v>
      </c>
      <c r="C22" s="72"/>
      <c r="D22" s="72"/>
      <c r="E22" s="72" t="s">
        <v>188</v>
      </c>
      <c r="F22" s="72"/>
      <c r="G22" s="72" t="s">
        <v>188</v>
      </c>
      <c r="H22" s="72" t="s">
        <v>188</v>
      </c>
    </row>
    <row r="23" spans="2:8" hidden="1" x14ac:dyDescent="0.3">
      <c r="B23" s="71" t="s">
        <v>188</v>
      </c>
      <c r="C23" s="72"/>
      <c r="D23" s="72"/>
      <c r="E23" s="72" t="s">
        <v>188</v>
      </c>
      <c r="F23" s="72"/>
      <c r="G23" s="72" t="s">
        <v>188</v>
      </c>
      <c r="H23" s="129"/>
    </row>
    <row r="24" spans="2:8" s="80" customFormat="1" x14ac:dyDescent="0.3">
      <c r="B24" s="129"/>
      <c r="C24" s="129"/>
      <c r="D24" s="129"/>
      <c r="E24" s="129"/>
      <c r="F24" s="129"/>
      <c r="G24" s="129"/>
      <c r="H24" s="129"/>
    </row>
    <row r="25" spans="2:8" s="80" customFormat="1" x14ac:dyDescent="0.3">
      <c r="B25" s="129"/>
      <c r="C25" s="129"/>
      <c r="D25" s="129"/>
      <c r="E25" s="129"/>
      <c r="F25" s="129"/>
      <c r="G25" s="129"/>
      <c r="H25" s="129"/>
    </row>
    <row r="26" spans="2:8" s="80" customFormat="1" x14ac:dyDescent="0.3">
      <c r="B26" s="129"/>
      <c r="C26" s="129"/>
      <c r="D26" s="129"/>
      <c r="E26" s="129"/>
      <c r="F26" s="129"/>
      <c r="G26" s="129"/>
      <c r="H26" s="129"/>
    </row>
    <row r="27" spans="2:8" s="80" customFormat="1" x14ac:dyDescent="0.3">
      <c r="B27" s="129"/>
      <c r="C27" s="129"/>
      <c r="D27" s="129"/>
      <c r="E27" s="129"/>
      <c r="F27" s="129"/>
      <c r="G27" s="129"/>
      <c r="H27" s="129"/>
    </row>
    <row r="28" spans="2:8" s="80" customFormat="1" x14ac:dyDescent="0.3">
      <c r="B28" s="129"/>
      <c r="C28" s="129"/>
      <c r="D28" s="129"/>
      <c r="E28" s="129"/>
      <c r="F28" s="129"/>
      <c r="G28" s="129"/>
      <c r="H28" s="129"/>
    </row>
    <row r="29" spans="2:8" s="80" customFormat="1" x14ac:dyDescent="0.3">
      <c r="B29" s="129"/>
      <c r="C29" s="129"/>
      <c r="D29" s="129"/>
      <c r="E29" s="129"/>
      <c r="F29" s="129"/>
      <c r="G29" s="129"/>
      <c r="H29" s="129"/>
    </row>
    <row r="30" spans="2:8" s="80" customFormat="1" x14ac:dyDescent="0.3">
      <c r="B30" s="129"/>
      <c r="C30" s="129"/>
      <c r="D30" s="129"/>
      <c r="E30" s="129"/>
      <c r="F30" s="129"/>
      <c r="G30" s="129"/>
      <c r="H30" s="129"/>
    </row>
    <row r="31" spans="2:8" s="80" customFormat="1" x14ac:dyDescent="0.3">
      <c r="B31" s="129"/>
      <c r="C31" s="129"/>
      <c r="D31" s="129"/>
      <c r="E31" s="129"/>
      <c r="F31" s="129"/>
      <c r="G31" s="129"/>
      <c r="H31" s="129"/>
    </row>
    <row r="32" spans="2:8" s="80" customFormat="1" x14ac:dyDescent="0.3">
      <c r="B32" s="129"/>
      <c r="C32" s="129"/>
      <c r="D32" s="129"/>
      <c r="E32" s="129"/>
      <c r="F32" s="129"/>
      <c r="G32" s="129"/>
      <c r="H32" s="129"/>
    </row>
    <row r="33" spans="2:8" s="80" customFormat="1" x14ac:dyDescent="0.3">
      <c r="B33" s="129"/>
      <c r="C33" s="129"/>
      <c r="D33" s="129"/>
      <c r="E33" s="129"/>
      <c r="F33" s="129"/>
      <c r="G33" s="129"/>
      <c r="H33" s="129"/>
    </row>
    <row r="34" spans="2:8" s="80" customFormat="1" x14ac:dyDescent="0.3">
      <c r="B34" s="129"/>
      <c r="C34" s="129"/>
      <c r="D34" s="129"/>
      <c r="E34" s="129"/>
      <c r="F34" s="129"/>
      <c r="G34" s="129"/>
      <c r="H34" s="129"/>
    </row>
    <row r="35" spans="2:8" s="80" customFormat="1" x14ac:dyDescent="0.3">
      <c r="B35" s="129"/>
      <c r="C35" s="129"/>
      <c r="D35" s="129"/>
      <c r="E35" s="129"/>
      <c r="F35" s="129"/>
      <c r="G35" s="129"/>
      <c r="H35" s="129"/>
    </row>
    <row r="36" spans="2:8" s="80" customFormat="1" x14ac:dyDescent="0.3">
      <c r="B36" s="129"/>
      <c r="C36" s="129"/>
      <c r="D36" s="129"/>
      <c r="E36" s="129"/>
      <c r="F36" s="129"/>
      <c r="G36" s="129"/>
      <c r="H36" s="129"/>
    </row>
    <row r="37" spans="2:8" s="80" customFormat="1" x14ac:dyDescent="0.3">
      <c r="B37" s="129"/>
      <c r="C37" s="129"/>
      <c r="D37" s="129"/>
      <c r="E37" s="129"/>
      <c r="F37" s="129"/>
      <c r="G37" s="129"/>
      <c r="H37" s="129"/>
    </row>
    <row r="38" spans="2:8" s="80" customFormat="1" x14ac:dyDescent="0.3">
      <c r="B38" s="129"/>
      <c r="C38" s="129"/>
      <c r="D38" s="129"/>
      <c r="E38" s="129"/>
      <c r="F38" s="129"/>
      <c r="G38" s="129"/>
      <c r="H38" s="129"/>
    </row>
    <row r="39" spans="2:8" s="80" customFormat="1" x14ac:dyDescent="0.3">
      <c r="B39" s="129"/>
      <c r="C39" s="129"/>
      <c r="D39" s="129"/>
      <c r="E39" s="129"/>
      <c r="F39" s="129"/>
      <c r="G39" s="129"/>
      <c r="H39" s="129"/>
    </row>
    <row r="40" spans="2:8" s="80" customFormat="1" x14ac:dyDescent="0.3">
      <c r="B40" s="129"/>
      <c r="C40" s="129"/>
      <c r="D40" s="129"/>
      <c r="E40" s="129"/>
      <c r="F40" s="129"/>
      <c r="G40" s="129"/>
      <c r="H40" s="129"/>
    </row>
    <row r="41" spans="2:8" s="80" customFormat="1" x14ac:dyDescent="0.3">
      <c r="B41" s="129"/>
      <c r="C41" s="129"/>
      <c r="D41" s="129"/>
      <c r="E41" s="129"/>
      <c r="F41" s="129"/>
      <c r="G41" s="129"/>
      <c r="H41" s="129"/>
    </row>
    <row r="42" spans="2:8" s="80" customFormat="1" x14ac:dyDescent="0.3">
      <c r="B42" s="129"/>
      <c r="C42" s="129"/>
      <c r="D42" s="129"/>
      <c r="E42" s="129"/>
      <c r="F42" s="129"/>
      <c r="G42" s="129"/>
      <c r="H42" s="129"/>
    </row>
    <row r="43" spans="2:8" s="80" customFormat="1" x14ac:dyDescent="0.3">
      <c r="B43" s="129"/>
      <c r="C43" s="129"/>
      <c r="D43" s="129"/>
      <c r="E43" s="129"/>
      <c r="F43" s="129"/>
      <c r="G43" s="129"/>
      <c r="H43" s="129"/>
    </row>
    <row r="44" spans="2:8" s="80" customFormat="1" x14ac:dyDescent="0.3">
      <c r="B44" s="129"/>
      <c r="C44" s="129"/>
      <c r="D44" s="129"/>
      <c r="E44" s="129"/>
      <c r="F44" s="129"/>
      <c r="G44" s="129"/>
      <c r="H44" s="129"/>
    </row>
    <row r="45" spans="2:8" s="80" customFormat="1" x14ac:dyDescent="0.3">
      <c r="B45" s="129"/>
      <c r="C45" s="129"/>
      <c r="D45" s="129"/>
      <c r="E45" s="129"/>
      <c r="F45" s="129"/>
      <c r="G45" s="129"/>
      <c r="H45" s="129"/>
    </row>
    <row r="46" spans="2:8" s="80" customFormat="1" x14ac:dyDescent="0.3">
      <c r="B46" s="129"/>
      <c r="C46" s="129"/>
      <c r="D46" s="129"/>
      <c r="E46" s="129"/>
      <c r="F46" s="129"/>
      <c r="G46" s="129"/>
      <c r="H46" s="129"/>
    </row>
    <row r="47" spans="2:8" s="80" customFormat="1" x14ac:dyDescent="0.3">
      <c r="B47" s="129"/>
      <c r="C47" s="129"/>
      <c r="D47" s="129"/>
      <c r="E47" s="129"/>
      <c r="F47" s="129"/>
      <c r="G47" s="129"/>
      <c r="H47" s="129"/>
    </row>
    <row r="48" spans="2:8" s="80" customFormat="1" x14ac:dyDescent="0.3">
      <c r="B48" s="129"/>
      <c r="C48" s="129"/>
      <c r="D48" s="129"/>
      <c r="E48" s="129"/>
      <c r="F48" s="129"/>
      <c r="G48" s="129"/>
      <c r="H48" s="129"/>
    </row>
    <row r="49" spans="2:8" s="80" customFormat="1" x14ac:dyDescent="0.3">
      <c r="B49" s="129"/>
      <c r="C49" s="129"/>
      <c r="D49" s="129"/>
      <c r="E49" s="129"/>
      <c r="F49" s="129"/>
      <c r="G49" s="129"/>
      <c r="H49" s="129"/>
    </row>
    <row r="50" spans="2:8" s="80" customFormat="1" x14ac:dyDescent="0.3">
      <c r="B50" s="129"/>
      <c r="C50" s="129"/>
      <c r="D50" s="129"/>
      <c r="E50" s="129"/>
      <c r="F50" s="129"/>
      <c r="G50" s="129"/>
      <c r="H50" s="129"/>
    </row>
    <row r="51" spans="2:8" s="80" customFormat="1" x14ac:dyDescent="0.3">
      <c r="B51" s="129"/>
      <c r="C51" s="129"/>
      <c r="D51" s="129"/>
      <c r="E51" s="129"/>
      <c r="F51" s="129"/>
      <c r="G51" s="129"/>
      <c r="H51" s="129"/>
    </row>
    <row r="52" spans="2:8" s="80" customFormat="1" x14ac:dyDescent="0.3">
      <c r="B52" s="129"/>
      <c r="C52" s="129"/>
      <c r="D52" s="129"/>
      <c r="E52" s="129"/>
      <c r="F52" s="129"/>
      <c r="G52" s="129"/>
      <c r="H52" s="129"/>
    </row>
    <row r="53" spans="2:8" s="80" customFormat="1" x14ac:dyDescent="0.3">
      <c r="B53" s="129"/>
      <c r="C53" s="129"/>
      <c r="D53" s="129"/>
      <c r="E53" s="129"/>
      <c r="F53" s="129"/>
      <c r="G53" s="129"/>
      <c r="H53" s="129"/>
    </row>
    <row r="54" spans="2:8" s="80" customFormat="1" x14ac:dyDescent="0.3">
      <c r="B54" s="129"/>
      <c r="C54" s="129"/>
      <c r="D54" s="129"/>
      <c r="E54" s="129"/>
      <c r="F54" s="129"/>
      <c r="G54" s="129"/>
      <c r="H54" s="129"/>
    </row>
    <row r="55" spans="2:8" s="80" customFormat="1" x14ac:dyDescent="0.3">
      <c r="B55" s="129"/>
      <c r="C55" s="129"/>
      <c r="D55" s="129"/>
      <c r="E55" s="129"/>
      <c r="F55" s="129"/>
      <c r="G55" s="129"/>
      <c r="H55" s="129"/>
    </row>
    <row r="56" spans="2:8" s="80" customFormat="1" x14ac:dyDescent="0.3">
      <c r="B56" s="129"/>
      <c r="C56" s="129"/>
      <c r="D56" s="129"/>
      <c r="E56" s="129"/>
      <c r="F56" s="129"/>
      <c r="G56" s="129"/>
      <c r="H56" s="129"/>
    </row>
    <row r="57" spans="2:8" s="80" customFormat="1" x14ac:dyDescent="0.3">
      <c r="B57" s="129"/>
      <c r="C57" s="129"/>
      <c r="D57" s="129"/>
      <c r="E57" s="129"/>
      <c r="F57" s="129"/>
      <c r="G57" s="129"/>
      <c r="H57" s="129"/>
    </row>
    <row r="58" spans="2:8" s="80" customFormat="1" x14ac:dyDescent="0.3">
      <c r="B58" s="129"/>
      <c r="C58" s="129"/>
      <c r="D58" s="129"/>
      <c r="E58" s="129"/>
      <c r="F58" s="129"/>
      <c r="G58" s="129"/>
      <c r="H58" s="129"/>
    </row>
    <row r="59" spans="2:8" s="80" customFormat="1" x14ac:dyDescent="0.3">
      <c r="B59" s="129"/>
      <c r="C59" s="129"/>
      <c r="D59" s="129"/>
      <c r="E59" s="129"/>
      <c r="F59" s="129"/>
      <c r="G59" s="129"/>
      <c r="H59" s="129"/>
    </row>
    <row r="60" spans="2:8" s="80" customFormat="1" x14ac:dyDescent="0.3">
      <c r="B60" s="129"/>
      <c r="C60" s="129"/>
      <c r="D60" s="129"/>
      <c r="E60" s="129"/>
      <c r="F60" s="129"/>
      <c r="G60" s="129"/>
      <c r="H60" s="129"/>
    </row>
    <row r="61" spans="2:8" s="80" customFormat="1" x14ac:dyDescent="0.3">
      <c r="B61" s="129"/>
      <c r="C61" s="129"/>
      <c r="D61" s="129"/>
      <c r="E61" s="129"/>
      <c r="F61" s="129"/>
      <c r="G61" s="129"/>
      <c r="H61" s="129"/>
    </row>
    <row r="62" spans="2:8" s="80" customFormat="1" x14ac:dyDescent="0.3">
      <c r="B62" s="129"/>
      <c r="C62" s="129"/>
      <c r="D62" s="129"/>
      <c r="E62" s="129"/>
      <c r="F62" s="129"/>
      <c r="G62" s="129"/>
      <c r="H62" s="129"/>
    </row>
    <row r="63" spans="2:8" s="80" customFormat="1" x14ac:dyDescent="0.3">
      <c r="B63" s="129"/>
      <c r="C63" s="129"/>
      <c r="D63" s="129"/>
      <c r="E63" s="129"/>
      <c r="F63" s="129"/>
      <c r="G63" s="129"/>
      <c r="H63" s="129"/>
    </row>
    <row r="64" spans="2:8" s="80" customFormat="1" x14ac:dyDescent="0.3">
      <c r="B64" s="129"/>
      <c r="C64" s="129"/>
      <c r="D64" s="129"/>
      <c r="E64" s="129"/>
      <c r="F64" s="129"/>
      <c r="G64" s="129"/>
      <c r="H64" s="129"/>
    </row>
    <row r="65" spans="2:8" s="80" customFormat="1" x14ac:dyDescent="0.3">
      <c r="B65" s="129"/>
      <c r="C65" s="129"/>
      <c r="D65" s="129"/>
      <c r="E65" s="129"/>
      <c r="F65" s="129"/>
      <c r="G65" s="129"/>
      <c r="H65" s="129"/>
    </row>
    <row r="66" spans="2:8" s="80" customFormat="1" x14ac:dyDescent="0.3">
      <c r="B66" s="129"/>
      <c r="C66" s="129"/>
      <c r="D66" s="129"/>
      <c r="E66" s="129"/>
      <c r="F66" s="129"/>
      <c r="G66" s="129"/>
      <c r="H66" s="129"/>
    </row>
    <row r="67" spans="2:8" s="80" customFormat="1" x14ac:dyDescent="0.3">
      <c r="B67" s="129"/>
      <c r="C67" s="129"/>
      <c r="D67" s="129"/>
      <c r="E67" s="129"/>
      <c r="F67" s="129"/>
      <c r="G67" s="129"/>
      <c r="H67" s="129"/>
    </row>
    <row r="68" spans="2:8" s="80" customFormat="1" x14ac:dyDescent="0.3">
      <c r="B68" s="129"/>
      <c r="C68" s="129"/>
      <c r="D68" s="129"/>
      <c r="E68" s="129"/>
      <c r="F68" s="129"/>
      <c r="G68" s="129"/>
      <c r="H68" s="129"/>
    </row>
    <row r="69" spans="2:8" s="80" customFormat="1" x14ac:dyDescent="0.3">
      <c r="B69" s="129"/>
      <c r="C69" s="129"/>
      <c r="D69" s="129"/>
      <c r="E69" s="129"/>
      <c r="F69" s="129"/>
      <c r="G69" s="129"/>
      <c r="H69" s="129"/>
    </row>
    <row r="70" spans="2:8" s="80" customFormat="1" x14ac:dyDescent="0.3">
      <c r="B70" s="129"/>
      <c r="C70" s="129"/>
      <c r="D70" s="129"/>
      <c r="E70" s="129"/>
      <c r="F70" s="129"/>
      <c r="G70" s="129"/>
      <c r="H70" s="129"/>
    </row>
    <row r="71" spans="2:8" s="80" customFormat="1" x14ac:dyDescent="0.3">
      <c r="B71" s="129"/>
      <c r="C71" s="129"/>
      <c r="D71" s="129"/>
      <c r="E71" s="129"/>
      <c r="F71" s="129"/>
      <c r="G71" s="129"/>
      <c r="H71" s="129"/>
    </row>
    <row r="72" spans="2:8" s="80" customFormat="1" x14ac:dyDescent="0.3">
      <c r="B72" s="129"/>
      <c r="C72" s="129"/>
      <c r="D72" s="129"/>
      <c r="E72" s="129"/>
      <c r="F72" s="129"/>
      <c r="G72" s="129"/>
      <c r="H72" s="129"/>
    </row>
    <row r="73" spans="2:8" s="80" customFormat="1" x14ac:dyDescent="0.3">
      <c r="B73" s="129"/>
      <c r="C73" s="129"/>
      <c r="D73" s="129"/>
      <c r="E73" s="129"/>
      <c r="F73" s="129"/>
      <c r="G73" s="129"/>
      <c r="H73" s="129"/>
    </row>
    <row r="74" spans="2:8" s="80" customFormat="1" x14ac:dyDescent="0.3">
      <c r="B74" s="129"/>
      <c r="C74" s="129"/>
      <c r="D74" s="129"/>
      <c r="E74" s="129"/>
      <c r="F74" s="129"/>
      <c r="G74" s="129"/>
      <c r="H74" s="129"/>
    </row>
    <row r="75" spans="2:8" s="80" customFormat="1" x14ac:dyDescent="0.3">
      <c r="B75" s="129"/>
      <c r="C75" s="129"/>
      <c r="D75" s="129"/>
      <c r="E75" s="129"/>
      <c r="F75" s="129"/>
      <c r="G75" s="129"/>
      <c r="H75" s="129"/>
    </row>
    <row r="76" spans="2:8" s="80" customFormat="1" x14ac:dyDescent="0.3">
      <c r="B76" s="129"/>
      <c r="C76" s="129"/>
      <c r="D76" s="129"/>
      <c r="E76" s="129"/>
      <c r="F76" s="129"/>
      <c r="G76" s="129"/>
      <c r="H76" s="129"/>
    </row>
    <row r="77" spans="2:8" s="80" customFormat="1" x14ac:dyDescent="0.3">
      <c r="B77" s="129"/>
      <c r="C77" s="129"/>
      <c r="D77" s="129"/>
      <c r="E77" s="129"/>
      <c r="F77" s="129"/>
      <c r="G77" s="129"/>
      <c r="H77" s="129"/>
    </row>
    <row r="78" spans="2:8" s="80" customFormat="1" x14ac:dyDescent="0.3">
      <c r="B78" s="129"/>
      <c r="C78" s="129"/>
      <c r="D78" s="129"/>
      <c r="E78" s="129"/>
      <c r="F78" s="129"/>
      <c r="G78" s="129"/>
      <c r="H78" s="129"/>
    </row>
    <row r="79" spans="2:8" s="80" customFormat="1" x14ac:dyDescent="0.3">
      <c r="B79" s="129"/>
      <c r="C79" s="129"/>
      <c r="D79" s="129"/>
      <c r="E79" s="129"/>
      <c r="F79" s="129"/>
      <c r="G79" s="129"/>
      <c r="H79" s="129"/>
    </row>
    <row r="80" spans="2:8" s="80" customFormat="1" x14ac:dyDescent="0.3">
      <c r="B80" s="129"/>
      <c r="C80" s="129"/>
      <c r="D80" s="129"/>
      <c r="E80" s="129"/>
      <c r="F80" s="129"/>
      <c r="G80" s="129"/>
      <c r="H80" s="129"/>
    </row>
    <row r="81" spans="2:8" s="80" customFormat="1" x14ac:dyDescent="0.3">
      <c r="B81" s="129"/>
      <c r="C81" s="129"/>
      <c r="D81" s="129"/>
      <c r="E81" s="129"/>
      <c r="F81" s="129"/>
      <c r="G81" s="129"/>
      <c r="H81" s="129"/>
    </row>
    <row r="82" spans="2:8" s="80" customFormat="1" x14ac:dyDescent="0.3">
      <c r="B82" s="129"/>
      <c r="C82" s="129"/>
      <c r="D82" s="129"/>
      <c r="E82" s="129"/>
      <c r="F82" s="129"/>
      <c r="G82" s="129"/>
      <c r="H82" s="129"/>
    </row>
    <row r="83" spans="2:8" s="80" customFormat="1" x14ac:dyDescent="0.3">
      <c r="B83" s="129"/>
      <c r="C83" s="129"/>
      <c r="D83" s="129"/>
      <c r="E83" s="129"/>
      <c r="F83" s="129"/>
      <c r="G83" s="129"/>
      <c r="H83" s="129"/>
    </row>
    <row r="84" spans="2:8" s="80" customFormat="1" x14ac:dyDescent="0.3">
      <c r="B84" s="129"/>
      <c r="C84" s="129"/>
      <c r="D84" s="129"/>
      <c r="E84" s="129"/>
      <c r="F84" s="129"/>
      <c r="G84" s="129"/>
      <c r="H84" s="129"/>
    </row>
    <row r="85" spans="2:8" s="80" customFormat="1" x14ac:dyDescent="0.3">
      <c r="B85" s="129"/>
      <c r="C85" s="129"/>
      <c r="D85" s="129"/>
      <c r="E85" s="129"/>
      <c r="F85" s="129"/>
      <c r="G85" s="129"/>
      <c r="H85" s="129"/>
    </row>
    <row r="86" spans="2:8" s="80" customFormat="1" x14ac:dyDescent="0.3">
      <c r="B86" s="129"/>
      <c r="C86" s="129"/>
      <c r="D86" s="129"/>
      <c r="E86" s="129"/>
      <c r="F86" s="129"/>
      <c r="G86" s="129"/>
      <c r="H86" s="129"/>
    </row>
    <row r="87" spans="2:8" s="80" customFormat="1" x14ac:dyDescent="0.3">
      <c r="B87" s="129"/>
      <c r="C87" s="129"/>
      <c r="D87" s="129"/>
      <c r="E87" s="129"/>
      <c r="F87" s="129"/>
      <c r="G87" s="129"/>
      <c r="H87" s="129"/>
    </row>
    <row r="88" spans="2:8" s="80" customFormat="1" x14ac:dyDescent="0.3">
      <c r="B88" s="129"/>
      <c r="C88" s="129"/>
      <c r="D88" s="129"/>
      <c r="E88" s="129"/>
      <c r="F88" s="129"/>
      <c r="G88" s="129"/>
      <c r="H88" s="129"/>
    </row>
    <row r="89" spans="2:8" s="80" customFormat="1" x14ac:dyDescent="0.3">
      <c r="B89" s="129"/>
      <c r="C89" s="129"/>
      <c r="D89" s="129"/>
      <c r="E89" s="129"/>
      <c r="F89" s="129"/>
      <c r="G89" s="129"/>
      <c r="H89" s="129"/>
    </row>
    <row r="90" spans="2:8" s="80" customFormat="1" x14ac:dyDescent="0.3">
      <c r="B90" s="129"/>
      <c r="C90" s="129"/>
      <c r="D90" s="129"/>
      <c r="E90" s="129"/>
      <c r="F90" s="129"/>
      <c r="G90" s="129"/>
      <c r="H90" s="129"/>
    </row>
    <row r="91" spans="2:8" s="80" customFormat="1" x14ac:dyDescent="0.3">
      <c r="B91" s="129"/>
      <c r="C91" s="129"/>
      <c r="D91" s="129"/>
      <c r="E91" s="129"/>
      <c r="F91" s="129"/>
      <c r="G91" s="129"/>
      <c r="H91" s="129"/>
    </row>
    <row r="92" spans="2:8" s="80" customFormat="1" x14ac:dyDescent="0.3">
      <c r="B92" s="129"/>
      <c r="C92" s="129"/>
      <c r="D92" s="129"/>
      <c r="E92" s="129"/>
      <c r="F92" s="129"/>
      <c r="G92" s="129"/>
      <c r="H92" s="129"/>
    </row>
    <row r="93" spans="2:8" s="80" customFormat="1" x14ac:dyDescent="0.3">
      <c r="B93" s="129"/>
      <c r="C93" s="129"/>
      <c r="D93" s="129"/>
      <c r="E93" s="129"/>
      <c r="F93" s="129"/>
      <c r="G93" s="129"/>
      <c r="H93" s="129"/>
    </row>
    <row r="94" spans="2:8" s="80" customFormat="1" x14ac:dyDescent="0.3">
      <c r="B94" s="129"/>
      <c r="C94" s="129"/>
      <c r="D94" s="129"/>
      <c r="E94" s="129"/>
      <c r="F94" s="129"/>
      <c r="G94" s="129"/>
      <c r="H94" s="129"/>
    </row>
    <row r="95" spans="2:8" s="80" customFormat="1" x14ac:dyDescent="0.3">
      <c r="B95" s="129"/>
      <c r="C95" s="129"/>
      <c r="D95" s="129"/>
      <c r="E95" s="129"/>
      <c r="F95" s="129"/>
      <c r="G95" s="129"/>
      <c r="H95" s="129"/>
    </row>
    <row r="96" spans="2:8" s="80" customFormat="1" x14ac:dyDescent="0.3">
      <c r="B96" s="129"/>
      <c r="C96" s="129"/>
      <c r="D96" s="129"/>
      <c r="E96" s="129"/>
      <c r="F96" s="129"/>
      <c r="G96" s="129"/>
      <c r="H96" s="129"/>
    </row>
    <row r="97" spans="2:8" s="80" customFormat="1" x14ac:dyDescent="0.3">
      <c r="B97" s="129"/>
      <c r="C97" s="129"/>
      <c r="D97" s="129"/>
      <c r="E97" s="129"/>
      <c r="F97" s="129"/>
      <c r="G97" s="129"/>
      <c r="H97" s="129"/>
    </row>
    <row r="98" spans="2:8" s="80" customFormat="1" x14ac:dyDescent="0.3">
      <c r="B98" s="129"/>
      <c r="C98" s="129"/>
      <c r="D98" s="129"/>
      <c r="E98" s="129"/>
      <c r="F98" s="129"/>
      <c r="G98" s="129"/>
      <c r="H98" s="129"/>
    </row>
    <row r="99" spans="2:8" s="80" customFormat="1" x14ac:dyDescent="0.3">
      <c r="B99" s="129"/>
      <c r="C99" s="129"/>
      <c r="D99" s="129"/>
      <c r="E99" s="129"/>
      <c r="F99" s="129"/>
      <c r="G99" s="129"/>
      <c r="H99" s="129"/>
    </row>
    <row r="100" spans="2:8" s="80" customFormat="1" x14ac:dyDescent="0.3">
      <c r="B100" s="129"/>
      <c r="C100" s="129"/>
      <c r="D100" s="129"/>
      <c r="E100" s="129"/>
      <c r="F100" s="129"/>
      <c r="G100" s="129"/>
      <c r="H100" s="130"/>
    </row>
    <row r="101" spans="2:8" x14ac:dyDescent="0.3">
      <c r="B101" s="51"/>
      <c r="C101" s="86"/>
      <c r="D101" s="86"/>
      <c r="E101" s="133"/>
      <c r="F101" s="133"/>
      <c r="G101" s="130"/>
      <c r="H101" s="130"/>
    </row>
    <row r="102" spans="2:8" x14ac:dyDescent="0.3">
      <c r="B102" s="51"/>
      <c r="C102" s="86"/>
      <c r="D102" s="86"/>
      <c r="E102" s="133"/>
      <c r="F102" s="133"/>
      <c r="G102" s="130"/>
      <c r="H102" s="130"/>
    </row>
    <row r="103" spans="2:8" x14ac:dyDescent="0.3">
      <c r="B103" s="51"/>
      <c r="C103" s="86"/>
      <c r="D103" s="86"/>
      <c r="E103" s="133"/>
      <c r="F103" s="133"/>
      <c r="G103" s="130"/>
      <c r="H103" s="130"/>
    </row>
    <row r="104" spans="2:8" x14ac:dyDescent="0.3">
      <c r="B104" s="51"/>
      <c r="C104" s="86"/>
      <c r="D104" s="86"/>
      <c r="E104" s="133"/>
      <c r="F104" s="133"/>
      <c r="G104" s="130"/>
      <c r="H104" s="130"/>
    </row>
    <row r="105" spans="2:8" x14ac:dyDescent="0.3">
      <c r="B105" s="51"/>
      <c r="C105" s="86"/>
      <c r="D105" s="86"/>
      <c r="E105" s="133"/>
      <c r="F105" s="133"/>
      <c r="G105" s="130"/>
      <c r="H105" s="130"/>
    </row>
    <row r="106" spans="2:8" x14ac:dyDescent="0.3">
      <c r="B106" s="51"/>
      <c r="C106" s="86"/>
      <c r="D106" s="86"/>
      <c r="E106" s="133"/>
      <c r="F106" s="133"/>
      <c r="G106" s="130"/>
      <c r="H106" s="130"/>
    </row>
    <row r="107" spans="2:8" x14ac:dyDescent="0.3">
      <c r="B107" s="51"/>
      <c r="C107" s="86"/>
      <c r="D107" s="86"/>
      <c r="E107" s="133"/>
      <c r="F107" s="133"/>
      <c r="G107" s="130"/>
      <c r="H107" s="130"/>
    </row>
    <row r="108" spans="2:8" x14ac:dyDescent="0.3">
      <c r="B108" s="51"/>
      <c r="C108" s="86"/>
      <c r="D108" s="86"/>
      <c r="E108" s="133"/>
      <c r="F108" s="133"/>
      <c r="G108" s="130"/>
      <c r="H108" s="130"/>
    </row>
    <row r="109" spans="2:8" x14ac:dyDescent="0.3">
      <c r="B109" s="51"/>
      <c r="C109" s="86"/>
      <c r="D109" s="86"/>
      <c r="E109" s="133"/>
      <c r="F109" s="133"/>
      <c r="G109" s="130"/>
      <c r="H109" s="130"/>
    </row>
    <row r="110" spans="2:8" x14ac:dyDescent="0.3">
      <c r="B110" s="51"/>
      <c r="C110" s="86"/>
      <c r="D110" s="86"/>
      <c r="E110" s="133"/>
      <c r="F110" s="133"/>
      <c r="G110" s="130"/>
      <c r="H110" s="130"/>
    </row>
    <row r="111" spans="2:8" x14ac:dyDescent="0.3">
      <c r="B111" s="51"/>
      <c r="C111" s="86"/>
      <c r="D111" s="86"/>
      <c r="E111" s="133"/>
      <c r="F111" s="133"/>
      <c r="G111" s="130"/>
      <c r="H111" s="130"/>
    </row>
    <row r="112" spans="2:8" x14ac:dyDescent="0.3">
      <c r="B112" s="51"/>
      <c r="C112" s="86"/>
      <c r="D112" s="86"/>
      <c r="E112" s="133"/>
      <c r="F112" s="133"/>
      <c r="G112" s="130"/>
      <c r="H112" s="130"/>
    </row>
    <row r="113" spans="2:8" x14ac:dyDescent="0.3">
      <c r="B113" s="51"/>
      <c r="C113" s="86"/>
      <c r="D113" s="86"/>
      <c r="E113" s="133"/>
      <c r="F113" s="133"/>
      <c r="G113" s="130"/>
      <c r="H113" s="130"/>
    </row>
    <row r="114" spans="2:8" x14ac:dyDescent="0.3">
      <c r="B114" s="51"/>
      <c r="C114" s="86"/>
      <c r="D114" s="86"/>
      <c r="E114" s="133"/>
      <c r="F114" s="133"/>
      <c r="G114" s="130"/>
      <c r="H114" s="130"/>
    </row>
    <row r="115" spans="2:8" x14ac:dyDescent="0.3">
      <c r="B115" s="51"/>
      <c r="C115" s="86"/>
      <c r="D115" s="86"/>
      <c r="E115" s="133"/>
      <c r="F115" s="133"/>
      <c r="G115" s="130"/>
      <c r="H115" s="130"/>
    </row>
    <row r="116" spans="2:8" x14ac:dyDescent="0.3">
      <c r="B116" s="51"/>
      <c r="C116" s="86"/>
      <c r="D116" s="86"/>
      <c r="E116" s="133"/>
      <c r="F116" s="133"/>
      <c r="G116" s="130"/>
      <c r="H116" s="130"/>
    </row>
    <row r="117" spans="2:8" x14ac:dyDescent="0.3">
      <c r="B117" s="51"/>
      <c r="C117" s="86"/>
      <c r="D117" s="86"/>
      <c r="E117" s="133"/>
      <c r="F117" s="133"/>
      <c r="G117" s="130"/>
      <c r="H117" s="130"/>
    </row>
    <row r="118" spans="2:8" x14ac:dyDescent="0.3">
      <c r="B118" s="51"/>
      <c r="C118" s="86"/>
      <c r="D118" s="86"/>
      <c r="E118" s="133"/>
      <c r="F118" s="133"/>
      <c r="G118" s="130"/>
      <c r="H118" s="130"/>
    </row>
    <row r="119" spans="2:8" x14ac:dyDescent="0.3">
      <c r="B119" s="51"/>
      <c r="C119" s="86"/>
      <c r="D119" s="86"/>
      <c r="E119" s="133"/>
      <c r="F119" s="133"/>
      <c r="G119" s="130"/>
      <c r="H119" s="130"/>
    </row>
    <row r="120" spans="2:8" x14ac:dyDescent="0.3">
      <c r="B120" s="51"/>
      <c r="C120" s="86"/>
      <c r="D120" s="86"/>
      <c r="E120" s="133"/>
      <c r="F120" s="133"/>
      <c r="G120" s="130"/>
      <c r="H120" s="130"/>
    </row>
    <row r="121" spans="2:8" x14ac:dyDescent="0.3">
      <c r="B121" s="51"/>
      <c r="C121" s="86"/>
      <c r="D121" s="86"/>
      <c r="E121" s="133"/>
      <c r="F121" s="133"/>
      <c r="G121" s="130"/>
      <c r="H121" s="130"/>
    </row>
    <row r="122" spans="2:8" x14ac:dyDescent="0.3">
      <c r="B122" s="51"/>
      <c r="C122" s="86"/>
      <c r="D122" s="86"/>
      <c r="E122" s="133"/>
      <c r="F122" s="133"/>
      <c r="G122" s="130"/>
      <c r="H122" s="130"/>
    </row>
    <row r="123" spans="2:8" x14ac:dyDescent="0.3">
      <c r="B123" s="51"/>
      <c r="C123" s="86"/>
      <c r="D123" s="86"/>
      <c r="E123" s="133"/>
      <c r="F123" s="133"/>
      <c r="G123" s="130"/>
      <c r="H123" s="130"/>
    </row>
    <row r="124" spans="2:8" x14ac:dyDescent="0.3">
      <c r="B124" s="51"/>
      <c r="C124" s="86"/>
      <c r="D124" s="86"/>
      <c r="E124" s="133"/>
      <c r="F124" s="133"/>
      <c r="G124" s="130"/>
      <c r="H124" s="130"/>
    </row>
    <row r="125" spans="2:8" x14ac:dyDescent="0.3">
      <c r="B125" s="51"/>
      <c r="C125" s="86"/>
      <c r="D125" s="86"/>
      <c r="E125" s="133"/>
      <c r="F125" s="133"/>
      <c r="G125" s="130"/>
      <c r="H125" s="130"/>
    </row>
    <row r="126" spans="2:8" x14ac:dyDescent="0.3">
      <c r="B126" s="51"/>
      <c r="C126" s="86"/>
      <c r="D126" s="86"/>
      <c r="E126" s="133"/>
      <c r="F126" s="133"/>
      <c r="G126" s="130"/>
      <c r="H126" s="130"/>
    </row>
    <row r="127" spans="2:8" x14ac:dyDescent="0.3">
      <c r="B127" s="51"/>
      <c r="C127" s="86"/>
      <c r="D127" s="86"/>
      <c r="E127" s="133"/>
      <c r="F127" s="133"/>
      <c r="G127" s="130"/>
      <c r="H127" s="130"/>
    </row>
    <row r="128" spans="2:8" x14ac:dyDescent="0.3">
      <c r="B128" s="51"/>
      <c r="C128" s="86"/>
      <c r="D128" s="86"/>
      <c r="E128" s="133"/>
      <c r="F128" s="133"/>
      <c r="G128" s="130"/>
      <c r="H128" s="130"/>
    </row>
    <row r="129" spans="2:8" x14ac:dyDescent="0.3">
      <c r="B129" s="51"/>
      <c r="C129" s="86"/>
      <c r="D129" s="86"/>
      <c r="E129" s="133"/>
      <c r="F129" s="133"/>
      <c r="G129" s="130"/>
      <c r="H129" s="130"/>
    </row>
    <row r="130" spans="2:8" x14ac:dyDescent="0.3">
      <c r="B130" s="51"/>
      <c r="C130" s="86"/>
      <c r="D130" s="86"/>
      <c r="E130" s="133"/>
      <c r="F130" s="133"/>
      <c r="G130" s="130"/>
      <c r="H130" s="130"/>
    </row>
    <row r="131" spans="2:8" x14ac:dyDescent="0.3">
      <c r="B131" s="51"/>
      <c r="C131" s="86"/>
      <c r="D131" s="86"/>
      <c r="E131" s="133"/>
      <c r="F131" s="133"/>
      <c r="G131" s="130"/>
      <c r="H131" s="130"/>
    </row>
    <row r="132" spans="2:8" x14ac:dyDescent="0.3">
      <c r="B132" s="51"/>
      <c r="C132" s="86"/>
      <c r="D132" s="86"/>
      <c r="E132" s="133"/>
      <c r="F132" s="133"/>
      <c r="G132" s="130"/>
      <c r="H132" s="130"/>
    </row>
    <row r="133" spans="2:8" x14ac:dyDescent="0.3">
      <c r="B133" s="51"/>
      <c r="C133" s="86"/>
      <c r="D133" s="86"/>
      <c r="E133" s="133"/>
      <c r="F133" s="133"/>
      <c r="G133" s="130"/>
      <c r="H133" s="130"/>
    </row>
    <row r="134" spans="2:8" x14ac:dyDescent="0.3">
      <c r="B134" s="51"/>
      <c r="C134" s="86"/>
      <c r="D134" s="86"/>
      <c r="E134" s="133"/>
      <c r="F134" s="133"/>
      <c r="G134" s="130"/>
      <c r="H134" s="130"/>
    </row>
    <row r="135" spans="2:8" x14ac:dyDescent="0.3">
      <c r="B135" s="51"/>
      <c r="C135" s="86"/>
      <c r="D135" s="86"/>
      <c r="E135" s="133"/>
      <c r="F135" s="133"/>
      <c r="G135" s="130"/>
      <c r="H135" s="130"/>
    </row>
    <row r="136" spans="2:8" x14ac:dyDescent="0.3">
      <c r="B136" s="51"/>
      <c r="C136" s="86"/>
      <c r="D136" s="86"/>
      <c r="E136" s="133"/>
      <c r="F136" s="133"/>
      <c r="G136" s="130"/>
      <c r="H136" s="130"/>
    </row>
    <row r="137" spans="2:8" x14ac:dyDescent="0.3">
      <c r="B137" s="51"/>
      <c r="C137" s="86"/>
      <c r="D137" s="86"/>
      <c r="E137" s="133"/>
      <c r="F137" s="133"/>
      <c r="G137" s="130"/>
      <c r="H137" s="130"/>
    </row>
    <row r="138" spans="2:8" x14ac:dyDescent="0.3">
      <c r="B138" s="51"/>
      <c r="C138" s="86"/>
      <c r="D138" s="86"/>
      <c r="E138" s="133"/>
      <c r="F138" s="133"/>
      <c r="G138" s="130"/>
      <c r="H138" s="130"/>
    </row>
    <row r="139" spans="2:8" x14ac:dyDescent="0.3">
      <c r="B139" s="51"/>
      <c r="C139" s="86"/>
      <c r="D139" s="86"/>
      <c r="E139" s="133"/>
      <c r="F139" s="133"/>
      <c r="G139" s="130"/>
      <c r="H139" s="130"/>
    </row>
    <row r="140" spans="2:8" x14ac:dyDescent="0.3">
      <c r="B140" s="51"/>
      <c r="C140" s="86"/>
      <c r="D140" s="86"/>
      <c r="E140" s="133"/>
      <c r="F140" s="133"/>
      <c r="G140" s="130"/>
      <c r="H140" s="130"/>
    </row>
    <row r="141" spans="2:8" x14ac:dyDescent="0.3">
      <c r="B141" s="51"/>
      <c r="C141" s="86"/>
      <c r="D141" s="86"/>
      <c r="E141" s="133"/>
      <c r="F141" s="133"/>
      <c r="G141" s="130"/>
      <c r="H141" s="130"/>
    </row>
    <row r="142" spans="2:8" x14ac:dyDescent="0.3">
      <c r="B142" s="51"/>
      <c r="C142" s="86"/>
      <c r="D142" s="86"/>
      <c r="E142" s="133"/>
      <c r="F142" s="133"/>
      <c r="G142" s="130"/>
      <c r="H142" s="130"/>
    </row>
    <row r="143" spans="2:8" x14ac:dyDescent="0.3">
      <c r="B143" s="51"/>
      <c r="C143" s="86"/>
      <c r="D143" s="86"/>
      <c r="E143" s="133"/>
      <c r="F143" s="133"/>
      <c r="G143" s="130"/>
      <c r="H143" s="130"/>
    </row>
    <row r="144" spans="2:8" x14ac:dyDescent="0.3">
      <c r="B144" s="51"/>
      <c r="C144" s="86"/>
      <c r="D144" s="86"/>
      <c r="E144" s="133"/>
      <c r="F144" s="133"/>
      <c r="G144" s="130"/>
      <c r="H144" s="130"/>
    </row>
    <row r="145" spans="2:8" x14ac:dyDescent="0.3">
      <c r="B145" s="51"/>
      <c r="C145" s="86"/>
      <c r="D145" s="86"/>
      <c r="E145" s="133"/>
      <c r="F145" s="133"/>
      <c r="G145" s="130"/>
      <c r="H145" s="130"/>
    </row>
    <row r="146" spans="2:8" x14ac:dyDescent="0.3">
      <c r="B146" s="51"/>
      <c r="C146" s="86"/>
      <c r="D146" s="86"/>
      <c r="E146" s="133"/>
      <c r="F146" s="133"/>
      <c r="G146" s="130"/>
      <c r="H146" s="130"/>
    </row>
    <row r="147" spans="2:8" x14ac:dyDescent="0.3">
      <c r="B147" s="51"/>
      <c r="C147" s="86"/>
      <c r="D147" s="86"/>
      <c r="E147" s="133"/>
      <c r="F147" s="133"/>
      <c r="G147" s="130"/>
      <c r="H147" s="130"/>
    </row>
    <row r="148" spans="2:8" x14ac:dyDescent="0.3">
      <c r="B148" s="51"/>
      <c r="C148" s="86"/>
      <c r="D148" s="86"/>
      <c r="E148" s="133"/>
      <c r="F148" s="133"/>
      <c r="G148" s="130"/>
      <c r="H148" s="130"/>
    </row>
    <row r="149" spans="2:8" x14ac:dyDescent="0.3">
      <c r="B149" s="51"/>
      <c r="C149" s="86"/>
      <c r="D149" s="86"/>
      <c r="E149" s="133"/>
      <c r="F149" s="133"/>
      <c r="G149" s="130"/>
      <c r="H149" s="130"/>
    </row>
    <row r="150" spans="2:8" x14ac:dyDescent="0.3">
      <c r="B150" s="51"/>
      <c r="C150" s="86"/>
      <c r="D150" s="86"/>
      <c r="E150" s="133"/>
      <c r="F150" s="133"/>
      <c r="G150" s="130"/>
      <c r="H150" s="130"/>
    </row>
    <row r="151" spans="2:8" x14ac:dyDescent="0.3">
      <c r="B151" s="51"/>
      <c r="C151" s="86"/>
      <c r="D151" s="86"/>
      <c r="E151" s="133"/>
      <c r="F151" s="133"/>
      <c r="G151" s="130"/>
      <c r="H151" s="130"/>
    </row>
    <row r="152" spans="2:8" x14ac:dyDescent="0.3">
      <c r="B152" s="51"/>
      <c r="C152" s="86"/>
      <c r="D152" s="86"/>
      <c r="E152" s="133"/>
      <c r="F152" s="133"/>
      <c r="G152" s="130"/>
      <c r="H152" s="130"/>
    </row>
    <row r="153" spans="2:8" x14ac:dyDescent="0.3">
      <c r="B153" s="51"/>
      <c r="C153" s="86"/>
      <c r="D153" s="86"/>
      <c r="E153" s="133"/>
      <c r="F153" s="133"/>
      <c r="G153" s="130"/>
      <c r="H153" s="130"/>
    </row>
    <row r="154" spans="2:8" x14ac:dyDescent="0.3">
      <c r="B154" s="51"/>
      <c r="C154" s="86"/>
      <c r="D154" s="86"/>
      <c r="E154" s="133"/>
      <c r="F154" s="133"/>
      <c r="G154" s="130"/>
      <c r="H154" s="130"/>
    </row>
    <row r="155" spans="2:8" x14ac:dyDescent="0.3">
      <c r="B155" s="51"/>
      <c r="C155" s="86"/>
      <c r="D155" s="86"/>
      <c r="E155" s="133"/>
      <c r="F155" s="133"/>
      <c r="G155" s="130"/>
      <c r="H155" s="130"/>
    </row>
    <row r="156" spans="2:8" x14ac:dyDescent="0.3">
      <c r="B156" s="51"/>
      <c r="C156" s="86"/>
      <c r="D156" s="86"/>
      <c r="E156" s="133"/>
      <c r="F156" s="133"/>
      <c r="G156" s="130"/>
      <c r="H156" s="130"/>
    </row>
    <row r="157" spans="2:8" x14ac:dyDescent="0.3">
      <c r="B157" s="51"/>
      <c r="C157" s="86"/>
      <c r="D157" s="86"/>
      <c r="E157" s="133"/>
      <c r="F157" s="133"/>
      <c r="G157" s="130"/>
      <c r="H157" s="130"/>
    </row>
    <row r="158" spans="2:8" x14ac:dyDescent="0.3">
      <c r="B158" s="51"/>
      <c r="C158" s="86"/>
      <c r="D158" s="86"/>
      <c r="E158" s="133"/>
      <c r="F158" s="133"/>
      <c r="G158" s="130"/>
      <c r="H158" s="130"/>
    </row>
    <row r="159" spans="2:8" x14ac:dyDescent="0.3">
      <c r="B159" s="51"/>
      <c r="C159" s="86"/>
      <c r="D159" s="86"/>
      <c r="E159" s="133"/>
      <c r="F159" s="133"/>
      <c r="G159" s="130"/>
      <c r="H159" s="130"/>
    </row>
    <row r="160" spans="2:8" x14ac:dyDescent="0.3">
      <c r="B160" s="51"/>
      <c r="C160" s="86"/>
      <c r="D160" s="86"/>
      <c r="E160" s="133"/>
      <c r="F160" s="133"/>
      <c r="G160" s="130"/>
      <c r="H160" s="130"/>
    </row>
    <row r="161" spans="2:8" x14ac:dyDescent="0.3">
      <c r="B161" s="51"/>
      <c r="C161" s="86"/>
      <c r="D161" s="86"/>
      <c r="E161" s="133"/>
      <c r="F161" s="133"/>
      <c r="G161" s="130"/>
      <c r="H161" s="130"/>
    </row>
    <row r="162" spans="2:8" x14ac:dyDescent="0.3">
      <c r="B162" s="51"/>
      <c r="C162" s="86"/>
      <c r="D162" s="86"/>
      <c r="E162" s="133"/>
      <c r="F162" s="133"/>
      <c r="G162" s="130"/>
      <c r="H162" s="130"/>
    </row>
    <row r="163" spans="2:8" x14ac:dyDescent="0.3">
      <c r="B163" s="51"/>
      <c r="C163" s="86"/>
      <c r="D163" s="86"/>
      <c r="E163" s="133"/>
      <c r="F163" s="133"/>
      <c r="G163" s="130"/>
      <c r="H163" s="130"/>
    </row>
    <row r="164" spans="2:8" x14ac:dyDescent="0.3">
      <c r="B164" s="51"/>
      <c r="C164" s="86"/>
      <c r="D164" s="86"/>
      <c r="E164" s="133"/>
      <c r="F164" s="133"/>
      <c r="G164" s="130"/>
      <c r="H164" s="130"/>
    </row>
    <row r="165" spans="2:8" x14ac:dyDescent="0.3">
      <c r="B165" s="51"/>
      <c r="C165" s="86"/>
      <c r="D165" s="86"/>
      <c r="E165" s="133"/>
      <c r="F165" s="133"/>
      <c r="G165" s="130"/>
      <c r="H165" s="130"/>
    </row>
    <row r="166" spans="2:8" x14ac:dyDescent="0.3">
      <c r="B166" s="51"/>
      <c r="C166" s="86"/>
      <c r="D166" s="86"/>
      <c r="E166" s="133"/>
      <c r="F166" s="133"/>
      <c r="G166" s="130"/>
      <c r="H166" s="130"/>
    </row>
    <row r="167" spans="2:8" x14ac:dyDescent="0.3">
      <c r="B167" s="51"/>
      <c r="C167" s="86"/>
      <c r="D167" s="86"/>
      <c r="E167" s="133"/>
      <c r="F167" s="133"/>
      <c r="G167" s="130"/>
      <c r="H167" s="130"/>
    </row>
    <row r="168" spans="2:8" x14ac:dyDescent="0.3">
      <c r="B168" s="51"/>
      <c r="C168" s="86"/>
      <c r="D168" s="86"/>
      <c r="E168" s="133"/>
      <c r="F168" s="133"/>
      <c r="G168" s="130"/>
      <c r="H168" s="130"/>
    </row>
    <row r="169" spans="2:8" x14ac:dyDescent="0.3">
      <c r="B169" s="51"/>
      <c r="C169" s="86"/>
      <c r="D169" s="86"/>
      <c r="E169" s="133"/>
      <c r="F169" s="133"/>
      <c r="G169" s="130"/>
      <c r="H169" s="130"/>
    </row>
    <row r="170" spans="2:8" x14ac:dyDescent="0.3">
      <c r="B170" s="51"/>
      <c r="C170" s="86"/>
      <c r="D170" s="86"/>
      <c r="E170" s="133"/>
      <c r="F170" s="133"/>
      <c r="G170" s="130"/>
      <c r="H170" s="130"/>
    </row>
    <row r="171" spans="2:8" x14ac:dyDescent="0.3">
      <c r="B171" s="51"/>
      <c r="C171" s="86"/>
      <c r="D171" s="86"/>
      <c r="E171" s="133"/>
      <c r="F171" s="133"/>
      <c r="G171" s="130"/>
      <c r="H171" s="130"/>
    </row>
    <row r="172" spans="2:8" x14ac:dyDescent="0.3">
      <c r="B172" s="51"/>
      <c r="C172" s="86"/>
      <c r="D172" s="86"/>
      <c r="E172" s="133"/>
      <c r="F172" s="133"/>
      <c r="G172" s="130"/>
      <c r="H172" s="130"/>
    </row>
    <row r="173" spans="2:8" x14ac:dyDescent="0.3">
      <c r="B173" s="51"/>
      <c r="C173" s="86"/>
      <c r="D173" s="86"/>
      <c r="E173" s="133"/>
      <c r="F173" s="133"/>
      <c r="G173" s="130"/>
      <c r="H173" s="130"/>
    </row>
    <row r="174" spans="2:8" x14ac:dyDescent="0.3">
      <c r="B174" s="51"/>
      <c r="C174" s="86"/>
      <c r="D174" s="86"/>
      <c r="E174" s="133"/>
      <c r="F174" s="133"/>
      <c r="G174" s="130"/>
      <c r="H174" s="130"/>
    </row>
    <row r="175" spans="2:8" x14ac:dyDescent="0.3">
      <c r="B175" s="51"/>
      <c r="C175" s="86"/>
      <c r="D175" s="86"/>
      <c r="E175" s="133"/>
      <c r="F175" s="133"/>
      <c r="G175" s="130"/>
      <c r="H175" s="130"/>
    </row>
    <row r="176" spans="2:8" x14ac:dyDescent="0.3">
      <c r="B176" s="51"/>
      <c r="C176" s="86"/>
      <c r="D176" s="86"/>
      <c r="E176" s="133"/>
      <c r="F176" s="133"/>
      <c r="G176" s="130"/>
      <c r="H176" s="130"/>
    </row>
    <row r="177" spans="2:8" x14ac:dyDescent="0.3">
      <c r="B177" s="51"/>
      <c r="C177" s="86"/>
      <c r="D177" s="86"/>
      <c r="E177" s="133"/>
      <c r="F177" s="133"/>
      <c r="G177" s="130"/>
      <c r="H177" s="130"/>
    </row>
    <row r="178" spans="2:8" x14ac:dyDescent="0.3">
      <c r="B178" s="51"/>
      <c r="C178" s="86"/>
      <c r="D178" s="86"/>
      <c r="E178" s="133"/>
      <c r="F178" s="133"/>
      <c r="G178" s="130"/>
      <c r="H178" s="130"/>
    </row>
    <row r="179" spans="2:8" x14ac:dyDescent="0.3">
      <c r="B179" s="51"/>
      <c r="C179" s="86"/>
      <c r="D179" s="86"/>
      <c r="E179" s="133"/>
      <c r="F179" s="133"/>
      <c r="G179" s="130"/>
      <c r="H179" s="130"/>
    </row>
    <row r="180" spans="2:8" x14ac:dyDescent="0.3">
      <c r="B180" s="51"/>
      <c r="C180" s="86"/>
      <c r="D180" s="86"/>
      <c r="E180" s="133"/>
      <c r="F180" s="133"/>
      <c r="G180" s="130"/>
      <c r="H180" s="130"/>
    </row>
    <row r="181" spans="2:8" x14ac:dyDescent="0.3">
      <c r="B181" s="51"/>
      <c r="C181" s="86"/>
      <c r="D181" s="86"/>
      <c r="E181" s="133"/>
      <c r="F181" s="133"/>
      <c r="G181" s="130"/>
      <c r="H181" s="130"/>
    </row>
    <row r="182" spans="2:8" x14ac:dyDescent="0.3">
      <c r="B182" s="51"/>
      <c r="C182" s="86"/>
      <c r="D182" s="86"/>
      <c r="E182" s="133"/>
      <c r="F182" s="133"/>
      <c r="G182" s="130"/>
      <c r="H182" s="130"/>
    </row>
    <row r="183" spans="2:8" x14ac:dyDescent="0.3">
      <c r="B183" s="51"/>
      <c r="C183" s="86"/>
      <c r="D183" s="86"/>
      <c r="E183" s="133"/>
      <c r="F183" s="133"/>
      <c r="G183" s="130"/>
      <c r="H183" s="130"/>
    </row>
    <row r="184" spans="2:8" x14ac:dyDescent="0.3">
      <c r="B184" s="51"/>
      <c r="C184" s="86"/>
      <c r="D184" s="86"/>
      <c r="E184" s="133"/>
      <c r="F184" s="133"/>
      <c r="G184" s="130"/>
      <c r="H184" s="130"/>
    </row>
    <row r="185" spans="2:8" x14ac:dyDescent="0.3">
      <c r="B185" s="51"/>
      <c r="C185" s="86"/>
      <c r="D185" s="86"/>
      <c r="E185" s="133"/>
      <c r="F185" s="133"/>
      <c r="G185" s="130"/>
      <c r="H185" s="130"/>
    </row>
    <row r="186" spans="2:8" x14ac:dyDescent="0.3">
      <c r="B186" s="51"/>
      <c r="C186" s="86"/>
      <c r="D186" s="86"/>
      <c r="E186" s="133"/>
      <c r="F186" s="133"/>
      <c r="G186" s="130"/>
      <c r="H186" s="130"/>
    </row>
    <row r="187" spans="2:8" x14ac:dyDescent="0.3">
      <c r="B187" s="51"/>
      <c r="C187" s="86"/>
      <c r="D187" s="86"/>
      <c r="E187" s="133"/>
      <c r="F187" s="133"/>
      <c r="G187" s="130"/>
      <c r="H187" s="130"/>
    </row>
    <row r="188" spans="2:8" x14ac:dyDescent="0.3">
      <c r="B188" s="51"/>
      <c r="C188" s="86"/>
      <c r="D188" s="86"/>
      <c r="E188" s="133"/>
      <c r="F188" s="133"/>
      <c r="G188" s="130"/>
      <c r="H188" s="130"/>
    </row>
    <row r="189" spans="2:8" x14ac:dyDescent="0.3">
      <c r="B189" s="51"/>
      <c r="C189" s="86"/>
      <c r="D189" s="86"/>
      <c r="E189" s="133"/>
      <c r="F189" s="133"/>
      <c r="G189" s="130"/>
      <c r="H189" s="130"/>
    </row>
    <row r="190" spans="2:8" x14ac:dyDescent="0.3">
      <c r="B190" s="51"/>
      <c r="C190" s="86"/>
      <c r="D190" s="86"/>
      <c r="E190" s="133"/>
      <c r="F190" s="133"/>
      <c r="G190" s="130"/>
      <c r="H190" s="130"/>
    </row>
    <row r="191" spans="2:8" x14ac:dyDescent="0.3">
      <c r="B191" s="51"/>
      <c r="C191" s="86"/>
      <c r="D191" s="86"/>
      <c r="E191" s="133"/>
      <c r="F191" s="133"/>
      <c r="G191" s="130"/>
      <c r="H191" s="130"/>
    </row>
    <row r="192" spans="2:8" x14ac:dyDescent="0.3">
      <c r="B192" s="51"/>
      <c r="C192" s="86"/>
      <c r="D192" s="86"/>
      <c r="E192" s="133"/>
      <c r="F192" s="133"/>
      <c r="G192" s="130"/>
      <c r="H192" s="130"/>
    </row>
    <row r="193" spans="2:8" x14ac:dyDescent="0.3">
      <c r="B193" s="51"/>
      <c r="C193" s="86"/>
      <c r="D193" s="86"/>
      <c r="E193" s="133"/>
      <c r="F193" s="133"/>
      <c r="G193" s="130"/>
      <c r="H193" s="130"/>
    </row>
    <row r="194" spans="2:8" x14ac:dyDescent="0.3">
      <c r="B194" s="51"/>
      <c r="C194" s="86"/>
      <c r="D194" s="86"/>
      <c r="E194" s="133"/>
      <c r="F194" s="133"/>
      <c r="G194" s="130"/>
      <c r="H194" s="130"/>
    </row>
    <row r="195" spans="2:8" x14ac:dyDescent="0.3">
      <c r="B195" s="51"/>
      <c r="C195" s="86"/>
      <c r="D195" s="86"/>
      <c r="E195" s="133"/>
      <c r="F195" s="133"/>
      <c r="G195" s="130"/>
      <c r="H195" s="130"/>
    </row>
    <row r="196" spans="2:8" x14ac:dyDescent="0.3">
      <c r="B196" s="51"/>
      <c r="C196" s="86"/>
      <c r="D196" s="86"/>
      <c r="E196" s="133"/>
      <c r="F196" s="133"/>
      <c r="G196" s="130"/>
      <c r="H196" s="130"/>
    </row>
    <row r="197" spans="2:8" x14ac:dyDescent="0.3">
      <c r="B197" s="51"/>
      <c r="C197" s="86"/>
      <c r="D197" s="86"/>
      <c r="E197" s="133"/>
      <c r="F197" s="133"/>
      <c r="G197" s="130"/>
      <c r="H197" s="130"/>
    </row>
    <row r="198" spans="2:8" x14ac:dyDescent="0.3">
      <c r="B198" s="51"/>
      <c r="C198" s="86"/>
      <c r="D198" s="86"/>
      <c r="E198" s="133"/>
      <c r="F198" s="133"/>
      <c r="G198" s="130"/>
      <c r="H198" s="130"/>
    </row>
    <row r="199" spans="2:8" x14ac:dyDescent="0.3">
      <c r="B199" s="51"/>
      <c r="C199" s="86"/>
      <c r="D199" s="86"/>
      <c r="E199" s="133"/>
      <c r="F199" s="133"/>
      <c r="G199" s="130"/>
      <c r="H199" s="130"/>
    </row>
    <row r="200" spans="2:8" x14ac:dyDescent="0.3">
      <c r="B200" s="51"/>
      <c r="C200" s="86"/>
      <c r="D200" s="86"/>
      <c r="E200" s="133"/>
      <c r="F200" s="133"/>
      <c r="G200" s="130"/>
      <c r="H200" s="130"/>
    </row>
    <row r="201" spans="2:8" x14ac:dyDescent="0.3">
      <c r="B201" s="51"/>
      <c r="C201" s="86"/>
      <c r="D201" s="86"/>
      <c r="E201" s="133"/>
      <c r="F201" s="133"/>
      <c r="G201" s="130"/>
      <c r="H201" s="130"/>
    </row>
    <row r="202" spans="2:8" x14ac:dyDescent="0.3">
      <c r="B202" s="51"/>
      <c r="C202" s="86"/>
      <c r="D202" s="86"/>
      <c r="E202" s="133"/>
      <c r="F202" s="133"/>
      <c r="G202" s="130"/>
      <c r="H202" s="130"/>
    </row>
    <row r="203" spans="2:8" x14ac:dyDescent="0.3">
      <c r="B203" s="51"/>
      <c r="C203" s="86"/>
      <c r="D203" s="86"/>
      <c r="E203" s="133"/>
      <c r="F203" s="133"/>
      <c r="G203" s="130"/>
      <c r="H203" s="130"/>
    </row>
    <row r="204" spans="2:8" x14ac:dyDescent="0.3">
      <c r="B204" s="51"/>
      <c r="C204" s="86"/>
      <c r="D204" s="86"/>
      <c r="E204" s="133"/>
      <c r="F204" s="133"/>
      <c r="G204" s="130"/>
      <c r="H204" s="130"/>
    </row>
    <row r="205" spans="2:8" x14ac:dyDescent="0.3">
      <c r="B205" s="51"/>
      <c r="C205" s="86"/>
      <c r="D205" s="86"/>
      <c r="E205" s="133"/>
      <c r="F205" s="133"/>
      <c r="G205" s="130"/>
      <c r="H205" s="130"/>
    </row>
    <row r="206" spans="2:8" x14ac:dyDescent="0.3">
      <c r="B206" s="51"/>
      <c r="C206" s="86"/>
      <c r="D206" s="86"/>
      <c r="E206" s="133"/>
      <c r="F206" s="133"/>
      <c r="G206" s="130"/>
      <c r="H206" s="130"/>
    </row>
    <row r="207" spans="2:8" x14ac:dyDescent="0.3">
      <c r="B207" s="51"/>
      <c r="C207" s="86"/>
      <c r="D207" s="86"/>
      <c r="E207" s="133"/>
      <c r="F207" s="133"/>
      <c r="G207" s="130"/>
      <c r="H207" s="130"/>
    </row>
    <row r="208" spans="2:8" x14ac:dyDescent="0.3">
      <c r="B208" s="51"/>
      <c r="C208" s="86"/>
      <c r="D208" s="86"/>
      <c r="E208" s="133"/>
      <c r="F208" s="133"/>
      <c r="G208" s="130"/>
      <c r="H208" s="130"/>
    </row>
    <row r="209" spans="2:8" x14ac:dyDescent="0.3">
      <c r="B209" s="51"/>
      <c r="C209" s="86"/>
      <c r="D209" s="86"/>
      <c r="E209" s="133"/>
      <c r="F209" s="133"/>
      <c r="G209" s="130"/>
      <c r="H209" s="130"/>
    </row>
    <row r="210" spans="2:8" x14ac:dyDescent="0.3">
      <c r="B210" s="51"/>
      <c r="C210" s="86"/>
      <c r="D210" s="86"/>
      <c r="E210" s="133"/>
      <c r="F210" s="133"/>
      <c r="G210" s="130"/>
      <c r="H210" s="130"/>
    </row>
    <row r="211" spans="2:8" x14ac:dyDescent="0.3">
      <c r="B211" s="51"/>
      <c r="C211" s="86"/>
      <c r="D211" s="86"/>
      <c r="E211" s="133"/>
      <c r="F211" s="133"/>
      <c r="G211" s="130"/>
      <c r="H211" s="130"/>
    </row>
    <row r="212" spans="2:8" x14ac:dyDescent="0.3">
      <c r="B212" s="51"/>
      <c r="C212" s="86"/>
      <c r="D212" s="86"/>
      <c r="E212" s="133"/>
      <c r="F212" s="133"/>
      <c r="G212" s="130"/>
      <c r="H212" s="130"/>
    </row>
    <row r="213" spans="2:8" x14ac:dyDescent="0.3">
      <c r="B213" s="51"/>
      <c r="C213" s="86"/>
      <c r="D213" s="86"/>
      <c r="E213" s="133"/>
      <c r="F213" s="133"/>
      <c r="G213" s="130"/>
      <c r="H213" s="130"/>
    </row>
    <row r="214" spans="2:8" x14ac:dyDescent="0.3">
      <c r="B214" s="51"/>
      <c r="C214" s="86"/>
      <c r="D214" s="86"/>
      <c r="E214" s="133"/>
      <c r="F214" s="133"/>
      <c r="G214" s="130"/>
      <c r="H214" s="130"/>
    </row>
    <row r="215" spans="2:8" x14ac:dyDescent="0.3">
      <c r="B215" s="51"/>
      <c r="C215" s="86"/>
      <c r="D215" s="86"/>
      <c r="E215" s="133"/>
      <c r="F215" s="133"/>
      <c r="G215" s="130"/>
      <c r="H215" s="130"/>
    </row>
    <row r="216" spans="2:8" x14ac:dyDescent="0.3">
      <c r="B216" s="51"/>
      <c r="C216" s="86"/>
      <c r="D216" s="86"/>
      <c r="E216" s="133"/>
      <c r="F216" s="133"/>
      <c r="G216" s="130"/>
      <c r="H216" s="130"/>
    </row>
    <row r="217" spans="2:8" x14ac:dyDescent="0.3">
      <c r="B217" s="51"/>
      <c r="C217" s="86"/>
      <c r="D217" s="86"/>
      <c r="E217" s="133"/>
      <c r="F217" s="133"/>
      <c r="G217" s="130"/>
      <c r="H217" s="130"/>
    </row>
    <row r="218" spans="2:8" x14ac:dyDescent="0.3">
      <c r="B218" s="51"/>
      <c r="C218" s="86"/>
      <c r="D218" s="86"/>
      <c r="E218" s="133"/>
      <c r="F218" s="133"/>
      <c r="G218" s="130"/>
      <c r="H218" s="130"/>
    </row>
    <row r="219" spans="2:8" x14ac:dyDescent="0.3">
      <c r="B219" s="51"/>
      <c r="C219" s="86"/>
      <c r="D219" s="86"/>
      <c r="E219" s="133"/>
      <c r="F219" s="133"/>
      <c r="G219" s="130"/>
      <c r="H219" s="130"/>
    </row>
    <row r="220" spans="2:8" x14ac:dyDescent="0.3">
      <c r="B220" s="51"/>
      <c r="C220" s="86"/>
      <c r="D220" s="86"/>
      <c r="E220" s="133"/>
      <c r="F220" s="133"/>
      <c r="G220" s="130"/>
      <c r="H220" s="130"/>
    </row>
    <row r="221" spans="2:8" x14ac:dyDescent="0.3">
      <c r="B221" s="51"/>
      <c r="C221" s="86"/>
      <c r="D221" s="86"/>
      <c r="E221" s="133"/>
      <c r="F221" s="133"/>
      <c r="G221" s="130"/>
      <c r="H221" s="130"/>
    </row>
    <row r="222" spans="2:8" x14ac:dyDescent="0.3">
      <c r="B222" s="51"/>
      <c r="C222" s="86"/>
      <c r="D222" s="86"/>
      <c r="E222" s="133"/>
      <c r="F222" s="133"/>
      <c r="G222" s="130"/>
      <c r="H222" s="130"/>
    </row>
    <row r="223" spans="2:8" x14ac:dyDescent="0.3">
      <c r="B223" s="51"/>
      <c r="C223" s="86"/>
      <c r="D223" s="86"/>
      <c r="E223" s="133"/>
      <c r="F223" s="133"/>
      <c r="G223" s="130"/>
      <c r="H223" s="130"/>
    </row>
    <row r="224" spans="2:8" x14ac:dyDescent="0.3">
      <c r="B224" s="51"/>
      <c r="C224" s="86"/>
      <c r="D224" s="86"/>
      <c r="E224" s="133"/>
      <c r="F224" s="133"/>
      <c r="G224" s="130"/>
      <c r="H224" s="130"/>
    </row>
    <row r="225" spans="2:8" x14ac:dyDescent="0.3">
      <c r="B225" s="51"/>
      <c r="C225" s="86"/>
      <c r="D225" s="86"/>
      <c r="E225" s="133"/>
      <c r="F225" s="133"/>
      <c r="G225" s="130"/>
      <c r="H225" s="130"/>
    </row>
    <row r="226" spans="2:8" x14ac:dyDescent="0.3">
      <c r="B226" s="51"/>
      <c r="C226" s="86"/>
      <c r="D226" s="86"/>
      <c r="E226" s="133"/>
      <c r="F226" s="133"/>
      <c r="G226" s="130"/>
      <c r="H226" s="130"/>
    </row>
    <row r="227" spans="2:8" x14ac:dyDescent="0.3">
      <c r="B227" s="51"/>
      <c r="C227" s="86"/>
      <c r="D227" s="86"/>
      <c r="E227" s="133"/>
      <c r="F227" s="133"/>
      <c r="G227" s="130"/>
      <c r="H227" s="130"/>
    </row>
    <row r="228" spans="2:8" x14ac:dyDescent="0.3">
      <c r="B228" s="51"/>
      <c r="C228" s="86"/>
      <c r="D228" s="86"/>
      <c r="E228" s="133"/>
      <c r="F228" s="133"/>
      <c r="G228" s="130"/>
      <c r="H228" s="130"/>
    </row>
    <row r="229" spans="2:8" x14ac:dyDescent="0.3">
      <c r="B229" s="51"/>
      <c r="C229" s="86"/>
      <c r="D229" s="86"/>
      <c r="E229" s="133"/>
      <c r="F229" s="133"/>
      <c r="G229" s="130"/>
      <c r="H229" s="130"/>
    </row>
    <row r="230" spans="2:8" x14ac:dyDescent="0.3">
      <c r="B230" s="51"/>
      <c r="C230" s="86"/>
      <c r="D230" s="86"/>
      <c r="E230" s="133"/>
      <c r="F230" s="133"/>
      <c r="G230" s="130"/>
      <c r="H230" s="130"/>
    </row>
    <row r="231" spans="2:8" x14ac:dyDescent="0.3">
      <c r="B231" s="51"/>
      <c r="C231" s="86"/>
      <c r="D231" s="86"/>
      <c r="E231" s="133"/>
      <c r="F231" s="133"/>
      <c r="G231" s="130"/>
      <c r="H231" s="130"/>
    </row>
    <row r="232" spans="2:8" x14ac:dyDescent="0.3">
      <c r="B232" s="51"/>
      <c r="C232" s="86"/>
      <c r="D232" s="86"/>
      <c r="E232" s="133"/>
      <c r="F232" s="133"/>
      <c r="G232" s="130"/>
      <c r="H232" s="130"/>
    </row>
    <row r="233" spans="2:8" x14ac:dyDescent="0.3">
      <c r="B233" s="51"/>
      <c r="C233" s="86"/>
      <c r="D233" s="86"/>
      <c r="E233" s="133"/>
      <c r="F233" s="133"/>
      <c r="G233" s="130"/>
      <c r="H233" s="130"/>
    </row>
    <row r="234" spans="2:8" x14ac:dyDescent="0.3">
      <c r="B234" s="51"/>
      <c r="C234" s="86"/>
      <c r="D234" s="86"/>
      <c r="E234" s="133"/>
      <c r="F234" s="133"/>
      <c r="G234" s="130"/>
      <c r="H234" s="130"/>
    </row>
    <row r="235" spans="2:8" x14ac:dyDescent="0.3">
      <c r="B235" s="51"/>
      <c r="C235" s="86"/>
      <c r="D235" s="86"/>
      <c r="E235" s="133"/>
      <c r="F235" s="133"/>
      <c r="G235" s="130"/>
      <c r="H235" s="130"/>
    </row>
    <row r="236" spans="2:8" x14ac:dyDescent="0.3">
      <c r="B236" s="51"/>
      <c r="C236" s="86"/>
      <c r="D236" s="86"/>
      <c r="E236" s="133"/>
      <c r="F236" s="133"/>
      <c r="G236" s="130"/>
      <c r="H236" s="130"/>
    </row>
    <row r="237" spans="2:8" x14ac:dyDescent="0.3">
      <c r="B237" s="51"/>
      <c r="C237" s="86"/>
      <c r="D237" s="86"/>
      <c r="E237" s="133"/>
      <c r="F237" s="133"/>
      <c r="G237" s="130"/>
      <c r="H237" s="130"/>
    </row>
    <row r="238" spans="2:8" x14ac:dyDescent="0.3">
      <c r="B238" s="51"/>
      <c r="C238" s="86"/>
      <c r="D238" s="86"/>
      <c r="E238" s="133"/>
      <c r="F238" s="133"/>
      <c r="G238" s="130"/>
      <c r="H238" s="130"/>
    </row>
    <row r="239" spans="2:8" x14ac:dyDescent="0.3">
      <c r="B239" s="51"/>
      <c r="C239" s="86"/>
      <c r="D239" s="86"/>
      <c r="E239" s="133"/>
      <c r="F239" s="133"/>
      <c r="G239" s="130"/>
      <c r="H239" s="130"/>
    </row>
    <row r="240" spans="2:8" x14ac:dyDescent="0.3">
      <c r="B240" s="51"/>
      <c r="C240" s="86"/>
      <c r="D240" s="86"/>
      <c r="E240" s="133"/>
      <c r="F240" s="133"/>
      <c r="G240" s="130"/>
      <c r="H240" s="130"/>
    </row>
    <row r="241" spans="2:8" x14ac:dyDescent="0.3">
      <c r="B241" s="51"/>
      <c r="C241" s="86"/>
      <c r="D241" s="86"/>
      <c r="E241" s="133"/>
      <c r="F241" s="133"/>
      <c r="G241" s="130"/>
      <c r="H241" s="130"/>
    </row>
    <row r="242" spans="2:8" x14ac:dyDescent="0.3">
      <c r="B242" s="51"/>
      <c r="C242" s="86"/>
      <c r="D242" s="86"/>
      <c r="E242" s="133"/>
      <c r="F242" s="133"/>
      <c r="G242" s="130"/>
      <c r="H242" s="130"/>
    </row>
    <row r="243" spans="2:8" x14ac:dyDescent="0.3">
      <c r="B243" s="51"/>
      <c r="C243" s="86"/>
      <c r="D243" s="86"/>
      <c r="E243" s="133"/>
      <c r="F243" s="133"/>
      <c r="G243" s="130"/>
      <c r="H243" s="130"/>
    </row>
    <row r="244" spans="2:8" x14ac:dyDescent="0.3">
      <c r="B244" s="51"/>
      <c r="C244" s="86"/>
      <c r="D244" s="86"/>
      <c r="E244" s="133"/>
      <c r="F244" s="133"/>
      <c r="G244" s="130"/>
      <c r="H244" s="130"/>
    </row>
    <row r="245" spans="2:8" x14ac:dyDescent="0.3">
      <c r="B245" s="51"/>
      <c r="C245" s="86"/>
      <c r="D245" s="86"/>
      <c r="E245" s="133"/>
      <c r="F245" s="133"/>
      <c r="G245" s="130"/>
      <c r="H245" s="130"/>
    </row>
    <row r="246" spans="2:8" x14ac:dyDescent="0.3">
      <c r="B246" s="51"/>
      <c r="C246" s="86"/>
      <c r="D246" s="86"/>
      <c r="E246" s="133"/>
      <c r="F246" s="133"/>
      <c r="G246" s="130"/>
      <c r="H246" s="130"/>
    </row>
    <row r="247" spans="2:8" x14ac:dyDescent="0.3">
      <c r="B247" s="51"/>
      <c r="C247" s="86"/>
      <c r="D247" s="86"/>
      <c r="E247" s="133"/>
      <c r="F247" s="133"/>
      <c r="G247" s="130"/>
      <c r="H247" s="130"/>
    </row>
    <row r="248" spans="2:8" x14ac:dyDescent="0.3">
      <c r="B248" s="51"/>
      <c r="C248" s="86"/>
      <c r="D248" s="86"/>
      <c r="E248" s="133"/>
      <c r="F248" s="133"/>
      <c r="G248" s="130"/>
      <c r="H248" s="130"/>
    </row>
    <row r="249" spans="2:8" x14ac:dyDescent="0.3">
      <c r="B249" s="51"/>
      <c r="C249" s="86"/>
      <c r="D249" s="86"/>
      <c r="E249" s="133"/>
      <c r="F249" s="133"/>
      <c r="G249" s="130"/>
      <c r="H249" s="130"/>
    </row>
    <row r="250" spans="2:8" x14ac:dyDescent="0.3">
      <c r="B250" s="51"/>
      <c r="C250" s="86"/>
      <c r="D250" s="86"/>
      <c r="E250" s="133"/>
      <c r="F250" s="133"/>
      <c r="G250" s="130"/>
      <c r="H250" s="130"/>
    </row>
    <row r="251" spans="2:8" x14ac:dyDescent="0.3">
      <c r="B251" s="51"/>
      <c r="C251" s="86"/>
      <c r="D251" s="86"/>
      <c r="E251" s="133"/>
      <c r="F251" s="133"/>
      <c r="G251" s="130"/>
      <c r="H251" s="130"/>
    </row>
    <row r="252" spans="2:8" x14ac:dyDescent="0.3">
      <c r="B252" s="51"/>
      <c r="C252" s="86"/>
      <c r="D252" s="86"/>
      <c r="E252" s="133"/>
      <c r="F252" s="133"/>
      <c r="G252" s="130"/>
      <c r="H252" s="130"/>
    </row>
    <row r="253" spans="2:8" x14ac:dyDescent="0.3">
      <c r="B253" s="51"/>
      <c r="C253" s="86"/>
      <c r="D253" s="86"/>
      <c r="E253" s="133"/>
      <c r="F253" s="133"/>
      <c r="G253" s="130"/>
      <c r="H253" s="130"/>
    </row>
    <row r="254" spans="2:8" x14ac:dyDescent="0.3">
      <c r="B254" s="51"/>
      <c r="C254" s="86"/>
      <c r="D254" s="86"/>
      <c r="E254" s="133"/>
      <c r="F254" s="133"/>
      <c r="G254" s="130"/>
      <c r="H254" s="130"/>
    </row>
    <row r="255" spans="2:8" x14ac:dyDescent="0.3">
      <c r="B255" s="51"/>
      <c r="C255" s="86"/>
      <c r="D255" s="86"/>
      <c r="E255" s="133"/>
      <c r="F255" s="133"/>
      <c r="G255" s="130"/>
      <c r="H255" s="130"/>
    </row>
    <row r="256" spans="2:8" x14ac:dyDescent="0.3">
      <c r="B256" s="51"/>
      <c r="C256" s="86"/>
      <c r="D256" s="86"/>
      <c r="E256" s="133"/>
      <c r="F256" s="133"/>
      <c r="G256" s="130"/>
      <c r="H256" s="130"/>
    </row>
    <row r="257" spans="2:8" x14ac:dyDescent="0.3">
      <c r="B257" s="51"/>
      <c r="C257" s="86"/>
      <c r="D257" s="86"/>
      <c r="E257" s="133"/>
      <c r="F257" s="133"/>
      <c r="G257" s="130"/>
      <c r="H257" s="130"/>
    </row>
    <row r="258" spans="2:8" x14ac:dyDescent="0.3">
      <c r="B258" s="51"/>
      <c r="C258" s="86"/>
      <c r="D258" s="86"/>
      <c r="E258" s="133"/>
      <c r="F258" s="133"/>
      <c r="G258" s="130"/>
      <c r="H258" s="130"/>
    </row>
    <row r="259" spans="2:8" x14ac:dyDescent="0.3">
      <c r="B259" s="51"/>
      <c r="C259" s="86"/>
      <c r="D259" s="86"/>
      <c r="E259" s="133"/>
      <c r="F259" s="133"/>
      <c r="G259" s="130"/>
      <c r="H259" s="130"/>
    </row>
    <row r="260" spans="2:8" x14ac:dyDescent="0.3">
      <c r="B260" s="51"/>
      <c r="C260" s="86"/>
      <c r="D260" s="86"/>
      <c r="E260" s="133"/>
      <c r="F260" s="133"/>
      <c r="G260" s="130"/>
      <c r="H260" s="130"/>
    </row>
    <row r="261" spans="2:8" x14ac:dyDescent="0.3">
      <c r="B261" s="51"/>
      <c r="C261" s="86"/>
      <c r="D261" s="86"/>
      <c r="E261" s="133"/>
      <c r="F261" s="133"/>
      <c r="G261" s="130"/>
      <c r="H261" s="130"/>
    </row>
    <row r="262" spans="2:8" x14ac:dyDescent="0.3">
      <c r="B262" s="51"/>
      <c r="C262" s="86"/>
      <c r="D262" s="86"/>
      <c r="E262" s="133"/>
      <c r="F262" s="133"/>
      <c r="G262" s="130"/>
      <c r="H262" s="130"/>
    </row>
    <row r="263" spans="2:8" x14ac:dyDescent="0.3">
      <c r="B263" s="51"/>
      <c r="C263" s="86"/>
      <c r="D263" s="86"/>
      <c r="E263" s="133"/>
      <c r="F263" s="133"/>
      <c r="G263" s="130"/>
      <c r="H263" s="130"/>
    </row>
    <row r="264" spans="2:8" x14ac:dyDescent="0.3">
      <c r="B264" s="51"/>
      <c r="C264" s="86"/>
      <c r="D264" s="86"/>
      <c r="E264" s="133"/>
      <c r="F264" s="133"/>
      <c r="G264" s="130"/>
      <c r="H264" s="130"/>
    </row>
    <row r="265" spans="2:8" x14ac:dyDescent="0.3">
      <c r="B265" s="51"/>
      <c r="C265" s="86"/>
      <c r="D265" s="86"/>
      <c r="E265" s="133"/>
      <c r="F265" s="133"/>
      <c r="G265" s="130"/>
      <c r="H265" s="130"/>
    </row>
    <row r="266" spans="2:8" x14ac:dyDescent="0.3">
      <c r="B266" s="51"/>
      <c r="C266" s="86"/>
      <c r="D266" s="86"/>
      <c r="E266" s="133"/>
      <c r="F266" s="133"/>
      <c r="G266" s="130"/>
      <c r="H266" s="130"/>
    </row>
    <row r="267" spans="2:8" x14ac:dyDescent="0.3">
      <c r="B267" s="51"/>
      <c r="C267" s="86"/>
      <c r="D267" s="86"/>
      <c r="E267" s="133"/>
      <c r="F267" s="133"/>
      <c r="G267" s="130"/>
      <c r="H267" s="130"/>
    </row>
    <row r="268" spans="2:8" x14ac:dyDescent="0.3">
      <c r="B268" s="51"/>
      <c r="C268" s="86"/>
      <c r="D268" s="86"/>
      <c r="E268" s="133"/>
      <c r="F268" s="133"/>
      <c r="G268" s="130"/>
      <c r="H268" s="130"/>
    </row>
    <row r="269" spans="2:8" x14ac:dyDescent="0.3">
      <c r="B269" s="51"/>
      <c r="C269" s="86"/>
      <c r="D269" s="86"/>
      <c r="E269" s="133"/>
      <c r="F269" s="133"/>
      <c r="G269" s="130"/>
      <c r="H269" s="130"/>
    </row>
    <row r="270" spans="2:8" x14ac:dyDescent="0.3">
      <c r="B270" s="51"/>
      <c r="C270" s="86"/>
      <c r="D270" s="86"/>
      <c r="E270" s="133"/>
      <c r="F270" s="133"/>
      <c r="G270" s="130"/>
      <c r="H270" s="130"/>
    </row>
    <row r="271" spans="2:8" x14ac:dyDescent="0.3">
      <c r="B271" s="51"/>
      <c r="C271" s="86"/>
      <c r="D271" s="86"/>
      <c r="E271" s="133"/>
      <c r="F271" s="133"/>
      <c r="G271" s="130"/>
      <c r="H271" s="130"/>
    </row>
    <row r="272" spans="2:8" x14ac:dyDescent="0.3">
      <c r="B272" s="51"/>
      <c r="C272" s="86"/>
      <c r="D272" s="86"/>
      <c r="E272" s="133"/>
      <c r="F272" s="133"/>
      <c r="G272" s="130"/>
      <c r="H272" s="130"/>
    </row>
    <row r="273" spans="2:8" x14ac:dyDescent="0.3">
      <c r="B273" s="51"/>
      <c r="C273" s="86"/>
      <c r="D273" s="86"/>
      <c r="E273" s="133"/>
      <c r="F273" s="133"/>
      <c r="G273" s="130"/>
      <c r="H273" s="130"/>
    </row>
    <row r="274" spans="2:8" x14ac:dyDescent="0.3">
      <c r="B274" s="51"/>
      <c r="C274" s="86"/>
      <c r="D274" s="86"/>
      <c r="E274" s="133"/>
      <c r="F274" s="133"/>
      <c r="G274" s="130"/>
      <c r="H274" s="130"/>
    </row>
    <row r="275" spans="2:8" x14ac:dyDescent="0.3">
      <c r="B275" s="51"/>
      <c r="C275" s="86"/>
      <c r="D275" s="86"/>
      <c r="E275" s="133"/>
      <c r="F275" s="133"/>
      <c r="G275" s="130"/>
      <c r="H275" s="130"/>
    </row>
    <row r="276" spans="2:8" x14ac:dyDescent="0.3">
      <c r="B276" s="51"/>
      <c r="C276" s="86"/>
      <c r="D276" s="86"/>
      <c r="E276" s="133"/>
      <c r="F276" s="133"/>
      <c r="G276" s="130"/>
      <c r="H276" s="130"/>
    </row>
    <row r="277" spans="2:8" x14ac:dyDescent="0.3">
      <c r="B277" s="51"/>
      <c r="C277" s="86"/>
      <c r="D277" s="86"/>
      <c r="E277" s="133"/>
      <c r="F277" s="133"/>
      <c r="G277" s="130"/>
      <c r="H277" s="130"/>
    </row>
    <row r="278" spans="2:8" x14ac:dyDescent="0.3">
      <c r="B278" s="51"/>
      <c r="C278" s="86"/>
      <c r="D278" s="86"/>
      <c r="E278" s="133"/>
      <c r="F278" s="133"/>
      <c r="G278" s="130"/>
      <c r="H278" s="130"/>
    </row>
    <row r="279" spans="2:8" x14ac:dyDescent="0.3">
      <c r="B279" s="51"/>
      <c r="C279" s="86"/>
      <c r="D279" s="86"/>
      <c r="E279" s="133"/>
      <c r="F279" s="133"/>
      <c r="G279" s="130"/>
      <c r="H279" s="130"/>
    </row>
    <row r="280" spans="2:8" x14ac:dyDescent="0.3">
      <c r="B280" s="51"/>
      <c r="C280" s="86"/>
      <c r="D280" s="86"/>
      <c r="E280" s="133"/>
      <c r="F280" s="133"/>
      <c r="G280" s="130"/>
      <c r="H280" s="130"/>
    </row>
    <row r="281" spans="2:8" x14ac:dyDescent="0.3">
      <c r="B281" s="51"/>
      <c r="C281" s="86"/>
      <c r="D281" s="86"/>
      <c r="E281" s="133"/>
      <c r="F281" s="133"/>
      <c r="G281" s="130"/>
      <c r="H281" s="130"/>
    </row>
    <row r="282" spans="2:8" x14ac:dyDescent="0.3">
      <c r="B282" s="51"/>
      <c r="C282" s="86"/>
      <c r="D282" s="86"/>
      <c r="E282" s="133"/>
      <c r="F282" s="133"/>
      <c r="G282" s="130"/>
      <c r="H282" s="130"/>
    </row>
    <row r="283" spans="2:8" x14ac:dyDescent="0.3">
      <c r="B283" s="51"/>
      <c r="C283" s="86"/>
      <c r="D283" s="86"/>
      <c r="E283" s="133"/>
      <c r="F283" s="133"/>
      <c r="G283" s="130"/>
      <c r="H283" s="130"/>
    </row>
    <row r="284" spans="2:8" x14ac:dyDescent="0.3">
      <c r="B284" s="51"/>
      <c r="C284" s="86"/>
      <c r="D284" s="86"/>
      <c r="E284" s="133"/>
      <c r="F284" s="133"/>
      <c r="G284" s="130"/>
      <c r="H284" s="130"/>
    </row>
    <row r="285" spans="2:8" x14ac:dyDescent="0.3">
      <c r="B285" s="51"/>
      <c r="C285" s="86"/>
      <c r="D285" s="86"/>
      <c r="E285" s="133"/>
      <c r="F285" s="133"/>
      <c r="G285" s="130"/>
      <c r="H285" s="130"/>
    </row>
    <row r="286" spans="2:8" x14ac:dyDescent="0.3">
      <c r="B286" s="51"/>
      <c r="C286" s="86"/>
      <c r="D286" s="86"/>
      <c r="E286" s="133"/>
      <c r="F286" s="133"/>
      <c r="G286" s="130"/>
      <c r="H286" s="130"/>
    </row>
    <row r="287" spans="2:8" x14ac:dyDescent="0.3">
      <c r="B287" s="51"/>
      <c r="C287" s="86"/>
      <c r="D287" s="86"/>
      <c r="E287" s="133"/>
      <c r="F287" s="133"/>
      <c r="G287" s="130"/>
      <c r="H287" s="130"/>
    </row>
    <row r="288" spans="2:8" x14ac:dyDescent="0.3">
      <c r="B288" s="51"/>
      <c r="C288" s="86"/>
      <c r="D288" s="86"/>
      <c r="E288" s="133"/>
      <c r="F288" s="133"/>
      <c r="G288" s="130"/>
      <c r="H288" s="130"/>
    </row>
    <row r="289" spans="2:8" x14ac:dyDescent="0.3">
      <c r="B289" s="51"/>
      <c r="C289" s="86"/>
      <c r="D289" s="86"/>
      <c r="E289" s="133"/>
      <c r="F289" s="133"/>
      <c r="G289" s="130"/>
      <c r="H289" s="130"/>
    </row>
    <row r="290" spans="2:8" x14ac:dyDescent="0.3">
      <c r="B290" s="51"/>
      <c r="C290" s="86"/>
      <c r="D290" s="86"/>
      <c r="E290" s="133"/>
      <c r="F290" s="133"/>
      <c r="G290" s="130"/>
      <c r="H290" s="130"/>
    </row>
    <row r="291" spans="2:8" x14ac:dyDescent="0.3">
      <c r="B291" s="51"/>
      <c r="C291" s="86"/>
      <c r="D291" s="86"/>
      <c r="E291" s="133"/>
      <c r="F291" s="133"/>
      <c r="G291" s="130"/>
      <c r="H291" s="130"/>
    </row>
    <row r="292" spans="2:8" x14ac:dyDescent="0.3">
      <c r="B292" s="51"/>
      <c r="C292" s="86"/>
      <c r="D292" s="86"/>
      <c r="E292" s="133"/>
      <c r="F292" s="133"/>
      <c r="G292" s="130"/>
      <c r="H292" s="130"/>
    </row>
    <row r="293" spans="2:8" x14ac:dyDescent="0.3">
      <c r="B293" s="51"/>
      <c r="C293" s="86"/>
      <c r="D293" s="86"/>
      <c r="E293" s="133"/>
      <c r="F293" s="133"/>
      <c r="G293" s="130"/>
      <c r="H293" s="130"/>
    </row>
    <row r="294" spans="2:8" x14ac:dyDescent="0.3">
      <c r="B294" s="51"/>
      <c r="C294" s="86"/>
      <c r="D294" s="86"/>
      <c r="E294" s="133"/>
      <c r="F294" s="133"/>
      <c r="G294" s="130"/>
      <c r="H294" s="130"/>
    </row>
    <row r="295" spans="2:8" x14ac:dyDescent="0.3">
      <c r="B295" s="51"/>
      <c r="C295" s="86"/>
      <c r="D295" s="86"/>
      <c r="E295" s="133"/>
      <c r="F295" s="133"/>
      <c r="G295" s="130"/>
      <c r="H295" s="130"/>
    </row>
    <row r="296" spans="2:8" x14ac:dyDescent="0.3">
      <c r="B296" s="51"/>
      <c r="C296" s="86"/>
      <c r="D296" s="86"/>
      <c r="E296" s="133"/>
      <c r="F296" s="133"/>
      <c r="G296" s="130"/>
      <c r="H296" s="130"/>
    </row>
    <row r="297" spans="2:8" x14ac:dyDescent="0.3">
      <c r="B297" s="51"/>
      <c r="C297" s="86"/>
      <c r="D297" s="86"/>
      <c r="E297" s="133"/>
      <c r="F297" s="133"/>
      <c r="G297" s="130"/>
      <c r="H297" s="130"/>
    </row>
    <row r="298" spans="2:8" x14ac:dyDescent="0.3">
      <c r="B298" s="51"/>
      <c r="C298" s="86"/>
      <c r="D298" s="86"/>
      <c r="E298" s="133"/>
      <c r="F298" s="133"/>
      <c r="G298" s="130"/>
      <c r="H298" s="130"/>
    </row>
    <row r="299" spans="2:8" x14ac:dyDescent="0.3">
      <c r="B299" s="51"/>
      <c r="C299" s="86"/>
      <c r="D299" s="86"/>
      <c r="E299" s="133"/>
      <c r="F299" s="133"/>
      <c r="G299" s="130"/>
      <c r="H299" s="130"/>
    </row>
    <row r="300" spans="2:8" x14ac:dyDescent="0.3">
      <c r="B300" s="51"/>
      <c r="C300" s="86"/>
      <c r="D300" s="86"/>
      <c r="E300" s="133"/>
      <c r="F300" s="133"/>
      <c r="G300" s="130"/>
      <c r="H300" s="130"/>
    </row>
    <row r="301" spans="2:8" x14ac:dyDescent="0.3">
      <c r="B301" s="51"/>
      <c r="C301" s="86"/>
      <c r="D301" s="86"/>
      <c r="E301" s="133"/>
      <c r="F301" s="133"/>
      <c r="G301" s="130"/>
      <c r="H301" s="130"/>
    </row>
    <row r="302" spans="2:8" x14ac:dyDescent="0.3">
      <c r="B302" s="51"/>
      <c r="C302" s="86"/>
      <c r="D302" s="86"/>
      <c r="E302" s="133"/>
      <c r="F302" s="133"/>
      <c r="G302" s="130"/>
      <c r="H302" s="130"/>
    </row>
    <row r="303" spans="2:8" x14ac:dyDescent="0.3">
      <c r="B303" s="51"/>
      <c r="C303" s="86"/>
      <c r="D303" s="86"/>
      <c r="E303" s="133"/>
      <c r="F303" s="133"/>
      <c r="G303" s="130"/>
      <c r="H303" s="130"/>
    </row>
    <row r="304" spans="2:8" x14ac:dyDescent="0.3">
      <c r="B304" s="51"/>
      <c r="C304" s="86"/>
      <c r="D304" s="86"/>
      <c r="E304" s="133"/>
      <c r="F304" s="133"/>
      <c r="G304" s="130"/>
      <c r="H304" s="130"/>
    </row>
    <row r="305" spans="2:8" x14ac:dyDescent="0.3">
      <c r="B305" s="51"/>
      <c r="C305" s="86"/>
      <c r="D305" s="86"/>
      <c r="E305" s="133"/>
      <c r="F305" s="133"/>
      <c r="G305" s="130"/>
      <c r="H305" s="130"/>
    </row>
    <row r="306" spans="2:8" x14ac:dyDescent="0.3">
      <c r="B306" s="51"/>
      <c r="C306" s="86"/>
      <c r="D306" s="86"/>
      <c r="E306" s="133"/>
      <c r="F306" s="133"/>
      <c r="G306" s="130"/>
      <c r="H306" s="130"/>
    </row>
    <row r="307" spans="2:8" x14ac:dyDescent="0.3">
      <c r="B307" s="51"/>
      <c r="C307" s="86"/>
      <c r="D307" s="86"/>
      <c r="E307" s="133"/>
      <c r="F307" s="133"/>
      <c r="G307" s="130"/>
      <c r="H307" s="130"/>
    </row>
    <row r="308" spans="2:8" x14ac:dyDescent="0.3">
      <c r="B308" s="51"/>
      <c r="C308" s="86"/>
      <c r="D308" s="86"/>
      <c r="E308" s="133"/>
      <c r="F308" s="133"/>
      <c r="G308" s="130"/>
      <c r="H308" s="130"/>
    </row>
    <row r="309" spans="2:8" x14ac:dyDescent="0.3">
      <c r="B309" s="51"/>
      <c r="C309" s="86"/>
      <c r="D309" s="86"/>
      <c r="E309" s="133"/>
      <c r="F309" s="133"/>
      <c r="G309" s="130"/>
      <c r="H309" s="130"/>
    </row>
    <row r="310" spans="2:8" x14ac:dyDescent="0.3">
      <c r="B310" s="51"/>
      <c r="C310" s="86"/>
      <c r="D310" s="86"/>
      <c r="E310" s="133"/>
      <c r="F310" s="133"/>
      <c r="G310" s="130"/>
      <c r="H310" s="130"/>
    </row>
    <row r="311" spans="2:8" x14ac:dyDescent="0.3">
      <c r="B311" s="51"/>
      <c r="C311" s="86"/>
      <c r="D311" s="86"/>
      <c r="E311" s="133"/>
      <c r="F311" s="133"/>
      <c r="G311" s="130"/>
      <c r="H311" s="130"/>
    </row>
    <row r="312" spans="2:8" x14ac:dyDescent="0.3">
      <c r="B312" s="51"/>
      <c r="C312" s="86"/>
      <c r="D312" s="86"/>
      <c r="E312" s="133"/>
      <c r="F312" s="133"/>
      <c r="G312" s="130"/>
      <c r="H312" s="130"/>
    </row>
    <row r="313" spans="2:8" x14ac:dyDescent="0.3">
      <c r="B313" s="51"/>
      <c r="C313" s="86"/>
      <c r="D313" s="86"/>
      <c r="E313" s="133"/>
      <c r="F313" s="133"/>
      <c r="G313" s="130"/>
      <c r="H313" s="130"/>
    </row>
    <row r="314" spans="2:8" x14ac:dyDescent="0.3">
      <c r="B314" s="51"/>
      <c r="C314" s="86"/>
      <c r="D314" s="86"/>
      <c r="E314" s="133"/>
      <c r="F314" s="133"/>
      <c r="G314" s="130"/>
      <c r="H314" s="130"/>
    </row>
    <row r="315" spans="2:8" x14ac:dyDescent="0.3">
      <c r="B315" s="51"/>
      <c r="C315" s="86"/>
      <c r="D315" s="86"/>
      <c r="E315" s="133"/>
      <c r="F315" s="133"/>
      <c r="G315" s="130"/>
      <c r="H315" s="130"/>
    </row>
    <row r="316" spans="2:8" x14ac:dyDescent="0.3">
      <c r="B316" s="51"/>
      <c r="C316" s="86"/>
      <c r="D316" s="86"/>
      <c r="E316" s="133"/>
      <c r="F316" s="133"/>
      <c r="G316" s="130"/>
      <c r="H316" s="130"/>
    </row>
    <row r="317" spans="2:8" x14ac:dyDescent="0.3">
      <c r="B317" s="51"/>
      <c r="C317" s="86"/>
      <c r="D317" s="86"/>
      <c r="E317" s="133"/>
      <c r="F317" s="133"/>
      <c r="G317" s="130"/>
      <c r="H317" s="130"/>
    </row>
    <row r="318" spans="2:8" x14ac:dyDescent="0.3">
      <c r="B318" s="51"/>
      <c r="C318" s="86"/>
      <c r="D318" s="86"/>
      <c r="E318" s="133"/>
      <c r="F318" s="133"/>
      <c r="G318" s="130"/>
      <c r="H318" s="130"/>
    </row>
    <row r="319" spans="2:8" x14ac:dyDescent="0.3">
      <c r="B319" s="51"/>
      <c r="C319" s="86"/>
      <c r="D319" s="86"/>
      <c r="E319" s="133"/>
      <c r="F319" s="133"/>
      <c r="G319" s="130"/>
      <c r="H319" s="130"/>
    </row>
    <row r="320" spans="2:8" x14ac:dyDescent="0.3">
      <c r="B320" s="51"/>
      <c r="C320" s="86"/>
      <c r="D320" s="86"/>
      <c r="E320" s="133"/>
      <c r="F320" s="133"/>
      <c r="G320" s="130"/>
      <c r="H320" s="130"/>
    </row>
    <row r="321" spans="2:8" x14ac:dyDescent="0.3">
      <c r="B321" s="51"/>
      <c r="C321" s="86"/>
      <c r="D321" s="86"/>
      <c r="E321" s="133"/>
      <c r="F321" s="133"/>
      <c r="G321" s="130"/>
      <c r="H321" s="130"/>
    </row>
    <row r="322" spans="2:8" x14ac:dyDescent="0.3">
      <c r="B322" s="51"/>
      <c r="C322" s="86"/>
      <c r="D322" s="86"/>
      <c r="E322" s="133"/>
      <c r="F322" s="133"/>
      <c r="G322" s="130"/>
      <c r="H322" s="130"/>
    </row>
    <row r="323" spans="2:8" x14ac:dyDescent="0.3">
      <c r="B323" s="51"/>
      <c r="C323" s="86"/>
      <c r="D323" s="86"/>
      <c r="E323" s="133"/>
      <c r="F323" s="133"/>
      <c r="G323" s="130"/>
      <c r="H323" s="130"/>
    </row>
    <row r="324" spans="2:8" x14ac:dyDescent="0.3">
      <c r="B324" s="51"/>
      <c r="C324" s="86"/>
      <c r="D324" s="86"/>
      <c r="E324" s="133"/>
      <c r="F324" s="133"/>
      <c r="G324" s="130"/>
      <c r="H324" s="130"/>
    </row>
    <row r="325" spans="2:8" x14ac:dyDescent="0.3">
      <c r="B325" s="51"/>
      <c r="C325" s="86"/>
      <c r="D325" s="86"/>
      <c r="E325" s="133"/>
      <c r="F325" s="133"/>
      <c r="G325" s="130"/>
      <c r="H325" s="130"/>
    </row>
    <row r="326" spans="2:8" x14ac:dyDescent="0.3">
      <c r="B326" s="51"/>
      <c r="C326" s="86"/>
      <c r="D326" s="86"/>
      <c r="E326" s="133"/>
      <c r="F326" s="133"/>
      <c r="G326" s="130"/>
      <c r="H326" s="130"/>
    </row>
    <row r="327" spans="2:8" x14ac:dyDescent="0.3">
      <c r="B327" s="51"/>
      <c r="C327" s="86"/>
      <c r="D327" s="86"/>
      <c r="E327" s="133"/>
      <c r="F327" s="133"/>
      <c r="G327" s="130"/>
      <c r="H327" s="130"/>
    </row>
    <row r="328" spans="2:8" x14ac:dyDescent="0.3">
      <c r="B328" s="51"/>
      <c r="C328" s="86"/>
      <c r="D328" s="86"/>
      <c r="E328" s="133"/>
      <c r="F328" s="133"/>
      <c r="G328" s="130"/>
      <c r="H328" s="130"/>
    </row>
    <row r="329" spans="2:8" x14ac:dyDescent="0.3">
      <c r="B329" s="51"/>
      <c r="C329" s="86"/>
      <c r="D329" s="86"/>
      <c r="E329" s="133"/>
      <c r="F329" s="133"/>
      <c r="G329" s="130"/>
      <c r="H329" s="130"/>
    </row>
    <row r="330" spans="2:8" x14ac:dyDescent="0.3">
      <c r="B330" s="51"/>
      <c r="C330" s="86"/>
      <c r="D330" s="86"/>
      <c r="E330" s="133"/>
      <c r="F330" s="133"/>
      <c r="G330" s="130"/>
      <c r="H330" s="130"/>
    </row>
    <row r="331" spans="2:8" x14ac:dyDescent="0.3">
      <c r="B331" s="51"/>
      <c r="C331" s="86"/>
      <c r="D331" s="86"/>
      <c r="E331" s="133"/>
      <c r="F331" s="133"/>
      <c r="G331" s="130"/>
      <c r="H331" s="130"/>
    </row>
    <row r="332" spans="2:8" x14ac:dyDescent="0.3">
      <c r="B332" s="51"/>
      <c r="C332" s="86"/>
      <c r="D332" s="86"/>
      <c r="E332" s="133"/>
      <c r="F332" s="133"/>
      <c r="G332" s="130"/>
      <c r="H332" s="130"/>
    </row>
    <row r="333" spans="2:8" x14ac:dyDescent="0.3">
      <c r="B333" s="51"/>
      <c r="C333" s="86"/>
      <c r="D333" s="86"/>
      <c r="E333" s="133"/>
      <c r="F333" s="133"/>
      <c r="G333" s="130"/>
      <c r="H333" s="130"/>
    </row>
    <row r="334" spans="2:8" x14ac:dyDescent="0.3">
      <c r="B334" s="51"/>
      <c r="C334" s="86"/>
      <c r="D334" s="86"/>
      <c r="E334" s="133"/>
      <c r="F334" s="133"/>
      <c r="G334" s="130"/>
      <c r="H334" s="130"/>
    </row>
    <row r="335" spans="2:8" x14ac:dyDescent="0.3">
      <c r="B335" s="51"/>
      <c r="C335" s="86"/>
      <c r="D335" s="86"/>
      <c r="E335" s="133"/>
      <c r="F335" s="133"/>
      <c r="G335" s="130"/>
      <c r="H335" s="130"/>
    </row>
    <row r="336" spans="2:8" x14ac:dyDescent="0.3">
      <c r="B336" s="51"/>
      <c r="C336" s="86"/>
      <c r="D336" s="86"/>
      <c r="E336" s="133"/>
      <c r="F336" s="133"/>
      <c r="G336" s="130"/>
      <c r="H336" s="130"/>
    </row>
    <row r="337" spans="2:8" x14ac:dyDescent="0.3">
      <c r="B337" s="51"/>
      <c r="C337" s="86"/>
      <c r="D337" s="86"/>
      <c r="E337" s="133"/>
      <c r="F337" s="133"/>
      <c r="G337" s="130"/>
      <c r="H337" s="130"/>
    </row>
    <row r="338" spans="2:8" x14ac:dyDescent="0.3">
      <c r="B338" s="51"/>
      <c r="C338" s="86"/>
      <c r="D338" s="86"/>
      <c r="E338" s="133"/>
      <c r="F338" s="133"/>
      <c r="G338" s="130"/>
      <c r="H338" s="130"/>
    </row>
    <row r="339" spans="2:8" x14ac:dyDescent="0.3">
      <c r="B339" s="51"/>
      <c r="C339" s="86"/>
      <c r="D339" s="86"/>
      <c r="E339" s="133"/>
      <c r="F339" s="133"/>
      <c r="G339" s="130"/>
      <c r="H339" s="130"/>
    </row>
    <row r="340" spans="2:8" x14ac:dyDescent="0.3">
      <c r="B340" s="51"/>
      <c r="C340" s="86"/>
      <c r="D340" s="86"/>
      <c r="E340" s="133"/>
      <c r="F340" s="133"/>
      <c r="G340" s="130"/>
      <c r="H340" s="130"/>
    </row>
    <row r="341" spans="2:8" x14ac:dyDescent="0.3">
      <c r="B341" s="51"/>
      <c r="C341" s="86"/>
      <c r="D341" s="86"/>
      <c r="E341" s="133"/>
      <c r="F341" s="133"/>
      <c r="G341" s="130"/>
      <c r="H341" s="130"/>
    </row>
    <row r="342" spans="2:8" x14ac:dyDescent="0.3">
      <c r="B342" s="51"/>
      <c r="C342" s="86"/>
      <c r="D342" s="86"/>
      <c r="E342" s="133"/>
      <c r="F342" s="133"/>
      <c r="G342" s="130"/>
      <c r="H342" s="130"/>
    </row>
    <row r="343" spans="2:8" x14ac:dyDescent="0.3">
      <c r="B343" s="51"/>
      <c r="C343" s="86"/>
      <c r="D343" s="86"/>
      <c r="E343" s="133"/>
      <c r="F343" s="133"/>
      <c r="G343" s="130"/>
      <c r="H343" s="130"/>
    </row>
    <row r="344" spans="2:8" x14ac:dyDescent="0.3">
      <c r="B344" s="51"/>
      <c r="C344" s="86"/>
      <c r="D344" s="86"/>
      <c r="E344" s="133"/>
      <c r="F344" s="133"/>
      <c r="G344" s="130"/>
      <c r="H344" s="130"/>
    </row>
    <row r="345" spans="2:8" x14ac:dyDescent="0.3">
      <c r="B345" s="51"/>
      <c r="C345" s="86"/>
      <c r="D345" s="86"/>
      <c r="E345" s="133"/>
      <c r="F345" s="133"/>
      <c r="G345" s="130"/>
      <c r="H345" s="130"/>
    </row>
    <row r="346" spans="2:8" x14ac:dyDescent="0.3">
      <c r="B346" s="51"/>
      <c r="C346" s="86"/>
      <c r="D346" s="86"/>
      <c r="E346" s="133"/>
      <c r="F346" s="133"/>
      <c r="G346" s="130"/>
      <c r="H346" s="130"/>
    </row>
    <row r="347" spans="2:8" x14ac:dyDescent="0.3">
      <c r="B347" s="51"/>
      <c r="C347" s="86"/>
      <c r="D347" s="86"/>
      <c r="E347" s="133"/>
      <c r="F347" s="133"/>
      <c r="G347" s="130"/>
      <c r="H347" s="130"/>
    </row>
    <row r="348" spans="2:8" x14ac:dyDescent="0.3">
      <c r="B348" s="51"/>
      <c r="C348" s="86"/>
      <c r="D348" s="86"/>
      <c r="E348" s="133"/>
      <c r="F348" s="133"/>
      <c r="G348" s="130"/>
      <c r="H348" s="130"/>
    </row>
    <row r="349" spans="2:8" x14ac:dyDescent="0.3">
      <c r="B349" s="51"/>
      <c r="C349" s="86"/>
      <c r="D349" s="86"/>
      <c r="E349" s="133"/>
      <c r="F349" s="133"/>
      <c r="G349" s="130"/>
      <c r="H349" s="130"/>
    </row>
    <row r="350" spans="2:8" x14ac:dyDescent="0.3">
      <c r="B350" s="51"/>
      <c r="C350" s="86"/>
      <c r="D350" s="86"/>
      <c r="E350" s="133"/>
      <c r="F350" s="133"/>
      <c r="G350" s="130"/>
      <c r="H350" s="130"/>
    </row>
    <row r="351" spans="2:8" x14ac:dyDescent="0.3">
      <c r="B351" s="51"/>
      <c r="C351" s="86"/>
      <c r="D351" s="86"/>
      <c r="E351" s="133"/>
      <c r="F351" s="133"/>
      <c r="G351" s="130"/>
      <c r="H351" s="130"/>
    </row>
    <row r="352" spans="2:8" x14ac:dyDescent="0.3">
      <c r="B352" s="51"/>
      <c r="C352" s="86"/>
      <c r="D352" s="86"/>
      <c r="E352" s="133"/>
      <c r="F352" s="133"/>
      <c r="G352" s="130"/>
      <c r="H352" s="130"/>
    </row>
    <row r="353" spans="2:8" x14ac:dyDescent="0.3">
      <c r="B353" s="51"/>
      <c r="C353" s="86"/>
      <c r="D353" s="86"/>
      <c r="E353" s="133"/>
      <c r="F353" s="133"/>
      <c r="G353" s="130"/>
      <c r="H353" s="130"/>
    </row>
    <row r="354" spans="2:8" x14ac:dyDescent="0.3">
      <c r="B354" s="51"/>
      <c r="C354" s="86"/>
      <c r="D354" s="86"/>
      <c r="E354" s="133"/>
      <c r="F354" s="133"/>
      <c r="G354" s="130"/>
      <c r="H354" s="130"/>
    </row>
    <row r="355" spans="2:8" x14ac:dyDescent="0.3">
      <c r="B355" s="51"/>
      <c r="C355" s="86"/>
      <c r="D355" s="86"/>
      <c r="E355" s="133"/>
      <c r="F355" s="133"/>
      <c r="G355" s="130"/>
      <c r="H355" s="130"/>
    </row>
    <row r="356" spans="2:8" x14ac:dyDescent="0.3">
      <c r="B356" s="51"/>
      <c r="C356" s="86"/>
      <c r="D356" s="86"/>
      <c r="E356" s="133"/>
      <c r="F356" s="133"/>
      <c r="G356" s="130"/>
      <c r="H356" s="130"/>
    </row>
    <row r="357" spans="2:8" x14ac:dyDescent="0.3">
      <c r="B357" s="51"/>
      <c r="C357" s="86"/>
      <c r="D357" s="86"/>
      <c r="E357" s="133"/>
      <c r="F357" s="133"/>
      <c r="G357" s="130"/>
      <c r="H357" s="130"/>
    </row>
    <row r="358" spans="2:8" x14ac:dyDescent="0.3">
      <c r="B358" s="51"/>
      <c r="C358" s="86"/>
      <c r="D358" s="86"/>
      <c r="E358" s="133"/>
      <c r="F358" s="133"/>
      <c r="G358" s="130"/>
      <c r="H358" s="130"/>
    </row>
    <row r="359" spans="2:8" x14ac:dyDescent="0.3">
      <c r="B359" s="51"/>
      <c r="C359" s="86"/>
      <c r="D359" s="86"/>
      <c r="E359" s="133"/>
      <c r="F359" s="133"/>
      <c r="G359" s="130"/>
      <c r="H359" s="130"/>
    </row>
    <row r="360" spans="2:8" x14ac:dyDescent="0.3">
      <c r="B360" s="51"/>
      <c r="C360" s="86"/>
      <c r="D360" s="86"/>
      <c r="E360" s="133"/>
      <c r="F360" s="133"/>
      <c r="G360" s="130"/>
      <c r="H360" s="130"/>
    </row>
    <row r="361" spans="2:8" x14ac:dyDescent="0.3">
      <c r="B361" s="51"/>
      <c r="C361" s="86"/>
      <c r="D361" s="86"/>
      <c r="E361" s="133"/>
      <c r="F361" s="133"/>
      <c r="G361" s="130"/>
      <c r="H361" s="130"/>
    </row>
    <row r="362" spans="2:8" x14ac:dyDescent="0.3">
      <c r="B362" s="51"/>
      <c r="C362" s="86"/>
      <c r="D362" s="86"/>
      <c r="E362" s="133"/>
      <c r="F362" s="133"/>
      <c r="G362" s="130"/>
      <c r="H362" s="130"/>
    </row>
    <row r="363" spans="2:8" x14ac:dyDescent="0.3">
      <c r="B363" s="51"/>
      <c r="C363" s="86"/>
      <c r="D363" s="86"/>
      <c r="E363" s="133"/>
      <c r="F363" s="133"/>
      <c r="G363" s="130"/>
      <c r="H363" s="130"/>
    </row>
    <row r="364" spans="2:8" x14ac:dyDescent="0.3">
      <c r="B364" s="51"/>
      <c r="C364" s="86"/>
      <c r="D364" s="86"/>
      <c r="E364" s="133"/>
      <c r="F364" s="133"/>
      <c r="G364" s="130"/>
      <c r="H364" s="130"/>
    </row>
    <row r="365" spans="2:8" x14ac:dyDescent="0.3">
      <c r="B365" s="51"/>
      <c r="C365" s="86"/>
      <c r="D365" s="86"/>
      <c r="E365" s="133"/>
      <c r="F365" s="133"/>
      <c r="G365" s="130"/>
      <c r="H365" s="130"/>
    </row>
    <row r="366" spans="2:8" x14ac:dyDescent="0.3">
      <c r="B366" s="51"/>
      <c r="C366" s="86"/>
      <c r="D366" s="86"/>
      <c r="E366" s="133"/>
      <c r="F366" s="133"/>
      <c r="G366" s="130"/>
      <c r="H366" s="130"/>
    </row>
    <row r="367" spans="2:8" x14ac:dyDescent="0.3">
      <c r="B367" s="51"/>
      <c r="C367" s="86"/>
      <c r="D367" s="86"/>
      <c r="E367" s="133"/>
      <c r="F367" s="133"/>
      <c r="G367" s="130"/>
      <c r="H367" s="130"/>
    </row>
    <row r="368" spans="2:8" x14ac:dyDescent="0.3">
      <c r="B368" s="51"/>
      <c r="C368" s="86"/>
      <c r="D368" s="86"/>
      <c r="E368" s="133"/>
      <c r="F368" s="133"/>
      <c r="G368" s="130"/>
      <c r="H368" s="130"/>
    </row>
    <row r="369" spans="2:8" x14ac:dyDescent="0.3">
      <c r="B369" s="51"/>
      <c r="C369" s="86"/>
      <c r="D369" s="86"/>
      <c r="E369" s="133"/>
      <c r="F369" s="133"/>
      <c r="G369" s="130"/>
      <c r="H369" s="130"/>
    </row>
    <row r="370" spans="2:8" x14ac:dyDescent="0.3">
      <c r="B370" s="51"/>
      <c r="C370" s="86"/>
      <c r="D370" s="86"/>
      <c r="E370" s="133"/>
      <c r="F370" s="133"/>
      <c r="G370" s="130"/>
      <c r="H370" s="130"/>
    </row>
    <row r="371" spans="2:8" x14ac:dyDescent="0.3">
      <c r="B371" s="51"/>
      <c r="C371" s="86"/>
      <c r="D371" s="86"/>
      <c r="E371" s="133"/>
      <c r="F371" s="133"/>
      <c r="G371" s="130"/>
      <c r="H371" s="130"/>
    </row>
    <row r="372" spans="2:8" x14ac:dyDescent="0.3">
      <c r="B372" s="51"/>
      <c r="C372" s="86"/>
      <c r="D372" s="86"/>
      <c r="E372" s="133"/>
      <c r="F372" s="133"/>
      <c r="G372" s="130"/>
      <c r="H372" s="130"/>
    </row>
    <row r="373" spans="2:8" x14ac:dyDescent="0.3">
      <c r="B373" s="51"/>
      <c r="C373" s="86"/>
      <c r="D373" s="86"/>
      <c r="E373" s="133"/>
      <c r="F373" s="133"/>
      <c r="G373" s="130"/>
      <c r="H373" s="130"/>
    </row>
    <row r="374" spans="2:8" x14ac:dyDescent="0.3">
      <c r="B374" s="51"/>
      <c r="C374" s="86"/>
      <c r="D374" s="86"/>
      <c r="E374" s="133"/>
      <c r="F374" s="133"/>
      <c r="G374" s="130"/>
      <c r="H374" s="130"/>
    </row>
    <row r="375" spans="2:8" x14ac:dyDescent="0.3">
      <c r="B375" s="51"/>
      <c r="C375" s="86"/>
      <c r="D375" s="86"/>
      <c r="E375" s="133"/>
      <c r="F375" s="133"/>
      <c r="G375" s="130"/>
      <c r="H375" s="130"/>
    </row>
    <row r="376" spans="2:8" x14ac:dyDescent="0.3">
      <c r="B376" s="51"/>
      <c r="C376" s="86"/>
      <c r="D376" s="86"/>
      <c r="E376" s="133"/>
      <c r="F376" s="133"/>
      <c r="G376" s="130"/>
      <c r="H376" s="130"/>
    </row>
    <row r="377" spans="2:8" x14ac:dyDescent="0.3">
      <c r="B377" s="51"/>
      <c r="C377" s="86"/>
      <c r="D377" s="86"/>
      <c r="E377" s="133"/>
      <c r="F377" s="133"/>
      <c r="G377" s="130"/>
      <c r="H377" s="130"/>
    </row>
    <row r="378" spans="2:8" x14ac:dyDescent="0.3">
      <c r="B378" s="51"/>
      <c r="C378" s="86"/>
      <c r="D378" s="86"/>
      <c r="E378" s="133"/>
      <c r="F378" s="133"/>
      <c r="G378" s="130"/>
      <c r="H378" s="130"/>
    </row>
    <row r="379" spans="2:8" x14ac:dyDescent="0.3">
      <c r="B379" s="51"/>
      <c r="C379" s="86"/>
      <c r="D379" s="86"/>
      <c r="E379" s="133"/>
      <c r="F379" s="133"/>
      <c r="G379" s="130"/>
      <c r="H379" s="130"/>
    </row>
    <row r="380" spans="2:8" x14ac:dyDescent="0.3">
      <c r="B380" s="51"/>
      <c r="C380" s="86"/>
      <c r="D380" s="86"/>
      <c r="E380" s="133"/>
      <c r="F380" s="133"/>
      <c r="G380" s="130"/>
      <c r="H380" s="130"/>
    </row>
    <row r="381" spans="2:8" x14ac:dyDescent="0.3">
      <c r="B381" s="51"/>
      <c r="C381" s="86"/>
      <c r="D381" s="86"/>
      <c r="E381" s="133"/>
      <c r="F381" s="133"/>
      <c r="G381" s="130"/>
      <c r="H381" s="130"/>
    </row>
    <row r="382" spans="2:8" x14ac:dyDescent="0.3">
      <c r="B382" s="51"/>
      <c r="C382" s="86"/>
      <c r="D382" s="86"/>
      <c r="E382" s="133"/>
      <c r="F382" s="133"/>
      <c r="G382" s="130"/>
      <c r="H382" s="130"/>
    </row>
    <row r="383" spans="2:8" x14ac:dyDescent="0.3">
      <c r="B383" s="51"/>
      <c r="C383" s="86"/>
      <c r="D383" s="86"/>
      <c r="E383" s="133"/>
      <c r="F383" s="133"/>
      <c r="G383" s="130"/>
      <c r="H383" s="130"/>
    </row>
    <row r="384" spans="2:8" x14ac:dyDescent="0.3">
      <c r="B384" s="51"/>
      <c r="C384" s="86"/>
      <c r="D384" s="86"/>
      <c r="E384" s="133"/>
      <c r="F384" s="133"/>
      <c r="G384" s="130"/>
      <c r="H384" s="130"/>
    </row>
    <row r="385" spans="2:8" x14ac:dyDescent="0.3">
      <c r="B385" s="51"/>
      <c r="C385" s="86"/>
      <c r="D385" s="86"/>
      <c r="E385" s="133"/>
      <c r="F385" s="133"/>
      <c r="G385" s="130"/>
      <c r="H385" s="130"/>
    </row>
    <row r="386" spans="2:8" x14ac:dyDescent="0.3">
      <c r="B386" s="51"/>
      <c r="C386" s="86"/>
      <c r="D386" s="86"/>
      <c r="E386" s="133"/>
      <c r="F386" s="133"/>
      <c r="G386" s="130"/>
      <c r="H386" s="130"/>
    </row>
    <row r="387" spans="2:8" x14ac:dyDescent="0.3">
      <c r="B387" s="51"/>
      <c r="C387" s="86"/>
      <c r="D387" s="86"/>
      <c r="E387" s="133"/>
      <c r="F387" s="133"/>
      <c r="G387" s="130"/>
      <c r="H387" s="130"/>
    </row>
    <row r="388" spans="2:8" x14ac:dyDescent="0.3">
      <c r="B388" s="51"/>
      <c r="C388" s="86"/>
      <c r="D388" s="86"/>
      <c r="E388" s="133"/>
      <c r="F388" s="133"/>
      <c r="G388" s="130"/>
      <c r="H388" s="130"/>
    </row>
    <row r="389" spans="2:8" x14ac:dyDescent="0.3">
      <c r="B389" s="51"/>
      <c r="C389" s="86"/>
      <c r="D389" s="86"/>
      <c r="E389" s="133"/>
      <c r="F389" s="133"/>
      <c r="G389" s="130"/>
      <c r="H389" s="130"/>
    </row>
    <row r="390" spans="2:8" x14ac:dyDescent="0.3">
      <c r="B390" s="51"/>
      <c r="C390" s="86"/>
      <c r="D390" s="86"/>
      <c r="E390" s="133"/>
      <c r="F390" s="133"/>
      <c r="G390" s="130"/>
      <c r="H390" s="130"/>
    </row>
    <row r="391" spans="2:8" x14ac:dyDescent="0.3">
      <c r="B391" s="51"/>
      <c r="C391" s="86"/>
      <c r="D391" s="86"/>
      <c r="E391" s="133"/>
      <c r="F391" s="133"/>
      <c r="G391" s="130"/>
      <c r="H391" s="130"/>
    </row>
    <row r="392" spans="2:8" x14ac:dyDescent="0.3">
      <c r="B392" s="51"/>
      <c r="C392" s="86"/>
      <c r="D392" s="86"/>
      <c r="E392" s="133"/>
      <c r="F392" s="133"/>
      <c r="G392" s="130"/>
      <c r="H392" s="130"/>
    </row>
    <row r="393" spans="2:8" x14ac:dyDescent="0.3">
      <c r="B393" s="51"/>
      <c r="C393" s="86"/>
      <c r="D393" s="86"/>
      <c r="E393" s="133"/>
      <c r="F393" s="133"/>
      <c r="G393" s="130"/>
      <c r="H393" s="130"/>
    </row>
    <row r="394" spans="2:8" x14ac:dyDescent="0.3">
      <c r="B394" s="51"/>
      <c r="C394" s="86"/>
      <c r="D394" s="86"/>
      <c r="E394" s="133"/>
      <c r="F394" s="133"/>
      <c r="G394" s="130"/>
      <c r="H394" s="130"/>
    </row>
    <row r="395" spans="2:8" x14ac:dyDescent="0.3">
      <c r="B395" s="51"/>
      <c r="C395" s="86"/>
      <c r="D395" s="86"/>
      <c r="E395" s="133"/>
      <c r="F395" s="133"/>
      <c r="G395" s="130"/>
      <c r="H395" s="130"/>
    </row>
    <row r="396" spans="2:8" x14ac:dyDescent="0.3">
      <c r="B396" s="51"/>
      <c r="C396" s="86"/>
      <c r="D396" s="86"/>
      <c r="E396" s="133"/>
      <c r="F396" s="133"/>
      <c r="G396" s="130"/>
      <c r="H396" s="130"/>
    </row>
    <row r="397" spans="2:8" x14ac:dyDescent="0.3">
      <c r="B397" s="51"/>
      <c r="C397" s="86"/>
      <c r="D397" s="86"/>
      <c r="E397" s="133"/>
      <c r="F397" s="133"/>
      <c r="G397" s="130"/>
      <c r="H397" s="130"/>
    </row>
    <row r="398" spans="2:8" x14ac:dyDescent="0.3">
      <c r="B398" s="51"/>
      <c r="C398" s="86"/>
      <c r="D398" s="86"/>
      <c r="E398" s="133"/>
      <c r="F398" s="133"/>
      <c r="G398" s="130"/>
      <c r="H398" s="130"/>
    </row>
    <row r="399" spans="2:8" x14ac:dyDescent="0.3">
      <c r="B399" s="51"/>
      <c r="C399" s="86"/>
      <c r="D399" s="86"/>
      <c r="E399" s="133"/>
      <c r="F399" s="133"/>
      <c r="G399" s="130"/>
      <c r="H399" s="130"/>
    </row>
    <row r="400" spans="2:8" x14ac:dyDescent="0.3">
      <c r="B400" s="51"/>
      <c r="C400" s="86"/>
      <c r="D400" s="86"/>
      <c r="E400" s="133"/>
      <c r="F400" s="133"/>
      <c r="G400" s="130"/>
      <c r="H400" s="130"/>
    </row>
    <row r="401" spans="2:8" x14ac:dyDescent="0.3">
      <c r="B401" s="51"/>
      <c r="C401" s="86"/>
      <c r="D401" s="86"/>
      <c r="E401" s="133"/>
      <c r="F401" s="133"/>
      <c r="G401" s="130"/>
      <c r="H401" s="130"/>
    </row>
    <row r="402" spans="2:8" x14ac:dyDescent="0.3">
      <c r="B402" s="51"/>
      <c r="C402" s="86"/>
      <c r="D402" s="86"/>
      <c r="E402" s="133"/>
      <c r="F402" s="133"/>
      <c r="G402" s="130"/>
      <c r="H402" s="130"/>
    </row>
    <row r="403" spans="2:8" x14ac:dyDescent="0.3">
      <c r="B403" s="51"/>
      <c r="C403" s="86"/>
      <c r="D403" s="86"/>
      <c r="E403" s="133"/>
      <c r="F403" s="133"/>
      <c r="G403" s="130"/>
      <c r="H403" s="130"/>
    </row>
    <row r="404" spans="2:8" x14ac:dyDescent="0.3">
      <c r="B404" s="51"/>
      <c r="C404" s="86"/>
      <c r="D404" s="86"/>
      <c r="E404" s="133"/>
      <c r="F404" s="133"/>
      <c r="G404" s="130"/>
      <c r="H404" s="130"/>
    </row>
    <row r="405" spans="2:8" x14ac:dyDescent="0.3">
      <c r="B405" s="51"/>
      <c r="C405" s="86"/>
      <c r="D405" s="86"/>
      <c r="E405" s="133"/>
      <c r="F405" s="133"/>
      <c r="G405" s="130"/>
      <c r="H405" s="130"/>
    </row>
    <row r="406" spans="2:8" x14ac:dyDescent="0.3">
      <c r="B406" s="51"/>
      <c r="C406" s="86"/>
      <c r="D406" s="86"/>
      <c r="E406" s="133"/>
      <c r="F406" s="133"/>
      <c r="G406" s="130"/>
      <c r="H406" s="130"/>
    </row>
    <row r="407" spans="2:8" x14ac:dyDescent="0.3">
      <c r="B407" s="51"/>
      <c r="C407" s="86"/>
      <c r="D407" s="86"/>
      <c r="E407" s="133"/>
      <c r="F407" s="133"/>
      <c r="G407" s="130"/>
      <c r="H407" s="130"/>
    </row>
    <row r="408" spans="2:8" x14ac:dyDescent="0.3">
      <c r="B408" s="51"/>
      <c r="C408" s="86"/>
      <c r="D408" s="86"/>
      <c r="E408" s="133"/>
      <c r="F408" s="133"/>
      <c r="G408" s="130"/>
      <c r="H408" s="130"/>
    </row>
    <row r="409" spans="2:8" x14ac:dyDescent="0.3">
      <c r="B409" s="51"/>
      <c r="C409" s="86"/>
      <c r="D409" s="86"/>
      <c r="E409" s="133"/>
      <c r="F409" s="133"/>
      <c r="G409" s="130"/>
      <c r="H409" s="130"/>
    </row>
    <row r="410" spans="2:8" x14ac:dyDescent="0.3">
      <c r="B410" s="51"/>
      <c r="C410" s="86"/>
      <c r="D410" s="86"/>
      <c r="E410" s="133"/>
      <c r="F410" s="133"/>
      <c r="G410" s="130"/>
      <c r="H410" s="130"/>
    </row>
    <row r="411" spans="2:8" x14ac:dyDescent="0.3">
      <c r="B411" s="51"/>
      <c r="C411" s="86"/>
      <c r="D411" s="86"/>
      <c r="E411" s="133"/>
      <c r="F411" s="133"/>
      <c r="G411" s="130"/>
      <c r="H411" s="130"/>
    </row>
    <row r="412" spans="2:8" x14ac:dyDescent="0.3">
      <c r="B412" s="51"/>
      <c r="C412" s="86"/>
      <c r="D412" s="86"/>
      <c r="E412" s="133"/>
      <c r="F412" s="133"/>
      <c r="G412" s="130"/>
      <c r="H412" s="130"/>
    </row>
    <row r="413" spans="2:8" x14ac:dyDescent="0.3">
      <c r="B413" s="51"/>
      <c r="C413" s="86"/>
      <c r="D413" s="86"/>
      <c r="E413" s="133"/>
      <c r="F413" s="133"/>
      <c r="G413" s="130"/>
      <c r="H413" s="130"/>
    </row>
    <row r="414" spans="2:8" x14ac:dyDescent="0.3">
      <c r="B414" s="51"/>
      <c r="C414" s="86"/>
      <c r="D414" s="86"/>
      <c r="E414" s="133"/>
      <c r="F414" s="133"/>
      <c r="G414" s="130"/>
      <c r="H414" s="130"/>
    </row>
    <row r="415" spans="2:8" x14ac:dyDescent="0.3">
      <c r="B415" s="51"/>
      <c r="C415" s="86"/>
      <c r="D415" s="86"/>
      <c r="E415" s="133"/>
      <c r="F415" s="133"/>
      <c r="G415" s="130"/>
      <c r="H415" s="130"/>
    </row>
    <row r="416" spans="2:8" x14ac:dyDescent="0.3">
      <c r="B416" s="51"/>
      <c r="C416" s="86"/>
      <c r="D416" s="86"/>
      <c r="E416" s="133"/>
      <c r="F416" s="133"/>
      <c r="G416" s="130"/>
      <c r="H416" s="130"/>
    </row>
    <row r="417" spans="2:8" x14ac:dyDescent="0.3">
      <c r="B417" s="51"/>
      <c r="C417" s="86"/>
      <c r="D417" s="86"/>
      <c r="E417" s="133"/>
      <c r="F417" s="133"/>
      <c r="G417" s="130"/>
      <c r="H417" s="130"/>
    </row>
    <row r="418" spans="2:8" x14ac:dyDescent="0.3">
      <c r="B418" s="51"/>
      <c r="C418" s="86"/>
      <c r="D418" s="86"/>
      <c r="E418" s="133"/>
      <c r="F418" s="133"/>
      <c r="G418" s="130"/>
      <c r="H418" s="130"/>
    </row>
    <row r="419" spans="2:8" x14ac:dyDescent="0.3">
      <c r="B419" s="51"/>
      <c r="C419" s="86"/>
      <c r="D419" s="86"/>
      <c r="E419" s="133"/>
      <c r="F419" s="133"/>
      <c r="G419" s="130"/>
      <c r="H419" s="130"/>
    </row>
    <row r="420" spans="2:8" x14ac:dyDescent="0.3">
      <c r="B420" s="51"/>
      <c r="C420" s="86"/>
      <c r="D420" s="86"/>
      <c r="E420" s="133"/>
      <c r="F420" s="133"/>
      <c r="G420" s="130"/>
      <c r="H420" s="130"/>
    </row>
    <row r="421" spans="2:8" x14ac:dyDescent="0.3">
      <c r="B421" s="51"/>
      <c r="C421" s="86"/>
      <c r="D421" s="86"/>
      <c r="E421" s="133"/>
      <c r="F421" s="133"/>
      <c r="G421" s="130"/>
      <c r="H421" s="130"/>
    </row>
    <row r="422" spans="2:8" x14ac:dyDescent="0.3">
      <c r="B422" s="51"/>
      <c r="C422" s="86"/>
      <c r="D422" s="86"/>
      <c r="E422" s="133"/>
      <c r="F422" s="133"/>
      <c r="G422" s="130"/>
      <c r="H422" s="130"/>
    </row>
    <row r="423" spans="2:8" x14ac:dyDescent="0.3">
      <c r="B423" s="51"/>
      <c r="C423" s="86"/>
      <c r="D423" s="86"/>
      <c r="E423" s="133"/>
      <c r="F423" s="133"/>
      <c r="G423" s="130"/>
      <c r="H423" s="130"/>
    </row>
    <row r="424" spans="2:8" x14ac:dyDescent="0.3">
      <c r="B424" s="51"/>
      <c r="C424" s="86"/>
      <c r="D424" s="86"/>
      <c r="E424" s="133"/>
      <c r="F424" s="133"/>
      <c r="G424" s="130"/>
      <c r="H424" s="130"/>
    </row>
    <row r="425" spans="2:8" x14ac:dyDescent="0.3">
      <c r="B425" s="51"/>
      <c r="C425" s="86"/>
      <c r="D425" s="86"/>
      <c r="E425" s="133"/>
      <c r="F425" s="133"/>
      <c r="G425" s="130"/>
      <c r="H425" s="130"/>
    </row>
    <row r="426" spans="2:8" x14ac:dyDescent="0.3">
      <c r="B426" s="51"/>
      <c r="C426" s="86"/>
      <c r="D426" s="86"/>
      <c r="E426" s="133"/>
      <c r="F426" s="133"/>
      <c r="G426" s="130"/>
      <c r="H426" s="130"/>
    </row>
    <row r="427" spans="2:8" x14ac:dyDescent="0.3">
      <c r="B427" s="51"/>
      <c r="C427" s="86"/>
      <c r="D427" s="86"/>
      <c r="E427" s="133"/>
      <c r="F427" s="133"/>
      <c r="G427" s="130"/>
      <c r="H427" s="130"/>
    </row>
    <row r="428" spans="2:8" x14ac:dyDescent="0.3">
      <c r="B428" s="51"/>
      <c r="C428" s="86"/>
      <c r="D428" s="86"/>
      <c r="E428" s="133"/>
      <c r="F428" s="133"/>
      <c r="G428" s="130"/>
      <c r="H428" s="130"/>
    </row>
    <row r="429" spans="2:8" x14ac:dyDescent="0.3">
      <c r="B429" s="51"/>
      <c r="C429" s="86"/>
      <c r="D429" s="86"/>
      <c r="E429" s="133"/>
      <c r="F429" s="133"/>
      <c r="G429" s="130"/>
      <c r="H429" s="130"/>
    </row>
    <row r="430" spans="2:8" x14ac:dyDescent="0.3">
      <c r="B430" s="51"/>
      <c r="C430" s="86"/>
      <c r="D430" s="86"/>
      <c r="E430" s="133"/>
      <c r="F430" s="133"/>
      <c r="G430" s="130"/>
      <c r="H430" s="130"/>
    </row>
    <row r="431" spans="2:8" x14ac:dyDescent="0.3">
      <c r="B431" s="51"/>
      <c r="C431" s="86"/>
      <c r="D431" s="86"/>
      <c r="E431" s="133"/>
      <c r="F431" s="133"/>
      <c r="G431" s="130"/>
      <c r="H431" s="130"/>
    </row>
    <row r="432" spans="2:8" x14ac:dyDescent="0.3">
      <c r="B432" s="51"/>
      <c r="C432" s="86"/>
      <c r="D432" s="86"/>
      <c r="E432" s="133"/>
      <c r="F432" s="133"/>
      <c r="G432" s="130"/>
      <c r="H432" s="130"/>
    </row>
    <row r="433" spans="2:8" x14ac:dyDescent="0.3">
      <c r="B433" s="51"/>
      <c r="C433" s="86"/>
      <c r="D433" s="86"/>
      <c r="E433" s="133"/>
      <c r="F433" s="133"/>
      <c r="G433" s="130"/>
      <c r="H433" s="130"/>
    </row>
    <row r="434" spans="2:8" x14ac:dyDescent="0.3">
      <c r="B434" s="51"/>
      <c r="C434" s="86"/>
      <c r="D434" s="86"/>
      <c r="E434" s="133"/>
      <c r="F434" s="133"/>
      <c r="G434" s="130"/>
      <c r="H434" s="130"/>
    </row>
    <row r="435" spans="2:8" x14ac:dyDescent="0.3">
      <c r="B435" s="51"/>
      <c r="C435" s="86"/>
      <c r="D435" s="86"/>
      <c r="E435" s="133"/>
      <c r="F435" s="133"/>
      <c r="G435" s="130"/>
      <c r="H435" s="130"/>
    </row>
    <row r="436" spans="2:8" x14ac:dyDescent="0.3">
      <c r="B436" s="51"/>
      <c r="C436" s="86"/>
      <c r="D436" s="86"/>
      <c r="E436" s="133"/>
      <c r="F436" s="133"/>
      <c r="G436" s="130"/>
      <c r="H436" s="130"/>
    </row>
    <row r="437" spans="2:8" x14ac:dyDescent="0.3">
      <c r="B437" s="51"/>
      <c r="C437" s="86"/>
      <c r="D437" s="86"/>
      <c r="E437" s="133"/>
      <c r="F437" s="133"/>
      <c r="G437" s="130"/>
      <c r="H437" s="130"/>
    </row>
    <row r="438" spans="2:8" x14ac:dyDescent="0.3">
      <c r="B438" s="51"/>
      <c r="C438" s="86"/>
      <c r="D438" s="86"/>
      <c r="E438" s="133"/>
      <c r="F438" s="133"/>
      <c r="G438" s="130"/>
      <c r="H438" s="130"/>
    </row>
    <row r="439" spans="2:8" x14ac:dyDescent="0.3">
      <c r="B439" s="51"/>
      <c r="C439" s="86"/>
      <c r="D439" s="86"/>
      <c r="E439" s="133"/>
      <c r="F439" s="133"/>
      <c r="G439" s="130"/>
      <c r="H439" s="130"/>
    </row>
    <row r="440" spans="2:8" x14ac:dyDescent="0.3">
      <c r="B440" s="51"/>
      <c r="C440" s="86"/>
      <c r="D440" s="86"/>
      <c r="E440" s="133"/>
      <c r="F440" s="133"/>
      <c r="G440" s="130"/>
      <c r="H440" s="130"/>
    </row>
    <row r="441" spans="2:8" x14ac:dyDescent="0.3">
      <c r="B441" s="51"/>
      <c r="C441" s="86"/>
      <c r="D441" s="86"/>
      <c r="E441" s="133"/>
      <c r="F441" s="133"/>
      <c r="G441" s="130"/>
      <c r="H441" s="130"/>
    </row>
    <row r="442" spans="2:8" x14ac:dyDescent="0.3">
      <c r="B442" s="51"/>
      <c r="C442" s="86"/>
      <c r="D442" s="86"/>
      <c r="E442" s="133"/>
      <c r="F442" s="133"/>
      <c r="G442" s="130"/>
      <c r="H442" s="130"/>
    </row>
    <row r="443" spans="2:8" x14ac:dyDescent="0.3">
      <c r="B443" s="51"/>
      <c r="C443" s="86"/>
      <c r="D443" s="86"/>
      <c r="E443" s="133"/>
      <c r="F443" s="133"/>
      <c r="G443" s="130"/>
      <c r="H443" s="130"/>
    </row>
    <row r="444" spans="2:8" x14ac:dyDescent="0.3">
      <c r="B444" s="51"/>
      <c r="C444" s="86"/>
      <c r="D444" s="86"/>
      <c r="E444" s="133"/>
      <c r="F444" s="133"/>
      <c r="G444" s="130"/>
      <c r="H444" s="130"/>
    </row>
    <row r="445" spans="2:8" x14ac:dyDescent="0.3">
      <c r="B445" s="51"/>
      <c r="C445" s="86"/>
      <c r="D445" s="86"/>
      <c r="E445" s="133"/>
      <c r="F445" s="133"/>
      <c r="G445" s="130"/>
      <c r="H445" s="130"/>
    </row>
    <row r="446" spans="2:8" x14ac:dyDescent="0.3">
      <c r="B446" s="51"/>
      <c r="C446" s="86"/>
      <c r="D446" s="86"/>
      <c r="E446" s="133"/>
      <c r="F446" s="133"/>
      <c r="G446" s="130"/>
      <c r="H446" s="130"/>
    </row>
    <row r="447" spans="2:8" x14ac:dyDescent="0.3">
      <c r="B447" s="51"/>
      <c r="C447" s="86"/>
      <c r="D447" s="86"/>
      <c r="E447" s="133"/>
      <c r="F447" s="133"/>
      <c r="G447" s="130"/>
      <c r="H447" s="130"/>
    </row>
    <row r="448" spans="2:8" x14ac:dyDescent="0.3">
      <c r="B448" s="51"/>
      <c r="C448" s="86"/>
      <c r="D448" s="86"/>
      <c r="E448" s="133"/>
      <c r="F448" s="133"/>
      <c r="G448" s="130"/>
      <c r="H448" s="130"/>
    </row>
    <row r="449" spans="2:8" x14ac:dyDescent="0.3">
      <c r="B449" s="51"/>
      <c r="C449" s="86"/>
      <c r="D449" s="86"/>
      <c r="E449" s="133"/>
      <c r="F449" s="133"/>
      <c r="G449" s="130"/>
      <c r="H449" s="130"/>
    </row>
    <row r="450" spans="2:8" x14ac:dyDescent="0.3">
      <c r="B450" s="51"/>
      <c r="C450" s="86"/>
      <c r="D450" s="86"/>
      <c r="E450" s="133"/>
      <c r="F450" s="133"/>
      <c r="G450" s="130"/>
      <c r="H450" s="130"/>
    </row>
    <row r="451" spans="2:8" x14ac:dyDescent="0.3">
      <c r="B451" s="51"/>
      <c r="C451" s="86"/>
      <c r="D451" s="86"/>
      <c r="E451" s="133"/>
      <c r="F451" s="133"/>
      <c r="G451" s="130"/>
      <c r="H451" s="130"/>
    </row>
    <row r="452" spans="2:8" x14ac:dyDescent="0.3">
      <c r="B452" s="51"/>
      <c r="C452" s="86"/>
      <c r="D452" s="86"/>
      <c r="E452" s="133"/>
      <c r="F452" s="133"/>
      <c r="G452" s="130"/>
      <c r="H452" s="130"/>
    </row>
    <row r="453" spans="2:8" x14ac:dyDescent="0.3">
      <c r="B453" s="51"/>
      <c r="C453" s="86"/>
      <c r="D453" s="86"/>
      <c r="E453" s="133"/>
      <c r="F453" s="133"/>
      <c r="G453" s="130"/>
      <c r="H453" s="130"/>
    </row>
    <row r="454" spans="2:8" x14ac:dyDescent="0.3">
      <c r="B454" s="51"/>
      <c r="C454" s="86"/>
      <c r="D454" s="86"/>
      <c r="E454" s="133"/>
      <c r="F454" s="133"/>
      <c r="G454" s="130"/>
      <c r="H454" s="130"/>
    </row>
    <row r="455" spans="2:8" x14ac:dyDescent="0.3">
      <c r="B455" s="51"/>
      <c r="C455" s="86"/>
      <c r="D455" s="86"/>
      <c r="E455" s="133"/>
      <c r="F455" s="133"/>
      <c r="G455" s="130"/>
      <c r="H455" s="130"/>
    </row>
    <row r="456" spans="2:8" x14ac:dyDescent="0.3">
      <c r="B456" s="51"/>
      <c r="C456" s="86"/>
      <c r="D456" s="86"/>
      <c r="E456" s="133"/>
      <c r="F456" s="133"/>
      <c r="G456" s="130"/>
      <c r="H456" s="130"/>
    </row>
    <row r="457" spans="2:8" x14ac:dyDescent="0.3">
      <c r="B457" s="51"/>
      <c r="C457" s="86"/>
      <c r="D457" s="86"/>
      <c r="E457" s="133"/>
      <c r="F457" s="133"/>
      <c r="G457" s="130"/>
      <c r="H457" s="130"/>
    </row>
    <row r="458" spans="2:8" x14ac:dyDescent="0.3">
      <c r="B458" s="51"/>
      <c r="C458" s="86"/>
      <c r="D458" s="86"/>
      <c r="E458" s="133"/>
      <c r="F458" s="133"/>
      <c r="G458" s="130"/>
      <c r="H458" s="130"/>
    </row>
    <row r="459" spans="2:8" x14ac:dyDescent="0.3">
      <c r="B459" s="51"/>
      <c r="C459" s="86"/>
      <c r="D459" s="86"/>
      <c r="E459" s="133"/>
      <c r="F459" s="133"/>
      <c r="G459" s="130"/>
      <c r="H459" s="130"/>
    </row>
    <row r="460" spans="2:8" x14ac:dyDescent="0.3">
      <c r="B460" s="51"/>
      <c r="C460" s="86"/>
      <c r="D460" s="86"/>
      <c r="E460" s="133"/>
      <c r="F460" s="133"/>
      <c r="G460" s="130"/>
      <c r="H460" s="130"/>
    </row>
    <row r="461" spans="2:8" x14ac:dyDescent="0.3">
      <c r="B461" s="51"/>
      <c r="C461" s="86"/>
      <c r="D461" s="86"/>
      <c r="E461" s="133"/>
      <c r="F461" s="133"/>
      <c r="G461" s="130"/>
      <c r="H461" s="130"/>
    </row>
    <row r="462" spans="2:8" x14ac:dyDescent="0.3">
      <c r="B462" s="51"/>
      <c r="C462" s="86"/>
      <c r="D462" s="86"/>
      <c r="E462" s="133"/>
      <c r="F462" s="133"/>
      <c r="G462" s="130"/>
      <c r="H462" s="130"/>
    </row>
    <row r="463" spans="2:8" x14ac:dyDescent="0.3">
      <c r="B463" s="51"/>
      <c r="C463" s="86"/>
      <c r="D463" s="86"/>
      <c r="E463" s="133"/>
      <c r="F463" s="133"/>
      <c r="G463" s="130"/>
      <c r="H463" s="130"/>
    </row>
    <row r="464" spans="2:8" x14ac:dyDescent="0.3">
      <c r="B464" s="51"/>
      <c r="C464" s="86"/>
      <c r="D464" s="86"/>
      <c r="E464" s="133"/>
      <c r="F464" s="133"/>
      <c r="G464" s="130"/>
      <c r="H464" s="130"/>
    </row>
    <row r="465" spans="2:8" x14ac:dyDescent="0.3">
      <c r="B465" s="51"/>
      <c r="C465" s="86"/>
      <c r="D465" s="86"/>
      <c r="E465" s="133"/>
      <c r="F465" s="133"/>
      <c r="G465" s="130"/>
      <c r="H465" s="130"/>
    </row>
    <row r="466" spans="2:8" x14ac:dyDescent="0.3">
      <c r="B466" s="51"/>
      <c r="C466" s="86"/>
      <c r="D466" s="86"/>
      <c r="E466" s="133"/>
      <c r="F466" s="133"/>
      <c r="G466" s="130"/>
      <c r="H466" s="130"/>
    </row>
    <row r="467" spans="2:8" x14ac:dyDescent="0.3">
      <c r="B467" s="51"/>
      <c r="C467" s="86"/>
      <c r="D467" s="86"/>
      <c r="E467" s="133"/>
      <c r="F467" s="133"/>
      <c r="G467" s="130"/>
      <c r="H467" s="130"/>
    </row>
    <row r="468" spans="2:8" x14ac:dyDescent="0.3">
      <c r="B468" s="51"/>
      <c r="C468" s="86"/>
      <c r="D468" s="86"/>
      <c r="E468" s="133"/>
      <c r="F468" s="133"/>
      <c r="G468" s="130"/>
      <c r="H468" s="130"/>
    </row>
    <row r="469" spans="2:8" x14ac:dyDescent="0.3">
      <c r="B469" s="51"/>
      <c r="C469" s="86"/>
      <c r="D469" s="86"/>
      <c r="E469" s="133"/>
      <c r="F469" s="133"/>
      <c r="G469" s="130"/>
      <c r="H469" s="130"/>
    </row>
    <row r="470" spans="2:8" x14ac:dyDescent="0.3">
      <c r="B470" s="51"/>
      <c r="C470" s="86"/>
      <c r="D470" s="86"/>
      <c r="E470" s="133"/>
      <c r="F470" s="133"/>
      <c r="G470" s="130"/>
      <c r="H470" s="130"/>
    </row>
    <row r="471" spans="2:8" x14ac:dyDescent="0.3">
      <c r="B471" s="51"/>
      <c r="C471" s="86"/>
      <c r="D471" s="86"/>
      <c r="E471" s="133"/>
      <c r="F471" s="133"/>
      <c r="G471" s="130"/>
      <c r="H471" s="130"/>
    </row>
    <row r="472" spans="2:8" x14ac:dyDescent="0.3">
      <c r="B472" s="51"/>
      <c r="C472" s="86"/>
      <c r="D472" s="86"/>
      <c r="E472" s="133"/>
      <c r="F472" s="133"/>
      <c r="G472" s="130"/>
      <c r="H472" s="130"/>
    </row>
    <row r="473" spans="2:8" x14ac:dyDescent="0.3">
      <c r="B473" s="51"/>
      <c r="C473" s="86"/>
      <c r="D473" s="86"/>
      <c r="E473" s="133"/>
      <c r="F473" s="133"/>
      <c r="G473" s="130"/>
      <c r="H473" s="130"/>
    </row>
    <row r="474" spans="2:8" x14ac:dyDescent="0.3">
      <c r="B474" s="51"/>
      <c r="C474" s="86"/>
      <c r="D474" s="86"/>
      <c r="E474" s="133"/>
      <c r="F474" s="133"/>
      <c r="G474" s="130"/>
      <c r="H474" s="130"/>
    </row>
    <row r="475" spans="2:8" x14ac:dyDescent="0.3">
      <c r="B475" s="51"/>
      <c r="C475" s="86"/>
      <c r="D475" s="86"/>
      <c r="E475" s="133"/>
      <c r="F475" s="133"/>
      <c r="G475" s="130"/>
      <c r="H475" s="130"/>
    </row>
    <row r="476" spans="2:8" x14ac:dyDescent="0.3">
      <c r="B476" s="51"/>
      <c r="C476" s="86"/>
      <c r="D476" s="86"/>
      <c r="E476" s="133"/>
      <c r="F476" s="133"/>
      <c r="G476" s="130"/>
      <c r="H476" s="130"/>
    </row>
    <row r="477" spans="2:8" x14ac:dyDescent="0.3">
      <c r="B477" s="51"/>
      <c r="C477" s="86"/>
      <c r="D477" s="86"/>
      <c r="E477" s="133"/>
      <c r="F477" s="133"/>
      <c r="G477" s="130"/>
      <c r="H477" s="130"/>
    </row>
    <row r="478" spans="2:8" x14ac:dyDescent="0.3">
      <c r="B478" s="51"/>
      <c r="C478" s="86"/>
      <c r="D478" s="86"/>
      <c r="E478" s="133"/>
      <c r="F478" s="133"/>
      <c r="G478" s="130"/>
      <c r="H478" s="130"/>
    </row>
    <row r="479" spans="2:8" x14ac:dyDescent="0.3">
      <c r="B479" s="51"/>
      <c r="C479" s="86"/>
      <c r="D479" s="86"/>
      <c r="E479" s="133"/>
      <c r="F479" s="133"/>
      <c r="G479" s="130"/>
      <c r="H479" s="130"/>
    </row>
    <row r="480" spans="2:8" x14ac:dyDescent="0.3">
      <c r="B480" s="51"/>
      <c r="C480" s="86"/>
      <c r="D480" s="86"/>
      <c r="E480" s="133"/>
      <c r="F480" s="133"/>
      <c r="G480" s="130"/>
      <c r="H480" s="130"/>
    </row>
    <row r="481" spans="2:8" x14ac:dyDescent="0.3">
      <c r="B481" s="51"/>
      <c r="C481" s="86"/>
      <c r="D481" s="86"/>
      <c r="E481" s="133"/>
      <c r="F481" s="133"/>
      <c r="G481" s="130"/>
      <c r="H481" s="130"/>
    </row>
    <row r="482" spans="2:8" x14ac:dyDescent="0.3">
      <c r="B482" s="51"/>
      <c r="C482" s="86"/>
      <c r="D482" s="86"/>
      <c r="E482" s="133"/>
      <c r="F482" s="133"/>
      <c r="G482" s="130"/>
      <c r="H482" s="130"/>
    </row>
    <row r="483" spans="2:8" x14ac:dyDescent="0.3">
      <c r="B483" s="51"/>
      <c r="C483" s="86"/>
      <c r="D483" s="86"/>
      <c r="E483" s="133"/>
      <c r="F483" s="133"/>
      <c r="G483" s="130"/>
      <c r="H483" s="130"/>
    </row>
    <row r="484" spans="2:8" x14ac:dyDescent="0.3">
      <c r="B484" s="51"/>
      <c r="C484" s="86"/>
      <c r="D484" s="86"/>
      <c r="E484" s="133"/>
      <c r="F484" s="133"/>
      <c r="G484" s="130"/>
      <c r="H484" s="130"/>
    </row>
    <row r="485" spans="2:8" x14ac:dyDescent="0.3">
      <c r="B485" s="51"/>
      <c r="C485" s="86"/>
      <c r="D485" s="86"/>
      <c r="E485" s="133"/>
      <c r="F485" s="133"/>
      <c r="G485" s="130"/>
      <c r="H485" s="130"/>
    </row>
    <row r="486" spans="2:8" x14ac:dyDescent="0.3">
      <c r="B486" s="51"/>
      <c r="C486" s="86"/>
      <c r="D486" s="86"/>
      <c r="E486" s="133"/>
      <c r="F486" s="133"/>
      <c r="G486" s="130"/>
      <c r="H486" s="130"/>
    </row>
    <row r="487" spans="2:8" x14ac:dyDescent="0.3">
      <c r="B487" s="51"/>
      <c r="C487" s="86"/>
      <c r="D487" s="86"/>
      <c r="E487" s="133"/>
      <c r="F487" s="133"/>
      <c r="G487" s="130"/>
      <c r="H487" s="130"/>
    </row>
    <row r="488" spans="2:8" x14ac:dyDescent="0.3">
      <c r="B488" s="51"/>
      <c r="C488" s="86"/>
      <c r="D488" s="86"/>
      <c r="E488" s="133"/>
      <c r="F488" s="133"/>
      <c r="G488" s="130"/>
      <c r="H488" s="130"/>
    </row>
    <row r="489" spans="2:8" x14ac:dyDescent="0.3">
      <c r="B489" s="51"/>
      <c r="C489" s="86"/>
      <c r="D489" s="86"/>
      <c r="E489" s="133"/>
      <c r="F489" s="133"/>
      <c r="G489" s="130"/>
      <c r="H489" s="130"/>
    </row>
    <row r="490" spans="2:8" x14ac:dyDescent="0.3">
      <c r="B490" s="51"/>
      <c r="C490" s="86"/>
      <c r="D490" s="86"/>
      <c r="E490" s="133"/>
      <c r="F490" s="133"/>
      <c r="G490" s="130"/>
      <c r="H490" s="130"/>
    </row>
    <row r="491" spans="2:8" x14ac:dyDescent="0.3">
      <c r="B491" s="51"/>
      <c r="C491" s="86"/>
      <c r="D491" s="86"/>
      <c r="E491" s="133"/>
      <c r="F491" s="133"/>
      <c r="G491" s="130"/>
      <c r="H491" s="130"/>
    </row>
    <row r="492" spans="2:8" x14ac:dyDescent="0.3">
      <c r="B492" s="51"/>
      <c r="C492" s="86"/>
      <c r="D492" s="86"/>
      <c r="E492" s="133"/>
      <c r="F492" s="133"/>
      <c r="G492" s="130"/>
      <c r="H492" s="130"/>
    </row>
    <row r="493" spans="2:8" x14ac:dyDescent="0.3">
      <c r="B493" s="51"/>
      <c r="C493" s="86"/>
      <c r="D493" s="86"/>
      <c r="E493" s="133"/>
      <c r="F493" s="133"/>
      <c r="G493" s="130"/>
      <c r="H493" s="130"/>
    </row>
    <row r="494" spans="2:8" x14ac:dyDescent="0.3">
      <c r="B494" s="51"/>
      <c r="C494" s="86"/>
      <c r="D494" s="86"/>
      <c r="E494" s="133"/>
      <c r="F494" s="133"/>
      <c r="G494" s="130"/>
      <c r="H494" s="130"/>
    </row>
    <row r="495" spans="2:8" x14ac:dyDescent="0.3">
      <c r="B495" s="51"/>
      <c r="C495" s="86"/>
      <c r="D495" s="86"/>
      <c r="E495" s="133"/>
      <c r="F495" s="133"/>
      <c r="G495" s="130"/>
      <c r="H495" s="130"/>
    </row>
    <row r="496" spans="2:8" x14ac:dyDescent="0.3">
      <c r="B496" s="51"/>
      <c r="C496" s="86"/>
      <c r="D496" s="86"/>
      <c r="E496" s="133"/>
      <c r="F496" s="133"/>
      <c r="G496" s="130"/>
      <c r="H496" s="130"/>
    </row>
    <row r="497" spans="2:8" x14ac:dyDescent="0.3">
      <c r="B497" s="51"/>
      <c r="C497" s="86"/>
      <c r="D497" s="86"/>
      <c r="E497" s="133"/>
      <c r="F497" s="133"/>
      <c r="G497" s="130"/>
      <c r="H497" s="130"/>
    </row>
    <row r="498" spans="2:8" x14ac:dyDescent="0.3">
      <c r="B498" s="51"/>
      <c r="C498" s="86"/>
      <c r="D498" s="86"/>
      <c r="E498" s="133"/>
      <c r="F498" s="133"/>
      <c r="G498" s="130"/>
      <c r="H498" s="130"/>
    </row>
    <row r="499" spans="2:8" x14ac:dyDescent="0.3">
      <c r="B499" s="51"/>
      <c r="C499" s="86"/>
      <c r="D499" s="86"/>
      <c r="E499" s="133"/>
      <c r="F499" s="133"/>
      <c r="G499" s="130"/>
      <c r="H499" s="130"/>
    </row>
    <row r="500" spans="2:8" x14ac:dyDescent="0.3">
      <c r="B500" s="51"/>
      <c r="C500" s="86"/>
      <c r="D500" s="86"/>
      <c r="E500" s="133"/>
      <c r="F500" s="133"/>
      <c r="G500" s="130"/>
      <c r="H500" s="130"/>
    </row>
    <row r="501" spans="2:8" x14ac:dyDescent="0.3">
      <c r="B501" s="51"/>
      <c r="C501" s="86"/>
      <c r="D501" s="86"/>
      <c r="E501" s="133"/>
      <c r="F501" s="133"/>
      <c r="G501" s="130"/>
      <c r="H501" s="130"/>
    </row>
    <row r="502" spans="2:8" x14ac:dyDescent="0.3">
      <c r="B502" s="51"/>
      <c r="C502" s="86"/>
      <c r="D502" s="86"/>
      <c r="E502" s="133"/>
      <c r="F502" s="133"/>
      <c r="G502" s="130"/>
      <c r="H502" s="130"/>
    </row>
    <row r="503" spans="2:8" x14ac:dyDescent="0.3">
      <c r="B503" s="51"/>
      <c r="C503" s="86"/>
      <c r="D503" s="86"/>
      <c r="E503" s="133"/>
      <c r="F503" s="133"/>
      <c r="G503" s="130"/>
      <c r="H503" s="130"/>
    </row>
    <row r="504" spans="2:8" x14ac:dyDescent="0.3">
      <c r="B504" s="51"/>
      <c r="C504" s="86"/>
      <c r="D504" s="86"/>
      <c r="E504" s="133"/>
      <c r="F504" s="133"/>
      <c r="G504" s="130"/>
      <c r="H504" s="130"/>
    </row>
    <row r="505" spans="2:8" x14ac:dyDescent="0.3">
      <c r="B505" s="51"/>
      <c r="C505" s="86"/>
      <c r="D505" s="86"/>
      <c r="E505" s="133"/>
      <c r="F505" s="133"/>
      <c r="G505" s="130"/>
      <c r="H505" s="130"/>
    </row>
    <row r="506" spans="2:8" x14ac:dyDescent="0.3">
      <c r="B506" s="51"/>
      <c r="C506" s="86"/>
      <c r="D506" s="86"/>
      <c r="E506" s="133"/>
      <c r="F506" s="133"/>
      <c r="G506" s="130"/>
      <c r="H506" s="130"/>
    </row>
    <row r="507" spans="2:8" x14ac:dyDescent="0.3">
      <c r="B507" s="51"/>
      <c r="C507" s="86"/>
      <c r="D507" s="86"/>
      <c r="E507" s="133"/>
      <c r="F507" s="133"/>
      <c r="G507" s="130"/>
      <c r="H507" s="130"/>
    </row>
    <row r="508" spans="2:8" x14ac:dyDescent="0.3">
      <c r="B508" s="51"/>
      <c r="C508" s="86"/>
      <c r="D508" s="86"/>
      <c r="E508" s="133"/>
      <c r="F508" s="133"/>
      <c r="G508" s="130"/>
      <c r="H508" s="130"/>
    </row>
    <row r="509" spans="2:8" x14ac:dyDescent="0.3">
      <c r="B509" s="51"/>
      <c r="C509" s="86"/>
      <c r="D509" s="86"/>
      <c r="E509" s="133"/>
      <c r="F509" s="133"/>
      <c r="G509" s="130"/>
      <c r="H509" s="130"/>
    </row>
    <row r="510" spans="2:8" x14ac:dyDescent="0.3">
      <c r="B510" s="51"/>
      <c r="C510" s="86"/>
      <c r="D510" s="86"/>
      <c r="E510" s="133"/>
      <c r="F510" s="133"/>
      <c r="G510" s="130"/>
      <c r="H510" s="130"/>
    </row>
    <row r="511" spans="2:8" x14ac:dyDescent="0.3">
      <c r="B511" s="51"/>
      <c r="C511" s="86"/>
      <c r="D511" s="86"/>
      <c r="E511" s="133"/>
      <c r="F511" s="133"/>
      <c r="G511" s="130"/>
      <c r="H511" s="130"/>
    </row>
    <row r="512" spans="2:8" x14ac:dyDescent="0.3">
      <c r="B512" s="51"/>
      <c r="C512" s="86"/>
      <c r="D512" s="86"/>
      <c r="E512" s="133"/>
      <c r="F512" s="133"/>
      <c r="G512" s="130"/>
      <c r="H512" s="130"/>
    </row>
    <row r="513" spans="2:8" x14ac:dyDescent="0.3">
      <c r="B513" s="51"/>
      <c r="C513" s="86"/>
      <c r="D513" s="86"/>
      <c r="E513" s="133"/>
      <c r="F513" s="133"/>
      <c r="G513" s="130"/>
      <c r="H513" s="130"/>
    </row>
    <row r="514" spans="2:8" x14ac:dyDescent="0.3">
      <c r="B514" s="51"/>
      <c r="C514" s="86"/>
      <c r="D514" s="86"/>
      <c r="E514" s="133"/>
      <c r="F514" s="133"/>
      <c r="G514" s="130"/>
      <c r="H514" s="130"/>
    </row>
    <row r="515" spans="2:8" x14ac:dyDescent="0.3">
      <c r="B515" s="51"/>
      <c r="C515" s="86"/>
      <c r="D515" s="86"/>
      <c r="E515" s="133"/>
      <c r="F515" s="133"/>
      <c r="G515" s="130"/>
      <c r="H515" s="130"/>
    </row>
    <row r="516" spans="2:8" x14ac:dyDescent="0.3">
      <c r="B516" s="51"/>
      <c r="C516" s="86"/>
      <c r="D516" s="86"/>
      <c r="E516" s="133"/>
      <c r="F516" s="133"/>
      <c r="G516" s="130"/>
      <c r="H516" s="130"/>
    </row>
    <row r="517" spans="2:8" x14ac:dyDescent="0.3">
      <c r="B517" s="51"/>
      <c r="C517" s="86"/>
      <c r="D517" s="86"/>
      <c r="E517" s="133"/>
      <c r="F517" s="133"/>
      <c r="G517" s="130"/>
      <c r="H517" s="130"/>
    </row>
    <row r="518" spans="2:8" x14ac:dyDescent="0.3">
      <c r="B518" s="51"/>
      <c r="C518" s="86"/>
      <c r="D518" s="86"/>
      <c r="E518" s="133"/>
      <c r="F518" s="133"/>
      <c r="G518" s="130"/>
      <c r="H518" s="130"/>
    </row>
    <row r="519" spans="2:8" x14ac:dyDescent="0.3">
      <c r="B519" s="51"/>
      <c r="C519" s="86"/>
      <c r="D519" s="86"/>
      <c r="E519" s="133"/>
      <c r="F519" s="133"/>
      <c r="G519" s="130"/>
      <c r="H519" s="130"/>
    </row>
    <row r="520" spans="2:8" x14ac:dyDescent="0.3">
      <c r="B520" s="51"/>
      <c r="C520" s="86"/>
      <c r="D520" s="86"/>
      <c r="E520" s="133"/>
      <c r="F520" s="133"/>
      <c r="G520" s="130"/>
      <c r="H520" s="130"/>
    </row>
    <row r="521" spans="2:8" x14ac:dyDescent="0.3">
      <c r="B521" s="51"/>
      <c r="C521" s="86"/>
      <c r="D521" s="86"/>
      <c r="E521" s="133"/>
      <c r="F521" s="133"/>
      <c r="G521" s="130"/>
      <c r="H521" s="130"/>
    </row>
    <row r="522" spans="2:8" x14ac:dyDescent="0.3">
      <c r="B522" s="51"/>
      <c r="C522" s="86"/>
      <c r="D522" s="86"/>
      <c r="E522" s="133"/>
      <c r="F522" s="133"/>
      <c r="G522" s="130"/>
      <c r="H522" s="130"/>
    </row>
    <row r="523" spans="2:8" x14ac:dyDescent="0.3">
      <c r="B523" s="51"/>
      <c r="C523" s="86"/>
      <c r="D523" s="86"/>
      <c r="E523" s="133"/>
      <c r="F523" s="133"/>
      <c r="G523" s="130"/>
    </row>
    <row r="524" spans="2:8" hidden="1" x14ac:dyDescent="0.3">
      <c r="B524" s="86"/>
      <c r="C524" s="86"/>
      <c r="D524" s="86"/>
    </row>
    <row r="525" spans="2:8" hidden="1" x14ac:dyDescent="0.3">
      <c r="B525" s="86"/>
      <c r="C525" s="86"/>
      <c r="D525" s="86"/>
    </row>
    <row r="526" spans="2:8" hidden="1" x14ac:dyDescent="0.3">
      <c r="B526" s="86"/>
      <c r="C526" s="86"/>
      <c r="D526" s="86"/>
    </row>
    <row r="527" spans="2:8" hidden="1" x14ac:dyDescent="0.3">
      <c r="B527" s="86"/>
      <c r="C527" s="86"/>
      <c r="D527" s="86"/>
    </row>
    <row r="528" spans="2:8" hidden="1" x14ac:dyDescent="0.3">
      <c r="B528" s="86"/>
      <c r="C528" s="86"/>
      <c r="D528" s="86"/>
    </row>
    <row r="529" spans="2:4" hidden="1" x14ac:dyDescent="0.3">
      <c r="B529" s="86"/>
      <c r="C529" s="86"/>
      <c r="D529" s="86"/>
    </row>
    <row r="530" spans="2:4" hidden="1" x14ac:dyDescent="0.3">
      <c r="B530" s="86"/>
      <c r="C530" s="86"/>
      <c r="D530" s="86"/>
    </row>
    <row r="531" spans="2:4" hidden="1" x14ac:dyDescent="0.3">
      <c r="B531" s="86"/>
      <c r="C531" s="86"/>
      <c r="D531" s="86"/>
    </row>
    <row r="532" spans="2:4" hidden="1" x14ac:dyDescent="0.3">
      <c r="B532" s="86"/>
      <c r="C532" s="86"/>
      <c r="D532" s="86"/>
    </row>
    <row r="533" spans="2:4" hidden="1" x14ac:dyDescent="0.3">
      <c r="B533" s="86"/>
      <c r="C533" s="86"/>
      <c r="D533" s="86"/>
    </row>
    <row r="534" spans="2:4" hidden="1" x14ac:dyDescent="0.3">
      <c r="B534" s="86"/>
      <c r="C534" s="86"/>
      <c r="D534" s="86"/>
    </row>
    <row r="535" spans="2:4" hidden="1" x14ac:dyDescent="0.3">
      <c r="B535" s="86"/>
      <c r="C535" s="86"/>
      <c r="D535" s="86"/>
    </row>
    <row r="536" spans="2:4" hidden="1" x14ac:dyDescent="0.3">
      <c r="B536" s="86"/>
      <c r="C536" s="86"/>
      <c r="D536" s="86"/>
    </row>
    <row r="537" spans="2:4" hidden="1" x14ac:dyDescent="0.3">
      <c r="B537" s="86"/>
      <c r="C537" s="86"/>
      <c r="D537" s="86"/>
    </row>
    <row r="538" spans="2:4" hidden="1" x14ac:dyDescent="0.3">
      <c r="B538" s="86"/>
      <c r="C538" s="86"/>
      <c r="D538" s="86"/>
    </row>
    <row r="539" spans="2:4" hidden="1" x14ac:dyDescent="0.3">
      <c r="B539" s="86"/>
      <c r="C539" s="86"/>
      <c r="D539" s="86"/>
    </row>
    <row r="540" spans="2:4" hidden="1" x14ac:dyDescent="0.3">
      <c r="B540" s="86"/>
      <c r="C540" s="86"/>
      <c r="D540" s="86"/>
    </row>
    <row r="541" spans="2:4" hidden="1" x14ac:dyDescent="0.3">
      <c r="B541" s="86"/>
      <c r="C541" s="86"/>
      <c r="D541" s="86"/>
    </row>
    <row r="542" spans="2:4" hidden="1" x14ac:dyDescent="0.3">
      <c r="B542" s="86"/>
      <c r="C542" s="86"/>
      <c r="D542" s="86"/>
    </row>
    <row r="543" spans="2:4" hidden="1" x14ac:dyDescent="0.3">
      <c r="B543" s="86"/>
      <c r="C543" s="86"/>
      <c r="D543" s="86"/>
    </row>
    <row r="544" spans="2:4" hidden="1" x14ac:dyDescent="0.3">
      <c r="B544" s="86"/>
      <c r="C544" s="86"/>
      <c r="D544" s="86"/>
    </row>
    <row r="545" spans="2:4" hidden="1" x14ac:dyDescent="0.3">
      <c r="B545" s="86"/>
      <c r="C545" s="86"/>
      <c r="D545" s="86"/>
    </row>
    <row r="546" spans="2:4" hidden="1" x14ac:dyDescent="0.3">
      <c r="B546" s="86"/>
      <c r="C546" s="86"/>
      <c r="D546" s="86"/>
    </row>
    <row r="547" spans="2:4" hidden="1" x14ac:dyDescent="0.3">
      <c r="B547" s="86"/>
      <c r="C547" s="86"/>
      <c r="D547" s="86"/>
    </row>
    <row r="548" spans="2:4" hidden="1" x14ac:dyDescent="0.3">
      <c r="B548" s="86"/>
      <c r="C548" s="86"/>
      <c r="D548" s="86"/>
    </row>
    <row r="549" spans="2:4" hidden="1" x14ac:dyDescent="0.3">
      <c r="B549" s="86"/>
      <c r="C549" s="86"/>
      <c r="D549" s="86"/>
    </row>
    <row r="550" spans="2:4" hidden="1" x14ac:dyDescent="0.3">
      <c r="B550" s="86"/>
      <c r="C550" s="86"/>
      <c r="D550" s="86"/>
    </row>
    <row r="551" spans="2:4" hidden="1" x14ac:dyDescent="0.3">
      <c r="B551" s="86"/>
      <c r="C551" s="86"/>
      <c r="D551" s="86"/>
    </row>
    <row r="552" spans="2:4" hidden="1" x14ac:dyDescent="0.3">
      <c r="B552" s="86"/>
      <c r="C552" s="86"/>
      <c r="D552" s="86"/>
    </row>
    <row r="553" spans="2:4" hidden="1" x14ac:dyDescent="0.3">
      <c r="B553" s="86"/>
      <c r="C553" s="86"/>
      <c r="D553" s="86"/>
    </row>
    <row r="554" spans="2:4" hidden="1" x14ac:dyDescent="0.3">
      <c r="B554" s="86"/>
      <c r="C554" s="86"/>
      <c r="D554" s="86"/>
    </row>
    <row r="555" spans="2:4" hidden="1" x14ac:dyDescent="0.3">
      <c r="B555" s="86"/>
      <c r="C555" s="86"/>
      <c r="D555" s="86"/>
    </row>
    <row r="556" spans="2:4" hidden="1" x14ac:dyDescent="0.3">
      <c r="B556" s="86"/>
      <c r="C556" s="86"/>
      <c r="D556" s="86"/>
    </row>
    <row r="557" spans="2:4" hidden="1" x14ac:dyDescent="0.3">
      <c r="B557" s="86"/>
      <c r="C557" s="86"/>
      <c r="D557" s="86"/>
    </row>
    <row r="558" spans="2:4" hidden="1" x14ac:dyDescent="0.3">
      <c r="B558" s="86"/>
      <c r="C558" s="86"/>
      <c r="D558" s="86"/>
    </row>
    <row r="559" spans="2:4" hidden="1" x14ac:dyDescent="0.3">
      <c r="B559" s="86"/>
      <c r="C559" s="86"/>
      <c r="D559" s="86"/>
    </row>
    <row r="560" spans="2:4" hidden="1" x14ac:dyDescent="0.3">
      <c r="B560" s="86"/>
      <c r="C560" s="86"/>
      <c r="D560" s="86"/>
    </row>
    <row r="561" spans="2:4" hidden="1" x14ac:dyDescent="0.3">
      <c r="B561" s="86"/>
      <c r="C561" s="86"/>
      <c r="D561" s="86"/>
    </row>
    <row r="562" spans="2:4" hidden="1" x14ac:dyDescent="0.3">
      <c r="B562" s="86"/>
      <c r="C562" s="86"/>
      <c r="D562" s="86"/>
    </row>
    <row r="563" spans="2:4" hidden="1" x14ac:dyDescent="0.3">
      <c r="B563" s="86"/>
      <c r="C563" s="86"/>
      <c r="D563" s="86"/>
    </row>
    <row r="564" spans="2:4" hidden="1" x14ac:dyDescent="0.3">
      <c r="B564" s="86"/>
      <c r="C564" s="86"/>
      <c r="D564" s="86"/>
    </row>
    <row r="565" spans="2:4" hidden="1" x14ac:dyDescent="0.3">
      <c r="B565" s="86"/>
      <c r="C565" s="86"/>
      <c r="D565" s="86"/>
    </row>
    <row r="566" spans="2:4" hidden="1" x14ac:dyDescent="0.3">
      <c r="B566" s="86"/>
      <c r="C566" s="86"/>
      <c r="D566" s="86"/>
    </row>
    <row r="567" spans="2:4" hidden="1" x14ac:dyDescent="0.3">
      <c r="B567" s="86"/>
      <c r="C567" s="86"/>
      <c r="D567" s="86"/>
    </row>
    <row r="568" spans="2:4" hidden="1" x14ac:dyDescent="0.3">
      <c r="B568" s="86"/>
      <c r="C568" s="86"/>
      <c r="D568" s="86"/>
    </row>
    <row r="569" spans="2:4" hidden="1" x14ac:dyDescent="0.3">
      <c r="B569" s="86"/>
      <c r="C569" s="86"/>
      <c r="D569" s="86"/>
    </row>
    <row r="570" spans="2:4" hidden="1" x14ac:dyDescent="0.3">
      <c r="B570" s="86"/>
      <c r="C570" s="86"/>
      <c r="D570" s="86"/>
    </row>
    <row r="571" spans="2:4" hidden="1" x14ac:dyDescent="0.3">
      <c r="B571" s="86"/>
      <c r="C571" s="86"/>
      <c r="D571" s="86"/>
    </row>
    <row r="572" spans="2:4" hidden="1" x14ac:dyDescent="0.3">
      <c r="B572" s="86"/>
      <c r="C572" s="86"/>
      <c r="D572" s="86"/>
    </row>
    <row r="573" spans="2:4" hidden="1" x14ac:dyDescent="0.3">
      <c r="B573" s="86"/>
      <c r="C573" s="86"/>
      <c r="D573" s="86"/>
    </row>
    <row r="574" spans="2:4" hidden="1" x14ac:dyDescent="0.3">
      <c r="B574" s="86"/>
      <c r="C574" s="86"/>
      <c r="D574" s="86"/>
    </row>
    <row r="575" spans="2:4" hidden="1" x14ac:dyDescent="0.3">
      <c r="B575" s="86"/>
      <c r="C575" s="86"/>
      <c r="D575" s="86"/>
    </row>
    <row r="576" spans="2:4" hidden="1" x14ac:dyDescent="0.3">
      <c r="B576" s="86"/>
      <c r="C576" s="86"/>
      <c r="D576" s="86"/>
    </row>
    <row r="577" spans="2:4" hidden="1" x14ac:dyDescent="0.3">
      <c r="B577" s="86"/>
      <c r="C577" s="86"/>
      <c r="D577" s="86"/>
    </row>
    <row r="578" spans="2:4" hidden="1" x14ac:dyDescent="0.3">
      <c r="B578" s="86"/>
      <c r="C578" s="86"/>
      <c r="D578" s="86"/>
    </row>
    <row r="579" spans="2:4" hidden="1" x14ac:dyDescent="0.3">
      <c r="B579" s="86"/>
      <c r="C579" s="86"/>
      <c r="D579" s="86"/>
    </row>
    <row r="580" spans="2:4" hidden="1" x14ac:dyDescent="0.3">
      <c r="B580" s="86"/>
      <c r="C580" s="86"/>
      <c r="D580" s="86"/>
    </row>
    <row r="581" spans="2:4" hidden="1" x14ac:dyDescent="0.3">
      <c r="B581" s="86"/>
      <c r="C581" s="86"/>
      <c r="D581" s="86"/>
    </row>
    <row r="582" spans="2:4" hidden="1" x14ac:dyDescent="0.3">
      <c r="B582" s="86"/>
      <c r="C582" s="86"/>
      <c r="D582" s="86"/>
    </row>
    <row r="583" spans="2:4" hidden="1" x14ac:dyDescent="0.3">
      <c r="B583" s="86"/>
      <c r="C583" s="86"/>
      <c r="D583" s="86"/>
    </row>
    <row r="584" spans="2:4" hidden="1" x14ac:dyDescent="0.3">
      <c r="B584" s="86"/>
      <c r="C584" s="86"/>
      <c r="D584" s="86"/>
    </row>
    <row r="585" spans="2:4" hidden="1" x14ac:dyDescent="0.3">
      <c r="B585" s="86"/>
      <c r="C585" s="86"/>
      <c r="D585" s="86"/>
    </row>
    <row r="586" spans="2:4" hidden="1" x14ac:dyDescent="0.3">
      <c r="B586" s="86"/>
      <c r="C586" s="86"/>
      <c r="D586" s="86"/>
    </row>
    <row r="587" spans="2:4" hidden="1" x14ac:dyDescent="0.3">
      <c r="B587" s="86"/>
      <c r="C587" s="86"/>
      <c r="D587" s="86"/>
    </row>
    <row r="588" spans="2:4" hidden="1" x14ac:dyDescent="0.3">
      <c r="B588" s="86"/>
      <c r="C588" s="86"/>
      <c r="D588" s="86"/>
    </row>
    <row r="589" spans="2:4" hidden="1" x14ac:dyDescent="0.3">
      <c r="B589" s="86"/>
      <c r="C589" s="86"/>
      <c r="D589" s="86"/>
    </row>
    <row r="590" spans="2:4" hidden="1" x14ac:dyDescent="0.3">
      <c r="B590" s="86"/>
      <c r="C590" s="86"/>
      <c r="D590" s="86"/>
    </row>
    <row r="591" spans="2:4" hidden="1" x14ac:dyDescent="0.3">
      <c r="B591" s="86"/>
      <c r="C591" s="86"/>
      <c r="D591" s="86"/>
    </row>
    <row r="592" spans="2:4" hidden="1" x14ac:dyDescent="0.3">
      <c r="B592" s="86"/>
      <c r="C592" s="86"/>
      <c r="D592" s="86"/>
    </row>
    <row r="593" spans="2:4" hidden="1" x14ac:dyDescent="0.3">
      <c r="B593" s="86"/>
      <c r="C593" s="86"/>
      <c r="D593" s="86"/>
    </row>
    <row r="594" spans="2:4" hidden="1" x14ac:dyDescent="0.3">
      <c r="B594" s="86"/>
      <c r="C594" s="86"/>
      <c r="D594" s="86"/>
    </row>
    <row r="595" spans="2:4" hidden="1" x14ac:dyDescent="0.3">
      <c r="B595" s="86"/>
      <c r="C595" s="86"/>
      <c r="D595" s="86"/>
    </row>
    <row r="596" spans="2:4" hidden="1" x14ac:dyDescent="0.3">
      <c r="B596" s="86"/>
      <c r="C596" s="86"/>
      <c r="D596" s="86"/>
    </row>
    <row r="597" spans="2:4" hidden="1" x14ac:dyDescent="0.3">
      <c r="B597" s="86"/>
      <c r="C597" s="86"/>
      <c r="D597" s="86"/>
    </row>
    <row r="598" spans="2:4" hidden="1" x14ac:dyDescent="0.3">
      <c r="B598" s="86"/>
      <c r="C598" s="86"/>
      <c r="D598" s="86"/>
    </row>
    <row r="599" spans="2:4" hidden="1" x14ac:dyDescent="0.3">
      <c r="B599" s="86"/>
      <c r="C599" s="86"/>
      <c r="D599" s="86"/>
    </row>
    <row r="600" spans="2:4" hidden="1" x14ac:dyDescent="0.3">
      <c r="B600" s="86"/>
      <c r="C600" s="86"/>
      <c r="D600" s="86"/>
    </row>
    <row r="601" spans="2:4" hidden="1" x14ac:dyDescent="0.3">
      <c r="B601" s="86"/>
      <c r="C601" s="86"/>
      <c r="D601" s="86"/>
    </row>
    <row r="602" spans="2:4" hidden="1" x14ac:dyDescent="0.3">
      <c r="B602" s="86"/>
      <c r="C602" s="86"/>
      <c r="D602" s="86"/>
    </row>
    <row r="603" spans="2:4" hidden="1" x14ac:dyDescent="0.3">
      <c r="B603" s="86"/>
      <c r="C603" s="86"/>
      <c r="D603" s="86"/>
    </row>
    <row r="604" spans="2:4" hidden="1" x14ac:dyDescent="0.3">
      <c r="B604" s="86"/>
      <c r="C604" s="86"/>
      <c r="D604" s="86"/>
    </row>
    <row r="605" spans="2:4" hidden="1" x14ac:dyDescent="0.3">
      <c r="B605" s="86"/>
      <c r="C605" s="86"/>
      <c r="D605" s="86"/>
    </row>
    <row r="606" spans="2:4" hidden="1" x14ac:dyDescent="0.3">
      <c r="B606" s="86"/>
      <c r="C606" s="86"/>
      <c r="D606" s="86"/>
    </row>
    <row r="607" spans="2:4" hidden="1" x14ac:dyDescent="0.3">
      <c r="B607" s="86"/>
      <c r="C607" s="86"/>
      <c r="D607" s="86"/>
    </row>
    <row r="608" spans="2:4" hidden="1" x14ac:dyDescent="0.3">
      <c r="B608" s="86"/>
      <c r="C608" s="86"/>
      <c r="D608" s="86"/>
    </row>
    <row r="609" spans="2:4" hidden="1" x14ac:dyDescent="0.3">
      <c r="B609" s="86"/>
      <c r="C609" s="86"/>
      <c r="D609" s="86"/>
    </row>
    <row r="610" spans="2:4" hidden="1" x14ac:dyDescent="0.3">
      <c r="B610" s="86"/>
      <c r="C610" s="86"/>
      <c r="D610" s="86"/>
    </row>
    <row r="611" spans="2:4" hidden="1" x14ac:dyDescent="0.3">
      <c r="B611" s="86"/>
      <c r="C611" s="86"/>
      <c r="D611" s="86"/>
    </row>
    <row r="612" spans="2:4" hidden="1" x14ac:dyDescent="0.3">
      <c r="B612" s="86"/>
      <c r="C612" s="86"/>
      <c r="D612" s="86"/>
    </row>
    <row r="613" spans="2:4" hidden="1" x14ac:dyDescent="0.3">
      <c r="B613" s="86"/>
      <c r="C613" s="86"/>
      <c r="D613" s="86"/>
    </row>
    <row r="614" spans="2:4" hidden="1" x14ac:dyDescent="0.3">
      <c r="B614" s="86"/>
      <c r="C614" s="86"/>
      <c r="D614" s="86"/>
    </row>
    <row r="615" spans="2:4" hidden="1" x14ac:dyDescent="0.3">
      <c r="B615" s="86"/>
      <c r="C615" s="86"/>
      <c r="D615" s="86"/>
    </row>
    <row r="616" spans="2:4" hidden="1" x14ac:dyDescent="0.3">
      <c r="B616" s="86"/>
      <c r="C616" s="86"/>
      <c r="D616" s="86"/>
    </row>
    <row r="617" spans="2:4" hidden="1" x14ac:dyDescent="0.3">
      <c r="B617" s="86"/>
      <c r="C617" s="86"/>
      <c r="D617" s="86"/>
    </row>
    <row r="618" spans="2:4" hidden="1" x14ac:dyDescent="0.3">
      <c r="B618" s="86"/>
      <c r="C618" s="86"/>
      <c r="D618" s="86"/>
    </row>
    <row r="619" spans="2:4" hidden="1" x14ac:dyDescent="0.3">
      <c r="B619" s="86"/>
      <c r="C619" s="86"/>
      <c r="D619" s="86"/>
    </row>
    <row r="620" spans="2:4" hidden="1" x14ac:dyDescent="0.3">
      <c r="B620" s="86"/>
      <c r="C620" s="86"/>
      <c r="D620" s="86"/>
    </row>
    <row r="621" spans="2:4" hidden="1" x14ac:dyDescent="0.3">
      <c r="B621" s="86"/>
      <c r="C621" s="86"/>
      <c r="D621" s="86"/>
    </row>
    <row r="622" spans="2:4" hidden="1" x14ac:dyDescent="0.3">
      <c r="B622" s="86"/>
      <c r="C622" s="86"/>
      <c r="D622" s="86"/>
    </row>
    <row r="623" spans="2:4" hidden="1" x14ac:dyDescent="0.3">
      <c r="B623" s="86"/>
      <c r="C623" s="86"/>
      <c r="D623" s="86"/>
    </row>
    <row r="624" spans="2:4" hidden="1" x14ac:dyDescent="0.3">
      <c r="B624" s="86"/>
      <c r="C624" s="86"/>
      <c r="D624" s="86"/>
    </row>
    <row r="625" spans="2:4" hidden="1" x14ac:dyDescent="0.3">
      <c r="B625" s="86"/>
      <c r="C625" s="86"/>
      <c r="D625" s="86"/>
    </row>
    <row r="626" spans="2:4" hidden="1" x14ac:dyDescent="0.3">
      <c r="B626" s="86"/>
      <c r="C626" s="86"/>
      <c r="D626" s="86"/>
    </row>
    <row r="627" spans="2:4" hidden="1" x14ac:dyDescent="0.3">
      <c r="B627" s="86"/>
      <c r="C627" s="86"/>
      <c r="D627" s="86"/>
    </row>
    <row r="628" spans="2:4" hidden="1" x14ac:dyDescent="0.3">
      <c r="B628" s="86"/>
      <c r="C628" s="86"/>
      <c r="D628" s="86"/>
    </row>
    <row r="629" spans="2:4" hidden="1" x14ac:dyDescent="0.3">
      <c r="B629" s="86"/>
      <c r="C629" s="86"/>
      <c r="D629" s="86"/>
    </row>
    <row r="630" spans="2:4" hidden="1" x14ac:dyDescent="0.3">
      <c r="B630" s="86"/>
      <c r="C630" s="86"/>
      <c r="D630" s="86"/>
    </row>
    <row r="631" spans="2:4" hidden="1" x14ac:dyDescent="0.3">
      <c r="B631" s="86"/>
      <c r="C631" s="86"/>
      <c r="D631" s="86"/>
    </row>
    <row r="632" spans="2:4" hidden="1" x14ac:dyDescent="0.3">
      <c r="B632" s="86"/>
      <c r="C632" s="86"/>
      <c r="D632" s="86"/>
    </row>
    <row r="633" spans="2:4" hidden="1" x14ac:dyDescent="0.3">
      <c r="B633" s="86"/>
      <c r="C633" s="86"/>
      <c r="D633" s="86"/>
    </row>
    <row r="634" spans="2:4" hidden="1" x14ac:dyDescent="0.3">
      <c r="B634" s="86"/>
      <c r="C634" s="86"/>
      <c r="D634" s="86"/>
    </row>
    <row r="635" spans="2:4" hidden="1" x14ac:dyDescent="0.3">
      <c r="B635" s="86"/>
      <c r="C635" s="86"/>
      <c r="D635" s="86"/>
    </row>
    <row r="636" spans="2:4" hidden="1" x14ac:dyDescent="0.3">
      <c r="B636" s="86"/>
      <c r="C636" s="86"/>
      <c r="D636" s="86"/>
    </row>
    <row r="637" spans="2:4" hidden="1" x14ac:dyDescent="0.3">
      <c r="B637" s="86"/>
      <c r="C637" s="86"/>
      <c r="D637" s="86"/>
    </row>
    <row r="638" spans="2:4" hidden="1" x14ac:dyDescent="0.3">
      <c r="B638" s="86"/>
      <c r="C638" s="86"/>
      <c r="D638" s="86"/>
    </row>
    <row r="639" spans="2:4" hidden="1" x14ac:dyDescent="0.3">
      <c r="B639" s="86"/>
      <c r="C639" s="86"/>
      <c r="D639" s="86"/>
    </row>
    <row r="640" spans="2:4" hidden="1" x14ac:dyDescent="0.3">
      <c r="B640" s="86"/>
      <c r="C640" s="86"/>
      <c r="D640" s="86"/>
    </row>
    <row r="641" spans="2:4" hidden="1" x14ac:dyDescent="0.3">
      <c r="B641" s="86"/>
      <c r="C641" s="86"/>
      <c r="D641" s="86"/>
    </row>
    <row r="642" spans="2:4" hidden="1" x14ac:dyDescent="0.3">
      <c r="B642" s="86"/>
      <c r="C642" s="86"/>
      <c r="D642" s="86"/>
    </row>
    <row r="643" spans="2:4" hidden="1" x14ac:dyDescent="0.3">
      <c r="B643" s="86"/>
      <c r="C643" s="86"/>
      <c r="D643" s="86"/>
    </row>
    <row r="644" spans="2:4" hidden="1" x14ac:dyDescent="0.3">
      <c r="B644" s="86"/>
      <c r="C644" s="86"/>
      <c r="D644" s="86"/>
    </row>
    <row r="645" spans="2:4" hidden="1" x14ac:dyDescent="0.3">
      <c r="B645" s="86"/>
      <c r="C645" s="86"/>
      <c r="D645" s="86"/>
    </row>
    <row r="646" spans="2:4" hidden="1" x14ac:dyDescent="0.3">
      <c r="B646" s="86"/>
      <c r="C646" s="86"/>
      <c r="D646" s="86"/>
    </row>
    <row r="647" spans="2:4" hidden="1" x14ac:dyDescent="0.3">
      <c r="B647" s="86"/>
      <c r="C647" s="86"/>
      <c r="D647" s="86"/>
    </row>
    <row r="648" spans="2:4" hidden="1" x14ac:dyDescent="0.3">
      <c r="B648" s="86"/>
      <c r="C648" s="86"/>
      <c r="D648" s="86"/>
    </row>
    <row r="649" spans="2:4" hidden="1" x14ac:dyDescent="0.3">
      <c r="B649" s="86"/>
      <c r="C649" s="86"/>
      <c r="D649" s="86"/>
    </row>
    <row r="650" spans="2:4" hidden="1" x14ac:dyDescent="0.3">
      <c r="B650" s="86"/>
      <c r="C650" s="86"/>
      <c r="D650" s="86"/>
    </row>
    <row r="651" spans="2:4" hidden="1" x14ac:dyDescent="0.3">
      <c r="B651" s="86"/>
      <c r="C651" s="86"/>
      <c r="D651" s="86"/>
    </row>
    <row r="652" spans="2:4" hidden="1" x14ac:dyDescent="0.3">
      <c r="B652" s="86"/>
      <c r="C652" s="86"/>
      <c r="D652" s="86"/>
    </row>
    <row r="653" spans="2:4" hidden="1" x14ac:dyDescent="0.3">
      <c r="B653" s="86"/>
      <c r="C653" s="86"/>
      <c r="D653" s="86"/>
    </row>
    <row r="654" spans="2:4" hidden="1" x14ac:dyDescent="0.3">
      <c r="B654" s="86"/>
      <c r="C654" s="86"/>
      <c r="D654" s="86"/>
    </row>
    <row r="655" spans="2:4" hidden="1" x14ac:dyDescent="0.3">
      <c r="B655" s="86"/>
      <c r="C655" s="86"/>
      <c r="D655" s="86"/>
    </row>
    <row r="656" spans="2:4" hidden="1" x14ac:dyDescent="0.3">
      <c r="B656" s="86"/>
      <c r="C656" s="86"/>
      <c r="D656" s="86"/>
    </row>
    <row r="657" spans="2:4" hidden="1" x14ac:dyDescent="0.3">
      <c r="B657" s="86"/>
      <c r="C657" s="86"/>
      <c r="D657" s="86"/>
    </row>
    <row r="658" spans="2:4" hidden="1" x14ac:dyDescent="0.3">
      <c r="B658" s="86"/>
      <c r="C658" s="86"/>
      <c r="D658" s="86"/>
    </row>
    <row r="659" spans="2:4" hidden="1" x14ac:dyDescent="0.3">
      <c r="B659" s="86"/>
      <c r="C659" s="86"/>
      <c r="D659" s="86"/>
    </row>
    <row r="660" spans="2:4" hidden="1" x14ac:dyDescent="0.3">
      <c r="B660" s="86"/>
      <c r="C660" s="86"/>
      <c r="D660" s="86"/>
    </row>
    <row r="661" spans="2:4" hidden="1" x14ac:dyDescent="0.3">
      <c r="B661" s="86"/>
      <c r="C661" s="86"/>
      <c r="D661" s="86"/>
    </row>
    <row r="662" spans="2:4" hidden="1" x14ac:dyDescent="0.3">
      <c r="B662" s="86"/>
      <c r="C662" s="86"/>
      <c r="D662" s="86"/>
    </row>
    <row r="663" spans="2:4" hidden="1" x14ac:dyDescent="0.3">
      <c r="B663" s="86"/>
      <c r="C663" s="86"/>
      <c r="D663" s="86"/>
    </row>
    <row r="664" spans="2:4" hidden="1" x14ac:dyDescent="0.3">
      <c r="B664" s="86"/>
      <c r="C664" s="86"/>
      <c r="D664" s="86"/>
    </row>
    <row r="665" spans="2:4" hidden="1" x14ac:dyDescent="0.3">
      <c r="B665" s="86"/>
      <c r="C665" s="86"/>
      <c r="D665" s="86"/>
    </row>
    <row r="666" spans="2:4" hidden="1" x14ac:dyDescent="0.3">
      <c r="B666" s="86"/>
      <c r="C666" s="86"/>
      <c r="D666" s="86"/>
    </row>
    <row r="667" spans="2:4" hidden="1" x14ac:dyDescent="0.3">
      <c r="B667" s="86"/>
      <c r="C667" s="86"/>
      <c r="D667" s="86"/>
    </row>
    <row r="668" spans="2:4" hidden="1" x14ac:dyDescent="0.3">
      <c r="B668" s="86"/>
      <c r="C668" s="86"/>
      <c r="D668" s="86"/>
    </row>
    <row r="669" spans="2:4" hidden="1" x14ac:dyDescent="0.3">
      <c r="B669" s="86"/>
      <c r="C669" s="86"/>
      <c r="D669" s="86"/>
    </row>
    <row r="670" spans="2:4" hidden="1" x14ac:dyDescent="0.3">
      <c r="B670" s="86"/>
      <c r="C670" s="86"/>
      <c r="D670" s="86"/>
    </row>
    <row r="671" spans="2:4" hidden="1" x14ac:dyDescent="0.3">
      <c r="B671" s="86"/>
      <c r="C671" s="86"/>
      <c r="D671" s="86"/>
    </row>
    <row r="672" spans="2:4" hidden="1" x14ac:dyDescent="0.3">
      <c r="B672" s="86"/>
      <c r="C672" s="86"/>
      <c r="D672" s="86"/>
    </row>
    <row r="673" spans="2:4" hidden="1" x14ac:dyDescent="0.3">
      <c r="B673" s="86"/>
      <c r="C673" s="86"/>
      <c r="D673" s="86"/>
    </row>
    <row r="674" spans="2:4" hidden="1" x14ac:dyDescent="0.3">
      <c r="B674" s="86"/>
      <c r="C674" s="86"/>
      <c r="D674" s="86"/>
    </row>
    <row r="675" spans="2:4" hidden="1" x14ac:dyDescent="0.3">
      <c r="B675" s="86"/>
      <c r="C675" s="86"/>
      <c r="D675" s="86"/>
    </row>
    <row r="676" spans="2:4" hidden="1" x14ac:dyDescent="0.3">
      <c r="B676" s="86"/>
      <c r="C676" s="86"/>
      <c r="D676" s="86"/>
    </row>
    <row r="677" spans="2:4" hidden="1" x14ac:dyDescent="0.3">
      <c r="B677" s="86"/>
      <c r="C677" s="86"/>
      <c r="D677" s="86"/>
    </row>
    <row r="678" spans="2:4" hidden="1" x14ac:dyDescent="0.3">
      <c r="B678" s="86"/>
      <c r="C678" s="86"/>
      <c r="D678" s="86"/>
    </row>
    <row r="679" spans="2:4" hidden="1" x14ac:dyDescent="0.3">
      <c r="B679" s="86"/>
      <c r="C679" s="86"/>
      <c r="D679" s="86"/>
    </row>
    <row r="680" spans="2:4" hidden="1" x14ac:dyDescent="0.3">
      <c r="B680" s="86"/>
      <c r="C680" s="86"/>
      <c r="D680" s="86"/>
    </row>
    <row r="681" spans="2:4" hidden="1" x14ac:dyDescent="0.3">
      <c r="B681" s="86"/>
      <c r="C681" s="86"/>
      <c r="D681" s="86"/>
    </row>
    <row r="682" spans="2:4" hidden="1" x14ac:dyDescent="0.3">
      <c r="B682" s="86"/>
      <c r="C682" s="86"/>
      <c r="D682" s="86"/>
    </row>
    <row r="683" spans="2:4" hidden="1" x14ac:dyDescent="0.3">
      <c r="B683" s="86"/>
      <c r="C683" s="86"/>
      <c r="D683" s="86"/>
    </row>
    <row r="684" spans="2:4" hidden="1" x14ac:dyDescent="0.3">
      <c r="B684" s="86"/>
      <c r="C684" s="86"/>
      <c r="D684" s="86"/>
    </row>
    <row r="685" spans="2:4" hidden="1" x14ac:dyDescent="0.3">
      <c r="B685" s="86"/>
      <c r="C685" s="86"/>
      <c r="D685" s="86"/>
    </row>
    <row r="686" spans="2:4" hidden="1" x14ac:dyDescent="0.3">
      <c r="B686" s="86"/>
      <c r="C686" s="86"/>
      <c r="D686" s="86"/>
    </row>
    <row r="687" spans="2:4" hidden="1" x14ac:dyDescent="0.3">
      <c r="B687" s="86"/>
      <c r="C687" s="86"/>
      <c r="D687" s="86"/>
    </row>
    <row r="688" spans="2:4" hidden="1" x14ac:dyDescent="0.3">
      <c r="B688" s="86"/>
      <c r="C688" s="86"/>
      <c r="D688" s="86"/>
    </row>
    <row r="689" spans="2:4" hidden="1" x14ac:dyDescent="0.3">
      <c r="B689" s="86"/>
      <c r="C689" s="86"/>
      <c r="D689" s="86"/>
    </row>
    <row r="690" spans="2:4" hidden="1" x14ac:dyDescent="0.3">
      <c r="B690" s="86"/>
      <c r="C690" s="86"/>
      <c r="D690" s="86"/>
    </row>
    <row r="691" spans="2:4" hidden="1" x14ac:dyDescent="0.3">
      <c r="B691" s="86"/>
      <c r="C691" s="86"/>
      <c r="D691" s="86"/>
    </row>
    <row r="692" spans="2:4" hidden="1" x14ac:dyDescent="0.3">
      <c r="B692" s="86"/>
      <c r="C692" s="86"/>
      <c r="D692" s="86"/>
    </row>
    <row r="693" spans="2:4" hidden="1" x14ac:dyDescent="0.3">
      <c r="B693" s="86"/>
      <c r="C693" s="86"/>
      <c r="D693" s="86"/>
    </row>
    <row r="694" spans="2:4" hidden="1" x14ac:dyDescent="0.3">
      <c r="B694" s="86"/>
      <c r="C694" s="86"/>
      <c r="D694" s="86"/>
    </row>
    <row r="695" spans="2:4" hidden="1" x14ac:dyDescent="0.3">
      <c r="B695" s="86"/>
      <c r="C695" s="86"/>
      <c r="D695" s="86"/>
    </row>
    <row r="696" spans="2:4" hidden="1" x14ac:dyDescent="0.3">
      <c r="B696" s="86"/>
      <c r="C696" s="86"/>
      <c r="D696" s="86"/>
    </row>
    <row r="697" spans="2:4" hidden="1" x14ac:dyDescent="0.3">
      <c r="B697" s="86"/>
      <c r="C697" s="86"/>
      <c r="D697" s="86"/>
    </row>
    <row r="698" spans="2:4" hidden="1" x14ac:dyDescent="0.3">
      <c r="B698" s="86"/>
      <c r="C698" s="86"/>
      <c r="D698" s="86"/>
    </row>
    <row r="699" spans="2:4" hidden="1" x14ac:dyDescent="0.3">
      <c r="B699" s="86"/>
      <c r="C699" s="86"/>
      <c r="D699" s="86"/>
    </row>
    <row r="700" spans="2:4" hidden="1" x14ac:dyDescent="0.3">
      <c r="B700" s="86"/>
      <c r="C700" s="86"/>
      <c r="D700" s="86"/>
    </row>
    <row r="701" spans="2:4" hidden="1" x14ac:dyDescent="0.3">
      <c r="B701" s="86"/>
      <c r="C701" s="86"/>
      <c r="D701" s="86"/>
    </row>
    <row r="702" spans="2:4" hidden="1" x14ac:dyDescent="0.3">
      <c r="B702" s="86"/>
      <c r="C702" s="86"/>
      <c r="D702" s="86"/>
    </row>
    <row r="703" spans="2:4" hidden="1" x14ac:dyDescent="0.3">
      <c r="B703" s="86"/>
      <c r="C703" s="86"/>
      <c r="D703" s="86"/>
    </row>
    <row r="704" spans="2:4" hidden="1" x14ac:dyDescent="0.3">
      <c r="B704" s="86"/>
      <c r="C704" s="86"/>
      <c r="D704" s="86"/>
    </row>
    <row r="705" spans="2:4" hidden="1" x14ac:dyDescent="0.3">
      <c r="B705" s="86"/>
      <c r="C705" s="86"/>
      <c r="D705" s="86"/>
    </row>
    <row r="706" spans="2:4" hidden="1" x14ac:dyDescent="0.3">
      <c r="B706" s="86"/>
      <c r="C706" s="86"/>
      <c r="D706" s="86"/>
    </row>
    <row r="707" spans="2:4" hidden="1" x14ac:dyDescent="0.3">
      <c r="B707" s="86"/>
      <c r="C707" s="86"/>
      <c r="D707" s="86"/>
    </row>
    <row r="708" spans="2:4" hidden="1" x14ac:dyDescent="0.3">
      <c r="B708" s="86"/>
      <c r="C708" s="86"/>
      <c r="D708" s="86"/>
    </row>
    <row r="709" spans="2:4" hidden="1" x14ac:dyDescent="0.3">
      <c r="B709" s="86"/>
      <c r="C709" s="86"/>
      <c r="D709" s="86"/>
    </row>
    <row r="710" spans="2:4" hidden="1" x14ac:dyDescent="0.3">
      <c r="B710" s="86"/>
      <c r="C710" s="86"/>
      <c r="D710" s="86"/>
    </row>
    <row r="711" spans="2:4" hidden="1" x14ac:dyDescent="0.3">
      <c r="B711" s="86"/>
      <c r="C711" s="86"/>
      <c r="D711" s="86"/>
    </row>
    <row r="712" spans="2:4" hidden="1" x14ac:dyDescent="0.3">
      <c r="B712" s="86"/>
      <c r="C712" s="86"/>
      <c r="D712" s="86"/>
    </row>
    <row r="713" spans="2:4" hidden="1" x14ac:dyDescent="0.3">
      <c r="B713" s="86"/>
      <c r="C713" s="86"/>
      <c r="D713" s="86"/>
    </row>
    <row r="714" spans="2:4" hidden="1" x14ac:dyDescent="0.3">
      <c r="B714" s="86"/>
      <c r="C714" s="86"/>
      <c r="D714" s="86"/>
    </row>
    <row r="715" spans="2:4" hidden="1" x14ac:dyDescent="0.3">
      <c r="B715" s="86"/>
      <c r="C715" s="86"/>
      <c r="D715" s="86"/>
    </row>
    <row r="716" spans="2:4" hidden="1" x14ac:dyDescent="0.3">
      <c r="B716" s="86"/>
      <c r="C716" s="86"/>
      <c r="D716" s="86"/>
    </row>
    <row r="717" spans="2:4" hidden="1" x14ac:dyDescent="0.3">
      <c r="B717" s="86"/>
      <c r="C717" s="86"/>
      <c r="D717" s="86"/>
    </row>
    <row r="718" spans="2:4" hidden="1" x14ac:dyDescent="0.3">
      <c r="B718" s="86"/>
      <c r="C718" s="86"/>
      <c r="D718" s="86"/>
    </row>
    <row r="719" spans="2:4" hidden="1" x14ac:dyDescent="0.3">
      <c r="B719" s="86"/>
      <c r="C719" s="86"/>
      <c r="D719" s="86"/>
    </row>
    <row r="720" spans="2:4" hidden="1" x14ac:dyDescent="0.3">
      <c r="B720" s="86"/>
      <c r="C720" s="86"/>
      <c r="D720" s="86"/>
    </row>
    <row r="721" spans="2:4" hidden="1" x14ac:dyDescent="0.3">
      <c r="B721" s="86"/>
      <c r="C721" s="86"/>
      <c r="D721" s="86"/>
    </row>
    <row r="722" spans="2:4" hidden="1" x14ac:dyDescent="0.3">
      <c r="B722" s="86"/>
      <c r="C722" s="86"/>
      <c r="D722" s="86"/>
    </row>
    <row r="723" spans="2:4" hidden="1" x14ac:dyDescent="0.3">
      <c r="B723" s="86"/>
      <c r="C723" s="86"/>
      <c r="D723" s="86"/>
    </row>
    <row r="724" spans="2:4" hidden="1" x14ac:dyDescent="0.3">
      <c r="B724" s="86"/>
      <c r="C724" s="86"/>
      <c r="D724" s="86"/>
    </row>
    <row r="725" spans="2:4" hidden="1" x14ac:dyDescent="0.3">
      <c r="B725" s="86"/>
      <c r="C725" s="86"/>
      <c r="D725" s="86"/>
    </row>
    <row r="726" spans="2:4" hidden="1" x14ac:dyDescent="0.3">
      <c r="B726" s="86"/>
      <c r="C726" s="86"/>
      <c r="D726" s="86"/>
    </row>
    <row r="727" spans="2:4" hidden="1" x14ac:dyDescent="0.3">
      <c r="B727" s="86"/>
      <c r="C727" s="86"/>
      <c r="D727" s="86"/>
    </row>
    <row r="728" spans="2:4" hidden="1" x14ac:dyDescent="0.3">
      <c r="B728" s="86"/>
      <c r="C728" s="86"/>
      <c r="D728" s="86"/>
    </row>
    <row r="729" spans="2:4" hidden="1" x14ac:dyDescent="0.3">
      <c r="B729" s="86"/>
      <c r="C729" s="86"/>
      <c r="D729" s="86"/>
    </row>
    <row r="730" spans="2:4" hidden="1" x14ac:dyDescent="0.3">
      <c r="B730" s="86"/>
      <c r="C730" s="86"/>
      <c r="D730" s="86"/>
    </row>
    <row r="731" spans="2:4" hidden="1" x14ac:dyDescent="0.3">
      <c r="B731" s="86"/>
      <c r="C731" s="86"/>
      <c r="D731" s="86"/>
    </row>
    <row r="732" spans="2:4" hidden="1" x14ac:dyDescent="0.3">
      <c r="B732" s="86"/>
      <c r="C732" s="86"/>
      <c r="D732" s="86"/>
    </row>
    <row r="733" spans="2:4" hidden="1" x14ac:dyDescent="0.3">
      <c r="B733" s="86"/>
      <c r="C733" s="86"/>
      <c r="D733" s="86"/>
    </row>
    <row r="734" spans="2:4" hidden="1" x14ac:dyDescent="0.3">
      <c r="B734" s="86"/>
      <c r="C734" s="86"/>
      <c r="D734" s="86"/>
    </row>
    <row r="735" spans="2:4" hidden="1" x14ac:dyDescent="0.3">
      <c r="B735" s="86"/>
      <c r="C735" s="86"/>
      <c r="D735" s="86"/>
    </row>
    <row r="736" spans="2:4" hidden="1" x14ac:dyDescent="0.3">
      <c r="B736" s="86"/>
      <c r="C736" s="86"/>
      <c r="D736" s="86"/>
    </row>
    <row r="737" spans="2:4" hidden="1" x14ac:dyDescent="0.3">
      <c r="B737" s="86"/>
      <c r="C737" s="86"/>
      <c r="D737" s="86"/>
    </row>
    <row r="738" spans="2:4" hidden="1" x14ac:dyDescent="0.3">
      <c r="B738" s="86"/>
      <c r="C738" s="86"/>
      <c r="D738" s="86"/>
    </row>
    <row r="739" spans="2:4" hidden="1" x14ac:dyDescent="0.3">
      <c r="B739" s="86"/>
      <c r="C739" s="86"/>
      <c r="D739" s="86"/>
    </row>
    <row r="740" spans="2:4" hidden="1" x14ac:dyDescent="0.3">
      <c r="B740" s="86"/>
      <c r="C740" s="86"/>
      <c r="D740" s="86"/>
    </row>
    <row r="741" spans="2:4" hidden="1" x14ac:dyDescent="0.3">
      <c r="B741" s="86"/>
      <c r="C741" s="86"/>
      <c r="D741" s="86"/>
    </row>
    <row r="742" spans="2:4" hidden="1" x14ac:dyDescent="0.3">
      <c r="B742" s="86"/>
      <c r="C742" s="86"/>
      <c r="D742" s="86"/>
    </row>
    <row r="743" spans="2:4" hidden="1" x14ac:dyDescent="0.3">
      <c r="B743" s="86"/>
      <c r="C743" s="86"/>
      <c r="D743" s="86"/>
    </row>
    <row r="744" spans="2:4" hidden="1" x14ac:dyDescent="0.3">
      <c r="B744" s="86"/>
      <c r="C744" s="86"/>
      <c r="D744" s="86"/>
    </row>
    <row r="745" spans="2:4" hidden="1" x14ac:dyDescent="0.3">
      <c r="B745" s="86"/>
      <c r="C745" s="86"/>
      <c r="D745" s="86"/>
    </row>
    <row r="746" spans="2:4" hidden="1" x14ac:dyDescent="0.3">
      <c r="B746" s="86"/>
      <c r="C746" s="86"/>
      <c r="D746" s="86"/>
    </row>
    <row r="747" spans="2:4" hidden="1" x14ac:dyDescent="0.3">
      <c r="B747" s="86"/>
      <c r="C747" s="86"/>
      <c r="D747" s="86"/>
    </row>
    <row r="748" spans="2:4" hidden="1" x14ac:dyDescent="0.3">
      <c r="B748" s="86"/>
      <c r="C748" s="86"/>
      <c r="D748" s="86"/>
    </row>
    <row r="749" spans="2:4" hidden="1" x14ac:dyDescent="0.3">
      <c r="B749" s="86"/>
      <c r="C749" s="86"/>
      <c r="D749" s="86"/>
    </row>
    <row r="750" spans="2:4" hidden="1" x14ac:dyDescent="0.3">
      <c r="B750" s="86"/>
      <c r="C750" s="86"/>
      <c r="D750" s="86"/>
    </row>
    <row r="751" spans="2:4" hidden="1" x14ac:dyDescent="0.3">
      <c r="B751" s="86"/>
      <c r="C751" s="86"/>
      <c r="D751" s="86"/>
    </row>
    <row r="752" spans="2:4" hidden="1" x14ac:dyDescent="0.3">
      <c r="B752" s="86"/>
      <c r="C752" s="86"/>
      <c r="D752" s="86"/>
    </row>
    <row r="753" spans="2:4" hidden="1" x14ac:dyDescent="0.3">
      <c r="B753" s="86"/>
      <c r="C753" s="86"/>
      <c r="D753" s="86"/>
    </row>
    <row r="754" spans="2:4" hidden="1" x14ac:dyDescent="0.3">
      <c r="B754" s="86"/>
      <c r="C754" s="86"/>
      <c r="D754" s="86"/>
    </row>
    <row r="755" spans="2:4" hidden="1" x14ac:dyDescent="0.3">
      <c r="B755" s="86"/>
      <c r="C755" s="86"/>
      <c r="D755" s="86"/>
    </row>
    <row r="756" spans="2:4" hidden="1" x14ac:dyDescent="0.3">
      <c r="B756" s="86"/>
      <c r="C756" s="86"/>
      <c r="D756" s="86"/>
    </row>
    <row r="757" spans="2:4" hidden="1" x14ac:dyDescent="0.3">
      <c r="B757" s="86"/>
      <c r="C757" s="86"/>
      <c r="D757" s="86"/>
    </row>
    <row r="758" spans="2:4" hidden="1" x14ac:dyDescent="0.3">
      <c r="B758" s="86"/>
      <c r="C758" s="86"/>
      <c r="D758" s="86"/>
    </row>
    <row r="759" spans="2:4" hidden="1" x14ac:dyDescent="0.3">
      <c r="B759" s="86"/>
      <c r="C759" s="86"/>
      <c r="D759" s="86"/>
    </row>
    <row r="760" spans="2:4" hidden="1" x14ac:dyDescent="0.3">
      <c r="B760" s="86"/>
      <c r="C760" s="86"/>
      <c r="D760" s="86"/>
    </row>
    <row r="761" spans="2:4" hidden="1" x14ac:dyDescent="0.3">
      <c r="B761" s="86"/>
      <c r="C761" s="86"/>
      <c r="D761" s="86"/>
    </row>
    <row r="762" spans="2:4" hidden="1" x14ac:dyDescent="0.3">
      <c r="B762" s="86"/>
      <c r="C762" s="86"/>
      <c r="D762" s="86"/>
    </row>
    <row r="763" spans="2:4" hidden="1" x14ac:dyDescent="0.3">
      <c r="B763" s="86"/>
      <c r="C763" s="86"/>
      <c r="D763" s="86"/>
    </row>
    <row r="764" spans="2:4" hidden="1" x14ac:dyDescent="0.3">
      <c r="B764" s="86"/>
      <c r="C764" s="86"/>
      <c r="D764" s="86"/>
    </row>
    <row r="765" spans="2:4" hidden="1" x14ac:dyDescent="0.3">
      <c r="B765" s="86"/>
      <c r="C765" s="86"/>
      <c r="D765" s="86"/>
    </row>
    <row r="766" spans="2:4" hidden="1" x14ac:dyDescent="0.3">
      <c r="B766" s="86"/>
      <c r="C766" s="86"/>
      <c r="D766" s="86"/>
    </row>
    <row r="767" spans="2:4" hidden="1" x14ac:dyDescent="0.3">
      <c r="B767" s="86"/>
      <c r="C767" s="86"/>
      <c r="D767" s="86"/>
    </row>
    <row r="768" spans="2:4" hidden="1" x14ac:dyDescent="0.3">
      <c r="B768" s="86"/>
      <c r="C768" s="86"/>
      <c r="D768" s="86"/>
    </row>
    <row r="769" spans="2:4" hidden="1" x14ac:dyDescent="0.3">
      <c r="B769" s="86"/>
      <c r="C769" s="86"/>
      <c r="D769" s="86"/>
    </row>
    <row r="770" spans="2:4" hidden="1" x14ac:dyDescent="0.3">
      <c r="B770" s="86"/>
      <c r="C770" s="86"/>
      <c r="D770" s="86"/>
    </row>
    <row r="771" spans="2:4" hidden="1" x14ac:dyDescent="0.3">
      <c r="B771" s="86"/>
      <c r="C771" s="86"/>
      <c r="D771" s="86"/>
    </row>
    <row r="772" spans="2:4" hidden="1" x14ac:dyDescent="0.3">
      <c r="B772" s="86"/>
      <c r="C772" s="86"/>
      <c r="D772" s="86"/>
    </row>
    <row r="773" spans="2:4" hidden="1" x14ac:dyDescent="0.3">
      <c r="B773" s="86"/>
      <c r="C773" s="86"/>
      <c r="D773" s="86"/>
    </row>
    <row r="774" spans="2:4" hidden="1" x14ac:dyDescent="0.3">
      <c r="B774" s="86"/>
      <c r="C774" s="86"/>
      <c r="D774" s="86"/>
    </row>
    <row r="775" spans="2:4" hidden="1" x14ac:dyDescent="0.3">
      <c r="B775" s="86"/>
      <c r="C775" s="86"/>
      <c r="D775" s="86"/>
    </row>
    <row r="776" spans="2:4" hidden="1" x14ac:dyDescent="0.3">
      <c r="B776" s="86"/>
      <c r="C776" s="86"/>
      <c r="D776" s="86"/>
    </row>
    <row r="777" spans="2:4" hidden="1" x14ac:dyDescent="0.3">
      <c r="B777" s="86"/>
      <c r="C777" s="86"/>
      <c r="D777" s="86"/>
    </row>
    <row r="778" spans="2:4" hidden="1" x14ac:dyDescent="0.3">
      <c r="B778" s="86"/>
      <c r="C778" s="86"/>
      <c r="D778" s="86"/>
    </row>
    <row r="779" spans="2:4" hidden="1" x14ac:dyDescent="0.3">
      <c r="B779" s="86"/>
      <c r="C779" s="86"/>
      <c r="D779" s="86"/>
    </row>
    <row r="780" spans="2:4" hidden="1" x14ac:dyDescent="0.3">
      <c r="B780" s="86"/>
      <c r="C780" s="86"/>
      <c r="D780" s="86"/>
    </row>
    <row r="781" spans="2:4" hidden="1" x14ac:dyDescent="0.3">
      <c r="B781" s="86"/>
      <c r="C781" s="86"/>
      <c r="D781" s="86"/>
    </row>
    <row r="782" spans="2:4" hidden="1" x14ac:dyDescent="0.3">
      <c r="B782" s="86"/>
      <c r="C782" s="86"/>
      <c r="D782" s="86"/>
    </row>
    <row r="783" spans="2:4" hidden="1" x14ac:dyDescent="0.3">
      <c r="B783" s="86"/>
      <c r="C783" s="86"/>
      <c r="D783" s="86"/>
    </row>
    <row r="784" spans="2:4" hidden="1" x14ac:dyDescent="0.3">
      <c r="B784" s="86"/>
      <c r="C784" s="86"/>
      <c r="D784" s="86"/>
    </row>
    <row r="785" spans="2:4" hidden="1" x14ac:dyDescent="0.3">
      <c r="B785" s="86"/>
      <c r="C785" s="86"/>
      <c r="D785" s="86"/>
    </row>
    <row r="786" spans="2:4" hidden="1" x14ac:dyDescent="0.3">
      <c r="B786" s="86"/>
      <c r="C786" s="86"/>
      <c r="D786" s="86"/>
    </row>
    <row r="787" spans="2:4" hidden="1" x14ac:dyDescent="0.3">
      <c r="B787" s="86"/>
      <c r="C787" s="86"/>
      <c r="D787" s="86"/>
    </row>
    <row r="788" spans="2:4" hidden="1" x14ac:dyDescent="0.3">
      <c r="B788" s="86"/>
      <c r="C788" s="86"/>
      <c r="D788" s="86"/>
    </row>
    <row r="789" spans="2:4" hidden="1" x14ac:dyDescent="0.3">
      <c r="B789" s="86"/>
      <c r="C789" s="86"/>
      <c r="D789" s="86"/>
    </row>
    <row r="790" spans="2:4" hidden="1" x14ac:dyDescent="0.3">
      <c r="B790" s="86"/>
      <c r="C790" s="86"/>
      <c r="D790" s="86"/>
    </row>
    <row r="791" spans="2:4" hidden="1" x14ac:dyDescent="0.3">
      <c r="B791" s="86"/>
      <c r="C791" s="86"/>
      <c r="D791" s="86"/>
    </row>
    <row r="792" spans="2:4" hidden="1" x14ac:dyDescent="0.3">
      <c r="B792" s="86"/>
      <c r="C792" s="86"/>
      <c r="D792" s="86"/>
    </row>
    <row r="793" spans="2:4" hidden="1" x14ac:dyDescent="0.3">
      <c r="B793" s="86"/>
      <c r="C793" s="86"/>
      <c r="D793" s="86"/>
    </row>
    <row r="794" spans="2:4" hidden="1" x14ac:dyDescent="0.3">
      <c r="B794" s="86"/>
      <c r="C794" s="86"/>
      <c r="D794" s="86"/>
    </row>
    <row r="795" spans="2:4" hidden="1" x14ac:dyDescent="0.3">
      <c r="B795" s="86"/>
      <c r="C795" s="86"/>
      <c r="D795" s="86"/>
    </row>
    <row r="796" spans="2:4" hidden="1" x14ac:dyDescent="0.3">
      <c r="B796" s="86"/>
      <c r="C796" s="86"/>
      <c r="D796" s="86"/>
    </row>
    <row r="797" spans="2:4" hidden="1" x14ac:dyDescent="0.3">
      <c r="B797" s="86"/>
      <c r="C797" s="86"/>
      <c r="D797" s="86"/>
    </row>
    <row r="798" spans="2:4" hidden="1" x14ac:dyDescent="0.3">
      <c r="B798" s="86"/>
      <c r="C798" s="86"/>
      <c r="D798" s="86"/>
    </row>
    <row r="799" spans="2:4" hidden="1" x14ac:dyDescent="0.3">
      <c r="B799" s="86"/>
      <c r="C799" s="86"/>
      <c r="D799" s="86"/>
    </row>
    <row r="800" spans="2:4" hidden="1" x14ac:dyDescent="0.3">
      <c r="B800" s="86"/>
      <c r="C800" s="86"/>
      <c r="D800" s="86"/>
    </row>
    <row r="801" spans="2:4" hidden="1" x14ac:dyDescent="0.3">
      <c r="B801" s="86"/>
      <c r="C801" s="86"/>
      <c r="D801" s="86"/>
    </row>
    <row r="802" spans="2:4" hidden="1" x14ac:dyDescent="0.3">
      <c r="B802" s="86"/>
      <c r="C802" s="86"/>
      <c r="D802" s="86"/>
    </row>
    <row r="803" spans="2:4" hidden="1" x14ac:dyDescent="0.3">
      <c r="B803" s="86"/>
      <c r="C803" s="86"/>
      <c r="D803" s="86"/>
    </row>
    <row r="804" spans="2:4" hidden="1" x14ac:dyDescent="0.3">
      <c r="B804" s="86"/>
      <c r="C804" s="86"/>
      <c r="D804" s="86"/>
    </row>
    <row r="805" spans="2:4" hidden="1" x14ac:dyDescent="0.3">
      <c r="B805" s="86"/>
      <c r="C805" s="86"/>
      <c r="D805" s="86"/>
    </row>
    <row r="806" spans="2:4" hidden="1" x14ac:dyDescent="0.3">
      <c r="B806" s="86"/>
      <c r="C806" s="86"/>
      <c r="D806" s="86"/>
    </row>
    <row r="807" spans="2:4" hidden="1" x14ac:dyDescent="0.3">
      <c r="B807" s="86"/>
      <c r="C807" s="86"/>
      <c r="D807" s="86"/>
    </row>
    <row r="808" spans="2:4" hidden="1" x14ac:dyDescent="0.3">
      <c r="B808" s="86"/>
      <c r="C808" s="86"/>
      <c r="D808" s="86"/>
    </row>
    <row r="809" spans="2:4" hidden="1" x14ac:dyDescent="0.3">
      <c r="B809" s="86"/>
      <c r="C809" s="86"/>
      <c r="D809" s="86"/>
    </row>
    <row r="810" spans="2:4" hidden="1" x14ac:dyDescent="0.3">
      <c r="B810" s="86"/>
      <c r="C810" s="86"/>
      <c r="D810" s="86"/>
    </row>
    <row r="811" spans="2:4" hidden="1" x14ac:dyDescent="0.3">
      <c r="B811" s="86"/>
      <c r="C811" s="86"/>
      <c r="D811" s="86"/>
    </row>
    <row r="812" spans="2:4" hidden="1" x14ac:dyDescent="0.3">
      <c r="B812" s="86"/>
      <c r="C812" s="86"/>
      <c r="D812" s="86"/>
    </row>
    <row r="813" spans="2:4" hidden="1" x14ac:dyDescent="0.3">
      <c r="B813" s="86"/>
      <c r="C813" s="86"/>
      <c r="D813" s="86"/>
    </row>
    <row r="814" spans="2:4" hidden="1" x14ac:dyDescent="0.3">
      <c r="B814" s="86"/>
      <c r="C814" s="86"/>
      <c r="D814" s="86"/>
    </row>
    <row r="815" spans="2:4" hidden="1" x14ac:dyDescent="0.3">
      <c r="B815" s="86"/>
      <c r="C815" s="86"/>
      <c r="D815" s="86"/>
    </row>
    <row r="816" spans="2:4" hidden="1" x14ac:dyDescent="0.3">
      <c r="B816" s="86"/>
      <c r="C816" s="86"/>
      <c r="D816" s="86"/>
    </row>
    <row r="817" spans="2:4" hidden="1" x14ac:dyDescent="0.3">
      <c r="B817" s="86"/>
      <c r="C817" s="86"/>
      <c r="D817" s="86"/>
    </row>
    <row r="818" spans="2:4" hidden="1" x14ac:dyDescent="0.3">
      <c r="B818" s="86"/>
      <c r="C818" s="86"/>
      <c r="D818" s="86"/>
    </row>
    <row r="819" spans="2:4" hidden="1" x14ac:dyDescent="0.3">
      <c r="B819" s="86"/>
      <c r="C819" s="86"/>
      <c r="D819" s="86"/>
    </row>
    <row r="820" spans="2:4" hidden="1" x14ac:dyDescent="0.3">
      <c r="B820" s="86"/>
      <c r="C820" s="86"/>
      <c r="D820" s="86"/>
    </row>
    <row r="821" spans="2:4" hidden="1" x14ac:dyDescent="0.3">
      <c r="B821" s="86"/>
      <c r="C821" s="86"/>
      <c r="D821" s="86"/>
    </row>
    <row r="822" spans="2:4" hidden="1" x14ac:dyDescent="0.3">
      <c r="B822" s="86"/>
      <c r="C822" s="86"/>
      <c r="D822" s="86"/>
    </row>
    <row r="823" spans="2:4" hidden="1" x14ac:dyDescent="0.3">
      <c r="B823" s="86"/>
      <c r="C823" s="86"/>
      <c r="D823" s="86"/>
    </row>
    <row r="824" spans="2:4" hidden="1" x14ac:dyDescent="0.3">
      <c r="B824" s="86"/>
      <c r="C824" s="86"/>
      <c r="D824" s="86"/>
    </row>
    <row r="825" spans="2:4" hidden="1" x14ac:dyDescent="0.3">
      <c r="B825" s="86"/>
      <c r="C825" s="86"/>
      <c r="D825" s="86"/>
    </row>
    <row r="826" spans="2:4" hidden="1" x14ac:dyDescent="0.3">
      <c r="B826" s="86"/>
      <c r="C826" s="86"/>
      <c r="D826" s="86"/>
    </row>
    <row r="827" spans="2:4" hidden="1" x14ac:dyDescent="0.3">
      <c r="B827" s="86"/>
      <c r="C827" s="86"/>
      <c r="D827" s="86"/>
    </row>
    <row r="828" spans="2:4" hidden="1" x14ac:dyDescent="0.3">
      <c r="B828" s="86"/>
      <c r="C828" s="86"/>
      <c r="D828" s="86"/>
    </row>
    <row r="829" spans="2:4" hidden="1" x14ac:dyDescent="0.3">
      <c r="B829" s="86"/>
      <c r="C829" s="86"/>
      <c r="D829" s="86"/>
    </row>
    <row r="830" spans="2:4" hidden="1" x14ac:dyDescent="0.3">
      <c r="B830" s="86"/>
      <c r="C830" s="86"/>
      <c r="D830" s="86"/>
    </row>
    <row r="831" spans="2:4" hidden="1" x14ac:dyDescent="0.3">
      <c r="B831" s="86"/>
      <c r="C831" s="86"/>
      <c r="D831" s="86"/>
    </row>
    <row r="832" spans="2:4" hidden="1" x14ac:dyDescent="0.3">
      <c r="B832" s="86"/>
      <c r="C832" s="86"/>
      <c r="D832" s="86"/>
    </row>
    <row r="833" spans="2:4" hidden="1" x14ac:dyDescent="0.3">
      <c r="B833" s="86"/>
      <c r="C833" s="86"/>
      <c r="D833" s="86"/>
    </row>
    <row r="834" spans="2:4" hidden="1" x14ac:dyDescent="0.3">
      <c r="B834" s="86"/>
      <c r="C834" s="86"/>
      <c r="D834" s="86"/>
    </row>
    <row r="835" spans="2:4" hidden="1" x14ac:dyDescent="0.3">
      <c r="B835" s="86"/>
      <c r="C835" s="86"/>
      <c r="D835" s="86"/>
    </row>
    <row r="836" spans="2:4" hidden="1" x14ac:dyDescent="0.3">
      <c r="B836" s="86"/>
      <c r="C836" s="86"/>
      <c r="D836" s="86"/>
    </row>
    <row r="837" spans="2:4" hidden="1" x14ac:dyDescent="0.3">
      <c r="B837" s="86"/>
      <c r="C837" s="86"/>
      <c r="D837" s="86"/>
    </row>
    <row r="838" spans="2:4" hidden="1" x14ac:dyDescent="0.3">
      <c r="B838" s="86"/>
      <c r="C838" s="86"/>
      <c r="D838" s="86"/>
    </row>
    <row r="839" spans="2:4" hidden="1" x14ac:dyDescent="0.3">
      <c r="B839" s="86"/>
      <c r="C839" s="86"/>
      <c r="D839" s="86"/>
    </row>
    <row r="840" spans="2:4" hidden="1" x14ac:dyDescent="0.3">
      <c r="B840" s="86"/>
      <c r="C840" s="86"/>
      <c r="D840" s="86"/>
    </row>
    <row r="841" spans="2:4" hidden="1" x14ac:dyDescent="0.3">
      <c r="B841" s="86"/>
      <c r="C841" s="86"/>
      <c r="D841" s="86"/>
    </row>
    <row r="842" spans="2:4" hidden="1" x14ac:dyDescent="0.3">
      <c r="B842" s="86"/>
      <c r="C842" s="86"/>
      <c r="D842" s="86"/>
    </row>
    <row r="843" spans="2:4" hidden="1" x14ac:dyDescent="0.3">
      <c r="B843" s="86"/>
      <c r="C843" s="86"/>
      <c r="D843" s="86"/>
    </row>
    <row r="844" spans="2:4" hidden="1" x14ac:dyDescent="0.3">
      <c r="B844" s="86"/>
      <c r="C844" s="86"/>
      <c r="D844" s="86"/>
    </row>
    <row r="845" spans="2:4" hidden="1" x14ac:dyDescent="0.3">
      <c r="B845" s="86"/>
      <c r="C845" s="86"/>
      <c r="D845" s="86"/>
    </row>
    <row r="846" spans="2:4" hidden="1" x14ac:dyDescent="0.3">
      <c r="B846" s="86"/>
      <c r="C846" s="86"/>
      <c r="D846" s="86"/>
    </row>
    <row r="847" spans="2:4" hidden="1" x14ac:dyDescent="0.3">
      <c r="B847" s="86"/>
      <c r="C847" s="86"/>
      <c r="D847" s="86"/>
    </row>
    <row r="848" spans="2:4" hidden="1" x14ac:dyDescent="0.3">
      <c r="B848" s="86"/>
      <c r="C848" s="86"/>
      <c r="D848" s="86"/>
    </row>
    <row r="849" spans="2:4" hidden="1" x14ac:dyDescent="0.3">
      <c r="B849" s="86"/>
      <c r="C849" s="86"/>
      <c r="D849" s="86"/>
    </row>
    <row r="850" spans="2:4" hidden="1" x14ac:dyDescent="0.3">
      <c r="B850" s="86"/>
      <c r="C850" s="86"/>
      <c r="D850" s="86"/>
    </row>
    <row r="851" spans="2:4" hidden="1" x14ac:dyDescent="0.3">
      <c r="B851" s="86"/>
      <c r="C851" s="86"/>
      <c r="D851" s="86"/>
    </row>
    <row r="852" spans="2:4" hidden="1" x14ac:dyDescent="0.3">
      <c r="B852" s="86"/>
      <c r="C852" s="86"/>
      <c r="D852" s="86"/>
    </row>
    <row r="853" spans="2:4" hidden="1" x14ac:dyDescent="0.3">
      <c r="B853" s="86"/>
      <c r="C853" s="86"/>
      <c r="D853" s="86"/>
    </row>
    <row r="854" spans="2:4" hidden="1" x14ac:dyDescent="0.3">
      <c r="B854" s="86"/>
      <c r="C854" s="86"/>
      <c r="D854" s="86"/>
    </row>
    <row r="855" spans="2:4" hidden="1" x14ac:dyDescent="0.3">
      <c r="B855" s="86"/>
      <c r="C855" s="86"/>
      <c r="D855" s="86"/>
    </row>
    <row r="856" spans="2:4" hidden="1" x14ac:dyDescent="0.3">
      <c r="B856" s="86"/>
      <c r="C856" s="86"/>
      <c r="D856" s="86"/>
    </row>
    <row r="857" spans="2:4" hidden="1" x14ac:dyDescent="0.3">
      <c r="B857" s="86"/>
      <c r="C857" s="86"/>
      <c r="D857" s="86"/>
    </row>
    <row r="858" spans="2:4" hidden="1" x14ac:dyDescent="0.3">
      <c r="B858" s="86"/>
      <c r="C858" s="86"/>
      <c r="D858" s="86"/>
    </row>
    <row r="859" spans="2:4" hidden="1" x14ac:dyDescent="0.3">
      <c r="B859" s="86"/>
      <c r="C859" s="86"/>
      <c r="D859" s="86"/>
    </row>
    <row r="860" spans="2:4" hidden="1" x14ac:dyDescent="0.3">
      <c r="B860" s="86"/>
      <c r="C860" s="86"/>
      <c r="D860" s="86"/>
    </row>
    <row r="861" spans="2:4" hidden="1" x14ac:dyDescent="0.3">
      <c r="B861" s="86"/>
      <c r="C861" s="86"/>
      <c r="D861" s="86"/>
    </row>
    <row r="862" spans="2:4" hidden="1" x14ac:dyDescent="0.3">
      <c r="B862" s="86"/>
      <c r="C862" s="86"/>
      <c r="D862" s="86"/>
    </row>
    <row r="863" spans="2:4" hidden="1" x14ac:dyDescent="0.3">
      <c r="B863" s="86"/>
      <c r="C863" s="86"/>
      <c r="D863" s="86"/>
    </row>
    <row r="864" spans="2:4" hidden="1" x14ac:dyDescent="0.3">
      <c r="B864" s="86"/>
      <c r="C864" s="86"/>
      <c r="D864" s="86"/>
    </row>
    <row r="865" spans="2:4" hidden="1" x14ac:dyDescent="0.3">
      <c r="B865" s="86"/>
      <c r="C865" s="86"/>
      <c r="D865" s="86"/>
    </row>
    <row r="866" spans="2:4" hidden="1" x14ac:dyDescent="0.3">
      <c r="B866" s="86"/>
      <c r="C866" s="86"/>
      <c r="D866" s="86"/>
    </row>
    <row r="867" spans="2:4" hidden="1" x14ac:dyDescent="0.3">
      <c r="B867" s="86"/>
      <c r="C867" s="86"/>
      <c r="D867" s="86"/>
    </row>
    <row r="868" spans="2:4" hidden="1" x14ac:dyDescent="0.3">
      <c r="B868" s="86"/>
      <c r="C868" s="86"/>
      <c r="D868" s="86"/>
    </row>
    <row r="869" spans="2:4" hidden="1" x14ac:dyDescent="0.3">
      <c r="B869" s="86"/>
      <c r="C869" s="86"/>
      <c r="D869" s="86"/>
    </row>
    <row r="870" spans="2:4" hidden="1" x14ac:dyDescent="0.3">
      <c r="B870" s="86"/>
      <c r="C870" s="86"/>
      <c r="D870" s="86"/>
    </row>
    <row r="871" spans="2:4" hidden="1" x14ac:dyDescent="0.3">
      <c r="B871" s="86"/>
      <c r="C871" s="86"/>
      <c r="D871" s="86"/>
    </row>
    <row r="872" spans="2:4" hidden="1" x14ac:dyDescent="0.3">
      <c r="B872" s="86"/>
      <c r="C872" s="86"/>
      <c r="D872" s="86"/>
    </row>
    <row r="873" spans="2:4" hidden="1" x14ac:dyDescent="0.3">
      <c r="B873" s="86"/>
      <c r="C873" s="86"/>
      <c r="D873" s="86"/>
    </row>
    <row r="874" spans="2:4" hidden="1" x14ac:dyDescent="0.3">
      <c r="B874" s="86"/>
      <c r="C874" s="86"/>
      <c r="D874" s="86"/>
    </row>
    <row r="875" spans="2:4" hidden="1" x14ac:dyDescent="0.3">
      <c r="B875" s="86"/>
      <c r="C875" s="86"/>
      <c r="D875" s="86"/>
    </row>
    <row r="876" spans="2:4" hidden="1" x14ac:dyDescent="0.3">
      <c r="B876" s="86"/>
      <c r="C876" s="86"/>
      <c r="D876" s="86"/>
    </row>
    <row r="877" spans="2:4" hidden="1" x14ac:dyDescent="0.3">
      <c r="B877" s="86"/>
      <c r="C877" s="86"/>
      <c r="D877" s="86"/>
    </row>
    <row r="878" spans="2:4" hidden="1" x14ac:dyDescent="0.3">
      <c r="B878" s="86"/>
      <c r="C878" s="86"/>
      <c r="D878" s="86"/>
    </row>
    <row r="879" spans="2:4" hidden="1" x14ac:dyDescent="0.3">
      <c r="B879" s="86"/>
      <c r="C879" s="86"/>
      <c r="D879" s="86"/>
    </row>
    <row r="880" spans="2:4" hidden="1" x14ac:dyDescent="0.3">
      <c r="B880" s="86"/>
      <c r="C880" s="86"/>
      <c r="D880" s="86"/>
    </row>
    <row r="881" spans="2:4" hidden="1" x14ac:dyDescent="0.3">
      <c r="B881" s="86"/>
      <c r="C881" s="86"/>
      <c r="D881" s="86"/>
    </row>
    <row r="882" spans="2:4" hidden="1" x14ac:dyDescent="0.3">
      <c r="B882" s="86"/>
      <c r="C882" s="86"/>
      <c r="D882" s="86"/>
    </row>
    <row r="883" spans="2:4" hidden="1" x14ac:dyDescent="0.3">
      <c r="B883" s="86"/>
      <c r="C883" s="86"/>
      <c r="D883" s="86"/>
    </row>
    <row r="884" spans="2:4" hidden="1" x14ac:dyDescent="0.3">
      <c r="B884" s="86"/>
      <c r="C884" s="86"/>
      <c r="D884" s="86"/>
    </row>
    <row r="885" spans="2:4" hidden="1" x14ac:dyDescent="0.3">
      <c r="B885" s="86"/>
      <c r="C885" s="86"/>
      <c r="D885" s="86"/>
    </row>
    <row r="886" spans="2:4" hidden="1" x14ac:dyDescent="0.3">
      <c r="B886" s="86"/>
      <c r="C886" s="86"/>
      <c r="D886" s="86"/>
    </row>
    <row r="887" spans="2:4" hidden="1" x14ac:dyDescent="0.3">
      <c r="B887" s="86"/>
      <c r="C887" s="86"/>
      <c r="D887" s="86"/>
    </row>
    <row r="888" spans="2:4" hidden="1" x14ac:dyDescent="0.3">
      <c r="B888" s="86"/>
      <c r="C888" s="86"/>
      <c r="D888" s="86"/>
    </row>
    <row r="889" spans="2:4" hidden="1" x14ac:dyDescent="0.3">
      <c r="B889" s="86"/>
      <c r="C889" s="86"/>
      <c r="D889" s="86"/>
    </row>
    <row r="890" spans="2:4" hidden="1" x14ac:dyDescent="0.3">
      <c r="B890" s="86"/>
      <c r="C890" s="86"/>
      <c r="D890" s="86"/>
    </row>
    <row r="891" spans="2:4" hidden="1" x14ac:dyDescent="0.3">
      <c r="B891" s="86"/>
      <c r="C891" s="86"/>
      <c r="D891" s="86"/>
    </row>
    <row r="892" spans="2:4" hidden="1" x14ac:dyDescent="0.3">
      <c r="B892" s="86"/>
      <c r="C892" s="86"/>
      <c r="D892" s="86"/>
    </row>
    <row r="893" spans="2:4" hidden="1" x14ac:dyDescent="0.3">
      <c r="B893" s="86"/>
      <c r="C893" s="86"/>
      <c r="D893" s="86"/>
    </row>
    <row r="894" spans="2:4" hidden="1" x14ac:dyDescent="0.3">
      <c r="B894" s="86"/>
      <c r="C894" s="86"/>
      <c r="D894" s="86"/>
    </row>
    <row r="895" spans="2:4" hidden="1" x14ac:dyDescent="0.3">
      <c r="B895" s="86"/>
      <c r="C895" s="86"/>
      <c r="D895" s="86"/>
    </row>
    <row r="896" spans="2:4" hidden="1" x14ac:dyDescent="0.3">
      <c r="B896" s="86"/>
      <c r="C896" s="86"/>
      <c r="D896" s="86"/>
    </row>
    <row r="897" spans="2:4" hidden="1" x14ac:dyDescent="0.3">
      <c r="B897" s="86"/>
      <c r="C897" s="86"/>
      <c r="D897" s="86"/>
    </row>
    <row r="898" spans="2:4" hidden="1" x14ac:dyDescent="0.3">
      <c r="B898" s="86"/>
      <c r="C898" s="86"/>
      <c r="D898" s="86"/>
    </row>
    <row r="899" spans="2:4" hidden="1" x14ac:dyDescent="0.3">
      <c r="B899" s="86"/>
      <c r="C899" s="86"/>
      <c r="D899" s="86"/>
    </row>
    <row r="900" spans="2:4" hidden="1" x14ac:dyDescent="0.3">
      <c r="B900" s="86"/>
      <c r="C900" s="86"/>
      <c r="D900" s="86"/>
    </row>
    <row r="901" spans="2:4" hidden="1" x14ac:dyDescent="0.3">
      <c r="B901" s="87"/>
      <c r="C901" s="87"/>
      <c r="D901" s="87"/>
    </row>
    <row r="902" spans="2:4" hidden="1" x14ac:dyDescent="0.3">
      <c r="B902" s="87"/>
      <c r="C902" s="87"/>
      <c r="D902" s="87"/>
    </row>
    <row r="903" spans="2:4" hidden="1" x14ac:dyDescent="0.3">
      <c r="B903" s="87"/>
      <c r="C903" s="87"/>
      <c r="D903" s="87"/>
    </row>
    <row r="904" spans="2:4" hidden="1" x14ac:dyDescent="0.3">
      <c r="B904" s="87"/>
      <c r="C904" s="87"/>
      <c r="D904" s="87"/>
    </row>
    <row r="905" spans="2:4" hidden="1" x14ac:dyDescent="0.3">
      <c r="B905" s="87"/>
      <c r="C905" s="87"/>
      <c r="D905" s="87"/>
    </row>
    <row r="906" spans="2:4" hidden="1" x14ac:dyDescent="0.3">
      <c r="B906" s="87"/>
      <c r="C906" s="87"/>
      <c r="D906" s="87"/>
    </row>
    <row r="907" spans="2:4" hidden="1" x14ac:dyDescent="0.3">
      <c r="B907" s="87"/>
      <c r="C907" s="87"/>
      <c r="D907" s="87"/>
    </row>
    <row r="908" spans="2:4" hidden="1" x14ac:dyDescent="0.3">
      <c r="B908" s="87"/>
      <c r="C908" s="87"/>
      <c r="D908" s="87"/>
    </row>
    <row r="909" spans="2:4" hidden="1" x14ac:dyDescent="0.3">
      <c r="B909" s="87"/>
      <c r="C909" s="87"/>
      <c r="D909" s="87"/>
    </row>
    <row r="910" spans="2:4" hidden="1" x14ac:dyDescent="0.3">
      <c r="B910" s="87"/>
      <c r="C910" s="87"/>
      <c r="D910" s="87"/>
    </row>
    <row r="911" spans="2:4" hidden="1" x14ac:dyDescent="0.3">
      <c r="B911" s="87"/>
      <c r="C911" s="87"/>
      <c r="D911" s="87"/>
    </row>
    <row r="912" spans="2:4" hidden="1" x14ac:dyDescent="0.3">
      <c r="B912" s="87"/>
      <c r="C912" s="87"/>
      <c r="D912" s="87"/>
    </row>
    <row r="913" spans="2:4" hidden="1" x14ac:dyDescent="0.3">
      <c r="B913" s="87"/>
      <c r="C913" s="87"/>
      <c r="D913" s="87"/>
    </row>
    <row r="914" spans="2:4" hidden="1" x14ac:dyDescent="0.3">
      <c r="B914" s="87"/>
      <c r="C914" s="87"/>
      <c r="D914" s="87"/>
    </row>
    <row r="915" spans="2:4" hidden="1" x14ac:dyDescent="0.3">
      <c r="B915" s="87"/>
      <c r="C915" s="87"/>
      <c r="D915" s="87"/>
    </row>
    <row r="916" spans="2:4" hidden="1" x14ac:dyDescent="0.3">
      <c r="B916" s="87"/>
      <c r="C916" s="87"/>
      <c r="D916" s="87"/>
    </row>
    <row r="917" spans="2:4" hidden="1" x14ac:dyDescent="0.3">
      <c r="B917" s="87"/>
      <c r="C917" s="87"/>
      <c r="D917" s="87"/>
    </row>
    <row r="918" spans="2:4" hidden="1" x14ac:dyDescent="0.3">
      <c r="B918" s="87"/>
      <c r="C918" s="87"/>
      <c r="D918" s="87"/>
    </row>
    <row r="919" spans="2:4" hidden="1" x14ac:dyDescent="0.3">
      <c r="B919" s="87"/>
      <c r="C919" s="87"/>
      <c r="D919" s="87"/>
    </row>
    <row r="920" spans="2:4" hidden="1" x14ac:dyDescent="0.3">
      <c r="B920" s="87"/>
      <c r="C920" s="87"/>
      <c r="D920" s="87"/>
    </row>
    <row r="921" spans="2:4" hidden="1" x14ac:dyDescent="0.3">
      <c r="B921" s="87"/>
      <c r="C921" s="87"/>
      <c r="D921" s="87"/>
    </row>
    <row r="922" spans="2:4" hidden="1" x14ac:dyDescent="0.3">
      <c r="B922" s="87"/>
      <c r="C922" s="87"/>
      <c r="D922" s="87"/>
    </row>
    <row r="923" spans="2:4" hidden="1" x14ac:dyDescent="0.3">
      <c r="B923" s="87"/>
      <c r="C923" s="87"/>
      <c r="D923" s="87"/>
    </row>
    <row r="924" spans="2:4" hidden="1" x14ac:dyDescent="0.3">
      <c r="B924" s="87"/>
      <c r="C924" s="87"/>
      <c r="D924" s="87"/>
    </row>
    <row r="925" spans="2:4" hidden="1" x14ac:dyDescent="0.3">
      <c r="B925" s="87"/>
      <c r="C925" s="87"/>
      <c r="D925" s="87"/>
    </row>
    <row r="926" spans="2:4" hidden="1" x14ac:dyDescent="0.3">
      <c r="B926" s="87"/>
      <c r="C926" s="87"/>
      <c r="D926" s="87"/>
    </row>
    <row r="927" spans="2:4" hidden="1" x14ac:dyDescent="0.3">
      <c r="B927" s="87"/>
      <c r="C927" s="87"/>
      <c r="D927" s="87"/>
    </row>
    <row r="928" spans="2:4" hidden="1" x14ac:dyDescent="0.3">
      <c r="B928" s="87"/>
      <c r="C928" s="87"/>
      <c r="D928" s="87"/>
    </row>
    <row r="929" spans="2:4" hidden="1" x14ac:dyDescent="0.3">
      <c r="B929" s="87"/>
      <c r="C929" s="87"/>
      <c r="D929" s="87"/>
    </row>
    <row r="930" spans="2:4" hidden="1" x14ac:dyDescent="0.3">
      <c r="B930" s="87"/>
      <c r="C930" s="87"/>
      <c r="D930" s="87"/>
    </row>
    <row r="931" spans="2:4" hidden="1" x14ac:dyDescent="0.3">
      <c r="B931" s="87"/>
      <c r="C931" s="87"/>
      <c r="D931" s="87"/>
    </row>
    <row r="932" spans="2:4" hidden="1" x14ac:dyDescent="0.3">
      <c r="B932" s="87"/>
      <c r="C932" s="87"/>
      <c r="D932" s="87"/>
    </row>
    <row r="933" spans="2:4" hidden="1" x14ac:dyDescent="0.3">
      <c r="B933" s="87"/>
      <c r="C933" s="87"/>
      <c r="D933" s="87"/>
    </row>
    <row r="934" spans="2:4" hidden="1" x14ac:dyDescent="0.3">
      <c r="B934" s="87"/>
      <c r="C934" s="87"/>
      <c r="D934" s="87"/>
    </row>
    <row r="935" spans="2:4" hidden="1" x14ac:dyDescent="0.3">
      <c r="B935" s="87"/>
      <c r="C935" s="87"/>
      <c r="D935" s="87"/>
    </row>
    <row r="936" spans="2:4" hidden="1" x14ac:dyDescent="0.3">
      <c r="B936" s="87"/>
      <c r="C936" s="87"/>
      <c r="D936" s="87"/>
    </row>
    <row r="937" spans="2:4" hidden="1" x14ac:dyDescent="0.3">
      <c r="B937" s="87"/>
      <c r="C937" s="87"/>
      <c r="D937" s="87"/>
    </row>
    <row r="938" spans="2:4" hidden="1" x14ac:dyDescent="0.3">
      <c r="B938" s="87"/>
      <c r="C938" s="87"/>
      <c r="D938" s="87"/>
    </row>
    <row r="939" spans="2:4" hidden="1" x14ac:dyDescent="0.3">
      <c r="B939" s="87"/>
      <c r="C939" s="87"/>
      <c r="D939" s="87"/>
    </row>
    <row r="940" spans="2:4" hidden="1" x14ac:dyDescent="0.3">
      <c r="B940" s="87"/>
      <c r="C940" s="87"/>
      <c r="D940" s="87"/>
    </row>
    <row r="941" spans="2:4" hidden="1" x14ac:dyDescent="0.3">
      <c r="B941" s="87"/>
      <c r="C941" s="87"/>
      <c r="D941" s="87"/>
    </row>
    <row r="942" spans="2:4" hidden="1" x14ac:dyDescent="0.3">
      <c r="B942" s="87"/>
      <c r="C942" s="87"/>
      <c r="D942" s="87"/>
    </row>
    <row r="943" spans="2:4" hidden="1" x14ac:dyDescent="0.3">
      <c r="B943" s="87"/>
      <c r="C943" s="87"/>
      <c r="D943" s="87"/>
    </row>
    <row r="944" spans="2:4" hidden="1" x14ac:dyDescent="0.3">
      <c r="B944" s="87"/>
      <c r="C944" s="87"/>
      <c r="D944" s="87"/>
    </row>
    <row r="945" spans="2:4" hidden="1" x14ac:dyDescent="0.3">
      <c r="B945" s="87"/>
      <c r="C945" s="87"/>
      <c r="D945" s="87"/>
    </row>
    <row r="946" spans="2:4" hidden="1" x14ac:dyDescent="0.3">
      <c r="B946" s="87"/>
      <c r="C946" s="87"/>
      <c r="D946" s="87"/>
    </row>
    <row r="947" spans="2:4" hidden="1" x14ac:dyDescent="0.3">
      <c r="B947" s="87"/>
      <c r="C947" s="87"/>
      <c r="D947" s="87"/>
    </row>
    <row r="948" spans="2:4" hidden="1" x14ac:dyDescent="0.3">
      <c r="B948" s="87"/>
      <c r="C948" s="87"/>
      <c r="D948" s="87"/>
    </row>
    <row r="949" spans="2:4" hidden="1" x14ac:dyDescent="0.3">
      <c r="B949" s="87"/>
      <c r="C949" s="87"/>
      <c r="D949" s="87"/>
    </row>
    <row r="950" spans="2:4" hidden="1" x14ac:dyDescent="0.3">
      <c r="B950" s="87"/>
      <c r="C950" s="87"/>
      <c r="D950" s="87"/>
    </row>
    <row r="951" spans="2:4" hidden="1" x14ac:dyDescent="0.3">
      <c r="B951" s="87"/>
      <c r="C951" s="87"/>
      <c r="D951" s="87"/>
    </row>
    <row r="952" spans="2:4" hidden="1" x14ac:dyDescent="0.3">
      <c r="B952" s="87"/>
      <c r="C952" s="87"/>
      <c r="D952" s="87"/>
    </row>
    <row r="953" spans="2:4" hidden="1" x14ac:dyDescent="0.3">
      <c r="B953" s="87"/>
      <c r="C953" s="87"/>
      <c r="D953" s="87"/>
    </row>
    <row r="954" spans="2:4" hidden="1" x14ac:dyDescent="0.3">
      <c r="B954" s="87"/>
      <c r="C954" s="87"/>
      <c r="D954" s="87"/>
    </row>
    <row r="955" spans="2:4" hidden="1" x14ac:dyDescent="0.3">
      <c r="B955" s="87"/>
      <c r="C955" s="87"/>
      <c r="D955" s="87"/>
    </row>
    <row r="956" spans="2:4" hidden="1" x14ac:dyDescent="0.3">
      <c r="B956" s="87"/>
      <c r="C956" s="87"/>
      <c r="D956" s="87"/>
    </row>
    <row r="957" spans="2:4" hidden="1" x14ac:dyDescent="0.3">
      <c r="B957" s="87"/>
      <c r="C957" s="87"/>
      <c r="D957" s="87"/>
    </row>
    <row r="958" spans="2:4" hidden="1" x14ac:dyDescent="0.3">
      <c r="B958" s="87"/>
      <c r="C958" s="87"/>
      <c r="D958" s="87"/>
    </row>
    <row r="959" spans="2:4" hidden="1" x14ac:dyDescent="0.3">
      <c r="B959" s="87"/>
      <c r="C959" s="87"/>
      <c r="D959" s="87"/>
    </row>
    <row r="960" spans="2:4" hidden="1" x14ac:dyDescent="0.3">
      <c r="B960" s="87"/>
      <c r="C960" s="87"/>
      <c r="D960" s="87"/>
    </row>
    <row r="961" spans="2:4" hidden="1" x14ac:dyDescent="0.3">
      <c r="B961" s="87"/>
      <c r="C961" s="87"/>
      <c r="D961" s="87"/>
    </row>
    <row r="962" spans="2:4" hidden="1" x14ac:dyDescent="0.3">
      <c r="B962" s="87"/>
      <c r="C962" s="87"/>
      <c r="D962" s="87"/>
    </row>
    <row r="963" spans="2:4" hidden="1" x14ac:dyDescent="0.3">
      <c r="B963" s="87"/>
      <c r="C963" s="87"/>
      <c r="D963" s="87"/>
    </row>
    <row r="964" spans="2:4" hidden="1" x14ac:dyDescent="0.3">
      <c r="B964" s="87"/>
      <c r="C964" s="87"/>
      <c r="D964" s="87"/>
    </row>
    <row r="965" spans="2:4" hidden="1" x14ac:dyDescent="0.3">
      <c r="B965" s="87"/>
      <c r="C965" s="87"/>
      <c r="D965" s="87"/>
    </row>
    <row r="966" spans="2:4" hidden="1" x14ac:dyDescent="0.3">
      <c r="B966" s="87"/>
      <c r="C966" s="87"/>
      <c r="D966" s="87"/>
    </row>
    <row r="967" spans="2:4" hidden="1" x14ac:dyDescent="0.3">
      <c r="B967" s="87"/>
      <c r="C967" s="87"/>
      <c r="D967" s="87"/>
    </row>
    <row r="968" spans="2:4" hidden="1" x14ac:dyDescent="0.3">
      <c r="B968" s="87"/>
      <c r="C968" s="87"/>
      <c r="D968" s="87"/>
    </row>
    <row r="969" spans="2:4" hidden="1" x14ac:dyDescent="0.3">
      <c r="B969" s="87"/>
      <c r="C969" s="87"/>
      <c r="D969" s="87"/>
    </row>
    <row r="970" spans="2:4" hidden="1" x14ac:dyDescent="0.3">
      <c r="B970" s="87"/>
      <c r="C970" s="87"/>
      <c r="D970" s="87"/>
    </row>
    <row r="971" spans="2:4" hidden="1" x14ac:dyDescent="0.3">
      <c r="B971" s="87"/>
      <c r="C971" s="87"/>
      <c r="D971" s="87"/>
    </row>
    <row r="972" spans="2:4" hidden="1" x14ac:dyDescent="0.3">
      <c r="B972" s="87"/>
      <c r="C972" s="87"/>
      <c r="D972" s="87"/>
    </row>
    <row r="973" spans="2:4" hidden="1" x14ac:dyDescent="0.3">
      <c r="B973" s="87"/>
      <c r="C973" s="87"/>
      <c r="D973" s="87"/>
    </row>
    <row r="974" spans="2:4" hidden="1" x14ac:dyDescent="0.3">
      <c r="B974" s="87"/>
      <c r="C974" s="87"/>
      <c r="D974" s="87"/>
    </row>
    <row r="975" spans="2:4" hidden="1" x14ac:dyDescent="0.3">
      <c r="B975" s="87"/>
      <c r="C975" s="87"/>
      <c r="D975" s="87"/>
    </row>
    <row r="976" spans="2:4" hidden="1" x14ac:dyDescent="0.3">
      <c r="B976" s="87"/>
      <c r="C976" s="87"/>
      <c r="D976" s="87"/>
    </row>
    <row r="977" spans="2:4" hidden="1" x14ac:dyDescent="0.3">
      <c r="B977" s="87"/>
      <c r="C977" s="87"/>
      <c r="D977" s="87"/>
    </row>
    <row r="978" spans="2:4" hidden="1" x14ac:dyDescent="0.3">
      <c r="B978" s="87"/>
      <c r="C978" s="87"/>
      <c r="D978" s="87"/>
    </row>
    <row r="979" spans="2:4" hidden="1" x14ac:dyDescent="0.3">
      <c r="B979" s="87"/>
      <c r="C979" s="87"/>
      <c r="D979" s="87"/>
    </row>
    <row r="980" spans="2:4" hidden="1" x14ac:dyDescent="0.3">
      <c r="B980" s="87"/>
      <c r="C980" s="87"/>
      <c r="D980" s="87"/>
    </row>
    <row r="981" spans="2:4" hidden="1" x14ac:dyDescent="0.3">
      <c r="B981" s="87"/>
      <c r="C981" s="87"/>
      <c r="D981" s="87"/>
    </row>
    <row r="982" spans="2:4" hidden="1" x14ac:dyDescent="0.3">
      <c r="B982" s="87"/>
      <c r="C982" s="87"/>
      <c r="D982" s="87"/>
    </row>
    <row r="983" spans="2:4" hidden="1" x14ac:dyDescent="0.3">
      <c r="B983" s="87"/>
      <c r="C983" s="87"/>
      <c r="D983" s="87"/>
    </row>
    <row r="984" spans="2:4" hidden="1" x14ac:dyDescent="0.3">
      <c r="B984" s="87"/>
      <c r="C984" s="87"/>
      <c r="D984" s="87"/>
    </row>
    <row r="985" spans="2:4" hidden="1" x14ac:dyDescent="0.3">
      <c r="B985" s="87"/>
      <c r="C985" s="87"/>
      <c r="D985" s="87"/>
    </row>
    <row r="986" spans="2:4" hidden="1" x14ac:dyDescent="0.3">
      <c r="B986" s="87"/>
      <c r="C986" s="87"/>
      <c r="D986" s="87"/>
    </row>
    <row r="987" spans="2:4" hidden="1" x14ac:dyDescent="0.3">
      <c r="B987" s="87"/>
      <c r="C987" s="87"/>
      <c r="D987" s="87"/>
    </row>
    <row r="988" spans="2:4" hidden="1" x14ac:dyDescent="0.3">
      <c r="B988" s="87"/>
      <c r="C988" s="87"/>
      <c r="D988" s="87"/>
    </row>
    <row r="989" spans="2:4" hidden="1" x14ac:dyDescent="0.3">
      <c r="B989" s="87"/>
      <c r="C989" s="87"/>
      <c r="D989" s="87"/>
    </row>
    <row r="990" spans="2:4" hidden="1" x14ac:dyDescent="0.3">
      <c r="B990" s="87"/>
      <c r="C990" s="87"/>
      <c r="D990" s="87"/>
    </row>
    <row r="991" spans="2:4" hidden="1" x14ac:dyDescent="0.3">
      <c r="B991" s="87"/>
      <c r="C991" s="87"/>
      <c r="D991" s="87"/>
    </row>
    <row r="992" spans="2:4" hidden="1" x14ac:dyDescent="0.3">
      <c r="B992" s="87"/>
      <c r="C992" s="87"/>
      <c r="D992" s="87"/>
    </row>
    <row r="993" spans="2:4" hidden="1" x14ac:dyDescent="0.3">
      <c r="B993" s="87"/>
      <c r="C993" s="87"/>
      <c r="D993" s="87"/>
    </row>
    <row r="994" spans="2:4" hidden="1" x14ac:dyDescent="0.3">
      <c r="B994" s="87"/>
      <c r="C994" s="87"/>
      <c r="D994" s="87"/>
    </row>
    <row r="995" spans="2:4" hidden="1" x14ac:dyDescent="0.3">
      <c r="B995" s="87"/>
      <c r="C995" s="87"/>
      <c r="D995" s="87"/>
    </row>
    <row r="996" spans="2:4" hidden="1" x14ac:dyDescent="0.3">
      <c r="B996" s="87"/>
      <c r="C996" s="87"/>
      <c r="D996" s="87"/>
    </row>
    <row r="997" spans="2:4" hidden="1" x14ac:dyDescent="0.3">
      <c r="B997" s="87"/>
      <c r="C997" s="87"/>
      <c r="D997" s="87"/>
    </row>
    <row r="998" spans="2:4" hidden="1" x14ac:dyDescent="0.3">
      <c r="B998" s="87"/>
      <c r="C998" s="87"/>
      <c r="D998" s="87"/>
    </row>
    <row r="999" spans="2:4" hidden="1" x14ac:dyDescent="0.3">
      <c r="B999" s="87"/>
      <c r="C999" s="87"/>
      <c r="D999" s="87"/>
    </row>
    <row r="1000" spans="2:4" hidden="1" x14ac:dyDescent="0.3">
      <c r="B1000" s="87"/>
      <c r="C1000" s="87"/>
      <c r="D1000" s="87"/>
    </row>
    <row r="1001" spans="2:4" hidden="1" x14ac:dyDescent="0.3">
      <c r="B1001" s="87"/>
      <c r="C1001" s="87"/>
      <c r="D1001" s="87"/>
    </row>
    <row r="1002" spans="2:4" hidden="1" x14ac:dyDescent="0.3">
      <c r="B1002" s="87"/>
      <c r="C1002" s="87"/>
      <c r="D1002" s="87"/>
    </row>
    <row r="1003" spans="2:4" hidden="1" x14ac:dyDescent="0.3">
      <c r="B1003" s="87"/>
      <c r="C1003" s="87"/>
      <c r="D1003" s="87"/>
    </row>
    <row r="1004" spans="2:4" hidden="1" x14ac:dyDescent="0.3">
      <c r="B1004" s="87"/>
      <c r="C1004" s="87"/>
      <c r="D1004" s="87"/>
    </row>
    <row r="1005" spans="2:4" hidden="1" x14ac:dyDescent="0.3">
      <c r="B1005" s="87"/>
      <c r="C1005" s="87"/>
      <c r="D1005" s="87"/>
    </row>
    <row r="1006" spans="2:4" hidden="1" x14ac:dyDescent="0.3">
      <c r="B1006" s="87"/>
      <c r="C1006" s="87"/>
      <c r="D1006" s="87"/>
    </row>
    <row r="1007" spans="2:4" hidden="1" x14ac:dyDescent="0.3">
      <c r="B1007" s="87"/>
      <c r="C1007" s="87"/>
      <c r="D1007" s="87"/>
    </row>
    <row r="1008" spans="2:4" hidden="1" x14ac:dyDescent="0.3">
      <c r="B1008" s="87"/>
      <c r="C1008" s="87"/>
      <c r="D1008" s="87"/>
    </row>
    <row r="1009" spans="2:4" hidden="1" x14ac:dyDescent="0.3">
      <c r="B1009" s="87"/>
      <c r="C1009" s="87"/>
      <c r="D1009" s="87"/>
    </row>
    <row r="1010" spans="2:4" hidden="1" x14ac:dyDescent="0.3">
      <c r="B1010" s="87"/>
      <c r="C1010" s="87"/>
      <c r="D1010" s="87"/>
    </row>
    <row r="1011" spans="2:4" hidden="1" x14ac:dyDescent="0.3">
      <c r="B1011" s="87"/>
      <c r="C1011" s="87"/>
      <c r="D1011" s="87"/>
    </row>
    <row r="1012" spans="2:4" hidden="1" x14ac:dyDescent="0.3">
      <c r="B1012" s="87"/>
      <c r="C1012" s="87"/>
      <c r="D1012" s="87"/>
    </row>
    <row r="1013" spans="2:4" hidden="1" x14ac:dyDescent="0.3">
      <c r="B1013" s="87"/>
      <c r="C1013" s="87"/>
      <c r="D1013" s="87"/>
    </row>
    <row r="1014" spans="2:4" hidden="1" x14ac:dyDescent="0.3">
      <c r="B1014" s="87"/>
      <c r="C1014" s="87"/>
      <c r="D1014" s="87"/>
    </row>
    <row r="1015" spans="2:4" hidden="1" x14ac:dyDescent="0.3">
      <c r="B1015" s="87"/>
      <c r="C1015" s="87"/>
      <c r="D1015" s="87"/>
    </row>
    <row r="1016" spans="2:4" hidden="1" x14ac:dyDescent="0.3">
      <c r="B1016" s="87"/>
      <c r="C1016" s="87"/>
      <c r="D1016" s="87"/>
    </row>
    <row r="1017" spans="2:4" hidden="1" x14ac:dyDescent="0.3">
      <c r="B1017" s="87"/>
      <c r="C1017" s="87"/>
      <c r="D1017" s="87"/>
    </row>
    <row r="1018" spans="2:4" hidden="1" x14ac:dyDescent="0.3">
      <c r="B1018" s="87"/>
      <c r="C1018" s="87"/>
      <c r="D1018" s="87"/>
    </row>
    <row r="1019" spans="2:4" hidden="1" x14ac:dyDescent="0.3">
      <c r="B1019" s="87"/>
      <c r="C1019" s="87"/>
      <c r="D1019" s="87"/>
    </row>
    <row r="1020" spans="2:4" hidden="1" x14ac:dyDescent="0.3">
      <c r="B1020" s="87"/>
      <c r="C1020" s="87"/>
      <c r="D1020" s="87"/>
    </row>
    <row r="1021" spans="2:4" hidden="1" x14ac:dyDescent="0.3">
      <c r="B1021" s="87"/>
      <c r="C1021" s="87"/>
      <c r="D1021" s="87"/>
    </row>
    <row r="1022" spans="2:4" hidden="1" x14ac:dyDescent="0.3">
      <c r="B1022" s="87"/>
      <c r="C1022" s="87"/>
      <c r="D1022" s="87"/>
    </row>
    <row r="1023" spans="2:4" hidden="1" x14ac:dyDescent="0.3">
      <c r="B1023" s="87"/>
      <c r="C1023" s="87"/>
      <c r="D1023" s="87"/>
    </row>
    <row r="1024" spans="2:4" hidden="1" x14ac:dyDescent="0.3">
      <c r="B1024" s="87"/>
      <c r="C1024" s="87"/>
      <c r="D1024" s="87"/>
    </row>
    <row r="1025" spans="2:4" hidden="1" x14ac:dyDescent="0.3">
      <c r="B1025" s="87"/>
      <c r="C1025" s="87"/>
      <c r="D1025" s="87"/>
    </row>
    <row r="1026" spans="2:4" hidden="1" x14ac:dyDescent="0.3">
      <c r="B1026" s="87"/>
      <c r="C1026" s="87"/>
      <c r="D1026" s="87"/>
    </row>
    <row r="1027" spans="2:4" hidden="1" x14ac:dyDescent="0.3">
      <c r="B1027" s="87"/>
      <c r="C1027" s="87"/>
      <c r="D1027" s="87"/>
    </row>
    <row r="1028" spans="2:4" hidden="1" x14ac:dyDescent="0.3">
      <c r="B1028" s="87"/>
      <c r="C1028" s="87"/>
      <c r="D1028" s="87"/>
    </row>
    <row r="1029" spans="2:4" hidden="1" x14ac:dyDescent="0.3">
      <c r="B1029" s="87"/>
      <c r="C1029" s="87"/>
      <c r="D1029" s="87"/>
    </row>
    <row r="1030" spans="2:4" hidden="1" x14ac:dyDescent="0.3">
      <c r="B1030" s="87"/>
      <c r="C1030" s="87"/>
      <c r="D1030" s="87"/>
    </row>
    <row r="1031" spans="2:4" hidden="1" x14ac:dyDescent="0.3">
      <c r="B1031" s="87"/>
      <c r="C1031" s="87"/>
      <c r="D1031" s="87"/>
    </row>
    <row r="1032" spans="2:4" hidden="1" x14ac:dyDescent="0.3">
      <c r="B1032" s="87"/>
      <c r="C1032" s="87"/>
      <c r="D1032" s="87"/>
    </row>
    <row r="1033" spans="2:4" hidden="1" x14ac:dyDescent="0.3">
      <c r="B1033" s="87"/>
      <c r="C1033" s="87"/>
      <c r="D1033" s="87"/>
    </row>
    <row r="1034" spans="2:4" hidden="1" x14ac:dyDescent="0.3">
      <c r="B1034" s="87"/>
      <c r="C1034" s="87"/>
      <c r="D1034" s="87"/>
    </row>
    <row r="1035" spans="2:4" hidden="1" x14ac:dyDescent="0.3">
      <c r="B1035" s="87"/>
      <c r="C1035" s="87"/>
      <c r="D1035" s="87"/>
    </row>
    <row r="1036" spans="2:4" hidden="1" x14ac:dyDescent="0.3">
      <c r="B1036" s="87"/>
      <c r="C1036" s="87"/>
      <c r="D1036" s="87"/>
    </row>
    <row r="1037" spans="2:4" hidden="1" x14ac:dyDescent="0.3">
      <c r="B1037" s="87"/>
      <c r="C1037" s="87"/>
      <c r="D1037" s="87"/>
    </row>
    <row r="1038" spans="2:4" hidden="1" x14ac:dyDescent="0.3">
      <c r="B1038" s="87"/>
      <c r="C1038" s="87"/>
      <c r="D1038" s="87"/>
    </row>
    <row r="1039" spans="2:4" hidden="1" x14ac:dyDescent="0.3">
      <c r="B1039" s="87"/>
      <c r="C1039" s="87"/>
      <c r="D1039" s="87"/>
    </row>
    <row r="1040" spans="2:4" hidden="1" x14ac:dyDescent="0.3">
      <c r="B1040" s="87"/>
      <c r="C1040" s="87"/>
      <c r="D1040" s="87"/>
    </row>
    <row r="1041" spans="2:4" hidden="1" x14ac:dyDescent="0.3">
      <c r="B1041" s="87"/>
      <c r="C1041" s="87"/>
      <c r="D1041" s="87"/>
    </row>
    <row r="1042" spans="2:4" hidden="1" x14ac:dyDescent="0.3">
      <c r="B1042" s="87"/>
      <c r="C1042" s="87"/>
      <c r="D1042" s="87"/>
    </row>
    <row r="1043" spans="2:4" hidden="1" x14ac:dyDescent="0.3">
      <c r="B1043" s="87"/>
      <c r="C1043" s="87"/>
      <c r="D1043" s="87"/>
    </row>
    <row r="1044" spans="2:4" hidden="1" x14ac:dyDescent="0.3">
      <c r="B1044" s="87"/>
      <c r="C1044" s="87"/>
      <c r="D1044" s="87"/>
    </row>
    <row r="1045" spans="2:4" hidden="1" x14ac:dyDescent="0.3">
      <c r="B1045" s="87"/>
      <c r="C1045" s="87"/>
      <c r="D1045" s="87"/>
    </row>
    <row r="1046" spans="2:4" hidden="1" x14ac:dyDescent="0.3">
      <c r="B1046" s="87"/>
      <c r="C1046" s="87"/>
      <c r="D1046" s="87"/>
    </row>
    <row r="1047" spans="2:4" hidden="1" x14ac:dyDescent="0.3">
      <c r="B1047" s="87"/>
      <c r="C1047" s="87"/>
      <c r="D1047" s="87"/>
    </row>
    <row r="1048" spans="2:4" hidden="1" x14ac:dyDescent="0.3">
      <c r="B1048" s="87"/>
      <c r="C1048" s="87"/>
      <c r="D1048" s="87"/>
    </row>
    <row r="1049" spans="2:4" hidden="1" x14ac:dyDescent="0.3">
      <c r="B1049" s="87"/>
      <c r="C1049" s="87"/>
      <c r="D1049" s="87"/>
    </row>
    <row r="1050" spans="2:4" hidden="1" x14ac:dyDescent="0.3">
      <c r="B1050" s="87"/>
      <c r="C1050" s="87"/>
      <c r="D1050" s="87"/>
    </row>
    <row r="1051" spans="2:4" hidden="1" x14ac:dyDescent="0.3">
      <c r="B1051" s="87"/>
      <c r="C1051" s="87"/>
      <c r="D1051" s="87"/>
    </row>
    <row r="1052" spans="2:4" hidden="1" x14ac:dyDescent="0.3">
      <c r="B1052" s="87"/>
      <c r="C1052" s="87"/>
      <c r="D1052" s="87"/>
    </row>
    <row r="1053" spans="2:4" hidden="1" x14ac:dyDescent="0.3">
      <c r="B1053" s="87"/>
      <c r="C1053" s="87"/>
      <c r="D1053" s="87"/>
    </row>
    <row r="1054" spans="2:4" hidden="1" x14ac:dyDescent="0.3">
      <c r="B1054" s="87"/>
      <c r="C1054" s="87"/>
      <c r="D1054" s="87"/>
    </row>
    <row r="1055" spans="2:4" hidden="1" x14ac:dyDescent="0.3">
      <c r="B1055" s="87"/>
      <c r="C1055" s="87"/>
      <c r="D1055" s="87"/>
    </row>
    <row r="1056" spans="2:4" hidden="1" x14ac:dyDescent="0.3">
      <c r="B1056" s="87"/>
      <c r="C1056" s="87"/>
      <c r="D1056" s="87"/>
    </row>
    <row r="1057" spans="2:4" hidden="1" x14ac:dyDescent="0.3">
      <c r="B1057" s="87"/>
      <c r="C1057" s="87"/>
      <c r="D1057" s="87"/>
    </row>
    <row r="1058" spans="2:4" hidden="1" x14ac:dyDescent="0.3">
      <c r="B1058" s="87"/>
      <c r="C1058" s="87"/>
      <c r="D1058" s="87"/>
    </row>
    <row r="1059" spans="2:4" hidden="1" x14ac:dyDescent="0.3">
      <c r="B1059" s="87"/>
      <c r="C1059" s="87"/>
      <c r="D1059" s="87"/>
    </row>
    <row r="1060" spans="2:4" hidden="1" x14ac:dyDescent="0.3">
      <c r="B1060" s="87"/>
      <c r="C1060" s="87"/>
      <c r="D1060" s="87"/>
    </row>
    <row r="1061" spans="2:4" hidden="1" x14ac:dyDescent="0.3">
      <c r="B1061" s="87"/>
      <c r="C1061" s="87"/>
      <c r="D1061" s="87"/>
    </row>
    <row r="1062" spans="2:4" hidden="1" x14ac:dyDescent="0.3">
      <c r="B1062" s="87"/>
      <c r="C1062" s="87"/>
      <c r="D1062" s="87"/>
    </row>
    <row r="1063" spans="2:4" hidden="1" x14ac:dyDescent="0.3">
      <c r="B1063" s="87"/>
      <c r="C1063" s="87"/>
      <c r="D1063" s="87"/>
    </row>
    <row r="1064" spans="2:4" hidden="1" x14ac:dyDescent="0.3">
      <c r="B1064" s="87"/>
      <c r="C1064" s="87"/>
      <c r="D1064" s="87"/>
    </row>
    <row r="1065" spans="2:4" hidden="1" x14ac:dyDescent="0.3">
      <c r="B1065" s="87"/>
      <c r="C1065" s="87"/>
      <c r="D1065" s="87"/>
    </row>
    <row r="1066" spans="2:4" hidden="1" x14ac:dyDescent="0.3">
      <c r="B1066" s="87"/>
      <c r="C1066" s="87"/>
      <c r="D1066" s="87"/>
    </row>
    <row r="1067" spans="2:4" hidden="1" x14ac:dyDescent="0.3">
      <c r="B1067" s="87"/>
      <c r="C1067" s="87"/>
      <c r="D1067" s="87"/>
    </row>
    <row r="1068" spans="2:4" hidden="1" x14ac:dyDescent="0.3">
      <c r="B1068" s="87"/>
      <c r="C1068" s="87"/>
      <c r="D1068" s="87"/>
    </row>
    <row r="1069" spans="2:4" hidden="1" x14ac:dyDescent="0.3">
      <c r="B1069" s="87"/>
      <c r="C1069" s="87"/>
      <c r="D1069" s="87"/>
    </row>
    <row r="1070" spans="2:4" hidden="1" x14ac:dyDescent="0.3">
      <c r="B1070" s="87"/>
      <c r="C1070" s="87"/>
      <c r="D1070" s="87"/>
    </row>
    <row r="1071" spans="2:4" hidden="1" x14ac:dyDescent="0.3">
      <c r="B1071" s="87"/>
      <c r="C1071" s="87"/>
      <c r="D1071" s="87"/>
    </row>
    <row r="1072" spans="2:4" hidden="1" x14ac:dyDescent="0.3">
      <c r="B1072" s="87"/>
      <c r="C1072" s="87"/>
      <c r="D1072" s="87"/>
    </row>
    <row r="1073" spans="2:4" hidden="1" x14ac:dyDescent="0.3">
      <c r="B1073" s="87"/>
      <c r="C1073" s="87"/>
      <c r="D1073" s="87"/>
    </row>
    <row r="1074" spans="2:4" hidden="1" x14ac:dyDescent="0.3">
      <c r="B1074" s="87"/>
      <c r="C1074" s="87"/>
      <c r="D1074" s="87"/>
    </row>
    <row r="1075" spans="2:4" hidden="1" x14ac:dyDescent="0.3">
      <c r="B1075" s="87"/>
      <c r="C1075" s="87"/>
      <c r="D1075" s="87"/>
    </row>
    <row r="1076" spans="2:4" hidden="1" x14ac:dyDescent="0.3">
      <c r="B1076" s="87"/>
      <c r="C1076" s="87"/>
      <c r="D1076" s="87"/>
    </row>
    <row r="1077" spans="2:4" hidden="1" x14ac:dyDescent="0.3">
      <c r="B1077" s="87"/>
      <c r="C1077" s="87"/>
      <c r="D1077" s="87"/>
    </row>
    <row r="1078" spans="2:4" hidden="1" x14ac:dyDescent="0.3">
      <c r="B1078" s="87"/>
      <c r="C1078" s="87"/>
      <c r="D1078" s="87"/>
    </row>
    <row r="1079" spans="2:4" hidden="1" x14ac:dyDescent="0.3">
      <c r="B1079" s="87"/>
      <c r="C1079" s="87"/>
      <c r="D1079" s="87"/>
    </row>
    <row r="1080" spans="2:4" hidden="1" x14ac:dyDescent="0.3">
      <c r="B1080" s="87"/>
      <c r="C1080" s="87"/>
      <c r="D1080" s="87"/>
    </row>
    <row r="1081" spans="2:4" hidden="1" x14ac:dyDescent="0.3">
      <c r="B1081" s="87"/>
      <c r="C1081" s="87"/>
      <c r="D1081" s="87"/>
    </row>
    <row r="1082" spans="2:4" hidden="1" x14ac:dyDescent="0.3">
      <c r="B1082" s="87"/>
      <c r="C1082" s="87"/>
      <c r="D1082" s="87"/>
    </row>
    <row r="1083" spans="2:4" hidden="1" x14ac:dyDescent="0.3">
      <c r="B1083" s="87"/>
      <c r="C1083" s="87"/>
      <c r="D1083" s="87"/>
    </row>
    <row r="1084" spans="2:4" hidden="1" x14ac:dyDescent="0.3">
      <c r="B1084" s="87"/>
      <c r="C1084" s="87"/>
      <c r="D1084" s="87"/>
    </row>
    <row r="1085" spans="2:4" hidden="1" x14ac:dyDescent="0.3">
      <c r="B1085" s="87"/>
      <c r="C1085" s="87"/>
      <c r="D1085" s="87"/>
    </row>
    <row r="1086" spans="2:4" hidden="1" x14ac:dyDescent="0.3">
      <c r="B1086" s="87"/>
      <c r="C1086" s="87"/>
      <c r="D1086" s="87"/>
    </row>
    <row r="1087" spans="2:4" hidden="1" x14ac:dyDescent="0.3">
      <c r="B1087" s="87"/>
      <c r="C1087" s="87"/>
      <c r="D1087" s="87"/>
    </row>
    <row r="1088" spans="2:4" hidden="1" x14ac:dyDescent="0.3">
      <c r="B1088" s="87"/>
      <c r="C1088" s="87"/>
      <c r="D1088" s="87"/>
    </row>
    <row r="1089" spans="2:4" hidden="1" x14ac:dyDescent="0.3">
      <c r="B1089" s="87"/>
      <c r="C1089" s="87"/>
      <c r="D1089" s="87"/>
    </row>
    <row r="1090" spans="2:4" hidden="1" x14ac:dyDescent="0.3">
      <c r="B1090" s="87"/>
      <c r="C1090" s="87"/>
      <c r="D1090" s="87"/>
    </row>
    <row r="1091" spans="2:4" hidden="1" x14ac:dyDescent="0.3">
      <c r="B1091" s="87"/>
      <c r="C1091" s="87"/>
      <c r="D1091" s="87"/>
    </row>
    <row r="1092" spans="2:4" hidden="1" x14ac:dyDescent="0.3">
      <c r="B1092" s="87"/>
      <c r="C1092" s="87"/>
      <c r="D1092" s="87"/>
    </row>
    <row r="1093" spans="2:4" hidden="1" x14ac:dyDescent="0.3">
      <c r="B1093" s="87"/>
      <c r="C1093" s="87"/>
      <c r="D1093" s="87"/>
    </row>
    <row r="1094" spans="2:4" hidden="1" x14ac:dyDescent="0.3">
      <c r="B1094" s="87"/>
      <c r="C1094" s="87"/>
      <c r="D1094" s="87"/>
    </row>
    <row r="1095" spans="2:4" hidden="1" x14ac:dyDescent="0.3">
      <c r="B1095" s="87"/>
      <c r="C1095" s="87"/>
      <c r="D1095" s="87"/>
    </row>
    <row r="1096" spans="2:4" hidden="1" x14ac:dyDescent="0.3">
      <c r="B1096" s="87"/>
      <c r="C1096" s="87"/>
      <c r="D1096" s="87"/>
    </row>
    <row r="1097" spans="2:4" hidden="1" x14ac:dyDescent="0.3">
      <c r="B1097" s="87"/>
      <c r="C1097" s="87"/>
      <c r="D1097" s="87"/>
    </row>
    <row r="1098" spans="2:4" hidden="1" x14ac:dyDescent="0.3">
      <c r="B1098" s="87"/>
      <c r="C1098" s="87"/>
      <c r="D1098" s="87"/>
    </row>
    <row r="1099" spans="2:4" hidden="1" x14ac:dyDescent="0.3">
      <c r="B1099" s="87"/>
      <c r="C1099" s="87"/>
      <c r="D1099" s="87"/>
    </row>
    <row r="1100" spans="2:4" hidden="1" x14ac:dyDescent="0.3">
      <c r="B1100" s="87"/>
      <c r="C1100" s="87"/>
      <c r="D1100" s="87"/>
    </row>
    <row r="1101" spans="2:4" hidden="1" x14ac:dyDescent="0.3">
      <c r="B1101" s="87"/>
      <c r="C1101" s="87"/>
      <c r="D1101" s="87"/>
    </row>
    <row r="1102" spans="2:4" hidden="1" x14ac:dyDescent="0.3">
      <c r="B1102" s="87"/>
      <c r="C1102" s="87"/>
      <c r="D1102" s="87"/>
    </row>
    <row r="1103" spans="2:4" hidden="1" x14ac:dyDescent="0.3">
      <c r="B1103" s="87"/>
      <c r="C1103" s="87"/>
      <c r="D1103" s="87"/>
    </row>
    <row r="1104" spans="2:4" hidden="1" x14ac:dyDescent="0.3">
      <c r="B1104" s="87"/>
      <c r="C1104" s="87"/>
      <c r="D1104" s="87"/>
    </row>
    <row r="1105" spans="2:4" hidden="1" x14ac:dyDescent="0.3">
      <c r="B1105" s="87"/>
      <c r="C1105" s="87"/>
      <c r="D1105" s="87"/>
    </row>
    <row r="1106" spans="2:4" hidden="1" x14ac:dyDescent="0.3">
      <c r="B1106" s="87"/>
      <c r="C1106" s="87"/>
      <c r="D1106" s="87"/>
    </row>
    <row r="1107" spans="2:4" hidden="1" x14ac:dyDescent="0.3">
      <c r="B1107" s="87"/>
      <c r="C1107" s="87"/>
      <c r="D1107" s="87"/>
    </row>
    <row r="1108" spans="2:4" hidden="1" x14ac:dyDescent="0.3">
      <c r="B1108" s="87"/>
      <c r="C1108" s="87"/>
      <c r="D1108" s="87"/>
    </row>
    <row r="1109" spans="2:4" hidden="1" x14ac:dyDescent="0.3">
      <c r="B1109" s="87"/>
      <c r="C1109" s="87"/>
      <c r="D1109" s="87"/>
    </row>
    <row r="1110" spans="2:4" hidden="1" x14ac:dyDescent="0.3">
      <c r="B1110" s="87"/>
      <c r="C1110" s="87"/>
      <c r="D1110" s="87"/>
    </row>
    <row r="1111" spans="2:4" hidden="1" x14ac:dyDescent="0.3">
      <c r="B1111" s="87"/>
      <c r="C1111" s="87"/>
      <c r="D1111" s="87"/>
    </row>
    <row r="1112" spans="2:4" hidden="1" x14ac:dyDescent="0.3">
      <c r="B1112" s="87"/>
      <c r="C1112" s="87"/>
      <c r="D1112" s="87"/>
    </row>
    <row r="1113" spans="2:4" hidden="1" x14ac:dyDescent="0.3">
      <c r="B1113" s="87"/>
      <c r="C1113" s="87"/>
      <c r="D1113" s="87"/>
    </row>
    <row r="1114" spans="2:4" hidden="1" x14ac:dyDescent="0.3">
      <c r="B1114" s="87"/>
      <c r="C1114" s="87"/>
      <c r="D1114" s="87"/>
    </row>
    <row r="1115" spans="2:4" hidden="1" x14ac:dyDescent="0.3">
      <c r="B1115" s="87"/>
      <c r="C1115" s="87"/>
      <c r="D1115" s="87"/>
    </row>
    <row r="1116" spans="2:4" hidden="1" x14ac:dyDescent="0.3">
      <c r="B1116" s="87"/>
      <c r="C1116" s="87"/>
      <c r="D1116" s="87"/>
    </row>
    <row r="1117" spans="2:4" hidden="1" x14ac:dyDescent="0.3">
      <c r="B1117" s="87"/>
      <c r="C1117" s="87"/>
      <c r="D1117" s="87"/>
    </row>
    <row r="1118" spans="2:4" hidden="1" x14ac:dyDescent="0.3">
      <c r="B1118" s="87"/>
      <c r="C1118" s="87"/>
      <c r="D1118" s="87"/>
    </row>
    <row r="1119" spans="2:4" hidden="1" x14ac:dyDescent="0.3">
      <c r="B1119" s="87"/>
      <c r="C1119" s="87"/>
      <c r="D1119" s="87"/>
    </row>
    <row r="1120" spans="2:4" hidden="1" x14ac:dyDescent="0.3">
      <c r="B1120" s="87"/>
      <c r="C1120" s="87"/>
      <c r="D1120" s="87"/>
    </row>
    <row r="1121" spans="2:4" hidden="1" x14ac:dyDescent="0.3">
      <c r="B1121" s="87"/>
      <c r="C1121" s="87"/>
      <c r="D1121" s="87"/>
    </row>
    <row r="1122" spans="2:4" hidden="1" x14ac:dyDescent="0.3">
      <c r="B1122" s="87"/>
      <c r="C1122" s="87"/>
      <c r="D1122" s="87"/>
    </row>
    <row r="1123" spans="2:4" hidden="1" x14ac:dyDescent="0.3">
      <c r="B1123" s="87"/>
      <c r="C1123" s="87"/>
      <c r="D1123" s="87"/>
    </row>
    <row r="1124" spans="2:4" hidden="1" x14ac:dyDescent="0.3">
      <c r="B1124" s="87"/>
      <c r="C1124" s="87"/>
      <c r="D1124" s="87"/>
    </row>
    <row r="1125" spans="2:4" hidden="1" x14ac:dyDescent="0.3">
      <c r="B1125" s="87"/>
      <c r="C1125" s="87"/>
      <c r="D1125" s="87"/>
    </row>
    <row r="1126" spans="2:4" hidden="1" x14ac:dyDescent="0.3">
      <c r="B1126" s="87"/>
      <c r="C1126" s="87"/>
      <c r="D1126" s="87"/>
    </row>
    <row r="1127" spans="2:4" hidden="1" x14ac:dyDescent="0.3">
      <c r="B1127" s="87"/>
      <c r="C1127" s="87"/>
      <c r="D1127" s="87"/>
    </row>
    <row r="1128" spans="2:4" hidden="1" x14ac:dyDescent="0.3">
      <c r="B1128" s="87"/>
      <c r="C1128" s="87"/>
      <c r="D1128" s="87"/>
    </row>
    <row r="1129" spans="2:4" hidden="1" x14ac:dyDescent="0.3">
      <c r="B1129" s="87"/>
      <c r="C1129" s="87"/>
      <c r="D1129" s="87"/>
    </row>
    <row r="1130" spans="2:4" hidden="1" x14ac:dyDescent="0.3">
      <c r="B1130" s="87"/>
      <c r="C1130" s="87"/>
      <c r="D1130" s="87"/>
    </row>
    <row r="1131" spans="2:4" hidden="1" x14ac:dyDescent="0.3">
      <c r="B1131" s="87"/>
      <c r="C1131" s="87"/>
      <c r="D1131" s="87"/>
    </row>
    <row r="1132" spans="2:4" hidden="1" x14ac:dyDescent="0.3">
      <c r="B1132" s="87"/>
      <c r="C1132" s="87"/>
      <c r="D1132" s="87"/>
    </row>
    <row r="1133" spans="2:4" hidden="1" x14ac:dyDescent="0.3">
      <c r="B1133" s="87"/>
      <c r="C1133" s="87"/>
      <c r="D1133" s="87"/>
    </row>
    <row r="1134" spans="2:4" hidden="1" x14ac:dyDescent="0.3">
      <c r="B1134" s="87"/>
      <c r="C1134" s="87"/>
      <c r="D1134" s="87"/>
    </row>
    <row r="1135" spans="2:4" hidden="1" x14ac:dyDescent="0.3">
      <c r="B1135" s="87"/>
      <c r="C1135" s="87"/>
      <c r="D1135" s="87"/>
    </row>
    <row r="1136" spans="2:4" hidden="1" x14ac:dyDescent="0.3">
      <c r="B1136" s="87"/>
      <c r="C1136" s="87"/>
      <c r="D1136" s="87"/>
    </row>
    <row r="1137" spans="2:4" hidden="1" x14ac:dyDescent="0.3">
      <c r="B1137" s="87"/>
      <c r="C1137" s="87"/>
      <c r="D1137" s="87"/>
    </row>
    <row r="1138" spans="2:4" hidden="1" x14ac:dyDescent="0.3">
      <c r="B1138" s="87"/>
      <c r="C1138" s="87"/>
      <c r="D1138" s="87"/>
    </row>
    <row r="1139" spans="2:4" hidden="1" x14ac:dyDescent="0.3">
      <c r="B1139" s="87"/>
      <c r="C1139" s="87"/>
      <c r="D1139" s="87"/>
    </row>
    <row r="1140" spans="2:4" hidden="1" x14ac:dyDescent="0.3">
      <c r="B1140" s="87"/>
      <c r="C1140" s="87"/>
      <c r="D1140" s="87"/>
    </row>
    <row r="1141" spans="2:4" hidden="1" x14ac:dyDescent="0.3">
      <c r="B1141" s="87"/>
      <c r="C1141" s="87"/>
      <c r="D1141" s="87"/>
    </row>
    <row r="1142" spans="2:4" hidden="1" x14ac:dyDescent="0.3">
      <c r="B1142" s="87"/>
      <c r="C1142" s="87"/>
      <c r="D1142" s="87"/>
    </row>
    <row r="1143" spans="2:4" hidden="1" x14ac:dyDescent="0.3">
      <c r="B1143" s="87"/>
      <c r="C1143" s="87"/>
      <c r="D1143" s="87"/>
    </row>
    <row r="1144" spans="2:4" hidden="1" x14ac:dyDescent="0.3">
      <c r="B1144" s="87"/>
      <c r="C1144" s="87"/>
      <c r="D1144" s="87"/>
    </row>
    <row r="1145" spans="2:4" hidden="1" x14ac:dyDescent="0.3">
      <c r="B1145" s="87"/>
      <c r="C1145" s="87"/>
      <c r="D1145" s="87"/>
    </row>
    <row r="1146" spans="2:4" hidden="1" x14ac:dyDescent="0.3">
      <c r="B1146" s="87"/>
      <c r="C1146" s="87"/>
      <c r="D1146" s="87"/>
    </row>
    <row r="1147" spans="2:4" hidden="1" x14ac:dyDescent="0.3">
      <c r="B1147" s="87"/>
      <c r="C1147" s="87"/>
      <c r="D1147" s="87"/>
    </row>
    <row r="1148" spans="2:4" hidden="1" x14ac:dyDescent="0.3">
      <c r="B1148" s="87"/>
      <c r="C1148" s="87"/>
      <c r="D1148" s="87"/>
    </row>
    <row r="1149" spans="2:4" hidden="1" x14ac:dyDescent="0.3">
      <c r="B1149" s="87"/>
      <c r="C1149" s="87"/>
      <c r="D1149" s="87"/>
    </row>
    <row r="1150" spans="2:4" hidden="1" x14ac:dyDescent="0.3">
      <c r="B1150" s="87"/>
      <c r="C1150" s="87"/>
      <c r="D1150" s="87"/>
    </row>
    <row r="1151" spans="2:4" hidden="1" x14ac:dyDescent="0.3">
      <c r="B1151" s="87"/>
      <c r="C1151" s="87"/>
      <c r="D1151" s="87"/>
    </row>
    <row r="1152" spans="2:4" hidden="1" x14ac:dyDescent="0.3">
      <c r="B1152" s="87"/>
      <c r="C1152" s="87"/>
      <c r="D1152" s="87"/>
    </row>
    <row r="1153" spans="2:4" hidden="1" x14ac:dyDescent="0.3">
      <c r="B1153" s="87"/>
      <c r="C1153" s="87"/>
      <c r="D1153" s="87"/>
    </row>
    <row r="1154" spans="2:4" hidden="1" x14ac:dyDescent="0.3">
      <c r="B1154" s="87"/>
      <c r="C1154" s="87"/>
      <c r="D1154" s="87"/>
    </row>
    <row r="1155" spans="2:4" hidden="1" x14ac:dyDescent="0.3">
      <c r="B1155" s="87"/>
      <c r="C1155" s="87"/>
      <c r="D1155" s="87"/>
    </row>
    <row r="1156" spans="2:4" hidden="1" x14ac:dyDescent="0.3">
      <c r="B1156" s="87"/>
      <c r="C1156" s="87"/>
      <c r="D1156" s="87"/>
    </row>
    <row r="1157" spans="2:4" hidden="1" x14ac:dyDescent="0.3">
      <c r="B1157" s="87"/>
      <c r="C1157" s="87"/>
      <c r="D1157" s="87"/>
    </row>
    <row r="1158" spans="2:4" hidden="1" x14ac:dyDescent="0.3">
      <c r="B1158" s="87"/>
      <c r="C1158" s="87"/>
      <c r="D1158" s="87"/>
    </row>
    <row r="1159" spans="2:4" hidden="1" x14ac:dyDescent="0.3">
      <c r="B1159" s="87"/>
      <c r="C1159" s="87"/>
      <c r="D1159" s="87"/>
    </row>
    <row r="1160" spans="2:4" hidden="1" x14ac:dyDescent="0.3">
      <c r="B1160" s="87"/>
      <c r="C1160" s="87"/>
      <c r="D1160" s="87"/>
    </row>
    <row r="1161" spans="2:4" hidden="1" x14ac:dyDescent="0.3">
      <c r="B1161" s="87"/>
      <c r="C1161" s="87"/>
      <c r="D1161" s="87"/>
    </row>
    <row r="1162" spans="2:4" hidden="1" x14ac:dyDescent="0.3">
      <c r="B1162" s="87"/>
      <c r="C1162" s="87"/>
      <c r="D1162" s="87"/>
    </row>
    <row r="1163" spans="2:4" hidden="1" x14ac:dyDescent="0.3">
      <c r="B1163" s="87"/>
      <c r="C1163" s="87"/>
      <c r="D1163" s="87"/>
    </row>
    <row r="1164" spans="2:4" hidden="1" x14ac:dyDescent="0.3">
      <c r="B1164" s="87"/>
      <c r="C1164" s="87"/>
      <c r="D1164" s="87"/>
    </row>
    <row r="1165" spans="2:4" hidden="1" x14ac:dyDescent="0.3">
      <c r="B1165" s="87"/>
      <c r="C1165" s="87"/>
      <c r="D1165" s="87"/>
    </row>
    <row r="1166" spans="2:4" hidden="1" x14ac:dyDescent="0.3">
      <c r="B1166" s="87"/>
      <c r="C1166" s="87"/>
      <c r="D1166" s="87"/>
    </row>
    <row r="1167" spans="2:4" hidden="1" x14ac:dyDescent="0.3">
      <c r="B1167" s="87"/>
      <c r="C1167" s="87"/>
      <c r="D1167" s="87"/>
    </row>
    <row r="1168" spans="2:4" hidden="1" x14ac:dyDescent="0.3">
      <c r="B1168" s="87"/>
      <c r="C1168" s="87"/>
      <c r="D1168" s="87"/>
    </row>
    <row r="1169" spans="2:4" hidden="1" x14ac:dyDescent="0.3">
      <c r="B1169" s="87"/>
      <c r="C1169" s="87"/>
      <c r="D1169" s="87"/>
    </row>
    <row r="1170" spans="2:4" hidden="1" x14ac:dyDescent="0.3">
      <c r="B1170" s="87"/>
      <c r="C1170" s="87"/>
      <c r="D1170" s="87"/>
    </row>
    <row r="1171" spans="2:4" hidden="1" x14ac:dyDescent="0.3">
      <c r="B1171" s="87"/>
      <c r="C1171" s="87"/>
      <c r="D1171" s="87"/>
    </row>
    <row r="1172" spans="2:4" hidden="1" x14ac:dyDescent="0.3">
      <c r="B1172" s="87"/>
      <c r="C1172" s="87"/>
      <c r="D1172" s="87"/>
    </row>
    <row r="1173" spans="2:4" hidden="1" x14ac:dyDescent="0.3">
      <c r="B1173" s="87"/>
      <c r="C1173" s="87"/>
      <c r="D1173" s="87"/>
    </row>
    <row r="1174" spans="2:4" hidden="1" x14ac:dyDescent="0.3">
      <c r="B1174" s="87"/>
      <c r="C1174" s="87"/>
      <c r="D1174" s="87"/>
    </row>
    <row r="1175" spans="2:4" hidden="1" x14ac:dyDescent="0.3">
      <c r="B1175" s="87"/>
      <c r="C1175" s="87"/>
      <c r="D1175" s="87"/>
    </row>
    <row r="1176" spans="2:4" hidden="1" x14ac:dyDescent="0.3">
      <c r="B1176" s="87"/>
      <c r="C1176" s="87"/>
      <c r="D1176" s="87"/>
    </row>
    <row r="1177" spans="2:4" hidden="1" x14ac:dyDescent="0.3">
      <c r="B1177" s="87"/>
      <c r="C1177" s="87"/>
      <c r="D1177" s="87"/>
    </row>
    <row r="1178" spans="2:4" hidden="1" x14ac:dyDescent="0.3">
      <c r="B1178" s="87"/>
      <c r="C1178" s="87"/>
      <c r="D1178" s="87"/>
    </row>
    <row r="1179" spans="2:4" hidden="1" x14ac:dyDescent="0.3">
      <c r="B1179" s="87"/>
      <c r="C1179" s="87"/>
      <c r="D1179" s="87"/>
    </row>
    <row r="1180" spans="2:4" hidden="1" x14ac:dyDescent="0.3">
      <c r="B1180" s="87"/>
      <c r="C1180" s="87"/>
      <c r="D1180" s="87"/>
    </row>
    <row r="1181" spans="2:4" hidden="1" x14ac:dyDescent="0.3">
      <c r="B1181" s="87"/>
      <c r="C1181" s="87"/>
      <c r="D1181" s="87"/>
    </row>
    <row r="1182" spans="2:4" hidden="1" x14ac:dyDescent="0.3">
      <c r="B1182" s="87"/>
      <c r="C1182" s="87"/>
      <c r="D1182" s="87"/>
    </row>
    <row r="1183" spans="2:4" hidden="1" x14ac:dyDescent="0.3">
      <c r="B1183" s="87"/>
      <c r="C1183" s="87"/>
      <c r="D1183" s="87"/>
    </row>
    <row r="1184" spans="2:4" hidden="1" x14ac:dyDescent="0.3">
      <c r="B1184" s="87"/>
      <c r="C1184" s="87"/>
      <c r="D1184" s="87"/>
    </row>
    <row r="1185" spans="2:4" hidden="1" x14ac:dyDescent="0.3">
      <c r="B1185" s="87"/>
      <c r="C1185" s="87"/>
      <c r="D1185" s="87"/>
    </row>
    <row r="1186" spans="2:4" hidden="1" x14ac:dyDescent="0.3">
      <c r="B1186" s="87"/>
      <c r="C1186" s="87"/>
      <c r="D1186" s="87"/>
    </row>
    <row r="1187" spans="2:4" hidden="1" x14ac:dyDescent="0.3">
      <c r="B1187" s="87"/>
      <c r="C1187" s="87"/>
      <c r="D1187" s="87"/>
    </row>
    <row r="1188" spans="2:4" hidden="1" x14ac:dyDescent="0.3">
      <c r="B1188" s="87"/>
      <c r="C1188" s="87"/>
      <c r="D1188" s="87"/>
    </row>
    <row r="1189" spans="2:4" hidden="1" x14ac:dyDescent="0.3">
      <c r="B1189" s="87"/>
      <c r="C1189" s="87"/>
      <c r="D1189" s="87"/>
    </row>
    <row r="1190" spans="2:4" hidden="1" x14ac:dyDescent="0.3">
      <c r="B1190" s="87"/>
      <c r="C1190" s="87"/>
      <c r="D1190" s="87"/>
    </row>
    <row r="1191" spans="2:4" hidden="1" x14ac:dyDescent="0.3">
      <c r="B1191" s="87"/>
      <c r="C1191" s="87"/>
      <c r="D1191" s="87"/>
    </row>
    <row r="1192" spans="2:4" hidden="1" x14ac:dyDescent="0.3">
      <c r="B1192" s="87"/>
      <c r="C1192" s="87"/>
      <c r="D1192" s="87"/>
    </row>
    <row r="1193" spans="2:4" hidden="1" x14ac:dyDescent="0.3">
      <c r="B1193" s="87"/>
      <c r="C1193" s="87"/>
      <c r="D1193" s="87"/>
    </row>
    <row r="1194" spans="2:4" hidden="1" x14ac:dyDescent="0.3">
      <c r="B1194" s="87"/>
      <c r="C1194" s="87"/>
      <c r="D1194" s="87"/>
    </row>
    <row r="1195" spans="2:4" hidden="1" x14ac:dyDescent="0.3">
      <c r="B1195" s="87"/>
      <c r="C1195" s="87"/>
      <c r="D1195" s="87"/>
    </row>
    <row r="1196" spans="2:4" hidden="1" x14ac:dyDescent="0.3">
      <c r="B1196" s="87"/>
      <c r="C1196" s="87"/>
      <c r="D1196" s="87"/>
    </row>
    <row r="1197" spans="2:4" hidden="1" x14ac:dyDescent="0.3">
      <c r="B1197" s="87"/>
      <c r="C1197" s="87"/>
      <c r="D1197" s="87"/>
    </row>
    <row r="1198" spans="2:4" hidden="1" x14ac:dyDescent="0.3">
      <c r="B1198" s="87"/>
      <c r="C1198" s="87"/>
      <c r="D1198" s="87"/>
    </row>
    <row r="1199" spans="2:4" hidden="1" x14ac:dyDescent="0.3">
      <c r="B1199" s="87"/>
      <c r="C1199" s="87"/>
      <c r="D1199" s="87"/>
    </row>
    <row r="1200" spans="2:4" hidden="1" x14ac:dyDescent="0.3">
      <c r="B1200" s="87"/>
      <c r="C1200" s="87"/>
      <c r="D1200" s="87"/>
    </row>
    <row r="1201" spans="2:4" hidden="1" x14ac:dyDescent="0.3">
      <c r="B1201" s="87"/>
      <c r="C1201" s="87"/>
      <c r="D1201" s="87"/>
    </row>
    <row r="1202" spans="2:4" hidden="1" x14ac:dyDescent="0.3">
      <c r="B1202" s="87"/>
      <c r="C1202" s="87"/>
      <c r="D1202" s="87"/>
    </row>
    <row r="1203" spans="2:4" hidden="1" x14ac:dyDescent="0.3">
      <c r="B1203" s="87"/>
      <c r="C1203" s="87"/>
      <c r="D1203" s="87"/>
    </row>
    <row r="1204" spans="2:4" hidden="1" x14ac:dyDescent="0.3">
      <c r="B1204" s="87"/>
      <c r="C1204" s="87"/>
      <c r="D1204" s="87"/>
    </row>
    <row r="1205" spans="2:4" hidden="1" x14ac:dyDescent="0.3">
      <c r="B1205" s="87"/>
      <c r="C1205" s="87"/>
      <c r="D1205" s="87"/>
    </row>
    <row r="1206" spans="2:4" hidden="1" x14ac:dyDescent="0.3">
      <c r="B1206" s="87"/>
      <c r="C1206" s="87"/>
      <c r="D1206" s="87"/>
    </row>
    <row r="1207" spans="2:4" hidden="1" x14ac:dyDescent="0.3">
      <c r="B1207" s="87"/>
      <c r="C1207" s="87"/>
      <c r="D1207" s="87"/>
    </row>
    <row r="1208" spans="2:4" hidden="1" x14ac:dyDescent="0.3">
      <c r="B1208" s="87"/>
      <c r="C1208" s="87"/>
      <c r="D1208" s="87"/>
    </row>
    <row r="1209" spans="2:4" hidden="1" x14ac:dyDescent="0.3">
      <c r="B1209" s="87"/>
      <c r="C1209" s="87"/>
      <c r="D1209" s="87"/>
    </row>
    <row r="1210" spans="2:4" hidden="1" x14ac:dyDescent="0.3">
      <c r="B1210" s="87"/>
      <c r="C1210" s="87"/>
      <c r="D1210" s="87"/>
    </row>
    <row r="1211" spans="2:4" hidden="1" x14ac:dyDescent="0.3">
      <c r="B1211" s="87"/>
      <c r="C1211" s="87"/>
      <c r="D1211" s="87"/>
    </row>
    <row r="1212" spans="2:4" hidden="1" x14ac:dyDescent="0.3">
      <c r="B1212" s="87"/>
      <c r="C1212" s="87"/>
      <c r="D1212" s="87"/>
    </row>
    <row r="1213" spans="2:4" hidden="1" x14ac:dyDescent="0.3">
      <c r="B1213" s="87"/>
      <c r="C1213" s="87"/>
      <c r="D1213" s="87"/>
    </row>
    <row r="1214" spans="2:4" hidden="1" x14ac:dyDescent="0.3">
      <c r="B1214" s="87"/>
      <c r="C1214" s="87"/>
      <c r="D1214" s="87"/>
    </row>
    <row r="1215" spans="2:4" hidden="1" x14ac:dyDescent="0.3">
      <c r="B1215" s="87"/>
      <c r="C1215" s="87"/>
      <c r="D1215" s="87"/>
    </row>
    <row r="1216" spans="2:4" hidden="1" x14ac:dyDescent="0.3">
      <c r="B1216" s="87"/>
      <c r="C1216" s="87"/>
      <c r="D1216" s="87"/>
    </row>
    <row r="1217" spans="2:4" hidden="1" x14ac:dyDescent="0.3">
      <c r="B1217" s="87"/>
      <c r="C1217" s="87"/>
      <c r="D1217" s="87"/>
    </row>
    <row r="1218" spans="2:4" hidden="1" x14ac:dyDescent="0.3">
      <c r="B1218" s="87"/>
      <c r="C1218" s="87"/>
      <c r="D1218" s="87"/>
    </row>
    <row r="1219" spans="2:4" hidden="1" x14ac:dyDescent="0.3">
      <c r="B1219" s="87"/>
      <c r="C1219" s="87"/>
      <c r="D1219" s="87"/>
    </row>
    <row r="1220" spans="2:4" hidden="1" x14ac:dyDescent="0.3">
      <c r="B1220" s="87"/>
      <c r="C1220" s="87"/>
      <c r="D1220" s="87"/>
    </row>
    <row r="1221" spans="2:4" hidden="1" x14ac:dyDescent="0.3">
      <c r="B1221" s="87"/>
      <c r="C1221" s="87"/>
      <c r="D1221" s="87"/>
    </row>
    <row r="1222" spans="2:4" hidden="1" x14ac:dyDescent="0.3">
      <c r="B1222" s="87"/>
      <c r="C1222" s="87"/>
      <c r="D1222" s="87"/>
    </row>
    <row r="1223" spans="2:4" hidden="1" x14ac:dyDescent="0.3">
      <c r="B1223" s="87"/>
      <c r="C1223" s="87"/>
      <c r="D1223" s="87"/>
    </row>
    <row r="1224" spans="2:4" hidden="1" x14ac:dyDescent="0.3">
      <c r="B1224" s="87"/>
      <c r="C1224" s="87"/>
      <c r="D1224" s="87"/>
    </row>
    <row r="1225" spans="2:4" hidden="1" x14ac:dyDescent="0.3">
      <c r="B1225" s="87"/>
      <c r="C1225" s="87"/>
      <c r="D1225" s="87"/>
    </row>
    <row r="1226" spans="2:4" hidden="1" x14ac:dyDescent="0.3">
      <c r="B1226" s="87"/>
      <c r="C1226" s="87"/>
      <c r="D1226" s="87"/>
    </row>
    <row r="1227" spans="2:4" hidden="1" x14ac:dyDescent="0.3">
      <c r="B1227" s="87"/>
      <c r="C1227" s="87"/>
      <c r="D1227" s="87"/>
    </row>
    <row r="1228" spans="2:4" hidden="1" x14ac:dyDescent="0.3">
      <c r="B1228" s="87"/>
      <c r="C1228" s="87"/>
      <c r="D1228" s="87"/>
    </row>
    <row r="1229" spans="2:4" hidden="1" x14ac:dyDescent="0.3">
      <c r="B1229" s="87"/>
      <c r="C1229" s="87"/>
      <c r="D1229" s="87"/>
    </row>
    <row r="1230" spans="2:4" hidden="1" x14ac:dyDescent="0.3">
      <c r="B1230" s="87"/>
      <c r="C1230" s="87"/>
      <c r="D1230" s="87"/>
    </row>
    <row r="1231" spans="2:4" hidden="1" x14ac:dyDescent="0.3">
      <c r="B1231" s="87"/>
      <c r="C1231" s="87"/>
      <c r="D1231" s="87"/>
    </row>
    <row r="1232" spans="2:4" hidden="1" x14ac:dyDescent="0.3">
      <c r="B1232" s="87"/>
      <c r="C1232" s="87"/>
      <c r="D1232" s="87"/>
    </row>
    <row r="1233" spans="2:4" hidden="1" x14ac:dyDescent="0.3">
      <c r="B1233" s="87"/>
      <c r="C1233" s="87"/>
      <c r="D1233" s="87"/>
    </row>
    <row r="1234" spans="2:4" hidden="1" x14ac:dyDescent="0.3">
      <c r="B1234" s="87"/>
      <c r="C1234" s="87"/>
      <c r="D1234" s="87"/>
    </row>
    <row r="1235" spans="2:4" hidden="1" x14ac:dyDescent="0.3">
      <c r="B1235" s="87"/>
      <c r="C1235" s="87"/>
      <c r="D1235" s="87"/>
    </row>
    <row r="1236" spans="2:4" hidden="1" x14ac:dyDescent="0.3">
      <c r="B1236" s="87"/>
      <c r="C1236" s="87"/>
      <c r="D1236" s="87"/>
    </row>
    <row r="1237" spans="2:4" hidden="1" x14ac:dyDescent="0.3">
      <c r="B1237" s="87"/>
      <c r="C1237" s="87"/>
      <c r="D1237" s="87"/>
    </row>
    <row r="1238" spans="2:4" hidden="1" x14ac:dyDescent="0.3">
      <c r="B1238" s="87"/>
      <c r="C1238" s="87"/>
      <c r="D1238" s="87"/>
    </row>
    <row r="1239" spans="2:4" hidden="1" x14ac:dyDescent="0.3">
      <c r="B1239" s="87"/>
      <c r="C1239" s="87"/>
      <c r="D1239" s="87"/>
    </row>
    <row r="1240" spans="2:4" hidden="1" x14ac:dyDescent="0.3">
      <c r="B1240" s="87"/>
      <c r="C1240" s="87"/>
      <c r="D1240" s="87"/>
    </row>
    <row r="1241" spans="2:4" hidden="1" x14ac:dyDescent="0.3">
      <c r="B1241" s="87"/>
      <c r="C1241" s="87"/>
      <c r="D1241" s="87"/>
    </row>
    <row r="1242" spans="2:4" hidden="1" x14ac:dyDescent="0.3">
      <c r="B1242" s="87"/>
      <c r="C1242" s="87"/>
      <c r="D1242" s="87"/>
    </row>
    <row r="1243" spans="2:4" hidden="1" x14ac:dyDescent="0.3">
      <c r="B1243" s="87"/>
      <c r="C1243" s="87"/>
      <c r="D1243" s="87"/>
    </row>
    <row r="1244" spans="2:4" hidden="1" x14ac:dyDescent="0.3">
      <c r="B1244" s="87"/>
      <c r="C1244" s="87"/>
      <c r="D1244" s="87"/>
    </row>
    <row r="1245" spans="2:4" hidden="1" x14ac:dyDescent="0.3">
      <c r="B1245" s="87"/>
      <c r="C1245" s="87"/>
      <c r="D1245" s="87"/>
    </row>
    <row r="1246" spans="2:4" hidden="1" x14ac:dyDescent="0.3">
      <c r="B1246" s="87"/>
      <c r="C1246" s="87"/>
      <c r="D1246" s="87"/>
    </row>
    <row r="1247" spans="2:4" hidden="1" x14ac:dyDescent="0.3">
      <c r="B1247" s="87"/>
      <c r="C1247" s="87"/>
      <c r="D1247" s="87"/>
    </row>
    <row r="1248" spans="2:4" hidden="1" x14ac:dyDescent="0.3">
      <c r="B1248" s="87"/>
      <c r="C1248" s="87"/>
      <c r="D1248" s="87"/>
    </row>
    <row r="1249" spans="2:4" hidden="1" x14ac:dyDescent="0.3">
      <c r="B1249" s="87"/>
      <c r="C1249" s="87"/>
      <c r="D1249" s="87"/>
    </row>
    <row r="1250" spans="2:4" hidden="1" x14ac:dyDescent="0.3">
      <c r="B1250" s="87"/>
      <c r="C1250" s="87"/>
      <c r="D1250" s="87"/>
    </row>
    <row r="1251" spans="2:4" hidden="1" x14ac:dyDescent="0.3">
      <c r="B1251" s="87"/>
      <c r="C1251" s="87"/>
      <c r="D1251" s="87"/>
    </row>
    <row r="1252" spans="2:4" hidden="1" x14ac:dyDescent="0.3">
      <c r="B1252" s="87"/>
      <c r="C1252" s="87"/>
      <c r="D1252" s="87"/>
    </row>
    <row r="1253" spans="2:4" hidden="1" x14ac:dyDescent="0.3">
      <c r="B1253" s="87"/>
      <c r="C1253" s="87"/>
      <c r="D1253" s="87"/>
    </row>
    <row r="1254" spans="2:4" hidden="1" x14ac:dyDescent="0.3">
      <c r="B1254" s="87"/>
      <c r="C1254" s="87"/>
      <c r="D1254" s="87"/>
    </row>
    <row r="1255" spans="2:4" hidden="1" x14ac:dyDescent="0.3">
      <c r="B1255" s="87"/>
      <c r="C1255" s="87"/>
      <c r="D1255" s="87"/>
    </row>
    <row r="1256" spans="2:4" hidden="1" x14ac:dyDescent="0.3">
      <c r="B1256" s="87"/>
      <c r="C1256" s="87"/>
      <c r="D1256" s="87"/>
    </row>
    <row r="1257" spans="2:4" hidden="1" x14ac:dyDescent="0.3">
      <c r="B1257" s="87"/>
      <c r="C1257" s="87"/>
      <c r="D1257" s="87"/>
    </row>
    <row r="1258" spans="2:4" hidden="1" x14ac:dyDescent="0.3">
      <c r="B1258" s="87"/>
      <c r="C1258" s="87"/>
      <c r="D1258" s="87"/>
    </row>
    <row r="1259" spans="2:4" hidden="1" x14ac:dyDescent="0.3">
      <c r="B1259" s="87"/>
      <c r="C1259" s="87"/>
      <c r="D1259" s="87"/>
    </row>
    <row r="1260" spans="2:4" hidden="1" x14ac:dyDescent="0.3">
      <c r="B1260" s="87"/>
      <c r="C1260" s="87"/>
      <c r="D1260" s="87"/>
    </row>
    <row r="1261" spans="2:4" hidden="1" x14ac:dyDescent="0.3">
      <c r="B1261" s="87"/>
      <c r="C1261" s="87"/>
      <c r="D1261" s="87"/>
    </row>
    <row r="1262" spans="2:4" hidden="1" x14ac:dyDescent="0.3">
      <c r="B1262" s="87"/>
      <c r="C1262" s="87"/>
      <c r="D1262" s="87"/>
    </row>
    <row r="1263" spans="2:4" hidden="1" x14ac:dyDescent="0.3">
      <c r="B1263" s="87"/>
      <c r="C1263" s="87"/>
      <c r="D1263" s="87"/>
    </row>
    <row r="1264" spans="2:4" hidden="1" x14ac:dyDescent="0.3">
      <c r="B1264" s="87"/>
      <c r="C1264" s="87"/>
      <c r="D1264" s="87"/>
    </row>
    <row r="1265" spans="2:4" hidden="1" x14ac:dyDescent="0.3">
      <c r="B1265" s="87"/>
      <c r="C1265" s="87"/>
      <c r="D1265" s="87"/>
    </row>
    <row r="1266" spans="2:4" hidden="1" x14ac:dyDescent="0.3">
      <c r="B1266" s="87"/>
      <c r="C1266" s="87"/>
      <c r="D1266" s="87"/>
    </row>
    <row r="1267" spans="2:4" hidden="1" x14ac:dyDescent="0.3">
      <c r="B1267" s="87"/>
      <c r="C1267" s="87"/>
      <c r="D1267" s="87"/>
    </row>
    <row r="1268" spans="2:4" hidden="1" x14ac:dyDescent="0.3">
      <c r="B1268" s="87"/>
      <c r="C1268" s="87"/>
      <c r="D1268" s="87"/>
    </row>
    <row r="1269" spans="2:4" hidden="1" x14ac:dyDescent="0.3">
      <c r="B1269" s="87"/>
      <c r="C1269" s="87"/>
      <c r="D1269" s="87"/>
    </row>
    <row r="1270" spans="2:4" hidden="1" x14ac:dyDescent="0.3">
      <c r="B1270" s="87"/>
      <c r="C1270" s="87"/>
      <c r="D1270" s="87"/>
    </row>
    <row r="1271" spans="2:4" hidden="1" x14ac:dyDescent="0.3">
      <c r="B1271" s="87"/>
      <c r="C1271" s="87"/>
      <c r="D1271" s="87"/>
    </row>
    <row r="1272" spans="2:4" hidden="1" x14ac:dyDescent="0.3">
      <c r="B1272" s="87"/>
      <c r="C1272" s="87"/>
      <c r="D1272" s="87"/>
    </row>
    <row r="1273" spans="2:4" hidden="1" x14ac:dyDescent="0.3">
      <c r="B1273" s="87"/>
      <c r="C1273" s="87"/>
      <c r="D1273" s="87"/>
    </row>
    <row r="1274" spans="2:4" hidden="1" x14ac:dyDescent="0.3">
      <c r="B1274" s="87"/>
      <c r="C1274" s="87"/>
      <c r="D1274" s="87"/>
    </row>
    <row r="1275" spans="2:4" hidden="1" x14ac:dyDescent="0.3">
      <c r="B1275" s="87"/>
      <c r="C1275" s="87"/>
      <c r="D1275" s="87"/>
    </row>
    <row r="1276" spans="2:4" hidden="1" x14ac:dyDescent="0.3">
      <c r="B1276" s="87"/>
      <c r="C1276" s="87"/>
      <c r="D1276" s="87"/>
    </row>
    <row r="1277" spans="2:4" hidden="1" x14ac:dyDescent="0.3">
      <c r="B1277" s="87"/>
      <c r="C1277" s="87"/>
      <c r="D1277" s="87"/>
    </row>
    <row r="1278" spans="2:4" hidden="1" x14ac:dyDescent="0.3">
      <c r="B1278" s="87"/>
      <c r="C1278" s="87"/>
      <c r="D1278" s="87"/>
    </row>
    <row r="1279" spans="2:4" hidden="1" x14ac:dyDescent="0.3">
      <c r="B1279" s="87"/>
      <c r="C1279" s="87"/>
      <c r="D1279" s="87"/>
    </row>
    <row r="1280" spans="2:4" hidden="1" x14ac:dyDescent="0.3">
      <c r="B1280" s="87"/>
      <c r="C1280" s="87"/>
      <c r="D1280" s="87"/>
    </row>
    <row r="1281" spans="2:4" hidden="1" x14ac:dyDescent="0.3">
      <c r="B1281" s="87"/>
      <c r="C1281" s="87"/>
      <c r="D1281" s="87"/>
    </row>
    <row r="1282" spans="2:4" hidden="1" x14ac:dyDescent="0.3">
      <c r="B1282" s="87"/>
      <c r="C1282" s="87"/>
      <c r="D1282" s="87"/>
    </row>
    <row r="1283" spans="2:4" hidden="1" x14ac:dyDescent="0.3">
      <c r="B1283" s="87"/>
      <c r="C1283" s="87"/>
      <c r="D1283" s="87"/>
    </row>
    <row r="1284" spans="2:4" hidden="1" x14ac:dyDescent="0.3">
      <c r="B1284" s="87"/>
      <c r="C1284" s="87"/>
      <c r="D1284" s="87"/>
    </row>
    <row r="1285" spans="2:4" hidden="1" x14ac:dyDescent="0.3">
      <c r="B1285" s="87"/>
      <c r="C1285" s="87"/>
      <c r="D1285" s="87"/>
    </row>
    <row r="1286" spans="2:4" hidden="1" x14ac:dyDescent="0.3">
      <c r="B1286" s="87"/>
      <c r="C1286" s="87"/>
      <c r="D1286" s="87"/>
    </row>
    <row r="1287" spans="2:4" hidden="1" x14ac:dyDescent="0.3">
      <c r="B1287" s="87"/>
      <c r="C1287" s="87"/>
      <c r="D1287" s="87"/>
    </row>
    <row r="1288" spans="2:4" hidden="1" x14ac:dyDescent="0.3">
      <c r="B1288" s="87"/>
      <c r="C1288" s="87"/>
      <c r="D1288" s="87"/>
    </row>
    <row r="1289" spans="2:4" hidden="1" x14ac:dyDescent="0.3">
      <c r="B1289" s="87"/>
      <c r="C1289" s="87"/>
      <c r="D1289" s="87"/>
    </row>
    <row r="1290" spans="2:4" hidden="1" x14ac:dyDescent="0.3">
      <c r="B1290" s="87"/>
      <c r="C1290" s="87"/>
      <c r="D1290" s="87"/>
    </row>
    <row r="1291" spans="2:4" hidden="1" x14ac:dyDescent="0.3">
      <c r="B1291" s="87"/>
      <c r="C1291" s="87"/>
      <c r="D1291" s="87"/>
    </row>
    <row r="1292" spans="2:4" hidden="1" x14ac:dyDescent="0.3">
      <c r="B1292" s="87"/>
      <c r="C1292" s="87"/>
      <c r="D1292" s="87"/>
    </row>
    <row r="1293" spans="2:4" hidden="1" x14ac:dyDescent="0.3">
      <c r="B1293" s="87"/>
      <c r="C1293" s="87"/>
      <c r="D1293" s="87"/>
    </row>
    <row r="1294" spans="2:4" hidden="1" x14ac:dyDescent="0.3">
      <c r="B1294" s="87"/>
      <c r="C1294" s="87"/>
      <c r="D1294" s="87"/>
    </row>
    <row r="1295" spans="2:4" hidden="1" x14ac:dyDescent="0.3">
      <c r="B1295" s="87"/>
      <c r="C1295" s="87"/>
      <c r="D1295" s="87"/>
    </row>
    <row r="1296" spans="2:4" hidden="1" x14ac:dyDescent="0.3">
      <c r="B1296" s="87"/>
      <c r="C1296" s="87"/>
      <c r="D1296" s="87"/>
    </row>
    <row r="1297" spans="2:4" hidden="1" x14ac:dyDescent="0.3">
      <c r="B1297" s="87"/>
      <c r="C1297" s="87"/>
      <c r="D1297" s="87"/>
    </row>
    <row r="1298" spans="2:4" hidden="1" x14ac:dyDescent="0.3">
      <c r="B1298" s="87"/>
      <c r="C1298" s="87"/>
      <c r="D1298" s="87"/>
    </row>
    <row r="1299" spans="2:4" hidden="1" x14ac:dyDescent="0.3">
      <c r="B1299" s="87"/>
      <c r="C1299" s="87"/>
      <c r="D1299" s="87"/>
    </row>
    <row r="1300" spans="2:4" hidden="1" x14ac:dyDescent="0.3">
      <c r="B1300" s="87"/>
      <c r="C1300" s="87"/>
      <c r="D1300" s="87"/>
    </row>
    <row r="1301" spans="2:4" hidden="1" x14ac:dyDescent="0.3">
      <c r="B1301" s="87"/>
      <c r="C1301" s="87"/>
      <c r="D1301" s="87"/>
    </row>
    <row r="1302" spans="2:4" hidden="1" x14ac:dyDescent="0.3">
      <c r="B1302" s="87"/>
      <c r="C1302" s="87"/>
      <c r="D1302" s="87"/>
    </row>
    <row r="1303" spans="2:4" hidden="1" x14ac:dyDescent="0.3">
      <c r="B1303" s="87"/>
      <c r="C1303" s="87"/>
      <c r="D1303" s="87"/>
    </row>
    <row r="1304" spans="2:4" hidden="1" x14ac:dyDescent="0.3">
      <c r="B1304" s="87"/>
      <c r="C1304" s="87"/>
      <c r="D1304" s="87"/>
    </row>
    <row r="1305" spans="2:4" hidden="1" x14ac:dyDescent="0.3">
      <c r="B1305" s="87"/>
      <c r="C1305" s="87"/>
      <c r="D1305" s="87"/>
    </row>
    <row r="1306" spans="2:4" hidden="1" x14ac:dyDescent="0.3">
      <c r="B1306" s="87"/>
      <c r="C1306" s="87"/>
      <c r="D1306" s="87"/>
    </row>
    <row r="1307" spans="2:4" hidden="1" x14ac:dyDescent="0.3">
      <c r="B1307" s="87"/>
      <c r="C1307" s="87"/>
      <c r="D1307" s="87"/>
    </row>
    <row r="1308" spans="2:4" hidden="1" x14ac:dyDescent="0.3">
      <c r="B1308" s="87"/>
      <c r="C1308" s="87"/>
      <c r="D1308" s="87"/>
    </row>
    <row r="1309" spans="2:4" hidden="1" x14ac:dyDescent="0.3">
      <c r="B1309" s="87"/>
      <c r="C1309" s="87"/>
      <c r="D1309" s="87"/>
    </row>
    <row r="1310" spans="2:4" hidden="1" x14ac:dyDescent="0.3">
      <c r="B1310" s="87"/>
      <c r="C1310" s="87"/>
      <c r="D1310" s="87"/>
    </row>
    <row r="1311" spans="2:4" hidden="1" x14ac:dyDescent="0.3">
      <c r="B1311" s="87"/>
      <c r="C1311" s="87"/>
      <c r="D1311" s="87"/>
    </row>
    <row r="1312" spans="2:4" hidden="1" x14ac:dyDescent="0.3">
      <c r="B1312" s="87"/>
      <c r="C1312" s="87"/>
      <c r="D1312" s="87"/>
    </row>
    <row r="1313" spans="2:4" hidden="1" x14ac:dyDescent="0.3">
      <c r="B1313" s="87"/>
      <c r="C1313" s="87"/>
      <c r="D1313" s="87"/>
    </row>
    <row r="1314" spans="2:4" hidden="1" x14ac:dyDescent="0.3">
      <c r="B1314" s="87"/>
      <c r="C1314" s="87"/>
      <c r="D1314" s="87"/>
    </row>
    <row r="1315" spans="2:4" hidden="1" x14ac:dyDescent="0.3">
      <c r="B1315" s="87"/>
      <c r="C1315" s="87"/>
      <c r="D1315" s="87"/>
    </row>
    <row r="1316" spans="2:4" hidden="1" x14ac:dyDescent="0.3">
      <c r="B1316" s="87"/>
      <c r="C1316" s="87"/>
      <c r="D1316" s="87"/>
    </row>
    <row r="1317" spans="2:4" hidden="1" x14ac:dyDescent="0.3">
      <c r="B1317" s="87"/>
      <c r="C1317" s="87"/>
      <c r="D1317" s="87"/>
    </row>
    <row r="1318" spans="2:4" hidden="1" x14ac:dyDescent="0.3">
      <c r="B1318" s="87"/>
      <c r="C1318" s="87"/>
      <c r="D1318" s="87"/>
    </row>
    <row r="1319" spans="2:4" hidden="1" x14ac:dyDescent="0.3">
      <c r="B1319" s="87"/>
      <c r="C1319" s="87"/>
      <c r="D1319" s="87"/>
    </row>
    <row r="1320" spans="2:4" hidden="1" x14ac:dyDescent="0.3">
      <c r="B1320" s="87"/>
      <c r="C1320" s="87"/>
      <c r="D1320" s="87"/>
    </row>
    <row r="1321" spans="2:4" hidden="1" x14ac:dyDescent="0.3">
      <c r="B1321" s="87"/>
      <c r="C1321" s="87"/>
      <c r="D1321" s="87"/>
    </row>
    <row r="1322" spans="2:4" hidden="1" x14ac:dyDescent="0.3">
      <c r="B1322" s="87"/>
      <c r="C1322" s="87"/>
      <c r="D1322" s="87"/>
    </row>
    <row r="1323" spans="2:4" hidden="1" x14ac:dyDescent="0.3">
      <c r="B1323" s="87"/>
      <c r="C1323" s="87"/>
      <c r="D1323" s="87"/>
    </row>
    <row r="1324" spans="2:4" hidden="1" x14ac:dyDescent="0.3">
      <c r="B1324" s="87"/>
      <c r="C1324" s="87"/>
      <c r="D1324" s="87"/>
    </row>
    <row r="1325" spans="2:4" hidden="1" x14ac:dyDescent="0.3">
      <c r="B1325" s="87"/>
      <c r="C1325" s="87"/>
      <c r="D1325" s="87"/>
    </row>
    <row r="1326" spans="2:4" hidden="1" x14ac:dyDescent="0.3">
      <c r="B1326" s="87"/>
      <c r="C1326" s="87"/>
      <c r="D1326" s="87"/>
    </row>
    <row r="1327" spans="2:4" hidden="1" x14ac:dyDescent="0.3">
      <c r="B1327" s="87"/>
      <c r="C1327" s="87"/>
      <c r="D1327" s="87"/>
    </row>
    <row r="1328" spans="2:4" hidden="1" x14ac:dyDescent="0.3">
      <c r="B1328" s="87"/>
      <c r="C1328" s="87"/>
      <c r="D1328" s="87"/>
    </row>
    <row r="1329" spans="2:4" hidden="1" x14ac:dyDescent="0.3">
      <c r="B1329" s="87"/>
      <c r="C1329" s="87"/>
      <c r="D1329" s="87"/>
    </row>
    <row r="1330" spans="2:4" hidden="1" x14ac:dyDescent="0.3">
      <c r="B1330" s="87"/>
      <c r="C1330" s="87"/>
      <c r="D1330" s="87"/>
    </row>
    <row r="1331" spans="2:4" hidden="1" x14ac:dyDescent="0.3">
      <c r="B1331" s="87"/>
      <c r="C1331" s="87"/>
      <c r="D1331" s="87"/>
    </row>
    <row r="1332" spans="2:4" hidden="1" x14ac:dyDescent="0.3">
      <c r="B1332" s="87"/>
      <c r="C1332" s="87"/>
      <c r="D1332" s="87"/>
    </row>
    <row r="1333" spans="2:4" hidden="1" x14ac:dyDescent="0.3">
      <c r="B1333" s="87"/>
      <c r="C1333" s="87"/>
      <c r="D1333" s="87"/>
    </row>
    <row r="1334" spans="2:4" hidden="1" x14ac:dyDescent="0.3">
      <c r="B1334" s="87"/>
      <c r="C1334" s="87"/>
      <c r="D1334" s="87"/>
    </row>
    <row r="1335" spans="2:4" hidden="1" x14ac:dyDescent="0.3">
      <c r="B1335" s="87"/>
      <c r="C1335" s="87"/>
      <c r="D1335" s="87"/>
    </row>
    <row r="1336" spans="2:4" hidden="1" x14ac:dyDescent="0.3">
      <c r="B1336" s="87"/>
      <c r="C1336" s="87"/>
      <c r="D1336" s="87"/>
    </row>
    <row r="1337" spans="2:4" hidden="1" x14ac:dyDescent="0.3">
      <c r="B1337" s="87"/>
      <c r="C1337" s="87"/>
      <c r="D1337" s="87"/>
    </row>
    <row r="1338" spans="2:4" hidden="1" x14ac:dyDescent="0.3">
      <c r="B1338" s="87"/>
      <c r="C1338" s="87"/>
      <c r="D1338" s="87"/>
    </row>
    <row r="1339" spans="2:4" hidden="1" x14ac:dyDescent="0.3">
      <c r="B1339" s="87"/>
      <c r="C1339" s="87"/>
      <c r="D1339" s="87"/>
    </row>
    <row r="1340" spans="2:4" hidden="1" x14ac:dyDescent="0.3">
      <c r="B1340" s="87"/>
      <c r="C1340" s="87"/>
      <c r="D1340" s="87"/>
    </row>
    <row r="1341" spans="2:4" hidden="1" x14ac:dyDescent="0.3">
      <c r="B1341" s="87"/>
      <c r="C1341" s="87"/>
      <c r="D1341" s="87"/>
    </row>
    <row r="1342" spans="2:4" hidden="1" x14ac:dyDescent="0.3">
      <c r="B1342" s="87"/>
      <c r="C1342" s="87"/>
      <c r="D1342" s="87"/>
    </row>
    <row r="1343" spans="2:4" hidden="1" x14ac:dyDescent="0.3">
      <c r="B1343" s="87"/>
      <c r="C1343" s="87"/>
      <c r="D1343" s="87"/>
    </row>
    <row r="1344" spans="2:4" hidden="1" x14ac:dyDescent="0.3">
      <c r="B1344" s="87"/>
      <c r="C1344" s="87"/>
      <c r="D1344" s="87"/>
    </row>
    <row r="1345" spans="2:4" hidden="1" x14ac:dyDescent="0.3">
      <c r="B1345" s="87"/>
      <c r="C1345" s="87"/>
      <c r="D1345" s="87"/>
    </row>
    <row r="1346" spans="2:4" hidden="1" x14ac:dyDescent="0.3">
      <c r="B1346" s="87"/>
      <c r="C1346" s="87"/>
      <c r="D1346" s="87"/>
    </row>
    <row r="1347" spans="2:4" hidden="1" x14ac:dyDescent="0.3">
      <c r="B1347" s="87"/>
      <c r="C1347" s="87"/>
      <c r="D1347" s="87"/>
    </row>
    <row r="1348" spans="2:4" hidden="1" x14ac:dyDescent="0.3">
      <c r="B1348" s="87"/>
      <c r="C1348" s="87"/>
      <c r="D1348" s="87"/>
    </row>
    <row r="1349" spans="2:4" hidden="1" x14ac:dyDescent="0.3">
      <c r="B1349" s="87"/>
      <c r="C1349" s="87"/>
      <c r="D1349" s="87"/>
    </row>
    <row r="1350" spans="2:4" hidden="1" x14ac:dyDescent="0.3">
      <c r="B1350" s="87"/>
      <c r="C1350" s="87"/>
      <c r="D1350" s="87"/>
    </row>
    <row r="1351" spans="2:4" hidden="1" x14ac:dyDescent="0.3">
      <c r="B1351" s="87"/>
      <c r="C1351" s="87"/>
      <c r="D1351" s="87"/>
    </row>
    <row r="1352" spans="2:4" hidden="1" x14ac:dyDescent="0.3">
      <c r="B1352" s="87"/>
      <c r="C1352" s="87"/>
      <c r="D1352" s="87"/>
    </row>
    <row r="1353" spans="2:4" hidden="1" x14ac:dyDescent="0.3">
      <c r="B1353" s="87"/>
      <c r="C1353" s="87"/>
      <c r="D1353" s="87"/>
    </row>
    <row r="1354" spans="2:4" hidden="1" x14ac:dyDescent="0.3">
      <c r="B1354" s="87"/>
      <c r="C1354" s="87"/>
      <c r="D1354" s="87"/>
    </row>
    <row r="1355" spans="2:4" hidden="1" x14ac:dyDescent="0.3">
      <c r="B1355" s="87"/>
      <c r="C1355" s="87"/>
      <c r="D1355" s="87"/>
    </row>
    <row r="1356" spans="2:4" hidden="1" x14ac:dyDescent="0.3">
      <c r="B1356" s="87"/>
      <c r="C1356" s="87"/>
      <c r="D1356" s="87"/>
    </row>
    <row r="1357" spans="2:4" hidden="1" x14ac:dyDescent="0.3">
      <c r="B1357" s="87"/>
      <c r="C1357" s="87"/>
      <c r="D1357" s="87"/>
    </row>
    <row r="1358" spans="2:4" hidden="1" x14ac:dyDescent="0.3">
      <c r="B1358" s="87"/>
      <c r="C1358" s="87"/>
      <c r="D1358" s="87"/>
    </row>
    <row r="1359" spans="2:4" hidden="1" x14ac:dyDescent="0.3">
      <c r="B1359" s="87"/>
      <c r="C1359" s="87"/>
      <c r="D1359" s="87"/>
    </row>
    <row r="1360" spans="2:4" hidden="1" x14ac:dyDescent="0.3">
      <c r="B1360" s="87"/>
      <c r="C1360" s="87"/>
      <c r="D1360" s="87"/>
    </row>
    <row r="1361" spans="2:4" hidden="1" x14ac:dyDescent="0.3">
      <c r="B1361" s="87"/>
      <c r="C1361" s="87"/>
      <c r="D1361" s="87"/>
    </row>
    <row r="1362" spans="2:4" hidden="1" x14ac:dyDescent="0.3">
      <c r="B1362" s="87"/>
      <c r="C1362" s="87"/>
      <c r="D1362" s="87"/>
    </row>
    <row r="1363" spans="2:4" hidden="1" x14ac:dyDescent="0.3">
      <c r="B1363" s="87"/>
      <c r="C1363" s="87"/>
      <c r="D1363" s="87"/>
    </row>
    <row r="1364" spans="2:4" hidden="1" x14ac:dyDescent="0.3">
      <c r="B1364" s="87"/>
      <c r="C1364" s="87"/>
      <c r="D1364" s="87"/>
    </row>
    <row r="1365" spans="2:4" hidden="1" x14ac:dyDescent="0.3">
      <c r="B1365" s="87"/>
      <c r="C1365" s="87"/>
      <c r="D1365" s="87"/>
    </row>
    <row r="1366" spans="2:4" hidden="1" x14ac:dyDescent="0.3">
      <c r="B1366" s="87"/>
      <c r="C1366" s="87"/>
      <c r="D1366" s="87"/>
    </row>
    <row r="1367" spans="2:4" hidden="1" x14ac:dyDescent="0.3">
      <c r="B1367" s="87"/>
      <c r="C1367" s="87"/>
      <c r="D1367" s="87"/>
    </row>
    <row r="1368" spans="2:4" hidden="1" x14ac:dyDescent="0.3">
      <c r="B1368" s="87"/>
      <c r="C1368" s="87"/>
      <c r="D1368" s="87"/>
    </row>
    <row r="1369" spans="2:4" hidden="1" x14ac:dyDescent="0.3">
      <c r="B1369" s="87"/>
      <c r="C1369" s="87"/>
      <c r="D1369" s="87"/>
    </row>
    <row r="1370" spans="2:4" hidden="1" x14ac:dyDescent="0.3">
      <c r="B1370" s="87"/>
      <c r="C1370" s="87"/>
      <c r="D1370" s="87"/>
    </row>
    <row r="1371" spans="2:4" hidden="1" x14ac:dyDescent="0.3">
      <c r="B1371" s="87"/>
      <c r="C1371" s="87"/>
      <c r="D1371" s="87"/>
    </row>
    <row r="1372" spans="2:4" hidden="1" x14ac:dyDescent="0.3">
      <c r="B1372" s="87"/>
      <c r="C1372" s="87"/>
      <c r="D1372" s="87"/>
    </row>
    <row r="1373" spans="2:4" hidden="1" x14ac:dyDescent="0.3">
      <c r="B1373" s="87"/>
      <c r="C1373" s="87"/>
      <c r="D1373" s="87"/>
    </row>
    <row r="1374" spans="2:4" hidden="1" x14ac:dyDescent="0.3">
      <c r="B1374" s="87"/>
      <c r="C1374" s="87"/>
      <c r="D1374" s="87"/>
    </row>
    <row r="1375" spans="2:4" hidden="1" x14ac:dyDescent="0.3">
      <c r="B1375" s="87"/>
      <c r="C1375" s="87"/>
      <c r="D1375" s="87"/>
    </row>
    <row r="1376" spans="2:4" hidden="1" x14ac:dyDescent="0.3">
      <c r="B1376" s="87"/>
      <c r="C1376" s="87"/>
      <c r="D1376" s="87"/>
    </row>
    <row r="1377" spans="2:4" hidden="1" x14ac:dyDescent="0.3">
      <c r="B1377" s="87"/>
      <c r="C1377" s="87"/>
      <c r="D1377" s="87"/>
    </row>
    <row r="1378" spans="2:4" hidden="1" x14ac:dyDescent="0.3">
      <c r="B1378" s="87"/>
      <c r="C1378" s="87"/>
      <c r="D1378" s="87"/>
    </row>
    <row r="1379" spans="2:4" hidden="1" x14ac:dyDescent="0.3">
      <c r="B1379" s="87"/>
      <c r="C1379" s="87"/>
      <c r="D1379" s="87"/>
    </row>
    <row r="1380" spans="2:4" hidden="1" x14ac:dyDescent="0.3">
      <c r="B1380" s="87"/>
      <c r="C1380" s="87"/>
      <c r="D1380" s="87"/>
    </row>
    <row r="1381" spans="2:4" hidden="1" x14ac:dyDescent="0.3">
      <c r="B1381" s="87"/>
      <c r="C1381" s="87"/>
      <c r="D1381" s="87"/>
    </row>
    <row r="1382" spans="2:4" hidden="1" x14ac:dyDescent="0.3">
      <c r="B1382" s="87"/>
      <c r="C1382" s="87"/>
      <c r="D1382" s="87"/>
    </row>
    <row r="1383" spans="2:4" hidden="1" x14ac:dyDescent="0.3">
      <c r="B1383" s="87"/>
      <c r="C1383" s="87"/>
      <c r="D1383" s="87"/>
    </row>
    <row r="1384" spans="2:4" hidden="1" x14ac:dyDescent="0.3">
      <c r="B1384" s="87"/>
      <c r="C1384" s="87"/>
      <c r="D1384" s="87"/>
    </row>
    <row r="1385" spans="2:4" hidden="1" x14ac:dyDescent="0.3">
      <c r="B1385" s="87"/>
      <c r="C1385" s="87"/>
      <c r="D1385" s="87"/>
    </row>
    <row r="1386" spans="2:4" hidden="1" x14ac:dyDescent="0.3">
      <c r="B1386" s="87"/>
      <c r="C1386" s="87"/>
      <c r="D1386" s="87"/>
    </row>
    <row r="1387" spans="2:4" hidden="1" x14ac:dyDescent="0.3">
      <c r="B1387" s="87"/>
      <c r="C1387" s="87"/>
      <c r="D1387" s="87"/>
    </row>
    <row r="1388" spans="2:4" hidden="1" x14ac:dyDescent="0.3">
      <c r="B1388" s="87"/>
      <c r="C1388" s="87"/>
      <c r="D1388" s="87"/>
    </row>
    <row r="1389" spans="2:4" hidden="1" x14ac:dyDescent="0.3">
      <c r="B1389" s="87"/>
      <c r="C1389" s="87"/>
      <c r="D1389" s="87"/>
    </row>
    <row r="1390" spans="2:4" hidden="1" x14ac:dyDescent="0.3">
      <c r="B1390" s="87"/>
      <c r="C1390" s="87"/>
      <c r="D1390" s="87"/>
    </row>
    <row r="1391" spans="2:4" hidden="1" x14ac:dyDescent="0.3">
      <c r="B1391" s="87"/>
      <c r="C1391" s="87"/>
      <c r="D1391" s="87"/>
    </row>
    <row r="1392" spans="2:4" hidden="1" x14ac:dyDescent="0.3">
      <c r="B1392" s="87"/>
      <c r="C1392" s="87"/>
      <c r="D1392" s="87"/>
    </row>
    <row r="1393" spans="2:4" hidden="1" x14ac:dyDescent="0.3">
      <c r="B1393" s="87"/>
      <c r="C1393" s="87"/>
      <c r="D1393" s="87"/>
    </row>
    <row r="1394" spans="2:4" hidden="1" x14ac:dyDescent="0.3">
      <c r="B1394" s="87"/>
      <c r="C1394" s="87"/>
      <c r="D1394" s="87"/>
    </row>
    <row r="1395" spans="2:4" hidden="1" x14ac:dyDescent="0.3">
      <c r="B1395" s="87"/>
      <c r="C1395" s="87"/>
      <c r="D1395" s="87"/>
    </row>
    <row r="1396" spans="2:4" hidden="1" x14ac:dyDescent="0.3">
      <c r="B1396" s="87"/>
      <c r="C1396" s="87"/>
      <c r="D1396" s="87"/>
    </row>
    <row r="1397" spans="2:4" hidden="1" x14ac:dyDescent="0.3">
      <c r="B1397" s="87"/>
      <c r="C1397" s="87"/>
      <c r="D1397" s="87"/>
    </row>
    <row r="1398" spans="2:4" hidden="1" x14ac:dyDescent="0.3">
      <c r="B1398" s="87"/>
      <c r="C1398" s="87"/>
      <c r="D1398" s="87"/>
    </row>
    <row r="1399" spans="2:4" hidden="1" x14ac:dyDescent="0.3">
      <c r="B1399" s="87"/>
      <c r="C1399" s="87"/>
      <c r="D1399" s="87"/>
    </row>
    <row r="1400" spans="2:4" hidden="1" x14ac:dyDescent="0.3">
      <c r="B1400" s="87"/>
      <c r="C1400" s="87"/>
      <c r="D1400" s="87"/>
    </row>
    <row r="1401" spans="2:4" hidden="1" x14ac:dyDescent="0.3">
      <c r="B1401" s="87"/>
      <c r="C1401" s="87"/>
      <c r="D1401" s="87"/>
    </row>
    <row r="1402" spans="2:4" hidden="1" x14ac:dyDescent="0.3">
      <c r="B1402" s="87"/>
      <c r="C1402" s="87"/>
      <c r="D1402" s="87"/>
    </row>
    <row r="1403" spans="2:4" hidden="1" x14ac:dyDescent="0.3">
      <c r="B1403" s="87"/>
      <c r="C1403" s="87"/>
      <c r="D1403" s="87"/>
    </row>
    <row r="1404" spans="2:4" hidden="1" x14ac:dyDescent="0.3">
      <c r="B1404" s="87"/>
      <c r="C1404" s="87"/>
      <c r="D1404" s="87"/>
    </row>
    <row r="1405" spans="2:4" hidden="1" x14ac:dyDescent="0.3">
      <c r="B1405" s="87"/>
      <c r="C1405" s="87"/>
      <c r="D1405" s="87"/>
    </row>
    <row r="1406" spans="2:4" hidden="1" x14ac:dyDescent="0.3">
      <c r="B1406" s="87"/>
      <c r="C1406" s="87"/>
      <c r="D1406" s="87"/>
    </row>
    <row r="1407" spans="2:4" hidden="1" x14ac:dyDescent="0.3">
      <c r="B1407" s="87"/>
      <c r="C1407" s="87"/>
      <c r="D1407" s="87"/>
    </row>
    <row r="1408" spans="2:4" hidden="1" x14ac:dyDescent="0.3">
      <c r="B1408" s="87"/>
      <c r="C1408" s="87"/>
      <c r="D1408" s="87"/>
    </row>
    <row r="1409" spans="2:4" hidden="1" x14ac:dyDescent="0.3">
      <c r="B1409" s="87"/>
      <c r="C1409" s="87"/>
      <c r="D1409" s="87"/>
    </row>
    <row r="1410" spans="2:4" hidden="1" x14ac:dyDescent="0.3">
      <c r="B1410" s="87"/>
      <c r="C1410" s="87"/>
      <c r="D1410" s="87"/>
    </row>
    <row r="1411" spans="2:4" hidden="1" x14ac:dyDescent="0.3">
      <c r="B1411" s="87"/>
      <c r="C1411" s="87"/>
      <c r="D1411" s="87"/>
    </row>
    <row r="1412" spans="2:4" hidden="1" x14ac:dyDescent="0.3">
      <c r="B1412" s="87"/>
      <c r="C1412" s="87"/>
      <c r="D1412" s="87"/>
    </row>
    <row r="1413" spans="2:4" hidden="1" x14ac:dyDescent="0.3">
      <c r="B1413" s="87"/>
      <c r="C1413" s="87"/>
      <c r="D1413" s="87"/>
    </row>
    <row r="1414" spans="2:4" hidden="1" x14ac:dyDescent="0.3">
      <c r="B1414" s="87"/>
      <c r="C1414" s="87"/>
      <c r="D1414" s="87"/>
    </row>
    <row r="1415" spans="2:4" hidden="1" x14ac:dyDescent="0.3">
      <c r="B1415" s="87"/>
      <c r="C1415" s="87"/>
      <c r="D1415" s="87"/>
    </row>
    <row r="1416" spans="2:4" hidden="1" x14ac:dyDescent="0.3">
      <c r="B1416" s="87"/>
      <c r="C1416" s="87"/>
      <c r="D1416" s="87"/>
    </row>
    <row r="1417" spans="2:4" hidden="1" x14ac:dyDescent="0.3">
      <c r="B1417" s="87"/>
      <c r="C1417" s="87"/>
      <c r="D1417" s="87"/>
    </row>
    <row r="1418" spans="2:4" hidden="1" x14ac:dyDescent="0.3">
      <c r="B1418" s="87"/>
      <c r="C1418" s="87"/>
      <c r="D1418" s="87"/>
    </row>
    <row r="1419" spans="2:4" hidden="1" x14ac:dyDescent="0.3">
      <c r="B1419" s="87"/>
      <c r="C1419" s="87"/>
      <c r="D1419" s="87"/>
    </row>
    <row r="1420" spans="2:4" hidden="1" x14ac:dyDescent="0.3">
      <c r="B1420" s="87"/>
      <c r="C1420" s="87"/>
      <c r="D1420" s="87"/>
    </row>
    <row r="1421" spans="2:4" hidden="1" x14ac:dyDescent="0.3">
      <c r="B1421" s="87"/>
      <c r="C1421" s="87"/>
      <c r="D1421" s="87"/>
    </row>
    <row r="1422" spans="2:4" hidden="1" x14ac:dyDescent="0.3">
      <c r="B1422" s="87"/>
      <c r="C1422" s="87"/>
      <c r="D1422" s="87"/>
    </row>
    <row r="1423" spans="2:4" hidden="1" x14ac:dyDescent="0.3">
      <c r="B1423" s="87"/>
      <c r="C1423" s="87"/>
      <c r="D1423" s="87"/>
    </row>
    <row r="1424" spans="2:4" hidden="1" x14ac:dyDescent="0.3">
      <c r="B1424" s="87"/>
      <c r="C1424" s="87"/>
      <c r="D1424" s="87"/>
    </row>
    <row r="1425" spans="2:4" hidden="1" x14ac:dyDescent="0.3">
      <c r="B1425" s="87"/>
      <c r="C1425" s="87"/>
      <c r="D1425" s="87"/>
    </row>
    <row r="1426" spans="2:4" hidden="1" x14ac:dyDescent="0.3">
      <c r="B1426" s="87"/>
      <c r="C1426" s="87"/>
      <c r="D1426" s="87"/>
    </row>
    <row r="1427" spans="2:4" hidden="1" x14ac:dyDescent="0.3">
      <c r="B1427" s="87"/>
      <c r="C1427" s="87"/>
      <c r="D1427" s="87"/>
    </row>
    <row r="1428" spans="2:4" hidden="1" x14ac:dyDescent="0.3">
      <c r="B1428" s="87"/>
      <c r="C1428" s="87"/>
      <c r="D1428" s="87"/>
    </row>
    <row r="1429" spans="2:4" hidden="1" x14ac:dyDescent="0.3">
      <c r="B1429" s="87"/>
      <c r="C1429" s="87"/>
      <c r="D1429" s="87"/>
    </row>
    <row r="1430" spans="2:4" hidden="1" x14ac:dyDescent="0.3">
      <c r="B1430" s="87"/>
      <c r="C1430" s="87"/>
      <c r="D1430" s="87"/>
    </row>
    <row r="1431" spans="2:4" hidden="1" x14ac:dyDescent="0.3">
      <c r="B1431" s="87"/>
      <c r="C1431" s="87"/>
      <c r="D1431" s="87"/>
    </row>
    <row r="1432" spans="2:4" hidden="1" x14ac:dyDescent="0.3">
      <c r="B1432" s="87"/>
      <c r="C1432" s="87"/>
      <c r="D1432" s="87"/>
    </row>
    <row r="1433" spans="2:4" hidden="1" x14ac:dyDescent="0.3">
      <c r="B1433" s="87"/>
      <c r="C1433" s="87"/>
      <c r="D1433" s="87"/>
    </row>
    <row r="1434" spans="2:4" hidden="1" x14ac:dyDescent="0.3">
      <c r="B1434" s="87"/>
      <c r="C1434" s="87"/>
      <c r="D1434" s="87"/>
    </row>
    <row r="1435" spans="2:4" hidden="1" x14ac:dyDescent="0.3">
      <c r="B1435" s="87"/>
      <c r="C1435" s="87"/>
      <c r="D1435" s="87"/>
    </row>
    <row r="1436" spans="2:4" hidden="1" x14ac:dyDescent="0.3">
      <c r="B1436" s="87"/>
      <c r="C1436" s="87"/>
      <c r="D1436" s="87"/>
    </row>
    <row r="1437" spans="2:4" hidden="1" x14ac:dyDescent="0.3">
      <c r="B1437" s="87"/>
      <c r="C1437" s="87"/>
      <c r="D1437" s="87"/>
    </row>
    <row r="1438" spans="2:4" hidden="1" x14ac:dyDescent="0.3">
      <c r="B1438" s="87"/>
      <c r="C1438" s="87"/>
      <c r="D1438" s="87"/>
    </row>
    <row r="1439" spans="2:4" hidden="1" x14ac:dyDescent="0.3">
      <c r="B1439" s="87"/>
      <c r="C1439" s="87"/>
      <c r="D1439" s="87"/>
    </row>
    <row r="1440" spans="2:4" hidden="1" x14ac:dyDescent="0.3">
      <c r="B1440" s="87"/>
      <c r="C1440" s="87"/>
      <c r="D1440" s="87"/>
    </row>
    <row r="1441" spans="2:4" hidden="1" x14ac:dyDescent="0.3">
      <c r="B1441" s="87"/>
      <c r="C1441" s="87"/>
      <c r="D1441" s="87"/>
    </row>
    <row r="1442" spans="2:4" hidden="1" x14ac:dyDescent="0.3">
      <c r="B1442" s="87"/>
      <c r="C1442" s="87"/>
      <c r="D1442" s="87"/>
    </row>
    <row r="1443" spans="2:4" hidden="1" x14ac:dyDescent="0.3">
      <c r="B1443" s="87"/>
      <c r="C1443" s="87"/>
      <c r="D1443" s="87"/>
    </row>
    <row r="1444" spans="2:4" hidden="1" x14ac:dyDescent="0.3">
      <c r="B1444" s="87"/>
      <c r="C1444" s="87"/>
      <c r="D1444" s="87"/>
    </row>
    <row r="1445" spans="2:4" hidden="1" x14ac:dyDescent="0.3">
      <c r="B1445" s="87"/>
      <c r="C1445" s="87"/>
      <c r="D1445" s="87"/>
    </row>
    <row r="1446" spans="2:4" hidden="1" x14ac:dyDescent="0.3">
      <c r="B1446" s="87"/>
      <c r="C1446" s="87"/>
      <c r="D1446" s="87"/>
    </row>
    <row r="1447" spans="2:4" hidden="1" x14ac:dyDescent="0.3">
      <c r="B1447" s="87"/>
      <c r="C1447" s="87"/>
      <c r="D1447" s="87"/>
    </row>
    <row r="1448" spans="2:4" hidden="1" x14ac:dyDescent="0.3">
      <c r="B1448" s="87"/>
      <c r="C1448" s="87"/>
      <c r="D1448" s="87"/>
    </row>
    <row r="1449" spans="2:4" hidden="1" x14ac:dyDescent="0.3">
      <c r="B1449" s="87"/>
      <c r="C1449" s="87"/>
      <c r="D1449" s="87"/>
    </row>
    <row r="1450" spans="2:4" hidden="1" x14ac:dyDescent="0.3">
      <c r="B1450" s="87"/>
      <c r="C1450" s="87"/>
      <c r="D1450" s="87"/>
    </row>
    <row r="1451" spans="2:4" hidden="1" x14ac:dyDescent="0.3">
      <c r="B1451" s="87"/>
      <c r="C1451" s="87"/>
      <c r="D1451" s="87"/>
    </row>
    <row r="1452" spans="2:4" hidden="1" x14ac:dyDescent="0.3">
      <c r="B1452" s="87"/>
      <c r="C1452" s="87"/>
      <c r="D1452" s="87"/>
    </row>
    <row r="1453" spans="2:4" hidden="1" x14ac:dyDescent="0.3">
      <c r="B1453" s="87"/>
      <c r="C1453" s="87"/>
      <c r="D1453" s="87"/>
    </row>
    <row r="1454" spans="2:4" hidden="1" x14ac:dyDescent="0.3">
      <c r="B1454" s="87"/>
      <c r="C1454" s="87"/>
      <c r="D1454" s="87"/>
    </row>
    <row r="1455" spans="2:4" hidden="1" x14ac:dyDescent="0.3">
      <c r="B1455" s="87"/>
      <c r="C1455" s="87"/>
      <c r="D1455" s="87"/>
    </row>
    <row r="1456" spans="2:4" hidden="1" x14ac:dyDescent="0.3">
      <c r="B1456" s="87"/>
      <c r="C1456" s="87"/>
      <c r="D1456" s="87"/>
    </row>
    <row r="1457" spans="2:4" hidden="1" x14ac:dyDescent="0.3">
      <c r="B1457" s="87"/>
      <c r="C1457" s="87"/>
      <c r="D1457" s="87"/>
    </row>
    <row r="1458" spans="2:4" hidden="1" x14ac:dyDescent="0.3">
      <c r="B1458" s="87"/>
      <c r="C1458" s="87"/>
      <c r="D1458" s="87"/>
    </row>
    <row r="1459" spans="2:4" hidden="1" x14ac:dyDescent="0.3">
      <c r="B1459" s="87"/>
      <c r="C1459" s="87"/>
      <c r="D1459" s="87"/>
    </row>
    <row r="1460" spans="2:4" hidden="1" x14ac:dyDescent="0.3">
      <c r="B1460" s="87"/>
      <c r="C1460" s="87"/>
      <c r="D1460" s="87"/>
    </row>
    <row r="1461" spans="2:4" hidden="1" x14ac:dyDescent="0.3">
      <c r="B1461" s="87"/>
      <c r="C1461" s="87"/>
      <c r="D1461" s="87"/>
    </row>
    <row r="1462" spans="2:4" hidden="1" x14ac:dyDescent="0.3">
      <c r="B1462" s="87"/>
      <c r="C1462" s="87"/>
      <c r="D1462" s="87"/>
    </row>
    <row r="1463" spans="2:4" hidden="1" x14ac:dyDescent="0.3">
      <c r="B1463" s="87"/>
      <c r="C1463" s="87"/>
      <c r="D1463" s="87"/>
    </row>
    <row r="1464" spans="2:4" hidden="1" x14ac:dyDescent="0.3">
      <c r="B1464" s="87"/>
      <c r="C1464" s="87"/>
      <c r="D1464" s="87"/>
    </row>
    <row r="1465" spans="2:4" hidden="1" x14ac:dyDescent="0.3">
      <c r="B1465" s="87"/>
      <c r="C1465" s="87"/>
      <c r="D1465" s="87"/>
    </row>
    <row r="1466" spans="2:4" hidden="1" x14ac:dyDescent="0.3">
      <c r="B1466" s="87"/>
      <c r="C1466" s="87"/>
      <c r="D1466" s="87"/>
    </row>
    <row r="1467" spans="2:4" hidden="1" x14ac:dyDescent="0.3">
      <c r="B1467" s="87"/>
      <c r="C1467" s="87"/>
      <c r="D1467" s="87"/>
    </row>
    <row r="1468" spans="2:4" hidden="1" x14ac:dyDescent="0.3">
      <c r="B1468" s="87"/>
      <c r="C1468" s="87"/>
      <c r="D1468" s="87"/>
    </row>
    <row r="1469" spans="2:4" hidden="1" x14ac:dyDescent="0.3">
      <c r="B1469" s="87"/>
      <c r="C1469" s="87"/>
      <c r="D1469" s="87"/>
    </row>
    <row r="1470" spans="2:4" hidden="1" x14ac:dyDescent="0.3">
      <c r="B1470" s="87"/>
      <c r="C1470" s="87"/>
      <c r="D1470" s="87"/>
    </row>
    <row r="1471" spans="2:4" hidden="1" x14ac:dyDescent="0.3">
      <c r="B1471" s="87"/>
      <c r="C1471" s="87"/>
      <c r="D1471" s="87"/>
    </row>
    <row r="1472" spans="2:4" hidden="1" x14ac:dyDescent="0.3">
      <c r="B1472" s="87"/>
      <c r="C1472" s="87"/>
      <c r="D1472" s="87"/>
    </row>
    <row r="1473" spans="2:4" hidden="1" x14ac:dyDescent="0.3">
      <c r="B1473" s="87"/>
      <c r="C1473" s="87"/>
      <c r="D1473" s="87"/>
    </row>
    <row r="1474" spans="2:4" hidden="1" x14ac:dyDescent="0.3">
      <c r="B1474" s="87"/>
      <c r="C1474" s="87"/>
      <c r="D1474" s="87"/>
    </row>
    <row r="1475" spans="2:4" hidden="1" x14ac:dyDescent="0.3">
      <c r="B1475" s="87"/>
      <c r="C1475" s="87"/>
      <c r="D1475" s="87"/>
    </row>
    <row r="1476" spans="2:4" hidden="1" x14ac:dyDescent="0.3">
      <c r="B1476" s="87"/>
      <c r="C1476" s="87"/>
      <c r="D1476" s="87"/>
    </row>
    <row r="1477" spans="2:4" hidden="1" x14ac:dyDescent="0.3">
      <c r="B1477" s="87"/>
      <c r="C1477" s="87"/>
      <c r="D1477" s="87"/>
    </row>
    <row r="1478" spans="2:4" hidden="1" x14ac:dyDescent="0.3">
      <c r="B1478" s="87"/>
      <c r="C1478" s="87"/>
      <c r="D1478" s="87"/>
    </row>
    <row r="1479" spans="2:4" hidden="1" x14ac:dyDescent="0.3">
      <c r="B1479" s="87"/>
      <c r="C1479" s="87"/>
      <c r="D1479" s="87"/>
    </row>
    <row r="1480" spans="2:4" hidden="1" x14ac:dyDescent="0.3">
      <c r="B1480" s="87"/>
      <c r="C1480" s="87"/>
      <c r="D1480" s="87"/>
    </row>
    <row r="1481" spans="2:4" hidden="1" x14ac:dyDescent="0.3">
      <c r="B1481" s="87"/>
      <c r="C1481" s="87"/>
      <c r="D1481" s="87"/>
    </row>
    <row r="1482" spans="2:4" hidden="1" x14ac:dyDescent="0.3">
      <c r="B1482" s="87"/>
      <c r="C1482" s="87"/>
      <c r="D1482" s="87"/>
    </row>
    <row r="1483" spans="2:4" hidden="1" x14ac:dyDescent="0.3">
      <c r="B1483" s="87"/>
      <c r="C1483" s="87"/>
      <c r="D1483" s="87"/>
    </row>
    <row r="1484" spans="2:4" hidden="1" x14ac:dyDescent="0.3">
      <c r="B1484" s="87"/>
      <c r="C1484" s="87"/>
      <c r="D1484" s="87"/>
    </row>
    <row r="1485" spans="2:4" hidden="1" x14ac:dyDescent="0.3">
      <c r="B1485" s="87"/>
      <c r="C1485" s="87"/>
      <c r="D1485" s="87"/>
    </row>
    <row r="1486" spans="2:4" hidden="1" x14ac:dyDescent="0.3">
      <c r="B1486" s="87"/>
      <c r="C1486" s="87"/>
      <c r="D1486" s="87"/>
    </row>
    <row r="1487" spans="2:4" hidden="1" x14ac:dyDescent="0.3">
      <c r="B1487" s="87"/>
      <c r="C1487" s="87"/>
      <c r="D1487" s="87"/>
    </row>
    <row r="1488" spans="2:4" hidden="1" x14ac:dyDescent="0.3">
      <c r="B1488" s="87"/>
      <c r="C1488" s="87"/>
      <c r="D1488" s="87"/>
    </row>
    <row r="1489" spans="2:4" hidden="1" x14ac:dyDescent="0.3">
      <c r="B1489" s="87"/>
      <c r="C1489" s="87"/>
      <c r="D1489" s="87"/>
    </row>
    <row r="1490" spans="2:4" hidden="1" x14ac:dyDescent="0.3">
      <c r="B1490" s="87"/>
      <c r="C1490" s="87"/>
      <c r="D1490" s="87"/>
    </row>
    <row r="1491" spans="2:4" hidden="1" x14ac:dyDescent="0.3">
      <c r="B1491" s="87"/>
      <c r="C1491" s="87"/>
      <c r="D1491" s="87"/>
    </row>
    <row r="1492" spans="2:4" hidden="1" x14ac:dyDescent="0.3">
      <c r="B1492" s="87"/>
      <c r="C1492" s="87"/>
      <c r="D1492" s="87"/>
    </row>
    <row r="1493" spans="2:4" hidden="1" x14ac:dyDescent="0.3">
      <c r="B1493" s="87"/>
      <c r="C1493" s="87"/>
      <c r="D1493" s="87"/>
    </row>
    <row r="1494" spans="2:4" hidden="1" x14ac:dyDescent="0.3">
      <c r="B1494" s="87"/>
      <c r="C1494" s="87"/>
      <c r="D1494" s="87"/>
    </row>
    <row r="1495" spans="2:4" hidden="1" x14ac:dyDescent="0.3">
      <c r="B1495" s="87"/>
      <c r="C1495" s="87"/>
      <c r="D1495" s="87"/>
    </row>
    <row r="1496" spans="2:4" hidden="1" x14ac:dyDescent="0.3">
      <c r="B1496" s="87"/>
      <c r="C1496" s="87"/>
      <c r="D1496" s="87"/>
    </row>
    <row r="1497" spans="2:4" hidden="1" x14ac:dyDescent="0.3">
      <c r="B1497" s="87"/>
      <c r="C1497" s="87"/>
      <c r="D1497" s="87"/>
    </row>
    <row r="1498" spans="2:4" hidden="1" x14ac:dyDescent="0.3">
      <c r="B1498" s="87"/>
      <c r="C1498" s="87"/>
      <c r="D1498" s="87"/>
    </row>
    <row r="1499" spans="2:4" hidden="1" x14ac:dyDescent="0.3">
      <c r="B1499" s="87"/>
      <c r="C1499" s="87"/>
      <c r="D1499" s="87"/>
    </row>
    <row r="1500" spans="2:4" hidden="1" x14ac:dyDescent="0.3">
      <c r="B1500" s="87"/>
      <c r="C1500" s="87"/>
      <c r="D1500" s="87"/>
    </row>
    <row r="1501" spans="2:4" hidden="1" x14ac:dyDescent="0.3">
      <c r="B1501" s="87"/>
      <c r="C1501" s="87"/>
      <c r="D1501" s="87"/>
    </row>
    <row r="1502" spans="2:4" hidden="1" x14ac:dyDescent="0.3">
      <c r="B1502" s="87"/>
      <c r="C1502" s="87"/>
      <c r="D1502" s="87"/>
    </row>
    <row r="1503" spans="2:4" hidden="1" x14ac:dyDescent="0.3">
      <c r="B1503" s="87"/>
      <c r="C1503" s="87"/>
      <c r="D1503" s="87"/>
    </row>
    <row r="1504" spans="2:4" hidden="1" x14ac:dyDescent="0.3">
      <c r="B1504" s="87"/>
      <c r="C1504" s="87"/>
      <c r="D1504" s="87"/>
    </row>
    <row r="1505" spans="2:4" hidden="1" x14ac:dyDescent="0.3">
      <c r="B1505" s="87"/>
      <c r="C1505" s="87"/>
      <c r="D1505" s="87"/>
    </row>
    <row r="1506" spans="2:4" hidden="1" x14ac:dyDescent="0.3">
      <c r="B1506" s="87"/>
      <c r="C1506" s="87"/>
      <c r="D1506" s="87"/>
    </row>
    <row r="1507" spans="2:4" hidden="1" x14ac:dyDescent="0.3">
      <c r="B1507" s="87"/>
      <c r="C1507" s="87"/>
      <c r="D1507" s="87"/>
    </row>
    <row r="1508" spans="2:4" hidden="1" x14ac:dyDescent="0.3">
      <c r="B1508" s="87"/>
      <c r="C1508" s="87"/>
      <c r="D1508" s="87"/>
    </row>
  </sheetData>
  <sheetProtection sort="0" autoFilter="0"/>
  <dataValidations disablePrompts="1" count="2">
    <dataValidation type="list" allowBlank="1" showInputMessage="1" showErrorMessage="1" sqref="B24:B523" xr:uid="{F6AEBB11-538E-497A-9C54-D7B3954A7FB2}">
      <formula1>Sites</formula1>
    </dataValidation>
    <dataValidation type="date" operator="greaterThan" allowBlank="1" showInputMessage="1" showErrorMessage="1" sqref="D24:D523" xr:uid="{F77F060E-B94A-421B-959E-3A053A8D2662}">
      <formula1>45658</formula1>
    </dataValidation>
  </dataValidations>
  <pageMargins left="0.25" right="0.25" top="0.75" bottom="0.75" header="0.3" footer="0.3"/>
  <pageSetup scale="88" fitToWidth="2" fitToHeight="0" pageOrder="overThenDown" orientation="landscape" r:id="rId1"/>
  <headerFooter>
    <oddHeader>&amp;C&amp;10 40 CFR Part 63, Subpart EEEE National Emission Standards for Hazardous Air Pollutants: Organic Liquids Distribution (Non-Gasoline) - Compliance Report</oddHeader>
    <oddFooter>&amp;L&amp;10&amp;A&amp;R&amp;10Page &amp;P</oddFooter>
  </headerFooter>
  <tableParts count="1">
    <tablePart r:id="rId2"/>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Title="Invalid Entry!" error="Please select an answer from the dropdown list." promptTitle="CommodityDeviationType" prompt="Please select an answer from the dropdown list." xr:uid="{F087E1C3-A9BC-4B42-812A-7D5601775D0E}">
          <x14:formula1>
            <xm:f>Lists!$B$43:$B$44</xm:f>
          </x14:formula1>
          <xm:sqref>F24:F523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D4AAD-6EE7-4D56-B87F-4B87D00149C2}">
  <sheetPr codeName="Sheet7">
    <tabColor theme="5" tint="0.59999389629810485"/>
  </sheetPr>
  <dimension ref="A1:S1023"/>
  <sheetViews>
    <sheetView showGridLines="0" topLeftCell="B7" zoomScaleNormal="100" workbookViewId="0">
      <selection activeCell="G13" sqref="G13"/>
    </sheetView>
  </sheetViews>
  <sheetFormatPr defaultColWidth="0" defaultRowHeight="14.4" zeroHeight="1" x14ac:dyDescent="0.3"/>
  <cols>
    <col min="1" max="1" width="9.109375" style="42" hidden="1" customWidth="1"/>
    <col min="2" max="2" width="15" style="42" customWidth="1"/>
    <col min="3" max="3" width="30.6640625" style="51" customWidth="1"/>
    <col min="4" max="4" width="37.109375" style="51" customWidth="1"/>
    <col min="5" max="5" width="31.109375" style="51" bestFit="1" customWidth="1"/>
    <col min="6" max="6" width="31.109375" style="51" customWidth="1"/>
    <col min="7" max="7" width="42.6640625" style="147" customWidth="1"/>
    <col min="8" max="8" width="48" style="51" customWidth="1"/>
    <col min="9" max="19" width="0" style="51" hidden="1" customWidth="1"/>
    <col min="20" max="16384" width="9.109375" style="51" hidden="1"/>
  </cols>
  <sheetData>
    <row r="1" spans="1:8" s="42" customFormat="1" ht="27.6" hidden="1" x14ac:dyDescent="0.3">
      <c r="B1" s="105" t="s">
        <v>0</v>
      </c>
      <c r="C1" s="154"/>
      <c r="D1" s="154"/>
      <c r="E1" s="154"/>
      <c r="F1" s="154"/>
      <c r="G1" s="155"/>
      <c r="H1" s="154"/>
    </row>
    <row r="2" spans="1:8" s="56" customFormat="1" hidden="1" x14ac:dyDescent="0.3">
      <c r="B2" s="3" t="s">
        <v>1</v>
      </c>
      <c r="C2" s="3" t="str">
        <f>Welcome!B2</f>
        <v>63.567(o) Periodic Report (Spreadsheet Template)</v>
      </c>
      <c r="D2" s="156"/>
      <c r="E2" s="156"/>
      <c r="F2" s="156"/>
      <c r="G2" s="157"/>
      <c r="H2" s="156"/>
    </row>
    <row r="3" spans="1:8" s="56" customFormat="1" hidden="1" x14ac:dyDescent="0.3">
      <c r="B3" s="3" t="s">
        <v>2</v>
      </c>
      <c r="C3" s="3" t="str">
        <f>Welcome!B3</f>
        <v>63.567(o)</v>
      </c>
      <c r="D3" s="156"/>
      <c r="E3" s="156"/>
      <c r="F3" s="156"/>
      <c r="G3" s="157"/>
      <c r="H3" s="156"/>
    </row>
    <row r="4" spans="1:8" s="56" customFormat="1" hidden="1" x14ac:dyDescent="0.3">
      <c r="B4" s="3" t="s">
        <v>3</v>
      </c>
      <c r="C4" s="3" t="str">
        <f>Welcome!B4</f>
        <v>PROPOSAL DRAFT</v>
      </c>
      <c r="D4" s="156"/>
      <c r="E4" s="156"/>
      <c r="F4" s="156"/>
      <c r="G4" s="157"/>
      <c r="H4" s="156"/>
    </row>
    <row r="5" spans="1:8" s="56" customFormat="1" hidden="1" x14ac:dyDescent="0.3">
      <c r="B5" s="3" t="s">
        <v>4</v>
      </c>
      <c r="C5" s="32">
        <f>Welcome!B5</f>
        <v>45911</v>
      </c>
      <c r="D5" s="156"/>
      <c r="E5" s="156"/>
      <c r="F5" s="156"/>
      <c r="G5" s="157"/>
      <c r="H5" s="156"/>
    </row>
    <row r="6" spans="1:8" s="56" customFormat="1" hidden="1" x14ac:dyDescent="0.3">
      <c r="G6" s="111"/>
    </row>
    <row r="7" spans="1:8" s="56" customFormat="1" x14ac:dyDescent="0.3">
      <c r="B7" s="10" t="str">
        <f>Company_Information!B7</f>
        <v>40 CFR Part 63, Subpart Y National Emission Standards for Hazardous Air Pollutants: Marine Tank Vessel Loading Operations</v>
      </c>
      <c r="G7" s="111"/>
    </row>
    <row r="8" spans="1:8" s="56" customFormat="1" x14ac:dyDescent="0.3">
      <c r="B8" s="10" t="str">
        <f>Company_Information!B8</f>
        <v>§63.567(o) Periodic Report Spreadsheet Template</v>
      </c>
      <c r="G8" s="111"/>
    </row>
    <row r="9" spans="1:8" s="56" customFormat="1" ht="30.75" customHeight="1" x14ac:dyDescent="0.3">
      <c r="B9" s="59" t="s">
        <v>380</v>
      </c>
      <c r="G9" s="111"/>
    </row>
    <row r="10" spans="1:8" s="56" customFormat="1" x14ac:dyDescent="0.3">
      <c r="B10" s="99" t="s">
        <v>146</v>
      </c>
      <c r="G10" s="111"/>
    </row>
    <row r="11" spans="1:8" s="56" customFormat="1" ht="15" thickBot="1" x14ac:dyDescent="0.35">
      <c r="G11" s="111"/>
    </row>
    <row r="12" spans="1:8" s="158" customFormat="1" ht="58.2" thickBot="1" x14ac:dyDescent="0.35">
      <c r="A12" s="152"/>
      <c r="B12" s="17" t="s">
        <v>136</v>
      </c>
      <c r="C12" s="18" t="s">
        <v>273</v>
      </c>
      <c r="D12" s="18" t="s">
        <v>381</v>
      </c>
      <c r="E12" s="18" t="s">
        <v>383</v>
      </c>
      <c r="F12" s="18" t="s">
        <v>382</v>
      </c>
      <c r="G12" s="137" t="s">
        <v>384</v>
      </c>
      <c r="H12" s="18" t="s">
        <v>250</v>
      </c>
    </row>
    <row r="13" spans="1:8" s="56" customFormat="1" x14ac:dyDescent="0.3">
      <c r="B13" s="69" t="s">
        <v>190</v>
      </c>
      <c r="C13" s="108" t="s">
        <v>264</v>
      </c>
      <c r="D13" s="108" t="s">
        <v>263</v>
      </c>
      <c r="E13" s="109" t="s">
        <v>262</v>
      </c>
      <c r="F13" s="109" t="s">
        <v>261</v>
      </c>
      <c r="G13" s="159" t="s">
        <v>265</v>
      </c>
      <c r="H13" s="109"/>
    </row>
    <row r="14" spans="1:8" s="42" customFormat="1" ht="28.8" x14ac:dyDescent="0.3">
      <c r="B14" s="71" t="s">
        <v>5</v>
      </c>
      <c r="C14" s="136" t="s">
        <v>266</v>
      </c>
      <c r="D14" s="136" t="s">
        <v>269</v>
      </c>
      <c r="E14" s="98" t="s">
        <v>271</v>
      </c>
      <c r="F14" s="98" t="s">
        <v>270</v>
      </c>
      <c r="G14" s="138" t="s">
        <v>270</v>
      </c>
      <c r="H14" s="144"/>
    </row>
    <row r="15" spans="1:8" s="42" customFormat="1" hidden="1" x14ac:dyDescent="0.3">
      <c r="B15" s="71" t="s">
        <v>188</v>
      </c>
      <c r="C15" s="136" t="s">
        <v>188</v>
      </c>
      <c r="D15" s="136" t="s">
        <v>188</v>
      </c>
      <c r="E15" s="136" t="s">
        <v>188</v>
      </c>
      <c r="F15" s="136"/>
      <c r="G15" s="136" t="s">
        <v>188</v>
      </c>
      <c r="H15" s="136" t="s">
        <v>188</v>
      </c>
    </row>
    <row r="16" spans="1:8" s="42" customFormat="1" hidden="1" x14ac:dyDescent="0.3">
      <c r="B16" s="71" t="s">
        <v>188</v>
      </c>
      <c r="C16" s="136" t="s">
        <v>188</v>
      </c>
      <c r="D16" s="136" t="s">
        <v>188</v>
      </c>
      <c r="E16" s="136" t="s">
        <v>188</v>
      </c>
      <c r="F16" s="136"/>
      <c r="G16" s="136" t="s">
        <v>188</v>
      </c>
      <c r="H16" s="136" t="s">
        <v>188</v>
      </c>
    </row>
    <row r="17" spans="2:8" s="42" customFormat="1" hidden="1" x14ac:dyDescent="0.3">
      <c r="B17" s="71" t="s">
        <v>188</v>
      </c>
      <c r="C17" s="136" t="s">
        <v>188</v>
      </c>
      <c r="D17" s="136" t="s">
        <v>188</v>
      </c>
      <c r="E17" s="136" t="s">
        <v>188</v>
      </c>
      <c r="F17" s="136"/>
      <c r="G17" s="136" t="s">
        <v>188</v>
      </c>
      <c r="H17" s="136" t="s">
        <v>188</v>
      </c>
    </row>
    <row r="18" spans="2:8" s="42" customFormat="1" hidden="1" x14ac:dyDescent="0.3">
      <c r="B18" s="71" t="s">
        <v>188</v>
      </c>
      <c r="C18" s="136" t="s">
        <v>188</v>
      </c>
      <c r="D18" s="136" t="s">
        <v>188</v>
      </c>
      <c r="E18" s="136" t="s">
        <v>188</v>
      </c>
      <c r="F18" s="136"/>
      <c r="G18" s="136" t="s">
        <v>188</v>
      </c>
      <c r="H18" s="136" t="s">
        <v>188</v>
      </c>
    </row>
    <row r="19" spans="2:8" s="42" customFormat="1" hidden="1" x14ac:dyDescent="0.3">
      <c r="B19" s="71" t="s">
        <v>188</v>
      </c>
      <c r="C19" s="136" t="s">
        <v>188</v>
      </c>
      <c r="D19" s="136" t="s">
        <v>188</v>
      </c>
      <c r="E19" s="136" t="s">
        <v>188</v>
      </c>
      <c r="F19" s="136"/>
      <c r="G19" s="136" t="s">
        <v>188</v>
      </c>
      <c r="H19" s="136" t="s">
        <v>188</v>
      </c>
    </row>
    <row r="20" spans="2:8" s="42" customFormat="1" hidden="1" x14ac:dyDescent="0.3">
      <c r="B20" s="71" t="s">
        <v>188</v>
      </c>
      <c r="C20" s="136" t="s">
        <v>188</v>
      </c>
      <c r="D20" s="136" t="s">
        <v>188</v>
      </c>
      <c r="E20" s="136" t="s">
        <v>188</v>
      </c>
      <c r="F20" s="136"/>
      <c r="G20" s="136" t="s">
        <v>188</v>
      </c>
      <c r="H20" s="136" t="s">
        <v>188</v>
      </c>
    </row>
    <row r="21" spans="2:8" s="42" customFormat="1" hidden="1" x14ac:dyDescent="0.3">
      <c r="B21" s="71" t="s">
        <v>188</v>
      </c>
      <c r="C21" s="136" t="s">
        <v>188</v>
      </c>
      <c r="D21" s="136" t="s">
        <v>188</v>
      </c>
      <c r="E21" s="136" t="s">
        <v>188</v>
      </c>
      <c r="F21" s="136"/>
      <c r="G21" s="136" t="s">
        <v>188</v>
      </c>
      <c r="H21" s="136" t="s">
        <v>188</v>
      </c>
    </row>
    <row r="22" spans="2:8" s="42" customFormat="1" hidden="1" x14ac:dyDescent="0.3">
      <c r="B22" s="71" t="s">
        <v>188</v>
      </c>
      <c r="C22" s="136" t="s">
        <v>188</v>
      </c>
      <c r="D22" s="136" t="s">
        <v>188</v>
      </c>
      <c r="E22" s="136" t="s">
        <v>188</v>
      </c>
      <c r="F22" s="136"/>
      <c r="G22" s="136" t="s">
        <v>188</v>
      </c>
      <c r="H22" s="136" t="s">
        <v>188</v>
      </c>
    </row>
    <row r="23" spans="2:8" s="42" customFormat="1" hidden="1" x14ac:dyDescent="0.3">
      <c r="B23" s="71" t="s">
        <v>188</v>
      </c>
      <c r="C23" s="136" t="s">
        <v>188</v>
      </c>
      <c r="D23" s="136" t="s">
        <v>188</v>
      </c>
      <c r="E23" s="136" t="s">
        <v>188</v>
      </c>
      <c r="F23" s="136"/>
      <c r="G23" s="136" t="s">
        <v>188</v>
      </c>
      <c r="H23" s="136" t="s">
        <v>188</v>
      </c>
    </row>
    <row r="24" spans="2:8" x14ac:dyDescent="0.3">
      <c r="B24" s="129"/>
      <c r="E24" s="140"/>
      <c r="F24" s="140"/>
    </row>
    <row r="25" spans="2:8" x14ac:dyDescent="0.3">
      <c r="B25" s="129"/>
      <c r="E25" s="140"/>
      <c r="F25" s="140"/>
    </row>
    <row r="26" spans="2:8" x14ac:dyDescent="0.3">
      <c r="B26" s="129"/>
      <c r="E26" s="140"/>
      <c r="F26" s="140"/>
    </row>
    <row r="27" spans="2:8" x14ac:dyDescent="0.3">
      <c r="B27" s="129"/>
      <c r="E27" s="140"/>
      <c r="F27" s="140"/>
    </row>
    <row r="28" spans="2:8" x14ac:dyDescent="0.3">
      <c r="B28" s="129"/>
      <c r="E28" s="140"/>
      <c r="F28" s="140"/>
    </row>
    <row r="29" spans="2:8" x14ac:dyDescent="0.3">
      <c r="B29" s="129"/>
      <c r="E29" s="140"/>
      <c r="F29" s="140"/>
    </row>
    <row r="30" spans="2:8" x14ac:dyDescent="0.3">
      <c r="B30" s="129"/>
      <c r="E30" s="140"/>
      <c r="F30" s="140"/>
    </row>
    <row r="31" spans="2:8" x14ac:dyDescent="0.3">
      <c r="B31" s="129"/>
      <c r="E31" s="140"/>
      <c r="F31" s="140"/>
    </row>
    <row r="32" spans="2:8" x14ac:dyDescent="0.3">
      <c r="B32" s="129"/>
      <c r="E32" s="140"/>
      <c r="F32" s="140"/>
    </row>
    <row r="33" spans="2:6" x14ac:dyDescent="0.3">
      <c r="B33" s="129"/>
      <c r="E33" s="140"/>
      <c r="F33" s="140"/>
    </row>
    <row r="34" spans="2:6" x14ac:dyDescent="0.3">
      <c r="B34" s="129"/>
      <c r="E34" s="140"/>
      <c r="F34" s="140"/>
    </row>
    <row r="35" spans="2:6" x14ac:dyDescent="0.3">
      <c r="B35" s="129"/>
      <c r="E35" s="140"/>
      <c r="F35" s="140"/>
    </row>
    <row r="36" spans="2:6" x14ac:dyDescent="0.3">
      <c r="B36" s="129"/>
      <c r="E36" s="140"/>
      <c r="F36" s="140"/>
    </row>
    <row r="37" spans="2:6" x14ac:dyDescent="0.3">
      <c r="B37" s="129"/>
      <c r="E37" s="140"/>
      <c r="F37" s="140"/>
    </row>
    <row r="38" spans="2:6" x14ac:dyDescent="0.3">
      <c r="B38" s="129"/>
      <c r="E38" s="140"/>
      <c r="F38" s="140"/>
    </row>
    <row r="39" spans="2:6" x14ac:dyDescent="0.3">
      <c r="B39" s="129"/>
      <c r="E39" s="140"/>
      <c r="F39" s="140"/>
    </row>
    <row r="40" spans="2:6" x14ac:dyDescent="0.3">
      <c r="B40" s="129"/>
      <c r="E40" s="140"/>
      <c r="F40" s="140"/>
    </row>
    <row r="41" spans="2:6" x14ac:dyDescent="0.3">
      <c r="B41" s="129"/>
      <c r="E41" s="140"/>
      <c r="F41" s="140"/>
    </row>
    <row r="42" spans="2:6" x14ac:dyDescent="0.3">
      <c r="B42" s="129"/>
      <c r="E42" s="140"/>
      <c r="F42" s="140"/>
    </row>
    <row r="43" spans="2:6" x14ac:dyDescent="0.3">
      <c r="B43" s="129"/>
      <c r="E43" s="140"/>
      <c r="F43" s="140"/>
    </row>
    <row r="44" spans="2:6" x14ac:dyDescent="0.3">
      <c r="B44" s="129"/>
      <c r="E44" s="140"/>
      <c r="F44" s="140"/>
    </row>
    <row r="45" spans="2:6" x14ac:dyDescent="0.3">
      <c r="B45" s="129"/>
      <c r="E45" s="140"/>
      <c r="F45" s="140"/>
    </row>
    <row r="46" spans="2:6" x14ac:dyDescent="0.3">
      <c r="B46" s="129"/>
      <c r="E46" s="140"/>
      <c r="F46" s="140"/>
    </row>
    <row r="47" spans="2:6" x14ac:dyDescent="0.3">
      <c r="B47" s="129"/>
      <c r="E47" s="140"/>
      <c r="F47" s="140"/>
    </row>
    <row r="48" spans="2:6" x14ac:dyDescent="0.3">
      <c r="B48" s="129"/>
      <c r="E48" s="140"/>
      <c r="F48" s="140"/>
    </row>
    <row r="49" spans="2:6" x14ac:dyDescent="0.3">
      <c r="B49" s="129"/>
      <c r="E49" s="140"/>
      <c r="F49" s="140"/>
    </row>
    <row r="50" spans="2:6" x14ac:dyDescent="0.3">
      <c r="B50" s="129"/>
      <c r="E50" s="140"/>
      <c r="F50" s="140"/>
    </row>
    <row r="51" spans="2:6" x14ac:dyDescent="0.3">
      <c r="B51" s="129"/>
      <c r="E51" s="140"/>
      <c r="F51" s="140"/>
    </row>
    <row r="52" spans="2:6" x14ac:dyDescent="0.3">
      <c r="B52" s="129"/>
      <c r="E52" s="140"/>
      <c r="F52" s="140"/>
    </row>
    <row r="53" spans="2:6" x14ac:dyDescent="0.3">
      <c r="B53" s="129"/>
      <c r="E53" s="140"/>
      <c r="F53" s="140"/>
    </row>
    <row r="54" spans="2:6" x14ac:dyDescent="0.3">
      <c r="B54" s="129"/>
      <c r="E54" s="140"/>
      <c r="F54" s="140"/>
    </row>
    <row r="55" spans="2:6" x14ac:dyDescent="0.3">
      <c r="B55" s="129"/>
      <c r="E55" s="140"/>
      <c r="F55" s="140"/>
    </row>
    <row r="56" spans="2:6" x14ac:dyDescent="0.3">
      <c r="B56" s="129"/>
      <c r="E56" s="140"/>
      <c r="F56" s="140"/>
    </row>
    <row r="57" spans="2:6" x14ac:dyDescent="0.3">
      <c r="B57" s="129"/>
      <c r="E57" s="140"/>
      <c r="F57" s="140"/>
    </row>
    <row r="58" spans="2:6" x14ac:dyDescent="0.3">
      <c r="B58" s="129"/>
      <c r="E58" s="140"/>
      <c r="F58" s="140"/>
    </row>
    <row r="59" spans="2:6" x14ac:dyDescent="0.3">
      <c r="B59" s="129"/>
      <c r="E59" s="140"/>
      <c r="F59" s="140"/>
    </row>
    <row r="60" spans="2:6" x14ac:dyDescent="0.3">
      <c r="B60" s="129"/>
      <c r="E60" s="140"/>
      <c r="F60" s="140"/>
    </row>
    <row r="61" spans="2:6" x14ac:dyDescent="0.3">
      <c r="B61" s="129"/>
      <c r="E61" s="140"/>
      <c r="F61" s="140"/>
    </row>
    <row r="62" spans="2:6" x14ac:dyDescent="0.3">
      <c r="B62" s="129"/>
      <c r="E62" s="140"/>
      <c r="F62" s="140"/>
    </row>
    <row r="63" spans="2:6" x14ac:dyDescent="0.3">
      <c r="B63" s="129"/>
      <c r="E63" s="140"/>
      <c r="F63" s="140"/>
    </row>
    <row r="64" spans="2:6" x14ac:dyDescent="0.3">
      <c r="B64" s="129"/>
      <c r="E64" s="140"/>
      <c r="F64" s="140"/>
    </row>
    <row r="65" spans="2:6" x14ac:dyDescent="0.3">
      <c r="B65" s="129"/>
      <c r="E65" s="140"/>
      <c r="F65" s="140"/>
    </row>
    <row r="66" spans="2:6" x14ac:dyDescent="0.3">
      <c r="B66" s="129"/>
      <c r="E66" s="140"/>
      <c r="F66" s="140"/>
    </row>
    <row r="67" spans="2:6" x14ac:dyDescent="0.3">
      <c r="B67" s="129"/>
      <c r="E67" s="140"/>
      <c r="F67" s="140"/>
    </row>
    <row r="68" spans="2:6" x14ac:dyDescent="0.3">
      <c r="B68" s="129"/>
      <c r="E68" s="140"/>
      <c r="F68" s="140"/>
    </row>
    <row r="69" spans="2:6" x14ac:dyDescent="0.3">
      <c r="B69" s="129"/>
      <c r="E69" s="140"/>
      <c r="F69" s="140"/>
    </row>
    <row r="70" spans="2:6" x14ac:dyDescent="0.3">
      <c r="B70" s="129"/>
      <c r="E70" s="140"/>
      <c r="F70" s="140"/>
    </row>
    <row r="71" spans="2:6" x14ac:dyDescent="0.3">
      <c r="B71" s="129"/>
      <c r="E71" s="140"/>
      <c r="F71" s="140"/>
    </row>
    <row r="72" spans="2:6" x14ac:dyDescent="0.3">
      <c r="B72" s="129"/>
      <c r="E72" s="140"/>
      <c r="F72" s="140"/>
    </row>
    <row r="73" spans="2:6" x14ac:dyDescent="0.3">
      <c r="B73" s="129"/>
      <c r="E73" s="140"/>
      <c r="F73" s="140"/>
    </row>
    <row r="74" spans="2:6" x14ac:dyDescent="0.3">
      <c r="B74" s="129"/>
      <c r="E74" s="140"/>
      <c r="F74" s="140"/>
    </row>
    <row r="75" spans="2:6" x14ac:dyDescent="0.3">
      <c r="B75" s="129"/>
      <c r="E75" s="140"/>
      <c r="F75" s="140"/>
    </row>
    <row r="76" spans="2:6" x14ac:dyDescent="0.3">
      <c r="B76" s="129"/>
      <c r="E76" s="140"/>
      <c r="F76" s="140"/>
    </row>
    <row r="77" spans="2:6" x14ac:dyDescent="0.3">
      <c r="B77" s="129"/>
      <c r="E77" s="140"/>
      <c r="F77" s="140"/>
    </row>
    <row r="78" spans="2:6" x14ac:dyDescent="0.3">
      <c r="B78" s="129"/>
      <c r="E78" s="140"/>
      <c r="F78" s="140"/>
    </row>
    <row r="79" spans="2:6" x14ac:dyDescent="0.3">
      <c r="B79" s="129"/>
      <c r="E79" s="140"/>
      <c r="F79" s="140"/>
    </row>
    <row r="80" spans="2:6" x14ac:dyDescent="0.3">
      <c r="B80" s="129"/>
      <c r="E80" s="140"/>
      <c r="F80" s="140"/>
    </row>
    <row r="81" spans="2:6" x14ac:dyDescent="0.3">
      <c r="B81" s="129"/>
      <c r="E81" s="140"/>
      <c r="F81" s="140"/>
    </row>
    <row r="82" spans="2:6" x14ac:dyDescent="0.3">
      <c r="B82" s="129"/>
      <c r="E82" s="140"/>
      <c r="F82" s="140"/>
    </row>
    <row r="83" spans="2:6" x14ac:dyDescent="0.3">
      <c r="B83" s="129"/>
      <c r="E83" s="140"/>
      <c r="F83" s="140"/>
    </row>
    <row r="84" spans="2:6" x14ac:dyDescent="0.3">
      <c r="B84" s="129"/>
      <c r="E84" s="140"/>
      <c r="F84" s="140"/>
    </row>
    <row r="85" spans="2:6" x14ac:dyDescent="0.3">
      <c r="B85" s="129"/>
      <c r="E85" s="140"/>
      <c r="F85" s="140"/>
    </row>
    <row r="86" spans="2:6" x14ac:dyDescent="0.3">
      <c r="B86" s="129"/>
      <c r="E86" s="140"/>
      <c r="F86" s="140"/>
    </row>
    <row r="87" spans="2:6" x14ac:dyDescent="0.3">
      <c r="B87" s="129"/>
      <c r="E87" s="140"/>
      <c r="F87" s="140"/>
    </row>
    <row r="88" spans="2:6" x14ac:dyDescent="0.3">
      <c r="B88" s="129"/>
      <c r="E88" s="140"/>
      <c r="F88" s="140"/>
    </row>
    <row r="89" spans="2:6" x14ac:dyDescent="0.3">
      <c r="B89" s="129"/>
      <c r="E89" s="140"/>
      <c r="F89" s="140"/>
    </row>
    <row r="90" spans="2:6" x14ac:dyDescent="0.3">
      <c r="B90" s="129"/>
      <c r="E90" s="140"/>
      <c r="F90" s="140"/>
    </row>
    <row r="91" spans="2:6" x14ac:dyDescent="0.3">
      <c r="B91" s="129"/>
      <c r="E91" s="140"/>
      <c r="F91" s="140"/>
    </row>
    <row r="92" spans="2:6" x14ac:dyDescent="0.3">
      <c r="B92" s="129"/>
      <c r="E92" s="140"/>
      <c r="F92" s="140"/>
    </row>
    <row r="93" spans="2:6" x14ac:dyDescent="0.3">
      <c r="B93" s="129"/>
      <c r="E93" s="140"/>
      <c r="F93" s="140"/>
    </row>
    <row r="94" spans="2:6" x14ac:dyDescent="0.3">
      <c r="B94" s="129"/>
      <c r="E94" s="140"/>
      <c r="F94" s="140"/>
    </row>
    <row r="95" spans="2:6" x14ac:dyDescent="0.3">
      <c r="B95" s="129"/>
      <c r="E95" s="140"/>
      <c r="F95" s="140"/>
    </row>
    <row r="96" spans="2:6" x14ac:dyDescent="0.3">
      <c r="B96" s="129"/>
      <c r="E96" s="140"/>
      <c r="F96" s="140"/>
    </row>
    <row r="97" spans="2:6" x14ac:dyDescent="0.3">
      <c r="B97" s="129"/>
      <c r="E97" s="140"/>
      <c r="F97" s="140"/>
    </row>
    <row r="98" spans="2:6" x14ac:dyDescent="0.3">
      <c r="B98" s="129"/>
      <c r="E98" s="140"/>
      <c r="F98" s="140"/>
    </row>
    <row r="99" spans="2:6" x14ac:dyDescent="0.3">
      <c r="B99" s="129"/>
      <c r="E99" s="140"/>
      <c r="F99" s="140"/>
    </row>
    <row r="100" spans="2:6" x14ac:dyDescent="0.3">
      <c r="B100" s="129"/>
      <c r="E100" s="140"/>
      <c r="F100" s="140"/>
    </row>
    <row r="101" spans="2:6" x14ac:dyDescent="0.3">
      <c r="B101" s="51"/>
      <c r="E101" s="140"/>
      <c r="F101" s="140"/>
    </row>
    <row r="102" spans="2:6" x14ac:dyDescent="0.3">
      <c r="B102" s="51"/>
      <c r="E102" s="140"/>
      <c r="F102" s="140"/>
    </row>
    <row r="103" spans="2:6" x14ac:dyDescent="0.3">
      <c r="B103" s="51"/>
      <c r="E103" s="140"/>
      <c r="F103" s="140"/>
    </row>
    <row r="104" spans="2:6" x14ac:dyDescent="0.3">
      <c r="B104" s="51"/>
      <c r="E104" s="140"/>
      <c r="F104" s="140"/>
    </row>
    <row r="105" spans="2:6" x14ac:dyDescent="0.3">
      <c r="B105" s="51"/>
      <c r="E105" s="140"/>
      <c r="F105" s="140"/>
    </row>
    <row r="106" spans="2:6" x14ac:dyDescent="0.3">
      <c r="B106" s="51"/>
      <c r="E106" s="140"/>
      <c r="F106" s="140"/>
    </row>
    <row r="107" spans="2:6" x14ac:dyDescent="0.3">
      <c r="B107" s="51"/>
      <c r="E107" s="140"/>
      <c r="F107" s="140"/>
    </row>
    <row r="108" spans="2:6" x14ac:dyDescent="0.3">
      <c r="B108" s="51"/>
      <c r="E108" s="140"/>
      <c r="F108" s="140"/>
    </row>
    <row r="109" spans="2:6" x14ac:dyDescent="0.3">
      <c r="B109" s="51"/>
      <c r="E109" s="140"/>
      <c r="F109" s="140"/>
    </row>
    <row r="110" spans="2:6" x14ac:dyDescent="0.3">
      <c r="B110" s="51"/>
      <c r="E110" s="140"/>
      <c r="F110" s="140"/>
    </row>
    <row r="111" spans="2:6" x14ac:dyDescent="0.3">
      <c r="B111" s="51"/>
      <c r="E111" s="140"/>
      <c r="F111" s="140"/>
    </row>
    <row r="112" spans="2:6" x14ac:dyDescent="0.3">
      <c r="B112" s="51"/>
      <c r="E112" s="140"/>
      <c r="F112" s="140"/>
    </row>
    <row r="113" spans="2:6" x14ac:dyDescent="0.3">
      <c r="B113" s="51"/>
      <c r="E113" s="140"/>
      <c r="F113" s="140"/>
    </row>
    <row r="114" spans="2:6" x14ac:dyDescent="0.3">
      <c r="B114" s="51"/>
      <c r="E114" s="140"/>
      <c r="F114" s="140"/>
    </row>
    <row r="115" spans="2:6" x14ac:dyDescent="0.3">
      <c r="B115" s="51"/>
      <c r="E115" s="140"/>
      <c r="F115" s="140"/>
    </row>
    <row r="116" spans="2:6" x14ac:dyDescent="0.3">
      <c r="B116" s="51"/>
      <c r="E116" s="140"/>
      <c r="F116" s="140"/>
    </row>
    <row r="117" spans="2:6" x14ac:dyDescent="0.3">
      <c r="B117" s="51"/>
      <c r="E117" s="140"/>
      <c r="F117" s="140"/>
    </row>
    <row r="118" spans="2:6" x14ac:dyDescent="0.3">
      <c r="B118" s="51"/>
      <c r="E118" s="140"/>
      <c r="F118" s="140"/>
    </row>
    <row r="119" spans="2:6" x14ac:dyDescent="0.3">
      <c r="B119" s="51"/>
      <c r="E119" s="140"/>
      <c r="F119" s="140"/>
    </row>
    <row r="120" spans="2:6" x14ac:dyDescent="0.3">
      <c r="B120" s="51"/>
      <c r="E120" s="140"/>
      <c r="F120" s="140"/>
    </row>
    <row r="121" spans="2:6" x14ac:dyDescent="0.3">
      <c r="B121" s="51"/>
      <c r="E121" s="140"/>
      <c r="F121" s="140"/>
    </row>
    <row r="122" spans="2:6" x14ac:dyDescent="0.3">
      <c r="B122" s="51"/>
      <c r="E122" s="140"/>
      <c r="F122" s="140"/>
    </row>
    <row r="123" spans="2:6" x14ac:dyDescent="0.3">
      <c r="B123" s="51"/>
      <c r="E123" s="140"/>
      <c r="F123" s="140"/>
    </row>
    <row r="124" spans="2:6" x14ac:dyDescent="0.3">
      <c r="B124" s="51"/>
      <c r="E124" s="140"/>
      <c r="F124" s="140"/>
    </row>
    <row r="125" spans="2:6" x14ac:dyDescent="0.3">
      <c r="B125" s="51"/>
      <c r="E125" s="140"/>
      <c r="F125" s="140"/>
    </row>
    <row r="126" spans="2:6" x14ac:dyDescent="0.3">
      <c r="B126" s="51"/>
      <c r="E126" s="140"/>
      <c r="F126" s="140"/>
    </row>
    <row r="127" spans="2:6" x14ac:dyDescent="0.3">
      <c r="B127" s="51"/>
      <c r="E127" s="140"/>
      <c r="F127" s="140"/>
    </row>
    <row r="128" spans="2:6" x14ac:dyDescent="0.3">
      <c r="B128" s="51"/>
      <c r="E128" s="140"/>
      <c r="F128" s="140"/>
    </row>
    <row r="129" spans="2:6" x14ac:dyDescent="0.3">
      <c r="B129" s="51"/>
      <c r="E129" s="140"/>
      <c r="F129" s="140"/>
    </row>
    <row r="130" spans="2:6" x14ac:dyDescent="0.3">
      <c r="B130" s="51"/>
      <c r="E130" s="140"/>
      <c r="F130" s="140"/>
    </row>
    <row r="131" spans="2:6" x14ac:dyDescent="0.3">
      <c r="B131" s="51"/>
      <c r="E131" s="140"/>
      <c r="F131" s="140"/>
    </row>
    <row r="132" spans="2:6" x14ac:dyDescent="0.3">
      <c r="B132" s="51"/>
      <c r="E132" s="140"/>
      <c r="F132" s="140"/>
    </row>
    <row r="133" spans="2:6" x14ac:dyDescent="0.3">
      <c r="B133" s="51"/>
      <c r="E133" s="140"/>
      <c r="F133" s="140"/>
    </row>
    <row r="134" spans="2:6" x14ac:dyDescent="0.3">
      <c r="B134" s="51"/>
      <c r="E134" s="140"/>
      <c r="F134" s="140"/>
    </row>
    <row r="135" spans="2:6" x14ac:dyDescent="0.3">
      <c r="B135" s="51"/>
      <c r="E135" s="140"/>
      <c r="F135" s="140"/>
    </row>
    <row r="136" spans="2:6" x14ac:dyDescent="0.3">
      <c r="B136" s="51"/>
      <c r="E136" s="140"/>
      <c r="F136" s="140"/>
    </row>
    <row r="137" spans="2:6" x14ac:dyDescent="0.3">
      <c r="B137" s="51"/>
      <c r="E137" s="140"/>
      <c r="F137" s="140"/>
    </row>
    <row r="138" spans="2:6" x14ac:dyDescent="0.3">
      <c r="B138" s="51"/>
      <c r="E138" s="140"/>
      <c r="F138" s="140"/>
    </row>
    <row r="139" spans="2:6" x14ac:dyDescent="0.3">
      <c r="B139" s="51"/>
      <c r="E139" s="140"/>
      <c r="F139" s="140"/>
    </row>
    <row r="140" spans="2:6" x14ac:dyDescent="0.3">
      <c r="B140" s="51"/>
      <c r="E140" s="140"/>
      <c r="F140" s="140"/>
    </row>
    <row r="141" spans="2:6" x14ac:dyDescent="0.3">
      <c r="B141" s="51"/>
      <c r="E141" s="140"/>
      <c r="F141" s="140"/>
    </row>
    <row r="142" spans="2:6" x14ac:dyDescent="0.3">
      <c r="B142" s="51"/>
      <c r="E142" s="140"/>
      <c r="F142" s="140"/>
    </row>
    <row r="143" spans="2:6" x14ac:dyDescent="0.3">
      <c r="B143" s="51"/>
      <c r="E143" s="140"/>
      <c r="F143" s="140"/>
    </row>
    <row r="144" spans="2:6" x14ac:dyDescent="0.3">
      <c r="B144" s="51"/>
      <c r="E144" s="140"/>
      <c r="F144" s="140"/>
    </row>
    <row r="145" spans="2:6" x14ac:dyDescent="0.3">
      <c r="B145" s="51"/>
      <c r="E145" s="140"/>
      <c r="F145" s="140"/>
    </row>
    <row r="146" spans="2:6" x14ac:dyDescent="0.3">
      <c r="B146" s="51"/>
      <c r="E146" s="140"/>
      <c r="F146" s="140"/>
    </row>
    <row r="147" spans="2:6" x14ac:dyDescent="0.3">
      <c r="B147" s="51"/>
      <c r="E147" s="140"/>
      <c r="F147" s="140"/>
    </row>
    <row r="148" spans="2:6" x14ac:dyDescent="0.3">
      <c r="B148" s="51"/>
      <c r="E148" s="140"/>
      <c r="F148" s="140"/>
    </row>
    <row r="149" spans="2:6" x14ac:dyDescent="0.3">
      <c r="B149" s="51"/>
      <c r="E149" s="140"/>
      <c r="F149" s="140"/>
    </row>
    <row r="150" spans="2:6" x14ac:dyDescent="0.3">
      <c r="B150" s="51"/>
      <c r="E150" s="140"/>
      <c r="F150" s="140"/>
    </row>
    <row r="151" spans="2:6" x14ac:dyDescent="0.3">
      <c r="B151" s="51"/>
      <c r="E151" s="140"/>
      <c r="F151" s="140"/>
    </row>
    <row r="152" spans="2:6" x14ac:dyDescent="0.3">
      <c r="B152" s="51"/>
      <c r="E152" s="140"/>
      <c r="F152" s="140"/>
    </row>
    <row r="153" spans="2:6" x14ac:dyDescent="0.3">
      <c r="B153" s="51"/>
      <c r="E153" s="140"/>
      <c r="F153" s="140"/>
    </row>
    <row r="154" spans="2:6" x14ac:dyDescent="0.3">
      <c r="B154" s="51"/>
      <c r="E154" s="140"/>
      <c r="F154" s="140"/>
    </row>
    <row r="155" spans="2:6" x14ac:dyDescent="0.3">
      <c r="B155" s="51"/>
      <c r="E155" s="140"/>
      <c r="F155" s="140"/>
    </row>
    <row r="156" spans="2:6" x14ac:dyDescent="0.3">
      <c r="B156" s="51"/>
      <c r="E156" s="140"/>
      <c r="F156" s="140"/>
    </row>
    <row r="157" spans="2:6" x14ac:dyDescent="0.3">
      <c r="B157" s="51"/>
      <c r="E157" s="140"/>
      <c r="F157" s="140"/>
    </row>
    <row r="158" spans="2:6" x14ac:dyDescent="0.3">
      <c r="B158" s="51"/>
      <c r="E158" s="140"/>
      <c r="F158" s="140"/>
    </row>
    <row r="159" spans="2:6" x14ac:dyDescent="0.3">
      <c r="B159" s="51"/>
      <c r="E159" s="140"/>
      <c r="F159" s="140"/>
    </row>
    <row r="160" spans="2:6" x14ac:dyDescent="0.3">
      <c r="B160" s="51"/>
      <c r="E160" s="140"/>
      <c r="F160" s="140"/>
    </row>
    <row r="161" spans="2:6" x14ac:dyDescent="0.3">
      <c r="B161" s="51"/>
      <c r="E161" s="140"/>
      <c r="F161" s="140"/>
    </row>
    <row r="162" spans="2:6" x14ac:dyDescent="0.3">
      <c r="B162" s="51"/>
      <c r="E162" s="140"/>
      <c r="F162" s="140"/>
    </row>
    <row r="163" spans="2:6" x14ac:dyDescent="0.3">
      <c r="B163" s="51"/>
      <c r="E163" s="140"/>
      <c r="F163" s="140"/>
    </row>
    <row r="164" spans="2:6" x14ac:dyDescent="0.3">
      <c r="B164" s="51"/>
      <c r="E164" s="140"/>
      <c r="F164" s="140"/>
    </row>
    <row r="165" spans="2:6" x14ac:dyDescent="0.3">
      <c r="B165" s="51"/>
      <c r="E165" s="140"/>
      <c r="F165" s="140"/>
    </row>
    <row r="166" spans="2:6" x14ac:dyDescent="0.3">
      <c r="B166" s="51"/>
      <c r="E166" s="140"/>
      <c r="F166" s="140"/>
    </row>
    <row r="167" spans="2:6" x14ac:dyDescent="0.3">
      <c r="B167" s="51"/>
      <c r="E167" s="140"/>
      <c r="F167" s="140"/>
    </row>
    <row r="168" spans="2:6" x14ac:dyDescent="0.3">
      <c r="B168" s="51"/>
      <c r="E168" s="140"/>
      <c r="F168" s="140"/>
    </row>
    <row r="169" spans="2:6" x14ac:dyDescent="0.3">
      <c r="B169" s="51"/>
      <c r="E169" s="140"/>
      <c r="F169" s="140"/>
    </row>
    <row r="170" spans="2:6" x14ac:dyDescent="0.3">
      <c r="B170" s="51"/>
      <c r="E170" s="140"/>
      <c r="F170" s="140"/>
    </row>
    <row r="171" spans="2:6" x14ac:dyDescent="0.3">
      <c r="B171" s="51"/>
      <c r="E171" s="140"/>
      <c r="F171" s="140"/>
    </row>
    <row r="172" spans="2:6" x14ac:dyDescent="0.3">
      <c r="B172" s="51"/>
      <c r="E172" s="140"/>
      <c r="F172" s="140"/>
    </row>
    <row r="173" spans="2:6" x14ac:dyDescent="0.3">
      <c r="B173" s="51"/>
      <c r="E173" s="140"/>
      <c r="F173" s="140"/>
    </row>
    <row r="174" spans="2:6" x14ac:dyDescent="0.3">
      <c r="B174" s="51"/>
      <c r="E174" s="140"/>
      <c r="F174" s="140"/>
    </row>
    <row r="175" spans="2:6" x14ac:dyDescent="0.3">
      <c r="B175" s="51"/>
      <c r="E175" s="140"/>
      <c r="F175" s="140"/>
    </row>
    <row r="176" spans="2:6" x14ac:dyDescent="0.3">
      <c r="B176" s="51"/>
      <c r="E176" s="140"/>
      <c r="F176" s="140"/>
    </row>
    <row r="177" spans="2:6" x14ac:dyDescent="0.3">
      <c r="B177" s="51"/>
      <c r="E177" s="140"/>
      <c r="F177" s="140"/>
    </row>
    <row r="178" spans="2:6" x14ac:dyDescent="0.3">
      <c r="B178" s="51"/>
      <c r="E178" s="140"/>
      <c r="F178" s="140"/>
    </row>
    <row r="179" spans="2:6" x14ac:dyDescent="0.3">
      <c r="B179" s="51"/>
      <c r="E179" s="140"/>
      <c r="F179" s="140"/>
    </row>
    <row r="180" spans="2:6" x14ac:dyDescent="0.3">
      <c r="B180" s="51"/>
      <c r="E180" s="140"/>
      <c r="F180" s="140"/>
    </row>
    <row r="181" spans="2:6" x14ac:dyDescent="0.3">
      <c r="B181" s="51"/>
      <c r="E181" s="140"/>
      <c r="F181" s="140"/>
    </row>
    <row r="182" spans="2:6" x14ac:dyDescent="0.3">
      <c r="B182" s="51"/>
      <c r="E182" s="140"/>
      <c r="F182" s="140"/>
    </row>
    <row r="183" spans="2:6" x14ac:dyDescent="0.3">
      <c r="B183" s="51"/>
      <c r="E183" s="140"/>
      <c r="F183" s="140"/>
    </row>
    <row r="184" spans="2:6" x14ac:dyDescent="0.3">
      <c r="B184" s="51"/>
      <c r="E184" s="140"/>
      <c r="F184" s="140"/>
    </row>
    <row r="185" spans="2:6" x14ac:dyDescent="0.3">
      <c r="B185" s="51"/>
      <c r="E185" s="140"/>
      <c r="F185" s="140"/>
    </row>
    <row r="186" spans="2:6" x14ac:dyDescent="0.3">
      <c r="B186" s="51"/>
      <c r="E186" s="140"/>
      <c r="F186" s="140"/>
    </row>
    <row r="187" spans="2:6" x14ac:dyDescent="0.3">
      <c r="B187" s="51"/>
      <c r="E187" s="140"/>
      <c r="F187" s="140"/>
    </row>
    <row r="188" spans="2:6" x14ac:dyDescent="0.3">
      <c r="B188" s="51"/>
      <c r="E188" s="140"/>
      <c r="F188" s="140"/>
    </row>
    <row r="189" spans="2:6" x14ac:dyDescent="0.3">
      <c r="B189" s="51"/>
      <c r="E189" s="140"/>
      <c r="F189" s="140"/>
    </row>
    <row r="190" spans="2:6" x14ac:dyDescent="0.3">
      <c r="B190" s="51"/>
      <c r="E190" s="140"/>
      <c r="F190" s="140"/>
    </row>
    <row r="191" spans="2:6" x14ac:dyDescent="0.3">
      <c r="B191" s="51"/>
      <c r="E191" s="140"/>
      <c r="F191" s="140"/>
    </row>
    <row r="192" spans="2:6" x14ac:dyDescent="0.3">
      <c r="B192" s="51"/>
      <c r="E192" s="140"/>
      <c r="F192" s="140"/>
    </row>
    <row r="193" spans="2:6" x14ac:dyDescent="0.3">
      <c r="B193" s="51"/>
      <c r="E193" s="140"/>
      <c r="F193" s="140"/>
    </row>
    <row r="194" spans="2:6" x14ac:dyDescent="0.3">
      <c r="B194" s="51"/>
      <c r="E194" s="140"/>
      <c r="F194" s="140"/>
    </row>
    <row r="195" spans="2:6" x14ac:dyDescent="0.3">
      <c r="B195" s="51"/>
      <c r="E195" s="140"/>
      <c r="F195" s="140"/>
    </row>
    <row r="196" spans="2:6" x14ac:dyDescent="0.3">
      <c r="B196" s="51"/>
      <c r="E196" s="140"/>
      <c r="F196" s="140"/>
    </row>
    <row r="197" spans="2:6" x14ac:dyDescent="0.3">
      <c r="B197" s="51"/>
      <c r="E197" s="140"/>
      <c r="F197" s="140"/>
    </row>
    <row r="198" spans="2:6" x14ac:dyDescent="0.3">
      <c r="B198" s="51"/>
      <c r="E198" s="140"/>
      <c r="F198" s="140"/>
    </row>
    <row r="199" spans="2:6" x14ac:dyDescent="0.3">
      <c r="B199" s="51"/>
      <c r="E199" s="140"/>
      <c r="F199" s="140"/>
    </row>
    <row r="200" spans="2:6" x14ac:dyDescent="0.3">
      <c r="B200" s="51"/>
      <c r="E200" s="140"/>
      <c r="F200" s="140"/>
    </row>
    <row r="201" spans="2:6" x14ac:dyDescent="0.3">
      <c r="B201" s="51"/>
      <c r="E201" s="140"/>
      <c r="F201" s="140"/>
    </row>
    <row r="202" spans="2:6" x14ac:dyDescent="0.3">
      <c r="B202" s="51"/>
      <c r="E202" s="140"/>
      <c r="F202" s="140"/>
    </row>
    <row r="203" spans="2:6" x14ac:dyDescent="0.3">
      <c r="B203" s="51"/>
      <c r="E203" s="140"/>
      <c r="F203" s="140"/>
    </row>
    <row r="204" spans="2:6" x14ac:dyDescent="0.3">
      <c r="B204" s="51"/>
      <c r="E204" s="140"/>
      <c r="F204" s="140"/>
    </row>
    <row r="205" spans="2:6" x14ac:dyDescent="0.3">
      <c r="B205" s="51"/>
      <c r="E205" s="140"/>
      <c r="F205" s="140"/>
    </row>
    <row r="206" spans="2:6" x14ac:dyDescent="0.3">
      <c r="B206" s="51"/>
      <c r="E206" s="140"/>
      <c r="F206" s="140"/>
    </row>
    <row r="207" spans="2:6" x14ac:dyDescent="0.3">
      <c r="B207" s="51"/>
      <c r="E207" s="140"/>
      <c r="F207" s="140"/>
    </row>
    <row r="208" spans="2:6" x14ac:dyDescent="0.3">
      <c r="B208" s="51"/>
      <c r="E208" s="140"/>
      <c r="F208" s="140"/>
    </row>
    <row r="209" spans="2:6" x14ac:dyDescent="0.3">
      <c r="B209" s="51"/>
      <c r="E209" s="140"/>
      <c r="F209" s="140"/>
    </row>
    <row r="210" spans="2:6" x14ac:dyDescent="0.3">
      <c r="B210" s="51"/>
      <c r="E210" s="140"/>
      <c r="F210" s="140"/>
    </row>
    <row r="211" spans="2:6" x14ac:dyDescent="0.3">
      <c r="B211" s="51"/>
      <c r="E211" s="140"/>
      <c r="F211" s="140"/>
    </row>
    <row r="212" spans="2:6" x14ac:dyDescent="0.3">
      <c r="B212" s="51"/>
      <c r="E212" s="140"/>
      <c r="F212" s="140"/>
    </row>
    <row r="213" spans="2:6" x14ac:dyDescent="0.3">
      <c r="B213" s="51"/>
      <c r="E213" s="140"/>
      <c r="F213" s="140"/>
    </row>
    <row r="214" spans="2:6" x14ac:dyDescent="0.3">
      <c r="B214" s="51"/>
      <c r="E214" s="140"/>
      <c r="F214" s="140"/>
    </row>
    <row r="215" spans="2:6" x14ac:dyDescent="0.3">
      <c r="B215" s="51"/>
      <c r="E215" s="140"/>
      <c r="F215" s="140"/>
    </row>
    <row r="216" spans="2:6" x14ac:dyDescent="0.3">
      <c r="B216" s="51"/>
      <c r="E216" s="140"/>
      <c r="F216" s="140"/>
    </row>
    <row r="217" spans="2:6" x14ac:dyDescent="0.3">
      <c r="B217" s="51"/>
      <c r="E217" s="140"/>
      <c r="F217" s="140"/>
    </row>
    <row r="218" spans="2:6" x14ac:dyDescent="0.3">
      <c r="B218" s="51"/>
      <c r="E218" s="140"/>
      <c r="F218" s="140"/>
    </row>
    <row r="219" spans="2:6" x14ac:dyDescent="0.3">
      <c r="B219" s="51"/>
      <c r="E219" s="140"/>
      <c r="F219" s="140"/>
    </row>
    <row r="220" spans="2:6" x14ac:dyDescent="0.3">
      <c r="B220" s="51"/>
      <c r="E220" s="140"/>
      <c r="F220" s="140"/>
    </row>
    <row r="221" spans="2:6" x14ac:dyDescent="0.3">
      <c r="B221" s="51"/>
      <c r="E221" s="140"/>
      <c r="F221" s="140"/>
    </row>
    <row r="222" spans="2:6" x14ac:dyDescent="0.3">
      <c r="B222" s="51"/>
      <c r="E222" s="140"/>
      <c r="F222" s="140"/>
    </row>
    <row r="223" spans="2:6" x14ac:dyDescent="0.3">
      <c r="B223" s="51"/>
      <c r="E223" s="140"/>
      <c r="F223" s="140"/>
    </row>
    <row r="224" spans="2:6" x14ac:dyDescent="0.3">
      <c r="B224" s="51"/>
      <c r="E224" s="140"/>
      <c r="F224" s="140"/>
    </row>
    <row r="225" spans="2:6" x14ac:dyDescent="0.3">
      <c r="B225" s="51"/>
      <c r="E225" s="140"/>
      <c r="F225" s="140"/>
    </row>
    <row r="226" spans="2:6" x14ac:dyDescent="0.3">
      <c r="B226" s="51"/>
      <c r="E226" s="140"/>
      <c r="F226" s="140"/>
    </row>
    <row r="227" spans="2:6" x14ac:dyDescent="0.3">
      <c r="B227" s="51"/>
      <c r="E227" s="140"/>
      <c r="F227" s="140"/>
    </row>
    <row r="228" spans="2:6" x14ac:dyDescent="0.3">
      <c r="B228" s="51"/>
      <c r="E228" s="140"/>
      <c r="F228" s="140"/>
    </row>
    <row r="229" spans="2:6" x14ac:dyDescent="0.3">
      <c r="B229" s="51"/>
      <c r="E229" s="140"/>
      <c r="F229" s="140"/>
    </row>
    <row r="230" spans="2:6" x14ac:dyDescent="0.3">
      <c r="B230" s="51"/>
      <c r="E230" s="140"/>
      <c r="F230" s="140"/>
    </row>
    <row r="231" spans="2:6" x14ac:dyDescent="0.3">
      <c r="B231" s="51"/>
      <c r="E231" s="140"/>
      <c r="F231" s="140"/>
    </row>
    <row r="232" spans="2:6" x14ac:dyDescent="0.3">
      <c r="B232" s="51"/>
      <c r="E232" s="140"/>
      <c r="F232" s="140"/>
    </row>
    <row r="233" spans="2:6" x14ac:dyDescent="0.3">
      <c r="B233" s="51"/>
      <c r="E233" s="140"/>
      <c r="F233" s="140"/>
    </row>
    <row r="234" spans="2:6" x14ac:dyDescent="0.3">
      <c r="B234" s="51"/>
      <c r="E234" s="140"/>
      <c r="F234" s="140"/>
    </row>
    <row r="235" spans="2:6" x14ac:dyDescent="0.3">
      <c r="B235" s="51"/>
      <c r="E235" s="140"/>
      <c r="F235" s="140"/>
    </row>
    <row r="236" spans="2:6" x14ac:dyDescent="0.3">
      <c r="B236" s="51"/>
      <c r="E236" s="140"/>
      <c r="F236" s="140"/>
    </row>
    <row r="237" spans="2:6" x14ac:dyDescent="0.3">
      <c r="B237" s="51"/>
      <c r="E237" s="140"/>
      <c r="F237" s="140"/>
    </row>
    <row r="238" spans="2:6" x14ac:dyDescent="0.3">
      <c r="B238" s="51"/>
      <c r="E238" s="140"/>
      <c r="F238" s="140"/>
    </row>
    <row r="239" spans="2:6" x14ac:dyDescent="0.3">
      <c r="B239" s="51"/>
      <c r="E239" s="140"/>
      <c r="F239" s="140"/>
    </row>
    <row r="240" spans="2:6" x14ac:dyDescent="0.3">
      <c r="B240" s="51"/>
      <c r="E240" s="140"/>
      <c r="F240" s="140"/>
    </row>
    <row r="241" spans="2:6" x14ac:dyDescent="0.3">
      <c r="B241" s="51"/>
      <c r="E241" s="140"/>
      <c r="F241" s="140"/>
    </row>
    <row r="242" spans="2:6" x14ac:dyDescent="0.3">
      <c r="B242" s="51"/>
      <c r="E242" s="140"/>
      <c r="F242" s="140"/>
    </row>
    <row r="243" spans="2:6" x14ac:dyDescent="0.3">
      <c r="B243" s="51"/>
      <c r="E243" s="140"/>
      <c r="F243" s="140"/>
    </row>
    <row r="244" spans="2:6" x14ac:dyDescent="0.3">
      <c r="B244" s="51"/>
      <c r="E244" s="140"/>
      <c r="F244" s="140"/>
    </row>
    <row r="245" spans="2:6" x14ac:dyDescent="0.3">
      <c r="B245" s="51"/>
      <c r="E245" s="140"/>
      <c r="F245" s="140"/>
    </row>
    <row r="246" spans="2:6" x14ac:dyDescent="0.3">
      <c r="B246" s="51"/>
      <c r="E246" s="140"/>
      <c r="F246" s="140"/>
    </row>
    <row r="247" spans="2:6" x14ac:dyDescent="0.3">
      <c r="B247" s="51"/>
      <c r="E247" s="140"/>
      <c r="F247" s="140"/>
    </row>
    <row r="248" spans="2:6" x14ac:dyDescent="0.3">
      <c r="B248" s="51"/>
      <c r="E248" s="140"/>
      <c r="F248" s="140"/>
    </row>
    <row r="249" spans="2:6" x14ac:dyDescent="0.3">
      <c r="B249" s="51"/>
      <c r="E249" s="140"/>
      <c r="F249" s="140"/>
    </row>
    <row r="250" spans="2:6" x14ac:dyDescent="0.3">
      <c r="B250" s="51"/>
      <c r="E250" s="140"/>
      <c r="F250" s="140"/>
    </row>
    <row r="251" spans="2:6" x14ac:dyDescent="0.3">
      <c r="B251" s="51"/>
      <c r="E251" s="140"/>
      <c r="F251" s="140"/>
    </row>
    <row r="252" spans="2:6" x14ac:dyDescent="0.3">
      <c r="B252" s="51"/>
      <c r="E252" s="140"/>
      <c r="F252" s="140"/>
    </row>
    <row r="253" spans="2:6" x14ac:dyDescent="0.3">
      <c r="B253" s="51"/>
      <c r="E253" s="140"/>
      <c r="F253" s="140"/>
    </row>
    <row r="254" spans="2:6" x14ac:dyDescent="0.3">
      <c r="B254" s="51"/>
      <c r="E254" s="140"/>
      <c r="F254" s="140"/>
    </row>
    <row r="255" spans="2:6" x14ac:dyDescent="0.3">
      <c r="B255" s="51"/>
      <c r="E255" s="140"/>
      <c r="F255" s="140"/>
    </row>
    <row r="256" spans="2:6" x14ac:dyDescent="0.3">
      <c r="B256" s="51"/>
      <c r="E256" s="140"/>
      <c r="F256" s="140"/>
    </row>
    <row r="257" spans="2:6" x14ac:dyDescent="0.3">
      <c r="B257" s="51"/>
      <c r="E257" s="140"/>
      <c r="F257" s="140"/>
    </row>
    <row r="258" spans="2:6" x14ac:dyDescent="0.3">
      <c r="B258" s="51"/>
      <c r="E258" s="140"/>
      <c r="F258" s="140"/>
    </row>
    <row r="259" spans="2:6" x14ac:dyDescent="0.3">
      <c r="B259" s="51"/>
      <c r="E259" s="140"/>
      <c r="F259" s="140"/>
    </row>
    <row r="260" spans="2:6" x14ac:dyDescent="0.3">
      <c r="B260" s="51"/>
      <c r="E260" s="140"/>
      <c r="F260" s="140"/>
    </row>
    <row r="261" spans="2:6" x14ac:dyDescent="0.3">
      <c r="B261" s="51"/>
      <c r="E261" s="140"/>
      <c r="F261" s="140"/>
    </row>
    <row r="262" spans="2:6" x14ac:dyDescent="0.3">
      <c r="B262" s="51"/>
      <c r="E262" s="140"/>
      <c r="F262" s="140"/>
    </row>
    <row r="263" spans="2:6" x14ac:dyDescent="0.3">
      <c r="B263" s="51"/>
      <c r="E263" s="140"/>
      <c r="F263" s="140"/>
    </row>
    <row r="264" spans="2:6" x14ac:dyDescent="0.3">
      <c r="B264" s="51"/>
      <c r="E264" s="140"/>
      <c r="F264" s="140"/>
    </row>
    <row r="265" spans="2:6" x14ac:dyDescent="0.3">
      <c r="B265" s="51"/>
      <c r="E265" s="140"/>
      <c r="F265" s="140"/>
    </row>
    <row r="266" spans="2:6" x14ac:dyDescent="0.3">
      <c r="B266" s="51"/>
      <c r="E266" s="140"/>
      <c r="F266" s="140"/>
    </row>
    <row r="267" spans="2:6" x14ac:dyDescent="0.3">
      <c r="B267" s="51"/>
      <c r="E267" s="140"/>
      <c r="F267" s="140"/>
    </row>
    <row r="268" spans="2:6" x14ac:dyDescent="0.3">
      <c r="B268" s="51"/>
      <c r="E268" s="140"/>
      <c r="F268" s="140"/>
    </row>
    <row r="269" spans="2:6" x14ac:dyDescent="0.3">
      <c r="B269" s="51"/>
      <c r="E269" s="140"/>
      <c r="F269" s="140"/>
    </row>
    <row r="270" spans="2:6" x14ac:dyDescent="0.3">
      <c r="B270" s="51"/>
      <c r="E270" s="140"/>
      <c r="F270" s="140"/>
    </row>
    <row r="271" spans="2:6" x14ac:dyDescent="0.3">
      <c r="B271" s="51"/>
      <c r="E271" s="140"/>
      <c r="F271" s="140"/>
    </row>
    <row r="272" spans="2:6" x14ac:dyDescent="0.3">
      <c r="B272" s="51"/>
      <c r="E272" s="140"/>
      <c r="F272" s="140"/>
    </row>
    <row r="273" spans="2:6" x14ac:dyDescent="0.3">
      <c r="B273" s="51"/>
      <c r="E273" s="140"/>
      <c r="F273" s="140"/>
    </row>
    <row r="274" spans="2:6" x14ac:dyDescent="0.3">
      <c r="B274" s="51"/>
      <c r="E274" s="140"/>
      <c r="F274" s="140"/>
    </row>
    <row r="275" spans="2:6" x14ac:dyDescent="0.3">
      <c r="B275" s="51"/>
      <c r="E275" s="140"/>
      <c r="F275" s="140"/>
    </row>
    <row r="276" spans="2:6" x14ac:dyDescent="0.3">
      <c r="B276" s="51"/>
      <c r="E276" s="140"/>
      <c r="F276" s="140"/>
    </row>
    <row r="277" spans="2:6" x14ac:dyDescent="0.3">
      <c r="B277" s="51"/>
      <c r="E277" s="140"/>
      <c r="F277" s="140"/>
    </row>
    <row r="278" spans="2:6" x14ac:dyDescent="0.3">
      <c r="B278" s="51"/>
      <c r="E278" s="140"/>
      <c r="F278" s="140"/>
    </row>
    <row r="279" spans="2:6" x14ac:dyDescent="0.3">
      <c r="B279" s="51"/>
      <c r="E279" s="140"/>
      <c r="F279" s="140"/>
    </row>
    <row r="280" spans="2:6" x14ac:dyDescent="0.3">
      <c r="B280" s="51"/>
      <c r="E280" s="140"/>
      <c r="F280" s="140"/>
    </row>
    <row r="281" spans="2:6" x14ac:dyDescent="0.3">
      <c r="B281" s="51"/>
      <c r="E281" s="140"/>
      <c r="F281" s="140"/>
    </row>
    <row r="282" spans="2:6" x14ac:dyDescent="0.3">
      <c r="B282" s="51"/>
      <c r="E282" s="140"/>
      <c r="F282" s="140"/>
    </row>
    <row r="283" spans="2:6" x14ac:dyDescent="0.3">
      <c r="B283" s="51"/>
      <c r="E283" s="140"/>
      <c r="F283" s="140"/>
    </row>
    <row r="284" spans="2:6" x14ac:dyDescent="0.3">
      <c r="B284" s="51"/>
      <c r="E284" s="140"/>
      <c r="F284" s="140"/>
    </row>
    <row r="285" spans="2:6" x14ac:dyDescent="0.3">
      <c r="B285" s="51"/>
      <c r="E285" s="140"/>
      <c r="F285" s="140"/>
    </row>
    <row r="286" spans="2:6" x14ac:dyDescent="0.3">
      <c r="B286" s="51"/>
      <c r="E286" s="140"/>
      <c r="F286" s="140"/>
    </row>
    <row r="287" spans="2:6" x14ac:dyDescent="0.3">
      <c r="B287" s="51"/>
      <c r="E287" s="140"/>
      <c r="F287" s="140"/>
    </row>
    <row r="288" spans="2:6" x14ac:dyDescent="0.3">
      <c r="B288" s="51"/>
      <c r="E288" s="140"/>
      <c r="F288" s="140"/>
    </row>
    <row r="289" spans="2:6" x14ac:dyDescent="0.3">
      <c r="B289" s="51"/>
      <c r="E289" s="140"/>
      <c r="F289" s="140"/>
    </row>
    <row r="290" spans="2:6" x14ac:dyDescent="0.3">
      <c r="B290" s="51"/>
      <c r="E290" s="140"/>
      <c r="F290" s="140"/>
    </row>
    <row r="291" spans="2:6" x14ac:dyDescent="0.3">
      <c r="B291" s="51"/>
      <c r="E291" s="140"/>
      <c r="F291" s="140"/>
    </row>
    <row r="292" spans="2:6" x14ac:dyDescent="0.3">
      <c r="B292" s="51"/>
      <c r="E292" s="140"/>
      <c r="F292" s="140"/>
    </row>
    <row r="293" spans="2:6" x14ac:dyDescent="0.3">
      <c r="B293" s="51"/>
      <c r="E293" s="140"/>
      <c r="F293" s="140"/>
    </row>
    <row r="294" spans="2:6" x14ac:dyDescent="0.3">
      <c r="B294" s="51"/>
      <c r="E294" s="140"/>
      <c r="F294" s="140"/>
    </row>
    <row r="295" spans="2:6" x14ac:dyDescent="0.3">
      <c r="B295" s="51"/>
      <c r="E295" s="140"/>
      <c r="F295" s="140"/>
    </row>
    <row r="296" spans="2:6" x14ac:dyDescent="0.3">
      <c r="B296" s="51"/>
      <c r="E296" s="140"/>
      <c r="F296" s="140"/>
    </row>
    <row r="297" spans="2:6" x14ac:dyDescent="0.3">
      <c r="B297" s="51"/>
      <c r="E297" s="140"/>
      <c r="F297" s="140"/>
    </row>
    <row r="298" spans="2:6" x14ac:dyDescent="0.3">
      <c r="B298" s="51"/>
      <c r="E298" s="140"/>
      <c r="F298" s="140"/>
    </row>
    <row r="299" spans="2:6" x14ac:dyDescent="0.3">
      <c r="B299" s="51"/>
      <c r="E299" s="140"/>
      <c r="F299" s="140"/>
    </row>
    <row r="300" spans="2:6" x14ac:dyDescent="0.3">
      <c r="B300" s="51"/>
      <c r="E300" s="140"/>
      <c r="F300" s="140"/>
    </row>
    <row r="301" spans="2:6" x14ac:dyDescent="0.3">
      <c r="B301" s="51"/>
      <c r="E301" s="140"/>
      <c r="F301" s="140"/>
    </row>
    <row r="302" spans="2:6" x14ac:dyDescent="0.3">
      <c r="B302" s="51"/>
      <c r="E302" s="140"/>
      <c r="F302" s="140"/>
    </row>
    <row r="303" spans="2:6" x14ac:dyDescent="0.3">
      <c r="B303" s="51"/>
      <c r="E303" s="140"/>
      <c r="F303" s="140"/>
    </row>
    <row r="304" spans="2:6" x14ac:dyDescent="0.3">
      <c r="B304" s="51"/>
      <c r="E304" s="140"/>
      <c r="F304" s="140"/>
    </row>
    <row r="305" spans="2:6" x14ac:dyDescent="0.3">
      <c r="B305" s="51"/>
      <c r="E305" s="140"/>
      <c r="F305" s="140"/>
    </row>
    <row r="306" spans="2:6" x14ac:dyDescent="0.3">
      <c r="B306" s="51"/>
      <c r="E306" s="140"/>
      <c r="F306" s="140"/>
    </row>
    <row r="307" spans="2:6" x14ac:dyDescent="0.3">
      <c r="B307" s="51"/>
      <c r="E307" s="140"/>
      <c r="F307" s="140"/>
    </row>
    <row r="308" spans="2:6" x14ac:dyDescent="0.3">
      <c r="B308" s="51"/>
      <c r="E308" s="140"/>
      <c r="F308" s="140"/>
    </row>
    <row r="309" spans="2:6" x14ac:dyDescent="0.3">
      <c r="B309" s="51"/>
      <c r="E309" s="140"/>
      <c r="F309" s="140"/>
    </row>
    <row r="310" spans="2:6" x14ac:dyDescent="0.3">
      <c r="B310" s="51"/>
      <c r="E310" s="140"/>
      <c r="F310" s="140"/>
    </row>
    <row r="311" spans="2:6" x14ac:dyDescent="0.3">
      <c r="B311" s="51"/>
      <c r="E311" s="140"/>
      <c r="F311" s="140"/>
    </row>
    <row r="312" spans="2:6" x14ac:dyDescent="0.3">
      <c r="B312" s="51"/>
      <c r="E312" s="140"/>
      <c r="F312" s="140"/>
    </row>
    <row r="313" spans="2:6" x14ac:dyDescent="0.3">
      <c r="B313" s="51"/>
      <c r="E313" s="140"/>
      <c r="F313" s="140"/>
    </row>
    <row r="314" spans="2:6" x14ac:dyDescent="0.3">
      <c r="B314" s="51"/>
      <c r="E314" s="140"/>
      <c r="F314" s="140"/>
    </row>
    <row r="315" spans="2:6" x14ac:dyDescent="0.3">
      <c r="B315" s="51"/>
      <c r="E315" s="140"/>
      <c r="F315" s="140"/>
    </row>
    <row r="316" spans="2:6" x14ac:dyDescent="0.3">
      <c r="B316" s="51"/>
      <c r="E316" s="140"/>
      <c r="F316" s="140"/>
    </row>
    <row r="317" spans="2:6" x14ac:dyDescent="0.3">
      <c r="B317" s="51"/>
      <c r="E317" s="140"/>
      <c r="F317" s="140"/>
    </row>
    <row r="318" spans="2:6" x14ac:dyDescent="0.3">
      <c r="B318" s="51"/>
      <c r="E318" s="140"/>
      <c r="F318" s="140"/>
    </row>
    <row r="319" spans="2:6" x14ac:dyDescent="0.3">
      <c r="B319" s="51"/>
      <c r="E319" s="140"/>
      <c r="F319" s="140"/>
    </row>
    <row r="320" spans="2:6" x14ac:dyDescent="0.3">
      <c r="B320" s="51"/>
      <c r="E320" s="140"/>
      <c r="F320" s="140"/>
    </row>
    <row r="321" spans="2:6" x14ac:dyDescent="0.3">
      <c r="B321" s="51"/>
      <c r="E321" s="140"/>
      <c r="F321" s="140"/>
    </row>
    <row r="322" spans="2:6" x14ac:dyDescent="0.3">
      <c r="B322" s="51"/>
      <c r="E322" s="140"/>
      <c r="F322" s="140"/>
    </row>
    <row r="323" spans="2:6" x14ac:dyDescent="0.3">
      <c r="B323" s="51"/>
      <c r="E323" s="140"/>
      <c r="F323" s="140"/>
    </row>
    <row r="324" spans="2:6" x14ac:dyDescent="0.3">
      <c r="B324" s="51"/>
      <c r="E324" s="140"/>
      <c r="F324" s="140"/>
    </row>
    <row r="325" spans="2:6" x14ac:dyDescent="0.3">
      <c r="B325" s="51"/>
      <c r="E325" s="140"/>
      <c r="F325" s="140"/>
    </row>
    <row r="326" spans="2:6" x14ac:dyDescent="0.3">
      <c r="B326" s="51"/>
      <c r="E326" s="140"/>
      <c r="F326" s="140"/>
    </row>
    <row r="327" spans="2:6" x14ac:dyDescent="0.3">
      <c r="B327" s="51"/>
      <c r="E327" s="140"/>
      <c r="F327" s="140"/>
    </row>
    <row r="328" spans="2:6" x14ac:dyDescent="0.3">
      <c r="B328" s="51"/>
      <c r="E328" s="140"/>
      <c r="F328" s="140"/>
    </row>
    <row r="329" spans="2:6" x14ac:dyDescent="0.3">
      <c r="B329" s="51"/>
      <c r="E329" s="140"/>
      <c r="F329" s="140"/>
    </row>
    <row r="330" spans="2:6" x14ac:dyDescent="0.3">
      <c r="B330" s="51"/>
      <c r="E330" s="140"/>
      <c r="F330" s="140"/>
    </row>
    <row r="331" spans="2:6" x14ac:dyDescent="0.3">
      <c r="B331" s="51"/>
      <c r="E331" s="140"/>
      <c r="F331" s="140"/>
    </row>
    <row r="332" spans="2:6" x14ac:dyDescent="0.3">
      <c r="B332" s="51"/>
      <c r="E332" s="140"/>
      <c r="F332" s="140"/>
    </row>
    <row r="333" spans="2:6" x14ac:dyDescent="0.3">
      <c r="B333" s="51"/>
      <c r="E333" s="140"/>
      <c r="F333" s="140"/>
    </row>
    <row r="334" spans="2:6" x14ac:dyDescent="0.3">
      <c r="B334" s="51"/>
      <c r="E334" s="140"/>
      <c r="F334" s="140"/>
    </row>
    <row r="335" spans="2:6" x14ac:dyDescent="0.3">
      <c r="B335" s="51"/>
      <c r="E335" s="140"/>
      <c r="F335" s="140"/>
    </row>
    <row r="336" spans="2:6" x14ac:dyDescent="0.3">
      <c r="B336" s="51"/>
      <c r="E336" s="140"/>
      <c r="F336" s="140"/>
    </row>
    <row r="337" spans="2:6" x14ac:dyDescent="0.3">
      <c r="B337" s="51"/>
      <c r="E337" s="140"/>
      <c r="F337" s="140"/>
    </row>
    <row r="338" spans="2:6" x14ac:dyDescent="0.3">
      <c r="B338" s="51"/>
      <c r="E338" s="140"/>
      <c r="F338" s="140"/>
    </row>
    <row r="339" spans="2:6" x14ac:dyDescent="0.3">
      <c r="B339" s="51"/>
      <c r="E339" s="140"/>
      <c r="F339" s="140"/>
    </row>
    <row r="340" spans="2:6" x14ac:dyDescent="0.3">
      <c r="B340" s="51"/>
      <c r="E340" s="140"/>
      <c r="F340" s="140"/>
    </row>
    <row r="341" spans="2:6" x14ac:dyDescent="0.3">
      <c r="B341" s="51"/>
      <c r="E341" s="140"/>
      <c r="F341" s="140"/>
    </row>
    <row r="342" spans="2:6" x14ac:dyDescent="0.3">
      <c r="B342" s="51"/>
      <c r="E342" s="140"/>
      <c r="F342" s="140"/>
    </row>
    <row r="343" spans="2:6" x14ac:dyDescent="0.3">
      <c r="B343" s="51"/>
      <c r="E343" s="140"/>
      <c r="F343" s="140"/>
    </row>
    <row r="344" spans="2:6" x14ac:dyDescent="0.3">
      <c r="B344" s="51"/>
      <c r="E344" s="140"/>
      <c r="F344" s="140"/>
    </row>
    <row r="345" spans="2:6" x14ac:dyDescent="0.3">
      <c r="B345" s="51"/>
      <c r="E345" s="140"/>
      <c r="F345" s="140"/>
    </row>
    <row r="346" spans="2:6" x14ac:dyDescent="0.3">
      <c r="B346" s="51"/>
      <c r="E346" s="140"/>
      <c r="F346" s="140"/>
    </row>
    <row r="347" spans="2:6" x14ac:dyDescent="0.3">
      <c r="B347" s="51"/>
      <c r="E347" s="140"/>
      <c r="F347" s="140"/>
    </row>
    <row r="348" spans="2:6" x14ac:dyDescent="0.3">
      <c r="B348" s="51"/>
      <c r="E348" s="140"/>
      <c r="F348" s="140"/>
    </row>
    <row r="349" spans="2:6" x14ac:dyDescent="0.3">
      <c r="B349" s="51"/>
      <c r="E349" s="140"/>
      <c r="F349" s="140"/>
    </row>
    <row r="350" spans="2:6" x14ac:dyDescent="0.3">
      <c r="B350" s="51"/>
      <c r="E350" s="140"/>
      <c r="F350" s="140"/>
    </row>
    <row r="351" spans="2:6" x14ac:dyDescent="0.3">
      <c r="B351" s="51"/>
      <c r="E351" s="140"/>
      <c r="F351" s="140"/>
    </row>
    <row r="352" spans="2:6" x14ac:dyDescent="0.3">
      <c r="B352" s="51"/>
      <c r="E352" s="140"/>
      <c r="F352" s="140"/>
    </row>
    <row r="353" spans="2:6" x14ac:dyDescent="0.3">
      <c r="B353" s="51"/>
      <c r="E353" s="140"/>
      <c r="F353" s="140"/>
    </row>
    <row r="354" spans="2:6" x14ac:dyDescent="0.3">
      <c r="B354" s="51"/>
      <c r="E354" s="140"/>
      <c r="F354" s="140"/>
    </row>
    <row r="355" spans="2:6" x14ac:dyDescent="0.3">
      <c r="B355" s="51"/>
      <c r="E355" s="140"/>
      <c r="F355" s="140"/>
    </row>
    <row r="356" spans="2:6" x14ac:dyDescent="0.3">
      <c r="B356" s="51"/>
      <c r="E356" s="140"/>
      <c r="F356" s="140"/>
    </row>
    <row r="357" spans="2:6" x14ac:dyDescent="0.3">
      <c r="B357" s="51"/>
      <c r="E357" s="140"/>
      <c r="F357" s="140"/>
    </row>
    <row r="358" spans="2:6" x14ac:dyDescent="0.3">
      <c r="B358" s="51"/>
      <c r="E358" s="140"/>
      <c r="F358" s="140"/>
    </row>
    <row r="359" spans="2:6" x14ac:dyDescent="0.3">
      <c r="B359" s="51"/>
      <c r="E359" s="140"/>
      <c r="F359" s="140"/>
    </row>
    <row r="360" spans="2:6" x14ac:dyDescent="0.3">
      <c r="B360" s="51"/>
      <c r="E360" s="140"/>
      <c r="F360" s="140"/>
    </row>
    <row r="361" spans="2:6" x14ac:dyDescent="0.3">
      <c r="B361" s="51"/>
      <c r="E361" s="140"/>
      <c r="F361" s="140"/>
    </row>
    <row r="362" spans="2:6" x14ac:dyDescent="0.3">
      <c r="B362" s="51"/>
      <c r="E362" s="140"/>
      <c r="F362" s="140"/>
    </row>
    <row r="363" spans="2:6" x14ac:dyDescent="0.3">
      <c r="B363" s="51"/>
      <c r="E363" s="140"/>
      <c r="F363" s="140"/>
    </row>
    <row r="364" spans="2:6" x14ac:dyDescent="0.3">
      <c r="B364" s="51"/>
      <c r="E364" s="140"/>
      <c r="F364" s="140"/>
    </row>
    <row r="365" spans="2:6" x14ac:dyDescent="0.3">
      <c r="B365" s="51"/>
      <c r="E365" s="140"/>
      <c r="F365" s="140"/>
    </row>
    <row r="366" spans="2:6" x14ac:dyDescent="0.3">
      <c r="B366" s="51"/>
      <c r="E366" s="140"/>
      <c r="F366" s="140"/>
    </row>
    <row r="367" spans="2:6" x14ac:dyDescent="0.3">
      <c r="B367" s="51"/>
      <c r="E367" s="140"/>
      <c r="F367" s="140"/>
    </row>
    <row r="368" spans="2:6" x14ac:dyDescent="0.3">
      <c r="B368" s="51"/>
      <c r="E368" s="140"/>
      <c r="F368" s="140"/>
    </row>
    <row r="369" spans="2:6" x14ac:dyDescent="0.3">
      <c r="B369" s="51"/>
      <c r="E369" s="140"/>
      <c r="F369" s="140"/>
    </row>
    <row r="370" spans="2:6" x14ac:dyDescent="0.3">
      <c r="B370" s="51"/>
      <c r="E370" s="140"/>
      <c r="F370" s="140"/>
    </row>
    <row r="371" spans="2:6" x14ac:dyDescent="0.3">
      <c r="B371" s="51"/>
      <c r="E371" s="140"/>
      <c r="F371" s="140"/>
    </row>
    <row r="372" spans="2:6" x14ac:dyDescent="0.3">
      <c r="B372" s="51"/>
      <c r="E372" s="140"/>
      <c r="F372" s="140"/>
    </row>
    <row r="373" spans="2:6" x14ac:dyDescent="0.3">
      <c r="B373" s="51"/>
      <c r="E373" s="140"/>
      <c r="F373" s="140"/>
    </row>
    <row r="374" spans="2:6" x14ac:dyDescent="0.3">
      <c r="B374" s="51"/>
      <c r="E374" s="140"/>
      <c r="F374" s="140"/>
    </row>
    <row r="375" spans="2:6" x14ac:dyDescent="0.3">
      <c r="B375" s="51"/>
      <c r="E375" s="140"/>
      <c r="F375" s="140"/>
    </row>
    <row r="376" spans="2:6" x14ac:dyDescent="0.3">
      <c r="B376" s="51"/>
      <c r="E376" s="140"/>
      <c r="F376" s="140"/>
    </row>
    <row r="377" spans="2:6" x14ac:dyDescent="0.3">
      <c r="B377" s="51"/>
      <c r="E377" s="140"/>
      <c r="F377" s="140"/>
    </row>
    <row r="378" spans="2:6" x14ac:dyDescent="0.3">
      <c r="B378" s="51"/>
      <c r="E378" s="140"/>
      <c r="F378" s="140"/>
    </row>
    <row r="379" spans="2:6" x14ac:dyDescent="0.3">
      <c r="B379" s="51"/>
      <c r="E379" s="140"/>
      <c r="F379" s="140"/>
    </row>
    <row r="380" spans="2:6" x14ac:dyDescent="0.3">
      <c r="B380" s="51"/>
      <c r="E380" s="140"/>
      <c r="F380" s="140"/>
    </row>
    <row r="381" spans="2:6" x14ac:dyDescent="0.3">
      <c r="B381" s="51"/>
      <c r="E381" s="140"/>
      <c r="F381" s="140"/>
    </row>
    <row r="382" spans="2:6" x14ac:dyDescent="0.3">
      <c r="B382" s="51"/>
      <c r="E382" s="140"/>
      <c r="F382" s="140"/>
    </row>
    <row r="383" spans="2:6" x14ac:dyDescent="0.3">
      <c r="B383" s="51"/>
      <c r="E383" s="140"/>
      <c r="F383" s="140"/>
    </row>
    <row r="384" spans="2:6" x14ac:dyDescent="0.3">
      <c r="B384" s="51"/>
      <c r="E384" s="140"/>
      <c r="F384" s="140"/>
    </row>
    <row r="385" spans="2:6" x14ac:dyDescent="0.3">
      <c r="B385" s="51"/>
      <c r="E385" s="140"/>
      <c r="F385" s="140"/>
    </row>
    <row r="386" spans="2:6" x14ac:dyDescent="0.3">
      <c r="B386" s="51"/>
      <c r="E386" s="140"/>
      <c r="F386" s="140"/>
    </row>
    <row r="387" spans="2:6" x14ac:dyDescent="0.3">
      <c r="B387" s="51"/>
      <c r="E387" s="140"/>
      <c r="F387" s="140"/>
    </row>
    <row r="388" spans="2:6" x14ac:dyDescent="0.3">
      <c r="B388" s="51"/>
      <c r="E388" s="140"/>
      <c r="F388" s="140"/>
    </row>
    <row r="389" spans="2:6" x14ac:dyDescent="0.3">
      <c r="B389" s="51"/>
      <c r="E389" s="140"/>
      <c r="F389" s="140"/>
    </row>
    <row r="390" spans="2:6" x14ac:dyDescent="0.3">
      <c r="B390" s="51"/>
      <c r="E390" s="140"/>
      <c r="F390" s="140"/>
    </row>
    <row r="391" spans="2:6" x14ac:dyDescent="0.3">
      <c r="B391" s="51"/>
      <c r="E391" s="140"/>
      <c r="F391" s="140"/>
    </row>
    <row r="392" spans="2:6" x14ac:dyDescent="0.3">
      <c r="B392" s="51"/>
      <c r="E392" s="140"/>
      <c r="F392" s="140"/>
    </row>
    <row r="393" spans="2:6" x14ac:dyDescent="0.3">
      <c r="B393" s="51"/>
      <c r="E393" s="140"/>
      <c r="F393" s="140"/>
    </row>
    <row r="394" spans="2:6" x14ac:dyDescent="0.3">
      <c r="B394" s="51"/>
      <c r="E394" s="140"/>
      <c r="F394" s="140"/>
    </row>
    <row r="395" spans="2:6" x14ac:dyDescent="0.3">
      <c r="B395" s="51"/>
      <c r="E395" s="140"/>
      <c r="F395" s="140"/>
    </row>
    <row r="396" spans="2:6" x14ac:dyDescent="0.3">
      <c r="B396" s="51"/>
      <c r="E396" s="140"/>
      <c r="F396" s="140"/>
    </row>
    <row r="397" spans="2:6" x14ac:dyDescent="0.3">
      <c r="B397" s="51"/>
      <c r="E397" s="140"/>
      <c r="F397" s="140"/>
    </row>
    <row r="398" spans="2:6" x14ac:dyDescent="0.3">
      <c r="B398" s="51"/>
      <c r="E398" s="140"/>
      <c r="F398" s="140"/>
    </row>
    <row r="399" spans="2:6" x14ac:dyDescent="0.3">
      <c r="B399" s="51"/>
      <c r="E399" s="140"/>
      <c r="F399" s="140"/>
    </row>
    <row r="400" spans="2:6" x14ac:dyDescent="0.3">
      <c r="B400" s="51"/>
      <c r="E400" s="140"/>
      <c r="F400" s="140"/>
    </row>
    <row r="401" spans="2:6" x14ac:dyDescent="0.3">
      <c r="B401" s="51"/>
      <c r="E401" s="140"/>
      <c r="F401" s="140"/>
    </row>
    <row r="402" spans="2:6" x14ac:dyDescent="0.3">
      <c r="B402" s="51"/>
      <c r="E402" s="140"/>
      <c r="F402" s="140"/>
    </row>
    <row r="403" spans="2:6" x14ac:dyDescent="0.3">
      <c r="B403" s="51"/>
      <c r="E403" s="140"/>
      <c r="F403" s="140"/>
    </row>
    <row r="404" spans="2:6" x14ac:dyDescent="0.3">
      <c r="B404" s="51"/>
      <c r="E404" s="140"/>
      <c r="F404" s="140"/>
    </row>
    <row r="405" spans="2:6" x14ac:dyDescent="0.3">
      <c r="B405" s="51"/>
      <c r="E405" s="140"/>
      <c r="F405" s="140"/>
    </row>
    <row r="406" spans="2:6" x14ac:dyDescent="0.3">
      <c r="B406" s="51"/>
      <c r="E406" s="140"/>
      <c r="F406" s="140"/>
    </row>
    <row r="407" spans="2:6" x14ac:dyDescent="0.3">
      <c r="B407" s="51"/>
      <c r="E407" s="140"/>
      <c r="F407" s="140"/>
    </row>
    <row r="408" spans="2:6" x14ac:dyDescent="0.3">
      <c r="B408" s="51"/>
      <c r="E408" s="140"/>
      <c r="F408" s="140"/>
    </row>
    <row r="409" spans="2:6" x14ac:dyDescent="0.3">
      <c r="B409" s="51"/>
      <c r="E409" s="140"/>
      <c r="F409" s="140"/>
    </row>
    <row r="410" spans="2:6" x14ac:dyDescent="0.3">
      <c r="B410" s="51"/>
      <c r="E410" s="140"/>
      <c r="F410" s="140"/>
    </row>
    <row r="411" spans="2:6" x14ac:dyDescent="0.3">
      <c r="B411" s="51"/>
      <c r="E411" s="140"/>
      <c r="F411" s="140"/>
    </row>
    <row r="412" spans="2:6" x14ac:dyDescent="0.3">
      <c r="B412" s="51"/>
      <c r="E412" s="140"/>
      <c r="F412" s="140"/>
    </row>
    <row r="413" spans="2:6" x14ac:dyDescent="0.3">
      <c r="B413" s="51"/>
      <c r="E413" s="140"/>
      <c r="F413" s="140"/>
    </row>
    <row r="414" spans="2:6" x14ac:dyDescent="0.3">
      <c r="B414" s="51"/>
      <c r="E414" s="140"/>
      <c r="F414" s="140"/>
    </row>
    <row r="415" spans="2:6" x14ac:dyDescent="0.3">
      <c r="B415" s="51"/>
      <c r="E415" s="140"/>
      <c r="F415" s="140"/>
    </row>
    <row r="416" spans="2:6" x14ac:dyDescent="0.3">
      <c r="B416" s="51"/>
      <c r="E416" s="140"/>
      <c r="F416" s="140"/>
    </row>
    <row r="417" spans="2:6" x14ac:dyDescent="0.3">
      <c r="B417" s="51"/>
      <c r="E417" s="140"/>
      <c r="F417" s="140"/>
    </row>
    <row r="418" spans="2:6" x14ac:dyDescent="0.3">
      <c r="B418" s="51"/>
      <c r="E418" s="140"/>
      <c r="F418" s="140"/>
    </row>
    <row r="419" spans="2:6" x14ac:dyDescent="0.3">
      <c r="B419" s="51"/>
      <c r="E419" s="140"/>
      <c r="F419" s="140"/>
    </row>
    <row r="420" spans="2:6" x14ac:dyDescent="0.3">
      <c r="B420" s="51"/>
      <c r="E420" s="140"/>
      <c r="F420" s="140"/>
    </row>
    <row r="421" spans="2:6" x14ac:dyDescent="0.3">
      <c r="B421" s="51"/>
      <c r="E421" s="140"/>
      <c r="F421" s="140"/>
    </row>
    <row r="422" spans="2:6" x14ac:dyDescent="0.3">
      <c r="B422" s="51"/>
      <c r="E422" s="140"/>
      <c r="F422" s="140"/>
    </row>
    <row r="423" spans="2:6" x14ac:dyDescent="0.3">
      <c r="B423" s="51"/>
      <c r="E423" s="140"/>
      <c r="F423" s="140"/>
    </row>
    <row r="424" spans="2:6" x14ac:dyDescent="0.3">
      <c r="B424" s="51"/>
      <c r="E424" s="140"/>
      <c r="F424" s="140"/>
    </row>
    <row r="425" spans="2:6" x14ac:dyDescent="0.3">
      <c r="B425" s="51"/>
      <c r="E425" s="140"/>
      <c r="F425" s="140"/>
    </row>
    <row r="426" spans="2:6" x14ac:dyDescent="0.3">
      <c r="B426" s="51"/>
      <c r="E426" s="140"/>
      <c r="F426" s="140"/>
    </row>
    <row r="427" spans="2:6" x14ac:dyDescent="0.3">
      <c r="B427" s="51"/>
      <c r="E427" s="140"/>
      <c r="F427" s="140"/>
    </row>
    <row r="428" spans="2:6" x14ac:dyDescent="0.3">
      <c r="B428" s="51"/>
      <c r="E428" s="140"/>
      <c r="F428" s="140"/>
    </row>
    <row r="429" spans="2:6" x14ac:dyDescent="0.3">
      <c r="B429" s="51"/>
      <c r="E429" s="140"/>
      <c r="F429" s="140"/>
    </row>
    <row r="430" spans="2:6" x14ac:dyDescent="0.3">
      <c r="B430" s="51"/>
      <c r="E430" s="140"/>
      <c r="F430" s="140"/>
    </row>
    <row r="431" spans="2:6" x14ac:dyDescent="0.3">
      <c r="B431" s="51"/>
      <c r="E431" s="140"/>
      <c r="F431" s="140"/>
    </row>
    <row r="432" spans="2:6" x14ac:dyDescent="0.3">
      <c r="B432" s="51"/>
      <c r="E432" s="140"/>
      <c r="F432" s="140"/>
    </row>
    <row r="433" spans="2:6" x14ac:dyDescent="0.3">
      <c r="B433" s="51"/>
      <c r="E433" s="140"/>
      <c r="F433" s="140"/>
    </row>
    <row r="434" spans="2:6" x14ac:dyDescent="0.3">
      <c r="B434" s="51"/>
      <c r="E434" s="140"/>
      <c r="F434" s="140"/>
    </row>
    <row r="435" spans="2:6" x14ac:dyDescent="0.3">
      <c r="B435" s="51"/>
      <c r="E435" s="140"/>
      <c r="F435" s="140"/>
    </row>
    <row r="436" spans="2:6" x14ac:dyDescent="0.3">
      <c r="B436" s="51"/>
      <c r="E436" s="140"/>
      <c r="F436" s="140"/>
    </row>
    <row r="437" spans="2:6" x14ac:dyDescent="0.3">
      <c r="B437" s="51"/>
      <c r="E437" s="140"/>
      <c r="F437" s="140"/>
    </row>
    <row r="438" spans="2:6" x14ac:dyDescent="0.3">
      <c r="B438" s="51"/>
      <c r="E438" s="140"/>
      <c r="F438" s="140"/>
    </row>
    <row r="439" spans="2:6" x14ac:dyDescent="0.3">
      <c r="B439" s="51"/>
      <c r="E439" s="140"/>
      <c r="F439" s="140"/>
    </row>
    <row r="440" spans="2:6" x14ac:dyDescent="0.3">
      <c r="B440" s="51"/>
      <c r="E440" s="140"/>
      <c r="F440" s="140"/>
    </row>
    <row r="441" spans="2:6" x14ac:dyDescent="0.3">
      <c r="B441" s="51"/>
      <c r="E441" s="140"/>
      <c r="F441" s="140"/>
    </row>
    <row r="442" spans="2:6" x14ac:dyDescent="0.3">
      <c r="B442" s="51"/>
      <c r="E442" s="140"/>
      <c r="F442" s="140"/>
    </row>
    <row r="443" spans="2:6" x14ac:dyDescent="0.3">
      <c r="B443" s="51"/>
      <c r="E443" s="140"/>
      <c r="F443" s="140"/>
    </row>
    <row r="444" spans="2:6" x14ac:dyDescent="0.3">
      <c r="B444" s="51"/>
      <c r="E444" s="140"/>
      <c r="F444" s="140"/>
    </row>
    <row r="445" spans="2:6" x14ac:dyDescent="0.3">
      <c r="B445" s="51"/>
      <c r="E445" s="140"/>
      <c r="F445" s="140"/>
    </row>
    <row r="446" spans="2:6" x14ac:dyDescent="0.3">
      <c r="B446" s="51"/>
      <c r="E446" s="140"/>
      <c r="F446" s="140"/>
    </row>
    <row r="447" spans="2:6" x14ac:dyDescent="0.3">
      <c r="B447" s="51"/>
      <c r="E447" s="140"/>
      <c r="F447" s="140"/>
    </row>
    <row r="448" spans="2:6" x14ac:dyDescent="0.3">
      <c r="B448" s="51"/>
      <c r="E448" s="140"/>
      <c r="F448" s="140"/>
    </row>
    <row r="449" spans="2:6" x14ac:dyDescent="0.3">
      <c r="B449" s="51"/>
      <c r="E449" s="140"/>
      <c r="F449" s="140"/>
    </row>
    <row r="450" spans="2:6" x14ac:dyDescent="0.3">
      <c r="B450" s="51"/>
      <c r="E450" s="140"/>
      <c r="F450" s="140"/>
    </row>
    <row r="451" spans="2:6" x14ac:dyDescent="0.3">
      <c r="B451" s="51"/>
      <c r="E451" s="140"/>
      <c r="F451" s="140"/>
    </row>
    <row r="452" spans="2:6" x14ac:dyDescent="0.3">
      <c r="B452" s="51"/>
      <c r="E452" s="140"/>
      <c r="F452" s="140"/>
    </row>
    <row r="453" spans="2:6" x14ac:dyDescent="0.3">
      <c r="B453" s="51"/>
      <c r="E453" s="140"/>
      <c r="F453" s="140"/>
    </row>
    <row r="454" spans="2:6" x14ac:dyDescent="0.3">
      <c r="B454" s="51"/>
      <c r="E454" s="140"/>
      <c r="F454" s="140"/>
    </row>
    <row r="455" spans="2:6" x14ac:dyDescent="0.3">
      <c r="B455" s="51"/>
      <c r="E455" s="140"/>
      <c r="F455" s="140"/>
    </row>
    <row r="456" spans="2:6" x14ac:dyDescent="0.3">
      <c r="B456" s="51"/>
      <c r="E456" s="140"/>
      <c r="F456" s="140"/>
    </row>
    <row r="457" spans="2:6" x14ac:dyDescent="0.3">
      <c r="B457" s="51"/>
      <c r="E457" s="140"/>
      <c r="F457" s="140"/>
    </row>
    <row r="458" spans="2:6" x14ac:dyDescent="0.3">
      <c r="B458" s="51"/>
      <c r="E458" s="140"/>
      <c r="F458" s="140"/>
    </row>
    <row r="459" spans="2:6" x14ac:dyDescent="0.3">
      <c r="B459" s="51"/>
      <c r="E459" s="140"/>
      <c r="F459" s="140"/>
    </row>
    <row r="460" spans="2:6" x14ac:dyDescent="0.3">
      <c r="B460" s="51"/>
      <c r="E460" s="140"/>
      <c r="F460" s="140"/>
    </row>
    <row r="461" spans="2:6" x14ac:dyDescent="0.3">
      <c r="B461" s="51"/>
      <c r="E461" s="140"/>
      <c r="F461" s="140"/>
    </row>
    <row r="462" spans="2:6" x14ac:dyDescent="0.3">
      <c r="B462" s="51"/>
      <c r="E462" s="140"/>
      <c r="F462" s="140"/>
    </row>
    <row r="463" spans="2:6" x14ac:dyDescent="0.3">
      <c r="B463" s="51"/>
      <c r="E463" s="140"/>
      <c r="F463" s="140"/>
    </row>
    <row r="464" spans="2:6" x14ac:dyDescent="0.3">
      <c r="B464" s="51"/>
      <c r="E464" s="140"/>
      <c r="F464" s="140"/>
    </row>
    <row r="465" spans="2:6" x14ac:dyDescent="0.3">
      <c r="B465" s="51"/>
      <c r="E465" s="140"/>
      <c r="F465" s="140"/>
    </row>
    <row r="466" spans="2:6" x14ac:dyDescent="0.3">
      <c r="B466" s="51"/>
      <c r="E466" s="140"/>
      <c r="F466" s="140"/>
    </row>
    <row r="467" spans="2:6" x14ac:dyDescent="0.3">
      <c r="B467" s="51"/>
      <c r="E467" s="140"/>
      <c r="F467" s="140"/>
    </row>
    <row r="468" spans="2:6" x14ac:dyDescent="0.3">
      <c r="B468" s="51"/>
      <c r="E468" s="140"/>
      <c r="F468" s="140"/>
    </row>
    <row r="469" spans="2:6" x14ac:dyDescent="0.3">
      <c r="B469" s="51"/>
      <c r="E469" s="140"/>
      <c r="F469" s="140"/>
    </row>
    <row r="470" spans="2:6" x14ac:dyDescent="0.3">
      <c r="B470" s="51"/>
      <c r="E470" s="140"/>
      <c r="F470" s="140"/>
    </row>
    <row r="471" spans="2:6" x14ac:dyDescent="0.3">
      <c r="B471" s="51"/>
      <c r="E471" s="140"/>
      <c r="F471" s="140"/>
    </row>
    <row r="472" spans="2:6" x14ac:dyDescent="0.3">
      <c r="B472" s="51"/>
      <c r="E472" s="140"/>
      <c r="F472" s="140"/>
    </row>
    <row r="473" spans="2:6" x14ac:dyDescent="0.3">
      <c r="B473" s="51"/>
      <c r="E473" s="140"/>
      <c r="F473" s="140"/>
    </row>
    <row r="474" spans="2:6" x14ac:dyDescent="0.3">
      <c r="B474" s="51"/>
      <c r="E474" s="140"/>
      <c r="F474" s="140"/>
    </row>
    <row r="475" spans="2:6" x14ac:dyDescent="0.3">
      <c r="B475" s="51"/>
      <c r="E475" s="140"/>
      <c r="F475" s="140"/>
    </row>
    <row r="476" spans="2:6" x14ac:dyDescent="0.3">
      <c r="B476" s="51"/>
      <c r="E476" s="140"/>
      <c r="F476" s="140"/>
    </row>
    <row r="477" spans="2:6" x14ac:dyDescent="0.3">
      <c r="B477" s="51"/>
      <c r="E477" s="140"/>
      <c r="F477" s="140"/>
    </row>
    <row r="478" spans="2:6" x14ac:dyDescent="0.3">
      <c r="B478" s="51"/>
      <c r="E478" s="140"/>
      <c r="F478" s="140"/>
    </row>
    <row r="479" spans="2:6" x14ac:dyDescent="0.3">
      <c r="B479" s="51"/>
      <c r="E479" s="140"/>
      <c r="F479" s="140"/>
    </row>
    <row r="480" spans="2:6" x14ac:dyDescent="0.3">
      <c r="B480" s="51"/>
      <c r="E480" s="140"/>
      <c r="F480" s="140"/>
    </row>
    <row r="481" spans="2:6" x14ac:dyDescent="0.3">
      <c r="B481" s="51"/>
      <c r="E481" s="140"/>
      <c r="F481" s="140"/>
    </row>
    <row r="482" spans="2:6" x14ac:dyDescent="0.3">
      <c r="B482" s="51"/>
      <c r="E482" s="140"/>
      <c r="F482" s="140"/>
    </row>
    <row r="483" spans="2:6" x14ac:dyDescent="0.3">
      <c r="B483" s="51"/>
      <c r="E483" s="140"/>
      <c r="F483" s="140"/>
    </row>
    <row r="484" spans="2:6" x14ac:dyDescent="0.3">
      <c r="B484" s="51"/>
      <c r="E484" s="140"/>
      <c r="F484" s="140"/>
    </row>
    <row r="485" spans="2:6" x14ac:dyDescent="0.3">
      <c r="B485" s="51"/>
      <c r="E485" s="140"/>
      <c r="F485" s="140"/>
    </row>
    <row r="486" spans="2:6" x14ac:dyDescent="0.3">
      <c r="B486" s="51"/>
      <c r="E486" s="140"/>
      <c r="F486" s="140"/>
    </row>
    <row r="487" spans="2:6" x14ac:dyDescent="0.3">
      <c r="B487" s="51"/>
      <c r="E487" s="140"/>
      <c r="F487" s="140"/>
    </row>
    <row r="488" spans="2:6" x14ac:dyDescent="0.3">
      <c r="B488" s="51"/>
      <c r="E488" s="140"/>
      <c r="F488" s="140"/>
    </row>
    <row r="489" spans="2:6" x14ac:dyDescent="0.3">
      <c r="B489" s="51"/>
      <c r="E489" s="140"/>
      <c r="F489" s="140"/>
    </row>
    <row r="490" spans="2:6" x14ac:dyDescent="0.3">
      <c r="B490" s="51"/>
      <c r="E490" s="140"/>
      <c r="F490" s="140"/>
    </row>
    <row r="491" spans="2:6" x14ac:dyDescent="0.3">
      <c r="B491" s="51"/>
      <c r="E491" s="140"/>
      <c r="F491" s="140"/>
    </row>
    <row r="492" spans="2:6" x14ac:dyDescent="0.3">
      <c r="B492" s="51"/>
      <c r="E492" s="140"/>
      <c r="F492" s="140"/>
    </row>
    <row r="493" spans="2:6" x14ac:dyDescent="0.3">
      <c r="B493" s="51"/>
      <c r="E493" s="140"/>
      <c r="F493" s="140"/>
    </row>
    <row r="494" spans="2:6" x14ac:dyDescent="0.3">
      <c r="B494" s="51"/>
      <c r="E494" s="140"/>
      <c r="F494" s="140"/>
    </row>
    <row r="495" spans="2:6" x14ac:dyDescent="0.3">
      <c r="B495" s="51"/>
      <c r="E495" s="140"/>
      <c r="F495" s="140"/>
    </row>
    <row r="496" spans="2:6" x14ac:dyDescent="0.3">
      <c r="B496" s="51"/>
      <c r="E496" s="140"/>
      <c r="F496" s="140"/>
    </row>
    <row r="497" spans="2:6" x14ac:dyDescent="0.3">
      <c r="B497" s="51"/>
      <c r="E497" s="140"/>
      <c r="F497" s="140"/>
    </row>
    <row r="498" spans="2:6" x14ac:dyDescent="0.3">
      <c r="B498" s="51"/>
      <c r="E498" s="140"/>
      <c r="F498" s="140"/>
    </row>
    <row r="499" spans="2:6" x14ac:dyDescent="0.3">
      <c r="B499" s="51"/>
      <c r="E499" s="140"/>
      <c r="F499" s="140"/>
    </row>
    <row r="500" spans="2:6" x14ac:dyDescent="0.3">
      <c r="B500" s="51"/>
      <c r="E500" s="140"/>
      <c r="F500" s="140"/>
    </row>
    <row r="501" spans="2:6" x14ac:dyDescent="0.3">
      <c r="B501" s="51"/>
      <c r="E501" s="140"/>
      <c r="F501" s="140"/>
    </row>
    <row r="502" spans="2:6" x14ac:dyDescent="0.3">
      <c r="B502" s="51"/>
      <c r="E502" s="140"/>
      <c r="F502" s="140"/>
    </row>
    <row r="503" spans="2:6" x14ac:dyDescent="0.3">
      <c r="B503" s="51"/>
      <c r="E503" s="140"/>
      <c r="F503" s="140"/>
    </row>
    <row r="504" spans="2:6" x14ac:dyDescent="0.3">
      <c r="B504" s="51"/>
      <c r="E504" s="140"/>
      <c r="F504" s="140"/>
    </row>
    <row r="505" spans="2:6" x14ac:dyDescent="0.3">
      <c r="B505" s="51"/>
      <c r="E505" s="140"/>
      <c r="F505" s="140"/>
    </row>
    <row r="506" spans="2:6" x14ac:dyDescent="0.3">
      <c r="B506" s="51"/>
      <c r="E506" s="140"/>
      <c r="F506" s="140"/>
    </row>
    <row r="507" spans="2:6" x14ac:dyDescent="0.3">
      <c r="B507" s="51"/>
      <c r="E507" s="140"/>
      <c r="F507" s="140"/>
    </row>
    <row r="508" spans="2:6" x14ac:dyDescent="0.3">
      <c r="B508" s="51"/>
      <c r="E508" s="140"/>
      <c r="F508" s="140"/>
    </row>
    <row r="509" spans="2:6" x14ac:dyDescent="0.3">
      <c r="B509" s="51"/>
      <c r="E509" s="140"/>
      <c r="F509" s="140"/>
    </row>
    <row r="510" spans="2:6" x14ac:dyDescent="0.3">
      <c r="B510" s="51"/>
      <c r="E510" s="140"/>
      <c r="F510" s="140"/>
    </row>
    <row r="511" spans="2:6" x14ac:dyDescent="0.3">
      <c r="B511" s="51"/>
      <c r="E511" s="140"/>
      <c r="F511" s="140"/>
    </row>
    <row r="512" spans="2:6" x14ac:dyDescent="0.3">
      <c r="B512" s="51"/>
      <c r="E512" s="140"/>
      <c r="F512" s="140"/>
    </row>
    <row r="513" spans="2:6" x14ac:dyDescent="0.3">
      <c r="B513" s="51"/>
      <c r="E513" s="140"/>
      <c r="F513" s="140"/>
    </row>
    <row r="514" spans="2:6" x14ac:dyDescent="0.3">
      <c r="B514" s="51"/>
      <c r="E514" s="140"/>
      <c r="F514" s="140"/>
    </row>
    <row r="515" spans="2:6" x14ac:dyDescent="0.3">
      <c r="B515" s="51"/>
      <c r="E515" s="140"/>
      <c r="F515" s="140"/>
    </row>
    <row r="516" spans="2:6" x14ac:dyDescent="0.3">
      <c r="B516" s="51"/>
      <c r="E516" s="140"/>
      <c r="F516" s="140"/>
    </row>
    <row r="517" spans="2:6" x14ac:dyDescent="0.3">
      <c r="B517" s="51"/>
      <c r="E517" s="140"/>
      <c r="F517" s="140"/>
    </row>
    <row r="518" spans="2:6" x14ac:dyDescent="0.3">
      <c r="B518" s="51"/>
      <c r="E518" s="140"/>
      <c r="F518" s="140"/>
    </row>
    <row r="519" spans="2:6" x14ac:dyDescent="0.3">
      <c r="B519" s="51"/>
      <c r="E519" s="140"/>
      <c r="F519" s="140"/>
    </row>
    <row r="520" spans="2:6" x14ac:dyDescent="0.3">
      <c r="B520" s="51"/>
      <c r="E520" s="140"/>
      <c r="F520" s="140"/>
    </row>
    <row r="521" spans="2:6" x14ac:dyDescent="0.3">
      <c r="B521" s="51"/>
      <c r="E521" s="140"/>
      <c r="F521" s="140"/>
    </row>
    <row r="522" spans="2:6" x14ac:dyDescent="0.3">
      <c r="B522" s="51"/>
      <c r="E522" s="140"/>
      <c r="F522" s="140"/>
    </row>
    <row r="523" spans="2:6" x14ac:dyDescent="0.3">
      <c r="B523" s="51"/>
      <c r="E523" s="140"/>
      <c r="F523" s="140"/>
    </row>
    <row r="524" spans="2:6" x14ac:dyDescent="0.3">
      <c r="B524" s="153" t="str">
        <f>IF(Table25[[#This Row],[Date of Inspection
(§63.567(o)(5)(i))]]="","",VLOOKUP(Table25[[#This Row],[Date of Inspection
(§63.567(o)(5)(i))]],Table22[],2,FALSE))</f>
        <v/>
      </c>
      <c r="E524" s="140"/>
      <c r="F524" s="140"/>
    </row>
    <row r="525" spans="2:6" x14ac:dyDescent="0.3">
      <c r="B525" s="153" t="str">
        <f>IF(Table25[[#This Row],[Date of Inspection
(§63.567(o)(5)(i))]]="","",VLOOKUP(Table25[[#This Row],[Date of Inspection
(§63.567(o)(5)(i))]],Table22[],2,FALSE))</f>
        <v/>
      </c>
      <c r="E525" s="140"/>
      <c r="F525" s="140"/>
    </row>
    <row r="526" spans="2:6" x14ac:dyDescent="0.3">
      <c r="B526" s="153" t="str">
        <f>IF(Table25[[#This Row],[Date of Inspection
(§63.567(o)(5)(i))]]="","",VLOOKUP(Table25[[#This Row],[Date of Inspection
(§63.567(o)(5)(i))]],Table22[],2,FALSE))</f>
        <v/>
      </c>
      <c r="E526" s="140"/>
      <c r="F526" s="140"/>
    </row>
    <row r="527" spans="2:6" x14ac:dyDescent="0.3">
      <c r="B527" s="153" t="str">
        <f>IF(Table25[[#This Row],[Date of Inspection
(§63.567(o)(5)(i))]]="","",VLOOKUP(Table25[[#This Row],[Date of Inspection
(§63.567(o)(5)(i))]],Table22[],2,FALSE))</f>
        <v/>
      </c>
      <c r="E527" s="140"/>
      <c r="F527" s="140"/>
    </row>
    <row r="528" spans="2:6" x14ac:dyDescent="0.3">
      <c r="B528" s="153" t="str">
        <f>IF(Table25[[#This Row],[Date of Inspection
(§63.567(o)(5)(i))]]="","",VLOOKUP(Table25[[#This Row],[Date of Inspection
(§63.567(o)(5)(i))]],Table22[],2,FALSE))</f>
        <v/>
      </c>
      <c r="E528" s="140"/>
      <c r="F528" s="140"/>
    </row>
    <row r="529" spans="2:6" x14ac:dyDescent="0.3">
      <c r="B529" s="153" t="str">
        <f>IF(Table25[[#This Row],[Date of Inspection
(§63.567(o)(5)(i))]]="","",VLOOKUP(Table25[[#This Row],[Date of Inspection
(§63.567(o)(5)(i))]],Table22[],2,FALSE))</f>
        <v/>
      </c>
      <c r="E529" s="140"/>
      <c r="F529" s="140"/>
    </row>
    <row r="530" spans="2:6" x14ac:dyDescent="0.3">
      <c r="B530" s="153" t="str">
        <f>IF(Table25[[#This Row],[Date of Inspection
(§63.567(o)(5)(i))]]="","",VLOOKUP(Table25[[#This Row],[Date of Inspection
(§63.567(o)(5)(i))]],Table22[],2,FALSE))</f>
        <v/>
      </c>
      <c r="E530" s="140"/>
      <c r="F530" s="140"/>
    </row>
    <row r="531" spans="2:6" x14ac:dyDescent="0.3">
      <c r="B531" s="153" t="str">
        <f>IF(Table25[[#This Row],[Date of Inspection
(§63.567(o)(5)(i))]]="","",VLOOKUP(Table25[[#This Row],[Date of Inspection
(§63.567(o)(5)(i))]],Table22[],2,FALSE))</f>
        <v/>
      </c>
      <c r="E531" s="140"/>
      <c r="F531" s="140"/>
    </row>
    <row r="532" spans="2:6" x14ac:dyDescent="0.3">
      <c r="B532" s="153" t="str">
        <f>IF(Table25[[#This Row],[Date of Inspection
(§63.567(o)(5)(i))]]="","",VLOOKUP(Table25[[#This Row],[Date of Inspection
(§63.567(o)(5)(i))]],Table22[],2,FALSE))</f>
        <v/>
      </c>
      <c r="E532" s="140"/>
      <c r="F532" s="140"/>
    </row>
    <row r="533" spans="2:6" x14ac:dyDescent="0.3">
      <c r="B533" s="153" t="str">
        <f>IF(Table25[[#This Row],[Date of Inspection
(§63.567(o)(5)(i))]]="","",VLOOKUP(Table25[[#This Row],[Date of Inspection
(§63.567(o)(5)(i))]],Table22[],2,FALSE))</f>
        <v/>
      </c>
      <c r="E533" s="140"/>
      <c r="F533" s="140"/>
    </row>
    <row r="534" spans="2:6" x14ac:dyDescent="0.3">
      <c r="B534" s="153" t="str">
        <f>IF(Table25[[#This Row],[Date of Inspection
(§63.567(o)(5)(i))]]="","",VLOOKUP(Table25[[#This Row],[Date of Inspection
(§63.567(o)(5)(i))]],Table22[],2,FALSE))</f>
        <v/>
      </c>
      <c r="E534" s="140"/>
      <c r="F534" s="140"/>
    </row>
    <row r="535" spans="2:6" x14ac:dyDescent="0.3">
      <c r="B535" s="153" t="str">
        <f>IF(Table25[[#This Row],[Date of Inspection
(§63.567(o)(5)(i))]]="","",VLOOKUP(Table25[[#This Row],[Date of Inspection
(§63.567(o)(5)(i))]],Table22[],2,FALSE))</f>
        <v/>
      </c>
      <c r="E535" s="140"/>
      <c r="F535" s="140"/>
    </row>
    <row r="536" spans="2:6" x14ac:dyDescent="0.3">
      <c r="B536" s="153" t="str">
        <f>IF(Table25[[#This Row],[Date of Inspection
(§63.567(o)(5)(i))]]="","",VLOOKUP(Table25[[#This Row],[Date of Inspection
(§63.567(o)(5)(i))]],Table22[],2,FALSE))</f>
        <v/>
      </c>
      <c r="E536" s="140"/>
      <c r="F536" s="140"/>
    </row>
    <row r="537" spans="2:6" x14ac:dyDescent="0.3">
      <c r="B537" s="153" t="str">
        <f>IF(Table25[[#This Row],[Date of Inspection
(§63.567(o)(5)(i))]]="","",VLOOKUP(Table25[[#This Row],[Date of Inspection
(§63.567(o)(5)(i))]],Table22[],2,FALSE))</f>
        <v/>
      </c>
      <c r="E537" s="140"/>
      <c r="F537" s="140"/>
    </row>
    <row r="538" spans="2:6" x14ac:dyDescent="0.3">
      <c r="B538" s="153" t="str">
        <f>IF(Table25[[#This Row],[Date of Inspection
(§63.567(o)(5)(i))]]="","",VLOOKUP(Table25[[#This Row],[Date of Inspection
(§63.567(o)(5)(i))]],Table22[],2,FALSE))</f>
        <v/>
      </c>
      <c r="E538" s="140"/>
      <c r="F538" s="140"/>
    </row>
    <row r="539" spans="2:6" x14ac:dyDescent="0.3">
      <c r="B539" s="153" t="str">
        <f>IF(Table25[[#This Row],[Date of Inspection
(§63.567(o)(5)(i))]]="","",VLOOKUP(Table25[[#This Row],[Date of Inspection
(§63.567(o)(5)(i))]],Table22[],2,FALSE))</f>
        <v/>
      </c>
      <c r="E539" s="140"/>
      <c r="F539" s="140"/>
    </row>
    <row r="540" spans="2:6" x14ac:dyDescent="0.3">
      <c r="B540" s="153" t="str">
        <f>IF(Table25[[#This Row],[Date of Inspection
(§63.567(o)(5)(i))]]="","",VLOOKUP(Table25[[#This Row],[Date of Inspection
(§63.567(o)(5)(i))]],Table22[],2,FALSE))</f>
        <v/>
      </c>
      <c r="E540" s="140"/>
      <c r="F540" s="140"/>
    </row>
    <row r="541" spans="2:6" x14ac:dyDescent="0.3">
      <c r="B541" s="153" t="str">
        <f>IF(Table25[[#This Row],[Date of Inspection
(§63.567(o)(5)(i))]]="","",VLOOKUP(Table25[[#This Row],[Date of Inspection
(§63.567(o)(5)(i))]],Table22[],2,FALSE))</f>
        <v/>
      </c>
      <c r="E541" s="140"/>
      <c r="F541" s="140"/>
    </row>
    <row r="542" spans="2:6" x14ac:dyDescent="0.3">
      <c r="B542" s="153" t="str">
        <f>IF(Table25[[#This Row],[Date of Inspection
(§63.567(o)(5)(i))]]="","",VLOOKUP(Table25[[#This Row],[Date of Inspection
(§63.567(o)(5)(i))]],Table22[],2,FALSE))</f>
        <v/>
      </c>
      <c r="E542" s="140"/>
      <c r="F542" s="140"/>
    </row>
    <row r="543" spans="2:6" x14ac:dyDescent="0.3">
      <c r="B543" s="153" t="str">
        <f>IF(Table25[[#This Row],[Date of Inspection
(§63.567(o)(5)(i))]]="","",VLOOKUP(Table25[[#This Row],[Date of Inspection
(§63.567(o)(5)(i))]],Table22[],2,FALSE))</f>
        <v/>
      </c>
      <c r="E543" s="140"/>
      <c r="F543" s="140"/>
    </row>
    <row r="544" spans="2:6" x14ac:dyDescent="0.3">
      <c r="B544" s="153" t="str">
        <f>IF(Table25[[#This Row],[Date of Inspection
(§63.567(o)(5)(i))]]="","",VLOOKUP(Table25[[#This Row],[Date of Inspection
(§63.567(o)(5)(i))]],Table22[],2,FALSE))</f>
        <v/>
      </c>
      <c r="E544" s="140"/>
      <c r="F544" s="140"/>
    </row>
    <row r="545" spans="2:6" x14ac:dyDescent="0.3">
      <c r="B545" s="153" t="str">
        <f>IF(Table25[[#This Row],[Date of Inspection
(§63.567(o)(5)(i))]]="","",VLOOKUP(Table25[[#This Row],[Date of Inspection
(§63.567(o)(5)(i))]],Table22[],2,FALSE))</f>
        <v/>
      </c>
      <c r="E545" s="140"/>
      <c r="F545" s="140"/>
    </row>
    <row r="546" spans="2:6" x14ac:dyDescent="0.3">
      <c r="B546" s="153" t="str">
        <f>IF(Table25[[#This Row],[Date of Inspection
(§63.567(o)(5)(i))]]="","",VLOOKUP(Table25[[#This Row],[Date of Inspection
(§63.567(o)(5)(i))]],Table22[],2,FALSE))</f>
        <v/>
      </c>
      <c r="E546" s="140"/>
      <c r="F546" s="140"/>
    </row>
    <row r="547" spans="2:6" x14ac:dyDescent="0.3">
      <c r="B547" s="153" t="str">
        <f>IF(Table25[[#This Row],[Date of Inspection
(§63.567(o)(5)(i))]]="","",VLOOKUP(Table25[[#This Row],[Date of Inspection
(§63.567(o)(5)(i))]],Table22[],2,FALSE))</f>
        <v/>
      </c>
      <c r="E547" s="140"/>
      <c r="F547" s="140"/>
    </row>
    <row r="548" spans="2:6" x14ac:dyDescent="0.3">
      <c r="B548" s="153" t="str">
        <f>IF(Table25[[#This Row],[Date of Inspection
(§63.567(o)(5)(i))]]="","",VLOOKUP(Table25[[#This Row],[Date of Inspection
(§63.567(o)(5)(i))]],Table22[],2,FALSE))</f>
        <v/>
      </c>
      <c r="E548" s="140"/>
      <c r="F548" s="140"/>
    </row>
    <row r="549" spans="2:6" x14ac:dyDescent="0.3">
      <c r="B549" s="153" t="str">
        <f>IF(Table25[[#This Row],[Date of Inspection
(§63.567(o)(5)(i))]]="","",VLOOKUP(Table25[[#This Row],[Date of Inspection
(§63.567(o)(5)(i))]],Table22[],2,FALSE))</f>
        <v/>
      </c>
      <c r="E549" s="140"/>
      <c r="F549" s="140"/>
    </row>
    <row r="550" spans="2:6" x14ac:dyDescent="0.3">
      <c r="B550" s="153" t="str">
        <f>IF(Table25[[#This Row],[Date of Inspection
(§63.567(o)(5)(i))]]="","",VLOOKUP(Table25[[#This Row],[Date of Inspection
(§63.567(o)(5)(i))]],Table22[],2,FALSE))</f>
        <v/>
      </c>
      <c r="E550" s="140"/>
      <c r="F550" s="140"/>
    </row>
    <row r="551" spans="2:6" x14ac:dyDescent="0.3">
      <c r="B551" s="153" t="str">
        <f>IF(Table25[[#This Row],[Date of Inspection
(§63.567(o)(5)(i))]]="","",VLOOKUP(Table25[[#This Row],[Date of Inspection
(§63.567(o)(5)(i))]],Table22[],2,FALSE))</f>
        <v/>
      </c>
      <c r="E551" s="140"/>
      <c r="F551" s="140"/>
    </row>
    <row r="552" spans="2:6" x14ac:dyDescent="0.3">
      <c r="B552" s="153" t="str">
        <f>IF(Table25[[#This Row],[Date of Inspection
(§63.567(o)(5)(i))]]="","",VLOOKUP(Table25[[#This Row],[Date of Inspection
(§63.567(o)(5)(i))]],Table22[],2,FALSE))</f>
        <v/>
      </c>
      <c r="E552" s="140"/>
      <c r="F552" s="140"/>
    </row>
    <row r="553" spans="2:6" x14ac:dyDescent="0.3">
      <c r="B553" s="153" t="str">
        <f>IF(Table25[[#This Row],[Date of Inspection
(§63.567(o)(5)(i))]]="","",VLOOKUP(Table25[[#This Row],[Date of Inspection
(§63.567(o)(5)(i))]],Table22[],2,FALSE))</f>
        <v/>
      </c>
      <c r="E553" s="140"/>
      <c r="F553" s="140"/>
    </row>
    <row r="554" spans="2:6" x14ac:dyDescent="0.3">
      <c r="B554" s="153" t="str">
        <f>IF(Table25[[#This Row],[Date of Inspection
(§63.567(o)(5)(i))]]="","",VLOOKUP(Table25[[#This Row],[Date of Inspection
(§63.567(o)(5)(i))]],Table22[],2,FALSE))</f>
        <v/>
      </c>
      <c r="E554" s="140"/>
      <c r="F554" s="140"/>
    </row>
    <row r="555" spans="2:6" x14ac:dyDescent="0.3">
      <c r="B555" s="153" t="str">
        <f>IF(Table25[[#This Row],[Date of Inspection
(§63.567(o)(5)(i))]]="","",VLOOKUP(Table25[[#This Row],[Date of Inspection
(§63.567(o)(5)(i))]],Table22[],2,FALSE))</f>
        <v/>
      </c>
      <c r="E555" s="140"/>
      <c r="F555" s="140"/>
    </row>
    <row r="556" spans="2:6" x14ac:dyDescent="0.3">
      <c r="B556" s="153" t="str">
        <f>IF(Table25[[#This Row],[Date of Inspection
(§63.567(o)(5)(i))]]="","",VLOOKUP(Table25[[#This Row],[Date of Inspection
(§63.567(o)(5)(i))]],Table22[],2,FALSE))</f>
        <v/>
      </c>
      <c r="E556" s="140"/>
      <c r="F556" s="140"/>
    </row>
    <row r="557" spans="2:6" x14ac:dyDescent="0.3">
      <c r="B557" s="153" t="str">
        <f>IF(Table25[[#This Row],[Date of Inspection
(§63.567(o)(5)(i))]]="","",VLOOKUP(Table25[[#This Row],[Date of Inspection
(§63.567(o)(5)(i))]],Table22[],2,FALSE))</f>
        <v/>
      </c>
      <c r="E557" s="140"/>
      <c r="F557" s="140"/>
    </row>
    <row r="558" spans="2:6" x14ac:dyDescent="0.3">
      <c r="B558" s="153" t="str">
        <f>IF(Table25[[#This Row],[Date of Inspection
(§63.567(o)(5)(i))]]="","",VLOOKUP(Table25[[#This Row],[Date of Inspection
(§63.567(o)(5)(i))]],Table22[],2,FALSE))</f>
        <v/>
      </c>
      <c r="E558" s="140"/>
      <c r="F558" s="140"/>
    </row>
    <row r="559" spans="2:6" x14ac:dyDescent="0.3">
      <c r="B559" s="153" t="str">
        <f>IF(Table25[[#This Row],[Date of Inspection
(§63.567(o)(5)(i))]]="","",VLOOKUP(Table25[[#This Row],[Date of Inspection
(§63.567(o)(5)(i))]],Table22[],2,FALSE))</f>
        <v/>
      </c>
      <c r="E559" s="140"/>
      <c r="F559" s="140"/>
    </row>
    <row r="560" spans="2:6" x14ac:dyDescent="0.3">
      <c r="B560" s="153" t="str">
        <f>IF(Table25[[#This Row],[Date of Inspection
(§63.567(o)(5)(i))]]="","",VLOOKUP(Table25[[#This Row],[Date of Inspection
(§63.567(o)(5)(i))]],Table22[],2,FALSE))</f>
        <v/>
      </c>
      <c r="E560" s="140"/>
      <c r="F560" s="140"/>
    </row>
    <row r="561" spans="2:6" x14ac:dyDescent="0.3">
      <c r="B561" s="153" t="str">
        <f>IF(Table25[[#This Row],[Date of Inspection
(§63.567(o)(5)(i))]]="","",VLOOKUP(Table25[[#This Row],[Date of Inspection
(§63.567(o)(5)(i))]],Table22[],2,FALSE))</f>
        <v/>
      </c>
      <c r="E561" s="140"/>
      <c r="F561" s="140"/>
    </row>
    <row r="562" spans="2:6" x14ac:dyDescent="0.3">
      <c r="B562" s="153" t="str">
        <f>IF(Table25[[#This Row],[Date of Inspection
(§63.567(o)(5)(i))]]="","",VLOOKUP(Table25[[#This Row],[Date of Inspection
(§63.567(o)(5)(i))]],Table22[],2,FALSE))</f>
        <v/>
      </c>
      <c r="E562" s="140"/>
      <c r="F562" s="140"/>
    </row>
    <row r="563" spans="2:6" x14ac:dyDescent="0.3">
      <c r="B563" s="153" t="str">
        <f>IF(Table25[[#This Row],[Date of Inspection
(§63.567(o)(5)(i))]]="","",VLOOKUP(Table25[[#This Row],[Date of Inspection
(§63.567(o)(5)(i))]],Table22[],2,FALSE))</f>
        <v/>
      </c>
      <c r="E563" s="140"/>
      <c r="F563" s="140"/>
    </row>
    <row r="564" spans="2:6" x14ac:dyDescent="0.3">
      <c r="B564" s="153" t="str">
        <f>IF(Table25[[#This Row],[Date of Inspection
(§63.567(o)(5)(i))]]="","",VLOOKUP(Table25[[#This Row],[Date of Inspection
(§63.567(o)(5)(i))]],Table22[],2,FALSE))</f>
        <v/>
      </c>
      <c r="E564" s="140"/>
      <c r="F564" s="140"/>
    </row>
    <row r="565" spans="2:6" x14ac:dyDescent="0.3">
      <c r="B565" s="153" t="str">
        <f>IF(Table25[[#This Row],[Date of Inspection
(§63.567(o)(5)(i))]]="","",VLOOKUP(Table25[[#This Row],[Date of Inspection
(§63.567(o)(5)(i))]],Table22[],2,FALSE))</f>
        <v/>
      </c>
      <c r="E565" s="140"/>
      <c r="F565" s="140"/>
    </row>
    <row r="566" spans="2:6" x14ac:dyDescent="0.3">
      <c r="B566" s="153" t="str">
        <f>IF(Table25[[#This Row],[Date of Inspection
(§63.567(o)(5)(i))]]="","",VLOOKUP(Table25[[#This Row],[Date of Inspection
(§63.567(o)(5)(i))]],Table22[],2,FALSE))</f>
        <v/>
      </c>
      <c r="E566" s="140"/>
      <c r="F566" s="140"/>
    </row>
    <row r="567" spans="2:6" x14ac:dyDescent="0.3">
      <c r="B567" s="153" t="str">
        <f>IF(Table25[[#This Row],[Date of Inspection
(§63.567(o)(5)(i))]]="","",VLOOKUP(Table25[[#This Row],[Date of Inspection
(§63.567(o)(5)(i))]],Table22[],2,FALSE))</f>
        <v/>
      </c>
      <c r="E567" s="140"/>
      <c r="F567" s="140"/>
    </row>
    <row r="568" spans="2:6" x14ac:dyDescent="0.3">
      <c r="B568" s="153" t="str">
        <f>IF(Table25[[#This Row],[Date of Inspection
(§63.567(o)(5)(i))]]="","",VLOOKUP(Table25[[#This Row],[Date of Inspection
(§63.567(o)(5)(i))]],Table22[],2,FALSE))</f>
        <v/>
      </c>
      <c r="E568" s="140"/>
      <c r="F568" s="140"/>
    </row>
    <row r="569" spans="2:6" x14ac:dyDescent="0.3">
      <c r="B569" s="153" t="str">
        <f>IF(Table25[[#This Row],[Date of Inspection
(§63.567(o)(5)(i))]]="","",VLOOKUP(Table25[[#This Row],[Date of Inspection
(§63.567(o)(5)(i))]],Table22[],2,FALSE))</f>
        <v/>
      </c>
      <c r="E569" s="140"/>
      <c r="F569" s="140"/>
    </row>
    <row r="570" spans="2:6" x14ac:dyDescent="0.3">
      <c r="B570" s="153" t="str">
        <f>IF(Table25[[#This Row],[Date of Inspection
(§63.567(o)(5)(i))]]="","",VLOOKUP(Table25[[#This Row],[Date of Inspection
(§63.567(o)(5)(i))]],Table22[],2,FALSE))</f>
        <v/>
      </c>
      <c r="E570" s="140"/>
      <c r="F570" s="140"/>
    </row>
    <row r="571" spans="2:6" x14ac:dyDescent="0.3">
      <c r="B571" s="153" t="str">
        <f>IF(Table25[[#This Row],[Date of Inspection
(§63.567(o)(5)(i))]]="","",VLOOKUP(Table25[[#This Row],[Date of Inspection
(§63.567(o)(5)(i))]],Table22[],2,FALSE))</f>
        <v/>
      </c>
      <c r="E571" s="140"/>
      <c r="F571" s="140"/>
    </row>
    <row r="572" spans="2:6" x14ac:dyDescent="0.3">
      <c r="B572" s="153" t="str">
        <f>IF(Table25[[#This Row],[Date of Inspection
(§63.567(o)(5)(i))]]="","",VLOOKUP(Table25[[#This Row],[Date of Inspection
(§63.567(o)(5)(i))]],Table22[],2,FALSE))</f>
        <v/>
      </c>
      <c r="E572" s="140"/>
      <c r="F572" s="140"/>
    </row>
    <row r="573" spans="2:6" x14ac:dyDescent="0.3">
      <c r="B573" s="153" t="str">
        <f>IF(Table25[[#This Row],[Date of Inspection
(§63.567(o)(5)(i))]]="","",VLOOKUP(Table25[[#This Row],[Date of Inspection
(§63.567(o)(5)(i))]],Table22[],2,FALSE))</f>
        <v/>
      </c>
      <c r="E573" s="140"/>
      <c r="F573" s="140"/>
    </row>
    <row r="574" spans="2:6" x14ac:dyDescent="0.3">
      <c r="B574" s="153" t="str">
        <f>IF(Table25[[#This Row],[Date of Inspection
(§63.567(o)(5)(i))]]="","",VLOOKUP(Table25[[#This Row],[Date of Inspection
(§63.567(o)(5)(i))]],Table22[],2,FALSE))</f>
        <v/>
      </c>
      <c r="E574" s="140"/>
      <c r="F574" s="140"/>
    </row>
    <row r="575" spans="2:6" x14ac:dyDescent="0.3">
      <c r="B575" s="153" t="str">
        <f>IF(Table25[[#This Row],[Date of Inspection
(§63.567(o)(5)(i))]]="","",VLOOKUP(Table25[[#This Row],[Date of Inspection
(§63.567(o)(5)(i))]],Table22[],2,FALSE))</f>
        <v/>
      </c>
      <c r="E575" s="140"/>
      <c r="F575" s="140"/>
    </row>
    <row r="576" spans="2:6" x14ac:dyDescent="0.3">
      <c r="B576" s="153" t="str">
        <f>IF(Table25[[#This Row],[Date of Inspection
(§63.567(o)(5)(i))]]="","",VLOOKUP(Table25[[#This Row],[Date of Inspection
(§63.567(o)(5)(i))]],Table22[],2,FALSE))</f>
        <v/>
      </c>
      <c r="E576" s="140"/>
      <c r="F576" s="140"/>
    </row>
    <row r="577" spans="2:6" x14ac:dyDescent="0.3">
      <c r="B577" s="153" t="str">
        <f>IF(Table25[[#This Row],[Date of Inspection
(§63.567(o)(5)(i))]]="","",VLOOKUP(Table25[[#This Row],[Date of Inspection
(§63.567(o)(5)(i))]],Table22[],2,FALSE))</f>
        <v/>
      </c>
      <c r="E577" s="140"/>
      <c r="F577" s="140"/>
    </row>
    <row r="578" spans="2:6" x14ac:dyDescent="0.3">
      <c r="B578" s="153" t="str">
        <f>IF(Table25[[#This Row],[Date of Inspection
(§63.567(o)(5)(i))]]="","",VLOOKUP(Table25[[#This Row],[Date of Inspection
(§63.567(o)(5)(i))]],Table22[],2,FALSE))</f>
        <v/>
      </c>
      <c r="E578" s="140"/>
      <c r="F578" s="140"/>
    </row>
    <row r="579" spans="2:6" x14ac:dyDescent="0.3">
      <c r="B579" s="153" t="str">
        <f>IF(Table25[[#This Row],[Date of Inspection
(§63.567(o)(5)(i))]]="","",VLOOKUP(Table25[[#This Row],[Date of Inspection
(§63.567(o)(5)(i))]],Table22[],2,FALSE))</f>
        <v/>
      </c>
      <c r="E579" s="140"/>
      <c r="F579" s="140"/>
    </row>
    <row r="580" spans="2:6" x14ac:dyDescent="0.3">
      <c r="B580" s="153" t="str">
        <f>IF(Table25[[#This Row],[Date of Inspection
(§63.567(o)(5)(i))]]="","",VLOOKUP(Table25[[#This Row],[Date of Inspection
(§63.567(o)(5)(i))]],Table22[],2,FALSE))</f>
        <v/>
      </c>
      <c r="E580" s="140"/>
      <c r="F580" s="140"/>
    </row>
    <row r="581" spans="2:6" x14ac:dyDescent="0.3">
      <c r="B581" s="153" t="str">
        <f>IF(Table25[[#This Row],[Date of Inspection
(§63.567(o)(5)(i))]]="","",VLOOKUP(Table25[[#This Row],[Date of Inspection
(§63.567(o)(5)(i))]],Table22[],2,FALSE))</f>
        <v/>
      </c>
      <c r="E581" s="140"/>
      <c r="F581" s="140"/>
    </row>
    <row r="582" spans="2:6" x14ac:dyDescent="0.3">
      <c r="B582" s="153" t="str">
        <f>IF(Table25[[#This Row],[Date of Inspection
(§63.567(o)(5)(i))]]="","",VLOOKUP(Table25[[#This Row],[Date of Inspection
(§63.567(o)(5)(i))]],Table22[],2,FALSE))</f>
        <v/>
      </c>
      <c r="E582" s="140"/>
      <c r="F582" s="140"/>
    </row>
    <row r="583" spans="2:6" x14ac:dyDescent="0.3">
      <c r="B583" s="153" t="str">
        <f>IF(Table25[[#This Row],[Date of Inspection
(§63.567(o)(5)(i))]]="","",VLOOKUP(Table25[[#This Row],[Date of Inspection
(§63.567(o)(5)(i))]],Table22[],2,FALSE))</f>
        <v/>
      </c>
      <c r="E583" s="140"/>
      <c r="F583" s="140"/>
    </row>
    <row r="584" spans="2:6" x14ac:dyDescent="0.3">
      <c r="B584" s="153" t="str">
        <f>IF(Table25[[#This Row],[Date of Inspection
(§63.567(o)(5)(i))]]="","",VLOOKUP(Table25[[#This Row],[Date of Inspection
(§63.567(o)(5)(i))]],Table22[],2,FALSE))</f>
        <v/>
      </c>
      <c r="E584" s="140"/>
      <c r="F584" s="140"/>
    </row>
    <row r="585" spans="2:6" x14ac:dyDescent="0.3">
      <c r="B585" s="153" t="str">
        <f>IF(Table25[[#This Row],[Date of Inspection
(§63.567(o)(5)(i))]]="","",VLOOKUP(Table25[[#This Row],[Date of Inspection
(§63.567(o)(5)(i))]],Table22[],2,FALSE))</f>
        <v/>
      </c>
      <c r="E585" s="140"/>
      <c r="F585" s="140"/>
    </row>
    <row r="586" spans="2:6" x14ac:dyDescent="0.3">
      <c r="B586" s="153" t="str">
        <f>IF(Table25[[#This Row],[Date of Inspection
(§63.567(o)(5)(i))]]="","",VLOOKUP(Table25[[#This Row],[Date of Inspection
(§63.567(o)(5)(i))]],Table22[],2,FALSE))</f>
        <v/>
      </c>
      <c r="E586" s="140"/>
      <c r="F586" s="140"/>
    </row>
    <row r="587" spans="2:6" x14ac:dyDescent="0.3">
      <c r="B587" s="153" t="str">
        <f>IF(Table25[[#This Row],[Date of Inspection
(§63.567(o)(5)(i))]]="","",VLOOKUP(Table25[[#This Row],[Date of Inspection
(§63.567(o)(5)(i))]],Table22[],2,FALSE))</f>
        <v/>
      </c>
      <c r="E587" s="140"/>
      <c r="F587" s="140"/>
    </row>
    <row r="588" spans="2:6" x14ac:dyDescent="0.3">
      <c r="B588" s="153" t="str">
        <f>IF(Table25[[#This Row],[Date of Inspection
(§63.567(o)(5)(i))]]="","",VLOOKUP(Table25[[#This Row],[Date of Inspection
(§63.567(o)(5)(i))]],Table22[],2,FALSE))</f>
        <v/>
      </c>
      <c r="E588" s="140"/>
      <c r="F588" s="140"/>
    </row>
    <row r="589" spans="2:6" x14ac:dyDescent="0.3">
      <c r="B589" s="153" t="str">
        <f>IF(Table25[[#This Row],[Date of Inspection
(§63.567(o)(5)(i))]]="","",VLOOKUP(Table25[[#This Row],[Date of Inspection
(§63.567(o)(5)(i))]],Table22[],2,FALSE))</f>
        <v/>
      </c>
      <c r="E589" s="140"/>
      <c r="F589" s="140"/>
    </row>
    <row r="590" spans="2:6" x14ac:dyDescent="0.3">
      <c r="B590" s="153" t="str">
        <f>IF(Table25[[#This Row],[Date of Inspection
(§63.567(o)(5)(i))]]="","",VLOOKUP(Table25[[#This Row],[Date of Inspection
(§63.567(o)(5)(i))]],Table22[],2,FALSE))</f>
        <v/>
      </c>
      <c r="E590" s="140"/>
      <c r="F590" s="140"/>
    </row>
    <row r="591" spans="2:6" x14ac:dyDescent="0.3">
      <c r="B591" s="153" t="str">
        <f>IF(Table25[[#This Row],[Date of Inspection
(§63.567(o)(5)(i))]]="","",VLOOKUP(Table25[[#This Row],[Date of Inspection
(§63.567(o)(5)(i))]],Table22[],2,FALSE))</f>
        <v/>
      </c>
      <c r="E591" s="140"/>
      <c r="F591" s="140"/>
    </row>
    <row r="592" spans="2:6" x14ac:dyDescent="0.3">
      <c r="B592" s="153" t="str">
        <f>IF(Table25[[#This Row],[Date of Inspection
(§63.567(o)(5)(i))]]="","",VLOOKUP(Table25[[#This Row],[Date of Inspection
(§63.567(o)(5)(i))]],Table22[],2,FALSE))</f>
        <v/>
      </c>
      <c r="E592" s="140"/>
      <c r="F592" s="140"/>
    </row>
    <row r="593" spans="2:6" x14ac:dyDescent="0.3">
      <c r="B593" s="153" t="str">
        <f>IF(Table25[[#This Row],[Date of Inspection
(§63.567(o)(5)(i))]]="","",VLOOKUP(Table25[[#This Row],[Date of Inspection
(§63.567(o)(5)(i))]],Table22[],2,FALSE))</f>
        <v/>
      </c>
      <c r="E593" s="140"/>
      <c r="F593" s="140"/>
    </row>
    <row r="594" spans="2:6" x14ac:dyDescent="0.3">
      <c r="B594" s="153" t="str">
        <f>IF(Table25[[#This Row],[Date of Inspection
(§63.567(o)(5)(i))]]="","",VLOOKUP(Table25[[#This Row],[Date of Inspection
(§63.567(o)(5)(i))]],Table22[],2,FALSE))</f>
        <v/>
      </c>
      <c r="E594" s="140"/>
      <c r="F594" s="140"/>
    </row>
    <row r="595" spans="2:6" x14ac:dyDescent="0.3">
      <c r="B595" s="153" t="str">
        <f>IF(Table25[[#This Row],[Date of Inspection
(§63.567(o)(5)(i))]]="","",VLOOKUP(Table25[[#This Row],[Date of Inspection
(§63.567(o)(5)(i))]],Table22[],2,FALSE))</f>
        <v/>
      </c>
      <c r="E595" s="140"/>
      <c r="F595" s="140"/>
    </row>
    <row r="596" spans="2:6" x14ac:dyDescent="0.3">
      <c r="B596" s="153" t="str">
        <f>IF(Table25[[#This Row],[Date of Inspection
(§63.567(o)(5)(i))]]="","",VLOOKUP(Table25[[#This Row],[Date of Inspection
(§63.567(o)(5)(i))]],Table22[],2,FALSE))</f>
        <v/>
      </c>
      <c r="E596" s="140"/>
      <c r="F596" s="140"/>
    </row>
    <row r="597" spans="2:6" x14ac:dyDescent="0.3">
      <c r="B597" s="153" t="str">
        <f>IF(Table25[[#This Row],[Date of Inspection
(§63.567(o)(5)(i))]]="","",VLOOKUP(Table25[[#This Row],[Date of Inspection
(§63.567(o)(5)(i))]],Table22[],2,FALSE))</f>
        <v/>
      </c>
      <c r="E597" s="140"/>
      <c r="F597" s="140"/>
    </row>
    <row r="598" spans="2:6" x14ac:dyDescent="0.3">
      <c r="B598" s="153" t="str">
        <f>IF(Table25[[#This Row],[Date of Inspection
(§63.567(o)(5)(i))]]="","",VLOOKUP(Table25[[#This Row],[Date of Inspection
(§63.567(o)(5)(i))]],Table22[],2,FALSE))</f>
        <v/>
      </c>
      <c r="E598" s="140"/>
      <c r="F598" s="140"/>
    </row>
    <row r="599" spans="2:6" x14ac:dyDescent="0.3">
      <c r="B599" s="153" t="str">
        <f>IF(Table25[[#This Row],[Date of Inspection
(§63.567(o)(5)(i))]]="","",VLOOKUP(Table25[[#This Row],[Date of Inspection
(§63.567(o)(5)(i))]],Table22[],2,FALSE))</f>
        <v/>
      </c>
      <c r="E599" s="140"/>
      <c r="F599" s="140"/>
    </row>
    <row r="600" spans="2:6" x14ac:dyDescent="0.3">
      <c r="B600" s="153" t="str">
        <f>IF(Table25[[#This Row],[Date of Inspection
(§63.567(o)(5)(i))]]="","",VLOOKUP(Table25[[#This Row],[Date of Inspection
(§63.567(o)(5)(i))]],Table22[],2,FALSE))</f>
        <v/>
      </c>
      <c r="E600" s="140"/>
      <c r="F600" s="140"/>
    </row>
    <row r="601" spans="2:6" x14ac:dyDescent="0.3">
      <c r="B601" s="153" t="str">
        <f>IF(Table25[[#This Row],[Date of Inspection
(§63.567(o)(5)(i))]]="","",VLOOKUP(Table25[[#This Row],[Date of Inspection
(§63.567(o)(5)(i))]],Table22[],2,FALSE))</f>
        <v/>
      </c>
      <c r="E601" s="140"/>
      <c r="F601" s="140"/>
    </row>
    <row r="602" spans="2:6" x14ac:dyDescent="0.3">
      <c r="B602" s="153" t="str">
        <f>IF(Table25[[#This Row],[Date of Inspection
(§63.567(o)(5)(i))]]="","",VLOOKUP(Table25[[#This Row],[Date of Inspection
(§63.567(o)(5)(i))]],Table22[],2,FALSE))</f>
        <v/>
      </c>
      <c r="E602" s="140"/>
      <c r="F602" s="140"/>
    </row>
    <row r="603" spans="2:6" x14ac:dyDescent="0.3">
      <c r="B603" s="153" t="str">
        <f>IF(Table25[[#This Row],[Date of Inspection
(§63.567(o)(5)(i))]]="","",VLOOKUP(Table25[[#This Row],[Date of Inspection
(§63.567(o)(5)(i))]],Table22[],2,FALSE))</f>
        <v/>
      </c>
      <c r="E603" s="140"/>
      <c r="F603" s="140"/>
    </row>
    <row r="604" spans="2:6" x14ac:dyDescent="0.3">
      <c r="B604" s="153" t="str">
        <f>IF(Table25[[#This Row],[Date of Inspection
(§63.567(o)(5)(i))]]="","",VLOOKUP(Table25[[#This Row],[Date of Inspection
(§63.567(o)(5)(i))]],Table22[],2,FALSE))</f>
        <v/>
      </c>
      <c r="E604" s="140"/>
      <c r="F604" s="140"/>
    </row>
    <row r="605" spans="2:6" x14ac:dyDescent="0.3">
      <c r="B605" s="153" t="str">
        <f>IF(Table25[[#This Row],[Date of Inspection
(§63.567(o)(5)(i))]]="","",VLOOKUP(Table25[[#This Row],[Date of Inspection
(§63.567(o)(5)(i))]],Table22[],2,FALSE))</f>
        <v/>
      </c>
      <c r="E605" s="140"/>
      <c r="F605" s="140"/>
    </row>
    <row r="606" spans="2:6" x14ac:dyDescent="0.3">
      <c r="B606" s="153" t="str">
        <f>IF(Table25[[#This Row],[Date of Inspection
(§63.567(o)(5)(i))]]="","",VLOOKUP(Table25[[#This Row],[Date of Inspection
(§63.567(o)(5)(i))]],Table22[],2,FALSE))</f>
        <v/>
      </c>
      <c r="E606" s="140"/>
      <c r="F606" s="140"/>
    </row>
    <row r="607" spans="2:6" x14ac:dyDescent="0.3">
      <c r="B607" s="153" t="str">
        <f>IF(Table25[[#This Row],[Date of Inspection
(§63.567(o)(5)(i))]]="","",VLOOKUP(Table25[[#This Row],[Date of Inspection
(§63.567(o)(5)(i))]],Table22[],2,FALSE))</f>
        <v/>
      </c>
      <c r="E607" s="140"/>
      <c r="F607" s="140"/>
    </row>
    <row r="608" spans="2:6" x14ac:dyDescent="0.3">
      <c r="B608" s="153" t="str">
        <f>IF(Table25[[#This Row],[Date of Inspection
(§63.567(o)(5)(i))]]="","",VLOOKUP(Table25[[#This Row],[Date of Inspection
(§63.567(o)(5)(i))]],Table22[],2,FALSE))</f>
        <v/>
      </c>
      <c r="E608" s="140"/>
      <c r="F608" s="140"/>
    </row>
    <row r="609" spans="2:6" x14ac:dyDescent="0.3">
      <c r="B609" s="153" t="str">
        <f>IF(Table25[[#This Row],[Date of Inspection
(§63.567(o)(5)(i))]]="","",VLOOKUP(Table25[[#This Row],[Date of Inspection
(§63.567(o)(5)(i))]],Table22[],2,FALSE))</f>
        <v/>
      </c>
      <c r="E609" s="140"/>
      <c r="F609" s="140"/>
    </row>
    <row r="610" spans="2:6" x14ac:dyDescent="0.3">
      <c r="B610" s="153" t="str">
        <f>IF(Table25[[#This Row],[Date of Inspection
(§63.567(o)(5)(i))]]="","",VLOOKUP(Table25[[#This Row],[Date of Inspection
(§63.567(o)(5)(i))]],Table22[],2,FALSE))</f>
        <v/>
      </c>
      <c r="E610" s="140"/>
      <c r="F610" s="140"/>
    </row>
    <row r="611" spans="2:6" x14ac:dyDescent="0.3">
      <c r="B611" s="153" t="str">
        <f>IF(Table25[[#This Row],[Date of Inspection
(§63.567(o)(5)(i))]]="","",VLOOKUP(Table25[[#This Row],[Date of Inspection
(§63.567(o)(5)(i))]],Table22[],2,FALSE))</f>
        <v/>
      </c>
      <c r="E611" s="140"/>
      <c r="F611" s="140"/>
    </row>
    <row r="612" spans="2:6" x14ac:dyDescent="0.3">
      <c r="B612" s="153" t="str">
        <f>IF(Table25[[#This Row],[Date of Inspection
(§63.567(o)(5)(i))]]="","",VLOOKUP(Table25[[#This Row],[Date of Inspection
(§63.567(o)(5)(i))]],Table22[],2,FALSE))</f>
        <v/>
      </c>
      <c r="E612" s="140"/>
      <c r="F612" s="140"/>
    </row>
    <row r="613" spans="2:6" x14ac:dyDescent="0.3">
      <c r="B613" s="153" t="str">
        <f>IF(Table25[[#This Row],[Date of Inspection
(§63.567(o)(5)(i))]]="","",VLOOKUP(Table25[[#This Row],[Date of Inspection
(§63.567(o)(5)(i))]],Table22[],2,FALSE))</f>
        <v/>
      </c>
      <c r="E613" s="140"/>
      <c r="F613" s="140"/>
    </row>
    <row r="614" spans="2:6" x14ac:dyDescent="0.3">
      <c r="B614" s="153" t="str">
        <f>IF(Table25[[#This Row],[Date of Inspection
(§63.567(o)(5)(i))]]="","",VLOOKUP(Table25[[#This Row],[Date of Inspection
(§63.567(o)(5)(i))]],Table22[],2,FALSE))</f>
        <v/>
      </c>
      <c r="E614" s="140"/>
      <c r="F614" s="140"/>
    </row>
    <row r="615" spans="2:6" x14ac:dyDescent="0.3">
      <c r="B615" s="153" t="str">
        <f>IF(Table25[[#This Row],[Date of Inspection
(§63.567(o)(5)(i))]]="","",VLOOKUP(Table25[[#This Row],[Date of Inspection
(§63.567(o)(5)(i))]],Table22[],2,FALSE))</f>
        <v/>
      </c>
      <c r="E615" s="140"/>
      <c r="F615" s="140"/>
    </row>
    <row r="616" spans="2:6" x14ac:dyDescent="0.3">
      <c r="B616" s="153" t="str">
        <f>IF(Table25[[#This Row],[Date of Inspection
(§63.567(o)(5)(i))]]="","",VLOOKUP(Table25[[#This Row],[Date of Inspection
(§63.567(o)(5)(i))]],Table22[],2,FALSE))</f>
        <v/>
      </c>
      <c r="E616" s="140"/>
      <c r="F616" s="140"/>
    </row>
    <row r="617" spans="2:6" x14ac:dyDescent="0.3">
      <c r="B617" s="153" t="str">
        <f>IF(Table25[[#This Row],[Date of Inspection
(§63.567(o)(5)(i))]]="","",VLOOKUP(Table25[[#This Row],[Date of Inspection
(§63.567(o)(5)(i))]],Table22[],2,FALSE))</f>
        <v/>
      </c>
      <c r="E617" s="140"/>
      <c r="F617" s="140"/>
    </row>
    <row r="618" spans="2:6" x14ac:dyDescent="0.3">
      <c r="B618" s="153" t="str">
        <f>IF(Table25[[#This Row],[Date of Inspection
(§63.567(o)(5)(i))]]="","",VLOOKUP(Table25[[#This Row],[Date of Inspection
(§63.567(o)(5)(i))]],Table22[],2,FALSE))</f>
        <v/>
      </c>
      <c r="E618" s="140"/>
      <c r="F618" s="140"/>
    </row>
    <row r="619" spans="2:6" x14ac:dyDescent="0.3">
      <c r="B619" s="153" t="str">
        <f>IF(Table25[[#This Row],[Date of Inspection
(§63.567(o)(5)(i))]]="","",VLOOKUP(Table25[[#This Row],[Date of Inspection
(§63.567(o)(5)(i))]],Table22[],2,FALSE))</f>
        <v/>
      </c>
      <c r="E619" s="140"/>
      <c r="F619" s="140"/>
    </row>
    <row r="620" spans="2:6" x14ac:dyDescent="0.3">
      <c r="B620" s="153" t="str">
        <f>IF(Table25[[#This Row],[Date of Inspection
(§63.567(o)(5)(i))]]="","",VLOOKUP(Table25[[#This Row],[Date of Inspection
(§63.567(o)(5)(i))]],Table22[],2,FALSE))</f>
        <v/>
      </c>
      <c r="E620" s="140"/>
      <c r="F620" s="140"/>
    </row>
    <row r="621" spans="2:6" x14ac:dyDescent="0.3">
      <c r="B621" s="153" t="str">
        <f>IF(Table25[[#This Row],[Date of Inspection
(§63.567(o)(5)(i))]]="","",VLOOKUP(Table25[[#This Row],[Date of Inspection
(§63.567(o)(5)(i))]],Table22[],2,FALSE))</f>
        <v/>
      </c>
      <c r="E621" s="140"/>
      <c r="F621" s="140"/>
    </row>
    <row r="622" spans="2:6" x14ac:dyDescent="0.3">
      <c r="B622" s="153" t="str">
        <f>IF(Table25[[#This Row],[Date of Inspection
(§63.567(o)(5)(i))]]="","",VLOOKUP(Table25[[#This Row],[Date of Inspection
(§63.567(o)(5)(i))]],Table22[],2,FALSE))</f>
        <v/>
      </c>
      <c r="E622" s="140"/>
      <c r="F622" s="140"/>
    </row>
    <row r="623" spans="2:6" x14ac:dyDescent="0.3">
      <c r="B623" s="153" t="str">
        <f>IF(Table25[[#This Row],[Date of Inspection
(§63.567(o)(5)(i))]]="","",VLOOKUP(Table25[[#This Row],[Date of Inspection
(§63.567(o)(5)(i))]],Table22[],2,FALSE))</f>
        <v/>
      </c>
      <c r="E623" s="140"/>
      <c r="F623" s="140"/>
    </row>
    <row r="624" spans="2:6" x14ac:dyDescent="0.3">
      <c r="B624" s="153" t="str">
        <f>IF(Table25[[#This Row],[Date of Inspection
(§63.567(o)(5)(i))]]="","",VLOOKUP(Table25[[#This Row],[Date of Inspection
(§63.567(o)(5)(i))]],Table22[],2,FALSE))</f>
        <v/>
      </c>
      <c r="E624" s="140"/>
      <c r="F624" s="140"/>
    </row>
    <row r="625" spans="2:6" x14ac:dyDescent="0.3">
      <c r="B625" s="153" t="str">
        <f>IF(Table25[[#This Row],[Date of Inspection
(§63.567(o)(5)(i))]]="","",VLOOKUP(Table25[[#This Row],[Date of Inspection
(§63.567(o)(5)(i))]],Table22[],2,FALSE))</f>
        <v/>
      </c>
      <c r="E625" s="140"/>
      <c r="F625" s="140"/>
    </row>
    <row r="626" spans="2:6" x14ac:dyDescent="0.3">
      <c r="B626" s="153" t="str">
        <f>IF(Table25[[#This Row],[Date of Inspection
(§63.567(o)(5)(i))]]="","",VLOOKUP(Table25[[#This Row],[Date of Inspection
(§63.567(o)(5)(i))]],Table22[],2,FALSE))</f>
        <v/>
      </c>
      <c r="E626" s="140"/>
      <c r="F626" s="140"/>
    </row>
    <row r="627" spans="2:6" x14ac:dyDescent="0.3">
      <c r="B627" s="153" t="str">
        <f>IF(Table25[[#This Row],[Date of Inspection
(§63.567(o)(5)(i))]]="","",VLOOKUP(Table25[[#This Row],[Date of Inspection
(§63.567(o)(5)(i))]],Table22[],2,FALSE))</f>
        <v/>
      </c>
      <c r="E627" s="140"/>
      <c r="F627" s="140"/>
    </row>
    <row r="628" spans="2:6" x14ac:dyDescent="0.3">
      <c r="B628" s="153" t="str">
        <f>IF(Table25[[#This Row],[Date of Inspection
(§63.567(o)(5)(i))]]="","",VLOOKUP(Table25[[#This Row],[Date of Inspection
(§63.567(o)(5)(i))]],Table22[],2,FALSE))</f>
        <v/>
      </c>
      <c r="E628" s="140"/>
      <c r="F628" s="140"/>
    </row>
    <row r="629" spans="2:6" x14ac:dyDescent="0.3">
      <c r="B629" s="153" t="str">
        <f>IF(Table25[[#This Row],[Date of Inspection
(§63.567(o)(5)(i))]]="","",VLOOKUP(Table25[[#This Row],[Date of Inspection
(§63.567(o)(5)(i))]],Table22[],2,FALSE))</f>
        <v/>
      </c>
      <c r="E629" s="140"/>
      <c r="F629" s="140"/>
    </row>
    <row r="630" spans="2:6" x14ac:dyDescent="0.3">
      <c r="B630" s="153" t="str">
        <f>IF(Table25[[#This Row],[Date of Inspection
(§63.567(o)(5)(i))]]="","",VLOOKUP(Table25[[#This Row],[Date of Inspection
(§63.567(o)(5)(i))]],Table22[],2,FALSE))</f>
        <v/>
      </c>
      <c r="E630" s="140"/>
      <c r="F630" s="140"/>
    </row>
    <row r="631" spans="2:6" x14ac:dyDescent="0.3">
      <c r="B631" s="153" t="str">
        <f>IF(Table25[[#This Row],[Date of Inspection
(§63.567(o)(5)(i))]]="","",VLOOKUP(Table25[[#This Row],[Date of Inspection
(§63.567(o)(5)(i))]],Table22[],2,FALSE))</f>
        <v/>
      </c>
      <c r="E631" s="140"/>
      <c r="F631" s="140"/>
    </row>
    <row r="632" spans="2:6" x14ac:dyDescent="0.3">
      <c r="B632" s="153" t="str">
        <f>IF(Table25[[#This Row],[Date of Inspection
(§63.567(o)(5)(i))]]="","",VLOOKUP(Table25[[#This Row],[Date of Inspection
(§63.567(o)(5)(i))]],Table22[],2,FALSE))</f>
        <v/>
      </c>
      <c r="E632" s="140"/>
      <c r="F632" s="140"/>
    </row>
    <row r="633" spans="2:6" x14ac:dyDescent="0.3">
      <c r="B633" s="153" t="str">
        <f>IF(Table25[[#This Row],[Date of Inspection
(§63.567(o)(5)(i))]]="","",VLOOKUP(Table25[[#This Row],[Date of Inspection
(§63.567(o)(5)(i))]],Table22[],2,FALSE))</f>
        <v/>
      </c>
      <c r="E633" s="140"/>
      <c r="F633" s="140"/>
    </row>
    <row r="634" spans="2:6" x14ac:dyDescent="0.3">
      <c r="B634" s="153" t="str">
        <f>IF(Table25[[#This Row],[Date of Inspection
(§63.567(o)(5)(i))]]="","",VLOOKUP(Table25[[#This Row],[Date of Inspection
(§63.567(o)(5)(i))]],Table22[],2,FALSE))</f>
        <v/>
      </c>
      <c r="E634" s="140"/>
      <c r="F634" s="140"/>
    </row>
    <row r="635" spans="2:6" x14ac:dyDescent="0.3">
      <c r="B635" s="153" t="str">
        <f>IF(Table25[[#This Row],[Date of Inspection
(§63.567(o)(5)(i))]]="","",VLOOKUP(Table25[[#This Row],[Date of Inspection
(§63.567(o)(5)(i))]],Table22[],2,FALSE))</f>
        <v/>
      </c>
      <c r="E635" s="140"/>
      <c r="F635" s="140"/>
    </row>
    <row r="636" spans="2:6" x14ac:dyDescent="0.3">
      <c r="B636" s="153" t="str">
        <f>IF(Table25[[#This Row],[Date of Inspection
(§63.567(o)(5)(i))]]="","",VLOOKUP(Table25[[#This Row],[Date of Inspection
(§63.567(o)(5)(i))]],Table22[],2,FALSE))</f>
        <v/>
      </c>
      <c r="E636" s="140"/>
      <c r="F636" s="140"/>
    </row>
    <row r="637" spans="2:6" x14ac:dyDescent="0.3">
      <c r="B637" s="153" t="str">
        <f>IF(Table25[[#This Row],[Date of Inspection
(§63.567(o)(5)(i))]]="","",VLOOKUP(Table25[[#This Row],[Date of Inspection
(§63.567(o)(5)(i))]],Table22[],2,FALSE))</f>
        <v/>
      </c>
      <c r="E637" s="140"/>
      <c r="F637" s="140"/>
    </row>
    <row r="638" spans="2:6" x14ac:dyDescent="0.3">
      <c r="B638" s="153" t="str">
        <f>IF(Table25[[#This Row],[Date of Inspection
(§63.567(o)(5)(i))]]="","",VLOOKUP(Table25[[#This Row],[Date of Inspection
(§63.567(o)(5)(i))]],Table22[],2,FALSE))</f>
        <v/>
      </c>
      <c r="E638" s="140"/>
      <c r="F638" s="140"/>
    </row>
    <row r="639" spans="2:6" x14ac:dyDescent="0.3">
      <c r="B639" s="153" t="str">
        <f>IF(Table25[[#This Row],[Date of Inspection
(§63.567(o)(5)(i))]]="","",VLOOKUP(Table25[[#This Row],[Date of Inspection
(§63.567(o)(5)(i))]],Table22[],2,FALSE))</f>
        <v/>
      </c>
      <c r="E639" s="140"/>
      <c r="F639" s="140"/>
    </row>
    <row r="640" spans="2:6" x14ac:dyDescent="0.3">
      <c r="B640" s="153" t="str">
        <f>IF(Table25[[#This Row],[Date of Inspection
(§63.567(o)(5)(i))]]="","",VLOOKUP(Table25[[#This Row],[Date of Inspection
(§63.567(o)(5)(i))]],Table22[],2,FALSE))</f>
        <v/>
      </c>
      <c r="E640" s="140"/>
      <c r="F640" s="140"/>
    </row>
    <row r="641" spans="2:6" x14ac:dyDescent="0.3">
      <c r="B641" s="153" t="str">
        <f>IF(Table25[[#This Row],[Date of Inspection
(§63.567(o)(5)(i))]]="","",VLOOKUP(Table25[[#This Row],[Date of Inspection
(§63.567(o)(5)(i))]],Table22[],2,FALSE))</f>
        <v/>
      </c>
      <c r="E641" s="140"/>
      <c r="F641" s="140"/>
    </row>
    <row r="642" spans="2:6" x14ac:dyDescent="0.3">
      <c r="B642" s="153" t="str">
        <f>IF(Table25[[#This Row],[Date of Inspection
(§63.567(o)(5)(i))]]="","",VLOOKUP(Table25[[#This Row],[Date of Inspection
(§63.567(o)(5)(i))]],Table22[],2,FALSE))</f>
        <v/>
      </c>
      <c r="E642" s="140"/>
      <c r="F642" s="140"/>
    </row>
    <row r="643" spans="2:6" x14ac:dyDescent="0.3">
      <c r="B643" s="153" t="str">
        <f>IF(Table25[[#This Row],[Date of Inspection
(§63.567(o)(5)(i))]]="","",VLOOKUP(Table25[[#This Row],[Date of Inspection
(§63.567(o)(5)(i))]],Table22[],2,FALSE))</f>
        <v/>
      </c>
      <c r="E643" s="140"/>
      <c r="F643" s="140"/>
    </row>
    <row r="644" spans="2:6" x14ac:dyDescent="0.3">
      <c r="B644" s="153" t="str">
        <f>IF(Table25[[#This Row],[Date of Inspection
(§63.567(o)(5)(i))]]="","",VLOOKUP(Table25[[#This Row],[Date of Inspection
(§63.567(o)(5)(i))]],Table22[],2,FALSE))</f>
        <v/>
      </c>
      <c r="E644" s="140"/>
      <c r="F644" s="140"/>
    </row>
    <row r="645" spans="2:6" x14ac:dyDescent="0.3">
      <c r="B645" s="153" t="str">
        <f>IF(Table25[[#This Row],[Date of Inspection
(§63.567(o)(5)(i))]]="","",VLOOKUP(Table25[[#This Row],[Date of Inspection
(§63.567(o)(5)(i))]],Table22[],2,FALSE))</f>
        <v/>
      </c>
      <c r="E645" s="140"/>
      <c r="F645" s="140"/>
    </row>
    <row r="646" spans="2:6" x14ac:dyDescent="0.3">
      <c r="B646" s="153" t="str">
        <f>IF(Table25[[#This Row],[Date of Inspection
(§63.567(o)(5)(i))]]="","",VLOOKUP(Table25[[#This Row],[Date of Inspection
(§63.567(o)(5)(i))]],Table22[],2,FALSE))</f>
        <v/>
      </c>
      <c r="E646" s="140"/>
      <c r="F646" s="140"/>
    </row>
    <row r="647" spans="2:6" x14ac:dyDescent="0.3">
      <c r="B647" s="153" t="str">
        <f>IF(Table25[[#This Row],[Date of Inspection
(§63.567(o)(5)(i))]]="","",VLOOKUP(Table25[[#This Row],[Date of Inspection
(§63.567(o)(5)(i))]],Table22[],2,FALSE))</f>
        <v/>
      </c>
      <c r="E647" s="140"/>
      <c r="F647" s="140"/>
    </row>
    <row r="648" spans="2:6" x14ac:dyDescent="0.3">
      <c r="B648" s="153" t="str">
        <f>IF(Table25[[#This Row],[Date of Inspection
(§63.567(o)(5)(i))]]="","",VLOOKUP(Table25[[#This Row],[Date of Inspection
(§63.567(o)(5)(i))]],Table22[],2,FALSE))</f>
        <v/>
      </c>
      <c r="E648" s="140"/>
      <c r="F648" s="140"/>
    </row>
    <row r="649" spans="2:6" x14ac:dyDescent="0.3">
      <c r="B649" s="153" t="str">
        <f>IF(Table25[[#This Row],[Date of Inspection
(§63.567(o)(5)(i))]]="","",VLOOKUP(Table25[[#This Row],[Date of Inspection
(§63.567(o)(5)(i))]],Table22[],2,FALSE))</f>
        <v/>
      </c>
      <c r="E649" s="140"/>
      <c r="F649" s="140"/>
    </row>
    <row r="650" spans="2:6" x14ac:dyDescent="0.3">
      <c r="B650" s="153" t="str">
        <f>IF(Table25[[#This Row],[Date of Inspection
(§63.567(o)(5)(i))]]="","",VLOOKUP(Table25[[#This Row],[Date of Inspection
(§63.567(o)(5)(i))]],Table22[],2,FALSE))</f>
        <v/>
      </c>
      <c r="E650" s="140"/>
      <c r="F650" s="140"/>
    </row>
    <row r="651" spans="2:6" x14ac:dyDescent="0.3">
      <c r="B651" s="153" t="str">
        <f>IF(Table25[[#This Row],[Date of Inspection
(§63.567(o)(5)(i))]]="","",VLOOKUP(Table25[[#This Row],[Date of Inspection
(§63.567(o)(5)(i))]],Table22[],2,FALSE))</f>
        <v/>
      </c>
      <c r="E651" s="140"/>
      <c r="F651" s="140"/>
    </row>
    <row r="652" spans="2:6" x14ac:dyDescent="0.3">
      <c r="B652" s="153" t="str">
        <f>IF(Table25[[#This Row],[Date of Inspection
(§63.567(o)(5)(i))]]="","",VLOOKUP(Table25[[#This Row],[Date of Inspection
(§63.567(o)(5)(i))]],Table22[],2,FALSE))</f>
        <v/>
      </c>
      <c r="E652" s="140"/>
      <c r="F652" s="140"/>
    </row>
    <row r="653" spans="2:6" x14ac:dyDescent="0.3">
      <c r="B653" s="153" t="str">
        <f>IF(Table25[[#This Row],[Date of Inspection
(§63.567(o)(5)(i))]]="","",VLOOKUP(Table25[[#This Row],[Date of Inspection
(§63.567(o)(5)(i))]],Table22[],2,FALSE))</f>
        <v/>
      </c>
      <c r="E653" s="140"/>
      <c r="F653" s="140"/>
    </row>
    <row r="654" spans="2:6" x14ac:dyDescent="0.3">
      <c r="B654" s="153" t="str">
        <f>IF(Table25[[#This Row],[Date of Inspection
(§63.567(o)(5)(i))]]="","",VLOOKUP(Table25[[#This Row],[Date of Inspection
(§63.567(o)(5)(i))]],Table22[],2,FALSE))</f>
        <v/>
      </c>
      <c r="E654" s="140"/>
      <c r="F654" s="140"/>
    </row>
    <row r="655" spans="2:6" x14ac:dyDescent="0.3">
      <c r="B655" s="153" t="str">
        <f>IF(Table25[[#This Row],[Date of Inspection
(§63.567(o)(5)(i))]]="","",VLOOKUP(Table25[[#This Row],[Date of Inspection
(§63.567(o)(5)(i))]],Table22[],2,FALSE))</f>
        <v/>
      </c>
      <c r="E655" s="140"/>
      <c r="F655" s="140"/>
    </row>
    <row r="656" spans="2:6" x14ac:dyDescent="0.3">
      <c r="B656" s="153" t="str">
        <f>IF(Table25[[#This Row],[Date of Inspection
(§63.567(o)(5)(i))]]="","",VLOOKUP(Table25[[#This Row],[Date of Inspection
(§63.567(o)(5)(i))]],Table22[],2,FALSE))</f>
        <v/>
      </c>
      <c r="E656" s="140"/>
      <c r="F656" s="140"/>
    </row>
    <row r="657" spans="2:6" x14ac:dyDescent="0.3">
      <c r="B657" s="153" t="str">
        <f>IF(Table25[[#This Row],[Date of Inspection
(§63.567(o)(5)(i))]]="","",VLOOKUP(Table25[[#This Row],[Date of Inspection
(§63.567(o)(5)(i))]],Table22[],2,FALSE))</f>
        <v/>
      </c>
      <c r="E657" s="140"/>
      <c r="F657" s="140"/>
    </row>
    <row r="658" spans="2:6" x14ac:dyDescent="0.3">
      <c r="B658" s="153" t="str">
        <f>IF(Table25[[#This Row],[Date of Inspection
(§63.567(o)(5)(i))]]="","",VLOOKUP(Table25[[#This Row],[Date of Inspection
(§63.567(o)(5)(i))]],Table22[],2,FALSE))</f>
        <v/>
      </c>
      <c r="E658" s="140"/>
      <c r="F658" s="140"/>
    </row>
    <row r="659" spans="2:6" x14ac:dyDescent="0.3">
      <c r="B659" s="153" t="str">
        <f>IF(Table25[[#This Row],[Date of Inspection
(§63.567(o)(5)(i))]]="","",VLOOKUP(Table25[[#This Row],[Date of Inspection
(§63.567(o)(5)(i))]],Table22[],2,FALSE))</f>
        <v/>
      </c>
      <c r="E659" s="140"/>
      <c r="F659" s="140"/>
    </row>
    <row r="660" spans="2:6" x14ac:dyDescent="0.3">
      <c r="B660" s="153" t="str">
        <f>IF(Table25[[#This Row],[Date of Inspection
(§63.567(o)(5)(i))]]="","",VLOOKUP(Table25[[#This Row],[Date of Inspection
(§63.567(o)(5)(i))]],Table22[],2,FALSE))</f>
        <v/>
      </c>
      <c r="E660" s="140"/>
      <c r="F660" s="140"/>
    </row>
    <row r="661" spans="2:6" x14ac:dyDescent="0.3">
      <c r="B661" s="153" t="str">
        <f>IF(Table25[[#This Row],[Date of Inspection
(§63.567(o)(5)(i))]]="","",VLOOKUP(Table25[[#This Row],[Date of Inspection
(§63.567(o)(5)(i))]],Table22[],2,FALSE))</f>
        <v/>
      </c>
      <c r="E661" s="140"/>
      <c r="F661" s="140"/>
    </row>
    <row r="662" spans="2:6" x14ac:dyDescent="0.3">
      <c r="B662" s="153" t="str">
        <f>IF(Table25[[#This Row],[Date of Inspection
(§63.567(o)(5)(i))]]="","",VLOOKUP(Table25[[#This Row],[Date of Inspection
(§63.567(o)(5)(i))]],Table22[],2,FALSE))</f>
        <v/>
      </c>
      <c r="E662" s="140"/>
      <c r="F662" s="140"/>
    </row>
    <row r="663" spans="2:6" x14ac:dyDescent="0.3">
      <c r="B663" s="153" t="str">
        <f>IF(Table25[[#This Row],[Date of Inspection
(§63.567(o)(5)(i))]]="","",VLOOKUP(Table25[[#This Row],[Date of Inspection
(§63.567(o)(5)(i))]],Table22[],2,FALSE))</f>
        <v/>
      </c>
      <c r="E663" s="140"/>
      <c r="F663" s="140"/>
    </row>
    <row r="664" spans="2:6" x14ac:dyDescent="0.3">
      <c r="B664" s="153" t="str">
        <f>IF(Table25[[#This Row],[Date of Inspection
(§63.567(o)(5)(i))]]="","",VLOOKUP(Table25[[#This Row],[Date of Inspection
(§63.567(o)(5)(i))]],Table22[],2,FALSE))</f>
        <v/>
      </c>
      <c r="E664" s="140"/>
      <c r="F664" s="140"/>
    </row>
    <row r="665" spans="2:6" x14ac:dyDescent="0.3">
      <c r="B665" s="153" t="str">
        <f>IF(Table25[[#This Row],[Date of Inspection
(§63.567(o)(5)(i))]]="","",VLOOKUP(Table25[[#This Row],[Date of Inspection
(§63.567(o)(5)(i))]],Table22[],2,FALSE))</f>
        <v/>
      </c>
      <c r="E665" s="140"/>
      <c r="F665" s="140"/>
    </row>
    <row r="666" spans="2:6" x14ac:dyDescent="0.3">
      <c r="B666" s="153" t="str">
        <f>IF(Table25[[#This Row],[Date of Inspection
(§63.567(o)(5)(i))]]="","",VLOOKUP(Table25[[#This Row],[Date of Inspection
(§63.567(o)(5)(i))]],Table22[],2,FALSE))</f>
        <v/>
      </c>
      <c r="E666" s="140"/>
      <c r="F666" s="140"/>
    </row>
    <row r="667" spans="2:6" x14ac:dyDescent="0.3">
      <c r="B667" s="153" t="str">
        <f>IF(Table25[[#This Row],[Date of Inspection
(§63.567(o)(5)(i))]]="","",VLOOKUP(Table25[[#This Row],[Date of Inspection
(§63.567(o)(5)(i))]],Table22[],2,FALSE))</f>
        <v/>
      </c>
      <c r="E667" s="140"/>
      <c r="F667" s="140"/>
    </row>
    <row r="668" spans="2:6" x14ac:dyDescent="0.3">
      <c r="B668" s="153" t="str">
        <f>IF(Table25[[#This Row],[Date of Inspection
(§63.567(o)(5)(i))]]="","",VLOOKUP(Table25[[#This Row],[Date of Inspection
(§63.567(o)(5)(i))]],Table22[],2,FALSE))</f>
        <v/>
      </c>
      <c r="E668" s="140"/>
      <c r="F668" s="140"/>
    </row>
    <row r="669" spans="2:6" x14ac:dyDescent="0.3">
      <c r="B669" s="153" t="str">
        <f>IF(Table25[[#This Row],[Date of Inspection
(§63.567(o)(5)(i))]]="","",VLOOKUP(Table25[[#This Row],[Date of Inspection
(§63.567(o)(5)(i))]],Table22[],2,FALSE))</f>
        <v/>
      </c>
      <c r="E669" s="140"/>
      <c r="F669" s="140"/>
    </row>
    <row r="670" spans="2:6" x14ac:dyDescent="0.3">
      <c r="B670" s="153" t="str">
        <f>IF(Table25[[#This Row],[Date of Inspection
(§63.567(o)(5)(i))]]="","",VLOOKUP(Table25[[#This Row],[Date of Inspection
(§63.567(o)(5)(i))]],Table22[],2,FALSE))</f>
        <v/>
      </c>
      <c r="E670" s="140"/>
      <c r="F670" s="140"/>
    </row>
    <row r="671" spans="2:6" x14ac:dyDescent="0.3">
      <c r="B671" s="153" t="str">
        <f>IF(Table25[[#This Row],[Date of Inspection
(§63.567(o)(5)(i))]]="","",VLOOKUP(Table25[[#This Row],[Date of Inspection
(§63.567(o)(5)(i))]],Table22[],2,FALSE))</f>
        <v/>
      </c>
      <c r="E671" s="140"/>
      <c r="F671" s="140"/>
    </row>
    <row r="672" spans="2:6" x14ac:dyDescent="0.3">
      <c r="B672" s="153" t="str">
        <f>IF(Table25[[#This Row],[Date of Inspection
(§63.567(o)(5)(i))]]="","",VLOOKUP(Table25[[#This Row],[Date of Inspection
(§63.567(o)(5)(i))]],Table22[],2,FALSE))</f>
        <v/>
      </c>
      <c r="E672" s="140"/>
      <c r="F672" s="140"/>
    </row>
    <row r="673" spans="2:6" x14ac:dyDescent="0.3">
      <c r="B673" s="153" t="str">
        <f>IF(Table25[[#This Row],[Date of Inspection
(§63.567(o)(5)(i))]]="","",VLOOKUP(Table25[[#This Row],[Date of Inspection
(§63.567(o)(5)(i))]],Table22[],2,FALSE))</f>
        <v/>
      </c>
      <c r="E673" s="140"/>
      <c r="F673" s="140"/>
    </row>
    <row r="674" spans="2:6" x14ac:dyDescent="0.3">
      <c r="B674" s="153" t="str">
        <f>IF(Table25[[#This Row],[Date of Inspection
(§63.567(o)(5)(i))]]="","",VLOOKUP(Table25[[#This Row],[Date of Inspection
(§63.567(o)(5)(i))]],Table22[],2,FALSE))</f>
        <v/>
      </c>
      <c r="E674" s="140"/>
      <c r="F674" s="140"/>
    </row>
    <row r="675" spans="2:6" x14ac:dyDescent="0.3">
      <c r="B675" s="153" t="str">
        <f>IF(Table25[[#This Row],[Date of Inspection
(§63.567(o)(5)(i))]]="","",VLOOKUP(Table25[[#This Row],[Date of Inspection
(§63.567(o)(5)(i))]],Table22[],2,FALSE))</f>
        <v/>
      </c>
      <c r="E675" s="140"/>
      <c r="F675" s="140"/>
    </row>
    <row r="676" spans="2:6" x14ac:dyDescent="0.3">
      <c r="B676" s="153" t="str">
        <f>IF(Table25[[#This Row],[Date of Inspection
(§63.567(o)(5)(i))]]="","",VLOOKUP(Table25[[#This Row],[Date of Inspection
(§63.567(o)(5)(i))]],Table22[],2,FALSE))</f>
        <v/>
      </c>
      <c r="E676" s="140"/>
      <c r="F676" s="140"/>
    </row>
    <row r="677" spans="2:6" x14ac:dyDescent="0.3">
      <c r="B677" s="153" t="str">
        <f>IF(Table25[[#This Row],[Date of Inspection
(§63.567(o)(5)(i))]]="","",VLOOKUP(Table25[[#This Row],[Date of Inspection
(§63.567(o)(5)(i))]],Table22[],2,FALSE))</f>
        <v/>
      </c>
      <c r="E677" s="140"/>
      <c r="F677" s="140"/>
    </row>
    <row r="678" spans="2:6" x14ac:dyDescent="0.3">
      <c r="B678" s="153" t="str">
        <f>IF(Table25[[#This Row],[Date of Inspection
(§63.567(o)(5)(i))]]="","",VLOOKUP(Table25[[#This Row],[Date of Inspection
(§63.567(o)(5)(i))]],Table22[],2,FALSE))</f>
        <v/>
      </c>
      <c r="E678" s="140"/>
      <c r="F678" s="140"/>
    </row>
    <row r="679" spans="2:6" x14ac:dyDescent="0.3">
      <c r="B679" s="153" t="str">
        <f>IF(Table25[[#This Row],[Date of Inspection
(§63.567(o)(5)(i))]]="","",VLOOKUP(Table25[[#This Row],[Date of Inspection
(§63.567(o)(5)(i))]],Table22[],2,FALSE))</f>
        <v/>
      </c>
      <c r="E679" s="140"/>
      <c r="F679" s="140"/>
    </row>
    <row r="680" spans="2:6" x14ac:dyDescent="0.3">
      <c r="B680" s="153" t="str">
        <f>IF(Table25[[#This Row],[Date of Inspection
(§63.567(o)(5)(i))]]="","",VLOOKUP(Table25[[#This Row],[Date of Inspection
(§63.567(o)(5)(i))]],Table22[],2,FALSE))</f>
        <v/>
      </c>
      <c r="E680" s="140"/>
      <c r="F680" s="140"/>
    </row>
    <row r="681" spans="2:6" x14ac:dyDescent="0.3">
      <c r="B681" s="153" t="str">
        <f>IF(Table25[[#This Row],[Date of Inspection
(§63.567(o)(5)(i))]]="","",VLOOKUP(Table25[[#This Row],[Date of Inspection
(§63.567(o)(5)(i))]],Table22[],2,FALSE))</f>
        <v/>
      </c>
      <c r="E681" s="140"/>
      <c r="F681" s="140"/>
    </row>
    <row r="682" spans="2:6" x14ac:dyDescent="0.3">
      <c r="B682" s="153" t="str">
        <f>IF(Table25[[#This Row],[Date of Inspection
(§63.567(o)(5)(i))]]="","",VLOOKUP(Table25[[#This Row],[Date of Inspection
(§63.567(o)(5)(i))]],Table22[],2,FALSE))</f>
        <v/>
      </c>
      <c r="E682" s="140"/>
      <c r="F682" s="140"/>
    </row>
    <row r="683" spans="2:6" x14ac:dyDescent="0.3">
      <c r="B683" s="153" t="str">
        <f>IF(Table25[[#This Row],[Date of Inspection
(§63.567(o)(5)(i))]]="","",VLOOKUP(Table25[[#This Row],[Date of Inspection
(§63.567(o)(5)(i))]],Table22[],2,FALSE))</f>
        <v/>
      </c>
      <c r="E683" s="140"/>
      <c r="F683" s="140"/>
    </row>
    <row r="684" spans="2:6" x14ac:dyDescent="0.3">
      <c r="B684" s="153" t="str">
        <f>IF(Table25[[#This Row],[Date of Inspection
(§63.567(o)(5)(i))]]="","",VLOOKUP(Table25[[#This Row],[Date of Inspection
(§63.567(o)(5)(i))]],Table22[],2,FALSE))</f>
        <v/>
      </c>
      <c r="E684" s="140"/>
      <c r="F684" s="140"/>
    </row>
    <row r="685" spans="2:6" x14ac:dyDescent="0.3">
      <c r="B685" s="153" t="str">
        <f>IF(Table25[[#This Row],[Date of Inspection
(§63.567(o)(5)(i))]]="","",VLOOKUP(Table25[[#This Row],[Date of Inspection
(§63.567(o)(5)(i))]],Table22[],2,FALSE))</f>
        <v/>
      </c>
      <c r="E685" s="140"/>
      <c r="F685" s="140"/>
    </row>
    <row r="686" spans="2:6" x14ac:dyDescent="0.3">
      <c r="B686" s="153" t="str">
        <f>IF(Table25[[#This Row],[Date of Inspection
(§63.567(o)(5)(i))]]="","",VLOOKUP(Table25[[#This Row],[Date of Inspection
(§63.567(o)(5)(i))]],Table22[],2,FALSE))</f>
        <v/>
      </c>
      <c r="E686" s="140"/>
      <c r="F686" s="140"/>
    </row>
    <row r="687" spans="2:6" x14ac:dyDescent="0.3">
      <c r="B687" s="153" t="str">
        <f>IF(Table25[[#This Row],[Date of Inspection
(§63.567(o)(5)(i))]]="","",VLOOKUP(Table25[[#This Row],[Date of Inspection
(§63.567(o)(5)(i))]],Table22[],2,FALSE))</f>
        <v/>
      </c>
      <c r="E687" s="140"/>
      <c r="F687" s="140"/>
    </row>
    <row r="688" spans="2:6" x14ac:dyDescent="0.3">
      <c r="B688" s="153" t="str">
        <f>IF(Table25[[#This Row],[Date of Inspection
(§63.567(o)(5)(i))]]="","",VLOOKUP(Table25[[#This Row],[Date of Inspection
(§63.567(o)(5)(i))]],Table22[],2,FALSE))</f>
        <v/>
      </c>
      <c r="E688" s="140"/>
      <c r="F688" s="140"/>
    </row>
    <row r="689" spans="2:6" x14ac:dyDescent="0.3">
      <c r="B689" s="153" t="str">
        <f>IF(Table25[[#This Row],[Date of Inspection
(§63.567(o)(5)(i))]]="","",VLOOKUP(Table25[[#This Row],[Date of Inspection
(§63.567(o)(5)(i))]],Table22[],2,FALSE))</f>
        <v/>
      </c>
      <c r="E689" s="140"/>
      <c r="F689" s="140"/>
    </row>
    <row r="690" spans="2:6" x14ac:dyDescent="0.3">
      <c r="B690" s="153" t="str">
        <f>IF(Table25[[#This Row],[Date of Inspection
(§63.567(o)(5)(i))]]="","",VLOOKUP(Table25[[#This Row],[Date of Inspection
(§63.567(o)(5)(i))]],Table22[],2,FALSE))</f>
        <v/>
      </c>
      <c r="E690" s="140"/>
      <c r="F690" s="140"/>
    </row>
    <row r="691" spans="2:6" x14ac:dyDescent="0.3">
      <c r="B691" s="153" t="str">
        <f>IF(Table25[[#This Row],[Date of Inspection
(§63.567(o)(5)(i))]]="","",VLOOKUP(Table25[[#This Row],[Date of Inspection
(§63.567(o)(5)(i))]],Table22[],2,FALSE))</f>
        <v/>
      </c>
      <c r="E691" s="140"/>
      <c r="F691" s="140"/>
    </row>
    <row r="692" spans="2:6" x14ac:dyDescent="0.3">
      <c r="B692" s="153" t="str">
        <f>IF(Table25[[#This Row],[Date of Inspection
(§63.567(o)(5)(i))]]="","",VLOOKUP(Table25[[#This Row],[Date of Inspection
(§63.567(o)(5)(i))]],Table22[],2,FALSE))</f>
        <v/>
      </c>
      <c r="E692" s="140"/>
      <c r="F692" s="140"/>
    </row>
    <row r="693" spans="2:6" x14ac:dyDescent="0.3">
      <c r="B693" s="153" t="str">
        <f>IF(Table25[[#This Row],[Date of Inspection
(§63.567(o)(5)(i))]]="","",VLOOKUP(Table25[[#This Row],[Date of Inspection
(§63.567(o)(5)(i))]],Table22[],2,FALSE))</f>
        <v/>
      </c>
      <c r="E693" s="140"/>
      <c r="F693" s="140"/>
    </row>
    <row r="694" spans="2:6" x14ac:dyDescent="0.3">
      <c r="B694" s="153" t="str">
        <f>IF(Table25[[#This Row],[Date of Inspection
(§63.567(o)(5)(i))]]="","",VLOOKUP(Table25[[#This Row],[Date of Inspection
(§63.567(o)(5)(i))]],Table22[],2,FALSE))</f>
        <v/>
      </c>
      <c r="E694" s="140"/>
      <c r="F694" s="140"/>
    </row>
    <row r="695" spans="2:6" x14ac:dyDescent="0.3">
      <c r="B695" s="153" t="str">
        <f>IF(Table25[[#This Row],[Date of Inspection
(§63.567(o)(5)(i))]]="","",VLOOKUP(Table25[[#This Row],[Date of Inspection
(§63.567(o)(5)(i))]],Table22[],2,FALSE))</f>
        <v/>
      </c>
      <c r="E695" s="140"/>
      <c r="F695" s="140"/>
    </row>
    <row r="696" spans="2:6" x14ac:dyDescent="0.3">
      <c r="B696" s="153" t="str">
        <f>IF(Table25[[#This Row],[Date of Inspection
(§63.567(o)(5)(i))]]="","",VLOOKUP(Table25[[#This Row],[Date of Inspection
(§63.567(o)(5)(i))]],Table22[],2,FALSE))</f>
        <v/>
      </c>
      <c r="E696" s="140"/>
      <c r="F696" s="140"/>
    </row>
    <row r="697" spans="2:6" x14ac:dyDescent="0.3">
      <c r="B697" s="153" t="str">
        <f>IF(Table25[[#This Row],[Date of Inspection
(§63.567(o)(5)(i))]]="","",VLOOKUP(Table25[[#This Row],[Date of Inspection
(§63.567(o)(5)(i))]],Table22[],2,FALSE))</f>
        <v/>
      </c>
      <c r="E697" s="140"/>
      <c r="F697" s="140"/>
    </row>
    <row r="698" spans="2:6" x14ac:dyDescent="0.3">
      <c r="B698" s="153" t="str">
        <f>IF(Table25[[#This Row],[Date of Inspection
(§63.567(o)(5)(i))]]="","",VLOOKUP(Table25[[#This Row],[Date of Inspection
(§63.567(o)(5)(i))]],Table22[],2,FALSE))</f>
        <v/>
      </c>
      <c r="E698" s="140"/>
      <c r="F698" s="140"/>
    </row>
    <row r="699" spans="2:6" x14ac:dyDescent="0.3">
      <c r="B699" s="153" t="str">
        <f>IF(Table25[[#This Row],[Date of Inspection
(§63.567(o)(5)(i))]]="","",VLOOKUP(Table25[[#This Row],[Date of Inspection
(§63.567(o)(5)(i))]],Table22[],2,FALSE))</f>
        <v/>
      </c>
      <c r="E699" s="140"/>
      <c r="F699" s="140"/>
    </row>
    <row r="700" spans="2:6" x14ac:dyDescent="0.3">
      <c r="B700" s="153" t="str">
        <f>IF(Table25[[#This Row],[Date of Inspection
(§63.567(o)(5)(i))]]="","",VLOOKUP(Table25[[#This Row],[Date of Inspection
(§63.567(o)(5)(i))]],Table22[],2,FALSE))</f>
        <v/>
      </c>
      <c r="E700" s="140"/>
      <c r="F700" s="140"/>
    </row>
    <row r="701" spans="2:6" x14ac:dyDescent="0.3">
      <c r="B701" s="153" t="str">
        <f>IF(Table25[[#This Row],[Date of Inspection
(§63.567(o)(5)(i))]]="","",VLOOKUP(Table25[[#This Row],[Date of Inspection
(§63.567(o)(5)(i))]],Table22[],2,FALSE))</f>
        <v/>
      </c>
      <c r="E701" s="140"/>
      <c r="F701" s="140"/>
    </row>
    <row r="702" spans="2:6" x14ac:dyDescent="0.3">
      <c r="B702" s="153" t="str">
        <f>IF(Table25[[#This Row],[Date of Inspection
(§63.567(o)(5)(i))]]="","",VLOOKUP(Table25[[#This Row],[Date of Inspection
(§63.567(o)(5)(i))]],Table22[],2,FALSE))</f>
        <v/>
      </c>
      <c r="E702" s="140"/>
      <c r="F702" s="140"/>
    </row>
    <row r="703" spans="2:6" x14ac:dyDescent="0.3">
      <c r="B703" s="153" t="str">
        <f>IF(Table25[[#This Row],[Date of Inspection
(§63.567(o)(5)(i))]]="","",VLOOKUP(Table25[[#This Row],[Date of Inspection
(§63.567(o)(5)(i))]],Table22[],2,FALSE))</f>
        <v/>
      </c>
      <c r="E703" s="140"/>
      <c r="F703" s="140"/>
    </row>
    <row r="704" spans="2:6" x14ac:dyDescent="0.3">
      <c r="B704" s="153" t="str">
        <f>IF(Table25[[#This Row],[Date of Inspection
(§63.567(o)(5)(i))]]="","",VLOOKUP(Table25[[#This Row],[Date of Inspection
(§63.567(o)(5)(i))]],Table22[],2,FALSE))</f>
        <v/>
      </c>
      <c r="E704" s="140"/>
      <c r="F704" s="140"/>
    </row>
    <row r="705" spans="2:6" x14ac:dyDescent="0.3">
      <c r="B705" s="153" t="str">
        <f>IF(Table25[[#This Row],[Date of Inspection
(§63.567(o)(5)(i))]]="","",VLOOKUP(Table25[[#This Row],[Date of Inspection
(§63.567(o)(5)(i))]],Table22[],2,FALSE))</f>
        <v/>
      </c>
      <c r="E705" s="140"/>
      <c r="F705" s="140"/>
    </row>
    <row r="706" spans="2:6" x14ac:dyDescent="0.3">
      <c r="B706" s="153" t="str">
        <f>IF(Table25[[#This Row],[Date of Inspection
(§63.567(o)(5)(i))]]="","",VLOOKUP(Table25[[#This Row],[Date of Inspection
(§63.567(o)(5)(i))]],Table22[],2,FALSE))</f>
        <v/>
      </c>
      <c r="E706" s="140"/>
      <c r="F706" s="140"/>
    </row>
    <row r="707" spans="2:6" x14ac:dyDescent="0.3">
      <c r="B707" s="153" t="str">
        <f>IF(Table25[[#This Row],[Date of Inspection
(§63.567(o)(5)(i))]]="","",VLOOKUP(Table25[[#This Row],[Date of Inspection
(§63.567(o)(5)(i))]],Table22[],2,FALSE))</f>
        <v/>
      </c>
      <c r="E707" s="140"/>
      <c r="F707" s="140"/>
    </row>
    <row r="708" spans="2:6" x14ac:dyDescent="0.3">
      <c r="B708" s="153" t="str">
        <f>IF(Table25[[#This Row],[Date of Inspection
(§63.567(o)(5)(i))]]="","",VLOOKUP(Table25[[#This Row],[Date of Inspection
(§63.567(o)(5)(i))]],Table22[],2,FALSE))</f>
        <v/>
      </c>
      <c r="E708" s="140"/>
      <c r="F708" s="140"/>
    </row>
    <row r="709" spans="2:6" x14ac:dyDescent="0.3">
      <c r="B709" s="153" t="str">
        <f>IF(Table25[[#This Row],[Date of Inspection
(§63.567(o)(5)(i))]]="","",VLOOKUP(Table25[[#This Row],[Date of Inspection
(§63.567(o)(5)(i))]],Table22[],2,FALSE))</f>
        <v/>
      </c>
      <c r="E709" s="140"/>
      <c r="F709" s="140"/>
    </row>
    <row r="710" spans="2:6" x14ac:dyDescent="0.3">
      <c r="B710" s="153" t="str">
        <f>IF(Table25[[#This Row],[Date of Inspection
(§63.567(o)(5)(i))]]="","",VLOOKUP(Table25[[#This Row],[Date of Inspection
(§63.567(o)(5)(i))]],Table22[],2,FALSE))</f>
        <v/>
      </c>
      <c r="E710" s="140"/>
      <c r="F710" s="140"/>
    </row>
    <row r="711" spans="2:6" x14ac:dyDescent="0.3">
      <c r="B711" s="153" t="str">
        <f>IF(Table25[[#This Row],[Date of Inspection
(§63.567(o)(5)(i))]]="","",VLOOKUP(Table25[[#This Row],[Date of Inspection
(§63.567(o)(5)(i))]],Table22[],2,FALSE))</f>
        <v/>
      </c>
      <c r="E711" s="140"/>
      <c r="F711" s="140"/>
    </row>
    <row r="712" spans="2:6" x14ac:dyDescent="0.3">
      <c r="B712" s="153" t="str">
        <f>IF(Table25[[#This Row],[Date of Inspection
(§63.567(o)(5)(i))]]="","",VLOOKUP(Table25[[#This Row],[Date of Inspection
(§63.567(o)(5)(i))]],Table22[],2,FALSE))</f>
        <v/>
      </c>
      <c r="E712" s="140"/>
      <c r="F712" s="140"/>
    </row>
    <row r="713" spans="2:6" x14ac:dyDescent="0.3">
      <c r="B713" s="153" t="str">
        <f>IF(Table25[[#This Row],[Date of Inspection
(§63.567(o)(5)(i))]]="","",VLOOKUP(Table25[[#This Row],[Date of Inspection
(§63.567(o)(5)(i))]],Table22[],2,FALSE))</f>
        <v/>
      </c>
      <c r="E713" s="140"/>
      <c r="F713" s="140"/>
    </row>
    <row r="714" spans="2:6" x14ac:dyDescent="0.3">
      <c r="B714" s="153" t="str">
        <f>IF(Table25[[#This Row],[Date of Inspection
(§63.567(o)(5)(i))]]="","",VLOOKUP(Table25[[#This Row],[Date of Inspection
(§63.567(o)(5)(i))]],Table22[],2,FALSE))</f>
        <v/>
      </c>
      <c r="E714" s="140"/>
      <c r="F714" s="140"/>
    </row>
    <row r="715" spans="2:6" x14ac:dyDescent="0.3">
      <c r="B715" s="153" t="str">
        <f>IF(Table25[[#This Row],[Date of Inspection
(§63.567(o)(5)(i))]]="","",VLOOKUP(Table25[[#This Row],[Date of Inspection
(§63.567(o)(5)(i))]],Table22[],2,FALSE))</f>
        <v/>
      </c>
      <c r="E715" s="140"/>
      <c r="F715" s="140"/>
    </row>
    <row r="716" spans="2:6" x14ac:dyDescent="0.3">
      <c r="B716" s="153" t="str">
        <f>IF(Table25[[#This Row],[Date of Inspection
(§63.567(o)(5)(i))]]="","",VLOOKUP(Table25[[#This Row],[Date of Inspection
(§63.567(o)(5)(i))]],Table22[],2,FALSE))</f>
        <v/>
      </c>
      <c r="E716" s="140"/>
      <c r="F716" s="140"/>
    </row>
    <row r="717" spans="2:6" x14ac:dyDescent="0.3">
      <c r="B717" s="153" t="str">
        <f>IF(Table25[[#This Row],[Date of Inspection
(§63.567(o)(5)(i))]]="","",VLOOKUP(Table25[[#This Row],[Date of Inspection
(§63.567(o)(5)(i))]],Table22[],2,FALSE))</f>
        <v/>
      </c>
      <c r="E717" s="140"/>
      <c r="F717" s="140"/>
    </row>
    <row r="718" spans="2:6" x14ac:dyDescent="0.3">
      <c r="B718" s="153" t="str">
        <f>IF(Table25[[#This Row],[Date of Inspection
(§63.567(o)(5)(i))]]="","",VLOOKUP(Table25[[#This Row],[Date of Inspection
(§63.567(o)(5)(i))]],Table22[],2,FALSE))</f>
        <v/>
      </c>
      <c r="E718" s="140"/>
      <c r="F718" s="140"/>
    </row>
    <row r="719" spans="2:6" x14ac:dyDescent="0.3">
      <c r="B719" s="153" t="str">
        <f>IF(Table25[[#This Row],[Date of Inspection
(§63.567(o)(5)(i))]]="","",VLOOKUP(Table25[[#This Row],[Date of Inspection
(§63.567(o)(5)(i))]],Table22[],2,FALSE))</f>
        <v/>
      </c>
      <c r="E719" s="140"/>
      <c r="F719" s="140"/>
    </row>
    <row r="720" spans="2:6" x14ac:dyDescent="0.3">
      <c r="B720" s="153" t="str">
        <f>IF(Table25[[#This Row],[Date of Inspection
(§63.567(o)(5)(i))]]="","",VLOOKUP(Table25[[#This Row],[Date of Inspection
(§63.567(o)(5)(i))]],Table22[],2,FALSE))</f>
        <v/>
      </c>
      <c r="E720" s="140"/>
      <c r="F720" s="140"/>
    </row>
    <row r="721" spans="2:6" x14ac:dyDescent="0.3">
      <c r="B721" s="153" t="str">
        <f>IF(Table25[[#This Row],[Date of Inspection
(§63.567(o)(5)(i))]]="","",VLOOKUP(Table25[[#This Row],[Date of Inspection
(§63.567(o)(5)(i))]],Table22[],2,FALSE))</f>
        <v/>
      </c>
      <c r="E721" s="140"/>
      <c r="F721" s="140"/>
    </row>
    <row r="722" spans="2:6" x14ac:dyDescent="0.3">
      <c r="B722" s="153" t="str">
        <f>IF(Table25[[#This Row],[Date of Inspection
(§63.567(o)(5)(i))]]="","",VLOOKUP(Table25[[#This Row],[Date of Inspection
(§63.567(o)(5)(i))]],Table22[],2,FALSE))</f>
        <v/>
      </c>
      <c r="E722" s="140"/>
      <c r="F722" s="140"/>
    </row>
    <row r="723" spans="2:6" x14ac:dyDescent="0.3">
      <c r="B723" s="153" t="str">
        <f>IF(Table25[[#This Row],[Date of Inspection
(§63.567(o)(5)(i))]]="","",VLOOKUP(Table25[[#This Row],[Date of Inspection
(§63.567(o)(5)(i))]],Table22[],2,FALSE))</f>
        <v/>
      </c>
      <c r="E723" s="140"/>
      <c r="F723" s="140"/>
    </row>
    <row r="724" spans="2:6" x14ac:dyDescent="0.3">
      <c r="B724" s="153" t="str">
        <f>IF(Table25[[#This Row],[Date of Inspection
(§63.567(o)(5)(i))]]="","",VLOOKUP(Table25[[#This Row],[Date of Inspection
(§63.567(o)(5)(i))]],Table22[],2,FALSE))</f>
        <v/>
      </c>
      <c r="E724" s="140"/>
      <c r="F724" s="140"/>
    </row>
    <row r="725" spans="2:6" x14ac:dyDescent="0.3">
      <c r="B725" s="153" t="str">
        <f>IF(Table25[[#This Row],[Date of Inspection
(§63.567(o)(5)(i))]]="","",VLOOKUP(Table25[[#This Row],[Date of Inspection
(§63.567(o)(5)(i))]],Table22[],2,FALSE))</f>
        <v/>
      </c>
      <c r="E725" s="140"/>
      <c r="F725" s="140"/>
    </row>
    <row r="726" spans="2:6" x14ac:dyDescent="0.3">
      <c r="B726" s="153" t="str">
        <f>IF(Table25[[#This Row],[Date of Inspection
(§63.567(o)(5)(i))]]="","",VLOOKUP(Table25[[#This Row],[Date of Inspection
(§63.567(o)(5)(i))]],Table22[],2,FALSE))</f>
        <v/>
      </c>
      <c r="E726" s="140"/>
      <c r="F726" s="140"/>
    </row>
    <row r="727" spans="2:6" x14ac:dyDescent="0.3">
      <c r="B727" s="153" t="str">
        <f>IF(Table25[[#This Row],[Date of Inspection
(§63.567(o)(5)(i))]]="","",VLOOKUP(Table25[[#This Row],[Date of Inspection
(§63.567(o)(5)(i))]],Table22[],2,FALSE))</f>
        <v/>
      </c>
      <c r="E727" s="140"/>
      <c r="F727" s="140"/>
    </row>
    <row r="728" spans="2:6" x14ac:dyDescent="0.3">
      <c r="B728" s="153" t="str">
        <f>IF(Table25[[#This Row],[Date of Inspection
(§63.567(o)(5)(i))]]="","",VLOOKUP(Table25[[#This Row],[Date of Inspection
(§63.567(o)(5)(i))]],Table22[],2,FALSE))</f>
        <v/>
      </c>
      <c r="E728" s="140"/>
      <c r="F728" s="140"/>
    </row>
    <row r="729" spans="2:6" x14ac:dyDescent="0.3">
      <c r="B729" s="153" t="str">
        <f>IF(Table25[[#This Row],[Date of Inspection
(§63.567(o)(5)(i))]]="","",VLOOKUP(Table25[[#This Row],[Date of Inspection
(§63.567(o)(5)(i))]],Table22[],2,FALSE))</f>
        <v/>
      </c>
      <c r="E729" s="140"/>
      <c r="F729" s="140"/>
    </row>
    <row r="730" spans="2:6" x14ac:dyDescent="0.3">
      <c r="B730" s="153" t="str">
        <f>IF(Table25[[#This Row],[Date of Inspection
(§63.567(o)(5)(i))]]="","",VLOOKUP(Table25[[#This Row],[Date of Inspection
(§63.567(o)(5)(i))]],Table22[],2,FALSE))</f>
        <v/>
      </c>
      <c r="E730" s="140"/>
      <c r="F730" s="140"/>
    </row>
    <row r="731" spans="2:6" x14ac:dyDescent="0.3">
      <c r="B731" s="153" t="str">
        <f>IF(Table25[[#This Row],[Date of Inspection
(§63.567(o)(5)(i))]]="","",VLOOKUP(Table25[[#This Row],[Date of Inspection
(§63.567(o)(5)(i))]],Table22[],2,FALSE))</f>
        <v/>
      </c>
      <c r="E731" s="140"/>
      <c r="F731" s="140"/>
    </row>
    <row r="732" spans="2:6" x14ac:dyDescent="0.3">
      <c r="B732" s="153" t="str">
        <f>IF(Table25[[#This Row],[Date of Inspection
(§63.567(o)(5)(i))]]="","",VLOOKUP(Table25[[#This Row],[Date of Inspection
(§63.567(o)(5)(i))]],Table22[],2,FALSE))</f>
        <v/>
      </c>
      <c r="E732" s="140"/>
      <c r="F732" s="140"/>
    </row>
    <row r="733" spans="2:6" x14ac:dyDescent="0.3">
      <c r="B733" s="153" t="str">
        <f>IF(Table25[[#This Row],[Date of Inspection
(§63.567(o)(5)(i))]]="","",VLOOKUP(Table25[[#This Row],[Date of Inspection
(§63.567(o)(5)(i))]],Table22[],2,FALSE))</f>
        <v/>
      </c>
      <c r="E733" s="140"/>
      <c r="F733" s="140"/>
    </row>
    <row r="734" spans="2:6" x14ac:dyDescent="0.3">
      <c r="B734" s="153" t="str">
        <f>IF(Table25[[#This Row],[Date of Inspection
(§63.567(o)(5)(i))]]="","",VLOOKUP(Table25[[#This Row],[Date of Inspection
(§63.567(o)(5)(i))]],Table22[],2,FALSE))</f>
        <v/>
      </c>
      <c r="E734" s="140"/>
      <c r="F734" s="140"/>
    </row>
    <row r="735" spans="2:6" x14ac:dyDescent="0.3">
      <c r="B735" s="153" t="str">
        <f>IF(Table25[[#This Row],[Date of Inspection
(§63.567(o)(5)(i))]]="","",VLOOKUP(Table25[[#This Row],[Date of Inspection
(§63.567(o)(5)(i))]],Table22[],2,FALSE))</f>
        <v/>
      </c>
      <c r="E735" s="140"/>
      <c r="F735" s="140"/>
    </row>
    <row r="736" spans="2:6" x14ac:dyDescent="0.3">
      <c r="B736" s="153" t="str">
        <f>IF(Table25[[#This Row],[Date of Inspection
(§63.567(o)(5)(i))]]="","",VLOOKUP(Table25[[#This Row],[Date of Inspection
(§63.567(o)(5)(i))]],Table22[],2,FALSE))</f>
        <v/>
      </c>
      <c r="E736" s="140"/>
      <c r="F736" s="140"/>
    </row>
    <row r="737" spans="2:6" x14ac:dyDescent="0.3">
      <c r="B737" s="153" t="str">
        <f>IF(Table25[[#This Row],[Date of Inspection
(§63.567(o)(5)(i))]]="","",VLOOKUP(Table25[[#This Row],[Date of Inspection
(§63.567(o)(5)(i))]],Table22[],2,FALSE))</f>
        <v/>
      </c>
      <c r="E737" s="140"/>
      <c r="F737" s="140"/>
    </row>
    <row r="738" spans="2:6" x14ac:dyDescent="0.3">
      <c r="B738" s="153" t="str">
        <f>IF(Table25[[#This Row],[Date of Inspection
(§63.567(o)(5)(i))]]="","",VLOOKUP(Table25[[#This Row],[Date of Inspection
(§63.567(o)(5)(i))]],Table22[],2,FALSE))</f>
        <v/>
      </c>
      <c r="E738" s="140"/>
      <c r="F738" s="140"/>
    </row>
    <row r="739" spans="2:6" x14ac:dyDescent="0.3">
      <c r="B739" s="153" t="str">
        <f>IF(Table25[[#This Row],[Date of Inspection
(§63.567(o)(5)(i))]]="","",VLOOKUP(Table25[[#This Row],[Date of Inspection
(§63.567(o)(5)(i))]],Table22[],2,FALSE))</f>
        <v/>
      </c>
      <c r="E739" s="140"/>
      <c r="F739" s="140"/>
    </row>
    <row r="740" spans="2:6" x14ac:dyDescent="0.3">
      <c r="B740" s="153" t="str">
        <f>IF(Table25[[#This Row],[Date of Inspection
(§63.567(o)(5)(i))]]="","",VLOOKUP(Table25[[#This Row],[Date of Inspection
(§63.567(o)(5)(i))]],Table22[],2,FALSE))</f>
        <v/>
      </c>
      <c r="E740" s="140"/>
      <c r="F740" s="140"/>
    </row>
    <row r="741" spans="2:6" x14ac:dyDescent="0.3">
      <c r="B741" s="153" t="str">
        <f>IF(Table25[[#This Row],[Date of Inspection
(§63.567(o)(5)(i))]]="","",VLOOKUP(Table25[[#This Row],[Date of Inspection
(§63.567(o)(5)(i))]],Table22[],2,FALSE))</f>
        <v/>
      </c>
      <c r="E741" s="140"/>
      <c r="F741" s="140"/>
    </row>
    <row r="742" spans="2:6" x14ac:dyDescent="0.3">
      <c r="B742" s="153" t="str">
        <f>IF(Table25[[#This Row],[Date of Inspection
(§63.567(o)(5)(i))]]="","",VLOOKUP(Table25[[#This Row],[Date of Inspection
(§63.567(o)(5)(i))]],Table22[],2,FALSE))</f>
        <v/>
      </c>
      <c r="E742" s="140"/>
      <c r="F742" s="140"/>
    </row>
    <row r="743" spans="2:6" x14ac:dyDescent="0.3">
      <c r="B743" s="153" t="str">
        <f>IF(Table25[[#This Row],[Date of Inspection
(§63.567(o)(5)(i))]]="","",VLOOKUP(Table25[[#This Row],[Date of Inspection
(§63.567(o)(5)(i))]],Table22[],2,FALSE))</f>
        <v/>
      </c>
      <c r="E743" s="140"/>
      <c r="F743" s="140"/>
    </row>
    <row r="744" spans="2:6" x14ac:dyDescent="0.3">
      <c r="B744" s="153" t="str">
        <f>IF(Table25[[#This Row],[Date of Inspection
(§63.567(o)(5)(i))]]="","",VLOOKUP(Table25[[#This Row],[Date of Inspection
(§63.567(o)(5)(i))]],Table22[],2,FALSE))</f>
        <v/>
      </c>
      <c r="E744" s="140"/>
      <c r="F744" s="140"/>
    </row>
    <row r="745" spans="2:6" x14ac:dyDescent="0.3">
      <c r="B745" s="153" t="str">
        <f>IF(Table25[[#This Row],[Date of Inspection
(§63.567(o)(5)(i))]]="","",VLOOKUP(Table25[[#This Row],[Date of Inspection
(§63.567(o)(5)(i))]],Table22[],2,FALSE))</f>
        <v/>
      </c>
      <c r="E745" s="140"/>
      <c r="F745" s="140"/>
    </row>
    <row r="746" spans="2:6" x14ac:dyDescent="0.3">
      <c r="B746" s="153" t="str">
        <f>IF(Table25[[#This Row],[Date of Inspection
(§63.567(o)(5)(i))]]="","",VLOOKUP(Table25[[#This Row],[Date of Inspection
(§63.567(o)(5)(i))]],Table22[],2,FALSE))</f>
        <v/>
      </c>
      <c r="E746" s="140"/>
      <c r="F746" s="140"/>
    </row>
    <row r="747" spans="2:6" x14ac:dyDescent="0.3">
      <c r="B747" s="153" t="str">
        <f>IF(Table25[[#This Row],[Date of Inspection
(§63.567(o)(5)(i))]]="","",VLOOKUP(Table25[[#This Row],[Date of Inspection
(§63.567(o)(5)(i))]],Table22[],2,FALSE))</f>
        <v/>
      </c>
      <c r="E747" s="140"/>
      <c r="F747" s="140"/>
    </row>
    <row r="748" spans="2:6" x14ac:dyDescent="0.3">
      <c r="B748" s="153" t="str">
        <f>IF(Table25[[#This Row],[Date of Inspection
(§63.567(o)(5)(i))]]="","",VLOOKUP(Table25[[#This Row],[Date of Inspection
(§63.567(o)(5)(i))]],Table22[],2,FALSE))</f>
        <v/>
      </c>
      <c r="E748" s="140"/>
      <c r="F748" s="140"/>
    </row>
    <row r="749" spans="2:6" x14ac:dyDescent="0.3">
      <c r="B749" s="153" t="str">
        <f>IF(Table25[[#This Row],[Date of Inspection
(§63.567(o)(5)(i))]]="","",VLOOKUP(Table25[[#This Row],[Date of Inspection
(§63.567(o)(5)(i))]],Table22[],2,FALSE))</f>
        <v/>
      </c>
      <c r="E749" s="140"/>
      <c r="F749" s="140"/>
    </row>
    <row r="750" spans="2:6" x14ac:dyDescent="0.3">
      <c r="B750" s="153" t="str">
        <f>IF(Table25[[#This Row],[Date of Inspection
(§63.567(o)(5)(i))]]="","",VLOOKUP(Table25[[#This Row],[Date of Inspection
(§63.567(o)(5)(i))]],Table22[],2,FALSE))</f>
        <v/>
      </c>
      <c r="E750" s="140"/>
      <c r="F750" s="140"/>
    </row>
    <row r="751" spans="2:6" x14ac:dyDescent="0.3">
      <c r="B751" s="153" t="str">
        <f>IF(Table25[[#This Row],[Date of Inspection
(§63.567(o)(5)(i))]]="","",VLOOKUP(Table25[[#This Row],[Date of Inspection
(§63.567(o)(5)(i))]],Table22[],2,FALSE))</f>
        <v/>
      </c>
      <c r="E751" s="140"/>
      <c r="F751" s="140"/>
    </row>
    <row r="752" spans="2:6" x14ac:dyDescent="0.3">
      <c r="B752" s="153" t="str">
        <f>IF(Table25[[#This Row],[Date of Inspection
(§63.567(o)(5)(i))]]="","",VLOOKUP(Table25[[#This Row],[Date of Inspection
(§63.567(o)(5)(i))]],Table22[],2,FALSE))</f>
        <v/>
      </c>
      <c r="E752" s="140"/>
      <c r="F752" s="140"/>
    </row>
    <row r="753" spans="2:6" x14ac:dyDescent="0.3">
      <c r="B753" s="153" t="str">
        <f>IF(Table25[[#This Row],[Date of Inspection
(§63.567(o)(5)(i))]]="","",VLOOKUP(Table25[[#This Row],[Date of Inspection
(§63.567(o)(5)(i))]],Table22[],2,FALSE))</f>
        <v/>
      </c>
      <c r="E753" s="140"/>
      <c r="F753" s="140"/>
    </row>
    <row r="754" spans="2:6" x14ac:dyDescent="0.3">
      <c r="B754" s="153" t="str">
        <f>IF(Table25[[#This Row],[Date of Inspection
(§63.567(o)(5)(i))]]="","",VLOOKUP(Table25[[#This Row],[Date of Inspection
(§63.567(o)(5)(i))]],Table22[],2,FALSE))</f>
        <v/>
      </c>
      <c r="E754" s="140"/>
      <c r="F754" s="140"/>
    </row>
    <row r="755" spans="2:6" x14ac:dyDescent="0.3">
      <c r="B755" s="153" t="str">
        <f>IF(Table25[[#This Row],[Date of Inspection
(§63.567(o)(5)(i))]]="","",VLOOKUP(Table25[[#This Row],[Date of Inspection
(§63.567(o)(5)(i))]],Table22[],2,FALSE))</f>
        <v/>
      </c>
      <c r="E755" s="140"/>
      <c r="F755" s="140"/>
    </row>
    <row r="756" spans="2:6" x14ac:dyDescent="0.3">
      <c r="B756" s="153" t="str">
        <f>IF(Table25[[#This Row],[Date of Inspection
(§63.567(o)(5)(i))]]="","",VLOOKUP(Table25[[#This Row],[Date of Inspection
(§63.567(o)(5)(i))]],Table22[],2,FALSE))</f>
        <v/>
      </c>
      <c r="E756" s="140"/>
      <c r="F756" s="140"/>
    </row>
    <row r="757" spans="2:6" x14ac:dyDescent="0.3">
      <c r="B757" s="153" t="str">
        <f>IF(Table25[[#This Row],[Date of Inspection
(§63.567(o)(5)(i))]]="","",VLOOKUP(Table25[[#This Row],[Date of Inspection
(§63.567(o)(5)(i))]],Table22[],2,FALSE))</f>
        <v/>
      </c>
      <c r="E757" s="140"/>
      <c r="F757" s="140"/>
    </row>
    <row r="758" spans="2:6" x14ac:dyDescent="0.3">
      <c r="B758" s="153" t="str">
        <f>IF(Table25[[#This Row],[Date of Inspection
(§63.567(o)(5)(i))]]="","",VLOOKUP(Table25[[#This Row],[Date of Inspection
(§63.567(o)(5)(i))]],Table22[],2,FALSE))</f>
        <v/>
      </c>
      <c r="E758" s="140"/>
      <c r="F758" s="140"/>
    </row>
    <row r="759" spans="2:6" x14ac:dyDescent="0.3">
      <c r="B759" s="153" t="str">
        <f>IF(Table25[[#This Row],[Date of Inspection
(§63.567(o)(5)(i))]]="","",VLOOKUP(Table25[[#This Row],[Date of Inspection
(§63.567(o)(5)(i))]],Table22[],2,FALSE))</f>
        <v/>
      </c>
      <c r="E759" s="140"/>
      <c r="F759" s="140"/>
    </row>
    <row r="760" spans="2:6" x14ac:dyDescent="0.3">
      <c r="B760" s="153" t="str">
        <f>IF(Table25[[#This Row],[Date of Inspection
(§63.567(o)(5)(i))]]="","",VLOOKUP(Table25[[#This Row],[Date of Inspection
(§63.567(o)(5)(i))]],Table22[],2,FALSE))</f>
        <v/>
      </c>
      <c r="E760" s="140"/>
      <c r="F760" s="140"/>
    </row>
    <row r="761" spans="2:6" x14ac:dyDescent="0.3">
      <c r="B761" s="153" t="str">
        <f>IF(Table25[[#This Row],[Date of Inspection
(§63.567(o)(5)(i))]]="","",VLOOKUP(Table25[[#This Row],[Date of Inspection
(§63.567(o)(5)(i))]],Table22[],2,FALSE))</f>
        <v/>
      </c>
      <c r="E761" s="140"/>
      <c r="F761" s="140"/>
    </row>
    <row r="762" spans="2:6" x14ac:dyDescent="0.3">
      <c r="B762" s="153" t="str">
        <f>IF(Table25[[#This Row],[Date of Inspection
(§63.567(o)(5)(i))]]="","",VLOOKUP(Table25[[#This Row],[Date of Inspection
(§63.567(o)(5)(i))]],Table22[],2,FALSE))</f>
        <v/>
      </c>
      <c r="E762" s="140"/>
      <c r="F762" s="140"/>
    </row>
    <row r="763" spans="2:6" x14ac:dyDescent="0.3">
      <c r="B763" s="153" t="str">
        <f>IF(Table25[[#This Row],[Date of Inspection
(§63.567(o)(5)(i))]]="","",VLOOKUP(Table25[[#This Row],[Date of Inspection
(§63.567(o)(5)(i))]],Table22[],2,FALSE))</f>
        <v/>
      </c>
      <c r="E763" s="140"/>
      <c r="F763" s="140"/>
    </row>
    <row r="764" spans="2:6" x14ac:dyDescent="0.3">
      <c r="B764" s="153" t="str">
        <f>IF(Table25[[#This Row],[Date of Inspection
(§63.567(o)(5)(i))]]="","",VLOOKUP(Table25[[#This Row],[Date of Inspection
(§63.567(o)(5)(i))]],Table22[],2,FALSE))</f>
        <v/>
      </c>
      <c r="E764" s="140"/>
      <c r="F764" s="140"/>
    </row>
    <row r="765" spans="2:6" x14ac:dyDescent="0.3">
      <c r="B765" s="153" t="str">
        <f>IF(Table25[[#This Row],[Date of Inspection
(§63.567(o)(5)(i))]]="","",VLOOKUP(Table25[[#This Row],[Date of Inspection
(§63.567(o)(5)(i))]],Table22[],2,FALSE))</f>
        <v/>
      </c>
      <c r="E765" s="140"/>
      <c r="F765" s="140"/>
    </row>
    <row r="766" spans="2:6" x14ac:dyDescent="0.3">
      <c r="B766" s="153" t="str">
        <f>IF(Table25[[#This Row],[Date of Inspection
(§63.567(o)(5)(i))]]="","",VLOOKUP(Table25[[#This Row],[Date of Inspection
(§63.567(o)(5)(i))]],Table22[],2,FALSE))</f>
        <v/>
      </c>
      <c r="E766" s="140"/>
      <c r="F766" s="140"/>
    </row>
    <row r="767" spans="2:6" x14ac:dyDescent="0.3">
      <c r="B767" s="153" t="str">
        <f>IF(Table25[[#This Row],[Date of Inspection
(§63.567(o)(5)(i))]]="","",VLOOKUP(Table25[[#This Row],[Date of Inspection
(§63.567(o)(5)(i))]],Table22[],2,FALSE))</f>
        <v/>
      </c>
      <c r="E767" s="140"/>
      <c r="F767" s="140"/>
    </row>
    <row r="768" spans="2:6" x14ac:dyDescent="0.3">
      <c r="B768" s="153" t="str">
        <f>IF(Table25[[#This Row],[Date of Inspection
(§63.567(o)(5)(i))]]="","",VLOOKUP(Table25[[#This Row],[Date of Inspection
(§63.567(o)(5)(i))]],Table22[],2,FALSE))</f>
        <v/>
      </c>
      <c r="E768" s="140"/>
      <c r="F768" s="140"/>
    </row>
    <row r="769" spans="2:6" x14ac:dyDescent="0.3">
      <c r="B769" s="153" t="str">
        <f>IF(Table25[[#This Row],[Date of Inspection
(§63.567(o)(5)(i))]]="","",VLOOKUP(Table25[[#This Row],[Date of Inspection
(§63.567(o)(5)(i))]],Table22[],2,FALSE))</f>
        <v/>
      </c>
      <c r="E769" s="140"/>
      <c r="F769" s="140"/>
    </row>
    <row r="770" spans="2:6" x14ac:dyDescent="0.3">
      <c r="B770" s="153" t="str">
        <f>IF(Table25[[#This Row],[Date of Inspection
(§63.567(o)(5)(i))]]="","",VLOOKUP(Table25[[#This Row],[Date of Inspection
(§63.567(o)(5)(i))]],Table22[],2,FALSE))</f>
        <v/>
      </c>
      <c r="E770" s="140"/>
      <c r="F770" s="140"/>
    </row>
    <row r="771" spans="2:6" x14ac:dyDescent="0.3">
      <c r="B771" s="153" t="str">
        <f>IF(Table25[[#This Row],[Date of Inspection
(§63.567(o)(5)(i))]]="","",VLOOKUP(Table25[[#This Row],[Date of Inspection
(§63.567(o)(5)(i))]],Table22[],2,FALSE))</f>
        <v/>
      </c>
      <c r="E771" s="140"/>
      <c r="F771" s="140"/>
    </row>
    <row r="772" spans="2:6" x14ac:dyDescent="0.3">
      <c r="B772" s="153" t="str">
        <f>IF(Table25[[#This Row],[Date of Inspection
(§63.567(o)(5)(i))]]="","",VLOOKUP(Table25[[#This Row],[Date of Inspection
(§63.567(o)(5)(i))]],Table22[],2,FALSE))</f>
        <v/>
      </c>
      <c r="E772" s="140"/>
      <c r="F772" s="140"/>
    </row>
    <row r="773" spans="2:6" x14ac:dyDescent="0.3">
      <c r="B773" s="153" t="str">
        <f>IF(Table25[[#This Row],[Date of Inspection
(§63.567(o)(5)(i))]]="","",VLOOKUP(Table25[[#This Row],[Date of Inspection
(§63.567(o)(5)(i))]],Table22[],2,FALSE))</f>
        <v/>
      </c>
      <c r="E773" s="140"/>
      <c r="F773" s="140"/>
    </row>
    <row r="774" spans="2:6" x14ac:dyDescent="0.3">
      <c r="B774" s="153" t="str">
        <f>IF(Table25[[#This Row],[Date of Inspection
(§63.567(o)(5)(i))]]="","",VLOOKUP(Table25[[#This Row],[Date of Inspection
(§63.567(o)(5)(i))]],Table22[],2,FALSE))</f>
        <v/>
      </c>
      <c r="E774" s="140"/>
      <c r="F774" s="140"/>
    </row>
    <row r="775" spans="2:6" x14ac:dyDescent="0.3">
      <c r="B775" s="153" t="str">
        <f>IF(Table25[[#This Row],[Date of Inspection
(§63.567(o)(5)(i))]]="","",VLOOKUP(Table25[[#This Row],[Date of Inspection
(§63.567(o)(5)(i))]],Table22[],2,FALSE))</f>
        <v/>
      </c>
      <c r="E775" s="140"/>
      <c r="F775" s="140"/>
    </row>
    <row r="776" spans="2:6" x14ac:dyDescent="0.3">
      <c r="B776" s="153" t="str">
        <f>IF(Table25[[#This Row],[Date of Inspection
(§63.567(o)(5)(i))]]="","",VLOOKUP(Table25[[#This Row],[Date of Inspection
(§63.567(o)(5)(i))]],Table22[],2,FALSE))</f>
        <v/>
      </c>
      <c r="E776" s="140"/>
      <c r="F776" s="140"/>
    </row>
    <row r="777" spans="2:6" x14ac:dyDescent="0.3">
      <c r="B777" s="153" t="str">
        <f>IF(Table25[[#This Row],[Date of Inspection
(§63.567(o)(5)(i))]]="","",VLOOKUP(Table25[[#This Row],[Date of Inspection
(§63.567(o)(5)(i))]],Table22[],2,FALSE))</f>
        <v/>
      </c>
      <c r="E777" s="140"/>
      <c r="F777" s="140"/>
    </row>
    <row r="778" spans="2:6" x14ac:dyDescent="0.3">
      <c r="B778" s="153" t="str">
        <f>IF(Table25[[#This Row],[Date of Inspection
(§63.567(o)(5)(i))]]="","",VLOOKUP(Table25[[#This Row],[Date of Inspection
(§63.567(o)(5)(i))]],Table22[],2,FALSE))</f>
        <v/>
      </c>
      <c r="E778" s="140"/>
      <c r="F778" s="140"/>
    </row>
    <row r="779" spans="2:6" x14ac:dyDescent="0.3">
      <c r="B779" s="153" t="str">
        <f>IF(Table25[[#This Row],[Date of Inspection
(§63.567(o)(5)(i))]]="","",VLOOKUP(Table25[[#This Row],[Date of Inspection
(§63.567(o)(5)(i))]],Table22[],2,FALSE))</f>
        <v/>
      </c>
      <c r="E779" s="140"/>
      <c r="F779" s="140"/>
    </row>
    <row r="780" spans="2:6" x14ac:dyDescent="0.3">
      <c r="B780" s="153" t="str">
        <f>IF(Table25[[#This Row],[Date of Inspection
(§63.567(o)(5)(i))]]="","",VLOOKUP(Table25[[#This Row],[Date of Inspection
(§63.567(o)(5)(i))]],Table22[],2,FALSE))</f>
        <v/>
      </c>
      <c r="E780" s="140"/>
      <c r="F780" s="140"/>
    </row>
    <row r="781" spans="2:6" x14ac:dyDescent="0.3">
      <c r="B781" s="153" t="str">
        <f>IF(Table25[[#This Row],[Date of Inspection
(§63.567(o)(5)(i))]]="","",VLOOKUP(Table25[[#This Row],[Date of Inspection
(§63.567(o)(5)(i))]],Table22[],2,FALSE))</f>
        <v/>
      </c>
      <c r="E781" s="140"/>
      <c r="F781" s="140"/>
    </row>
    <row r="782" spans="2:6" x14ac:dyDescent="0.3">
      <c r="B782" s="153" t="str">
        <f>IF(Table25[[#This Row],[Date of Inspection
(§63.567(o)(5)(i))]]="","",VLOOKUP(Table25[[#This Row],[Date of Inspection
(§63.567(o)(5)(i))]],Table22[],2,FALSE))</f>
        <v/>
      </c>
      <c r="E782" s="140"/>
      <c r="F782" s="140"/>
    </row>
    <row r="783" spans="2:6" x14ac:dyDescent="0.3">
      <c r="B783" s="153" t="str">
        <f>IF(Table25[[#This Row],[Date of Inspection
(§63.567(o)(5)(i))]]="","",VLOOKUP(Table25[[#This Row],[Date of Inspection
(§63.567(o)(5)(i))]],Table22[],2,FALSE))</f>
        <v/>
      </c>
      <c r="E783" s="140"/>
      <c r="F783" s="140"/>
    </row>
    <row r="784" spans="2:6" x14ac:dyDescent="0.3">
      <c r="B784" s="153" t="str">
        <f>IF(Table25[[#This Row],[Date of Inspection
(§63.567(o)(5)(i))]]="","",VLOOKUP(Table25[[#This Row],[Date of Inspection
(§63.567(o)(5)(i))]],Table22[],2,FALSE))</f>
        <v/>
      </c>
      <c r="E784" s="140"/>
      <c r="F784" s="140"/>
    </row>
    <row r="785" spans="2:6" x14ac:dyDescent="0.3">
      <c r="B785" s="153" t="str">
        <f>IF(Table25[[#This Row],[Date of Inspection
(§63.567(o)(5)(i))]]="","",VLOOKUP(Table25[[#This Row],[Date of Inspection
(§63.567(o)(5)(i))]],Table22[],2,FALSE))</f>
        <v/>
      </c>
      <c r="E785" s="140"/>
      <c r="F785" s="140"/>
    </row>
    <row r="786" spans="2:6" x14ac:dyDescent="0.3">
      <c r="B786" s="153" t="str">
        <f>IF(Table25[[#This Row],[Date of Inspection
(§63.567(o)(5)(i))]]="","",VLOOKUP(Table25[[#This Row],[Date of Inspection
(§63.567(o)(5)(i))]],Table22[],2,FALSE))</f>
        <v/>
      </c>
      <c r="E786" s="140"/>
      <c r="F786" s="140"/>
    </row>
    <row r="787" spans="2:6" x14ac:dyDescent="0.3">
      <c r="B787" s="153" t="str">
        <f>IF(Table25[[#This Row],[Date of Inspection
(§63.567(o)(5)(i))]]="","",VLOOKUP(Table25[[#This Row],[Date of Inspection
(§63.567(o)(5)(i))]],Table22[],2,FALSE))</f>
        <v/>
      </c>
      <c r="E787" s="140"/>
      <c r="F787" s="140"/>
    </row>
    <row r="788" spans="2:6" x14ac:dyDescent="0.3">
      <c r="B788" s="153" t="str">
        <f>IF(Table25[[#This Row],[Date of Inspection
(§63.567(o)(5)(i))]]="","",VLOOKUP(Table25[[#This Row],[Date of Inspection
(§63.567(o)(5)(i))]],Table22[],2,FALSE))</f>
        <v/>
      </c>
      <c r="E788" s="140"/>
      <c r="F788" s="140"/>
    </row>
    <row r="789" spans="2:6" x14ac:dyDescent="0.3">
      <c r="B789" s="153" t="str">
        <f>IF(Table25[[#This Row],[Date of Inspection
(§63.567(o)(5)(i))]]="","",VLOOKUP(Table25[[#This Row],[Date of Inspection
(§63.567(o)(5)(i))]],Table22[],2,FALSE))</f>
        <v/>
      </c>
      <c r="E789" s="140"/>
      <c r="F789" s="140"/>
    </row>
    <row r="790" spans="2:6" x14ac:dyDescent="0.3">
      <c r="B790" s="153" t="str">
        <f>IF(Table25[[#This Row],[Date of Inspection
(§63.567(o)(5)(i))]]="","",VLOOKUP(Table25[[#This Row],[Date of Inspection
(§63.567(o)(5)(i))]],Table22[],2,FALSE))</f>
        <v/>
      </c>
      <c r="E790" s="140"/>
      <c r="F790" s="140"/>
    </row>
    <row r="791" spans="2:6" x14ac:dyDescent="0.3">
      <c r="B791" s="153" t="str">
        <f>IF(Table25[[#This Row],[Date of Inspection
(§63.567(o)(5)(i))]]="","",VLOOKUP(Table25[[#This Row],[Date of Inspection
(§63.567(o)(5)(i))]],Table22[],2,FALSE))</f>
        <v/>
      </c>
      <c r="E791" s="140"/>
      <c r="F791" s="140"/>
    </row>
    <row r="792" spans="2:6" x14ac:dyDescent="0.3">
      <c r="B792" s="153" t="str">
        <f>IF(Table25[[#This Row],[Date of Inspection
(§63.567(o)(5)(i))]]="","",VLOOKUP(Table25[[#This Row],[Date of Inspection
(§63.567(o)(5)(i))]],Table22[],2,FALSE))</f>
        <v/>
      </c>
      <c r="E792" s="140"/>
      <c r="F792" s="140"/>
    </row>
    <row r="793" spans="2:6" x14ac:dyDescent="0.3">
      <c r="B793" s="153" t="str">
        <f>IF(Table25[[#This Row],[Date of Inspection
(§63.567(o)(5)(i))]]="","",VLOOKUP(Table25[[#This Row],[Date of Inspection
(§63.567(o)(5)(i))]],Table22[],2,FALSE))</f>
        <v/>
      </c>
      <c r="E793" s="140"/>
      <c r="F793" s="140"/>
    </row>
    <row r="794" spans="2:6" x14ac:dyDescent="0.3">
      <c r="B794" s="153" t="str">
        <f>IF(Table25[[#This Row],[Date of Inspection
(§63.567(o)(5)(i))]]="","",VLOOKUP(Table25[[#This Row],[Date of Inspection
(§63.567(o)(5)(i))]],Table22[],2,FALSE))</f>
        <v/>
      </c>
      <c r="E794" s="140"/>
      <c r="F794" s="140"/>
    </row>
    <row r="795" spans="2:6" x14ac:dyDescent="0.3">
      <c r="B795" s="153" t="str">
        <f>IF(Table25[[#This Row],[Date of Inspection
(§63.567(o)(5)(i))]]="","",VLOOKUP(Table25[[#This Row],[Date of Inspection
(§63.567(o)(5)(i))]],Table22[],2,FALSE))</f>
        <v/>
      </c>
      <c r="E795" s="140"/>
      <c r="F795" s="140"/>
    </row>
    <row r="796" spans="2:6" x14ac:dyDescent="0.3">
      <c r="B796" s="153" t="str">
        <f>IF(Table25[[#This Row],[Date of Inspection
(§63.567(o)(5)(i))]]="","",VLOOKUP(Table25[[#This Row],[Date of Inspection
(§63.567(o)(5)(i))]],Table22[],2,FALSE))</f>
        <v/>
      </c>
      <c r="E796" s="140"/>
      <c r="F796" s="140"/>
    </row>
    <row r="797" spans="2:6" x14ac:dyDescent="0.3">
      <c r="B797" s="153" t="str">
        <f>IF(Table25[[#This Row],[Date of Inspection
(§63.567(o)(5)(i))]]="","",VLOOKUP(Table25[[#This Row],[Date of Inspection
(§63.567(o)(5)(i))]],Table22[],2,FALSE))</f>
        <v/>
      </c>
      <c r="E797" s="140"/>
      <c r="F797" s="140"/>
    </row>
    <row r="798" spans="2:6" x14ac:dyDescent="0.3">
      <c r="B798" s="153" t="str">
        <f>IF(Table25[[#This Row],[Date of Inspection
(§63.567(o)(5)(i))]]="","",VLOOKUP(Table25[[#This Row],[Date of Inspection
(§63.567(o)(5)(i))]],Table22[],2,FALSE))</f>
        <v/>
      </c>
      <c r="E798" s="140"/>
      <c r="F798" s="140"/>
    </row>
    <row r="799" spans="2:6" x14ac:dyDescent="0.3">
      <c r="B799" s="153" t="str">
        <f>IF(Table25[[#This Row],[Date of Inspection
(§63.567(o)(5)(i))]]="","",VLOOKUP(Table25[[#This Row],[Date of Inspection
(§63.567(o)(5)(i))]],Table22[],2,FALSE))</f>
        <v/>
      </c>
      <c r="E799" s="140"/>
      <c r="F799" s="140"/>
    </row>
    <row r="800" spans="2:6" x14ac:dyDescent="0.3">
      <c r="B800" s="153" t="str">
        <f>IF(Table25[[#This Row],[Date of Inspection
(§63.567(o)(5)(i))]]="","",VLOOKUP(Table25[[#This Row],[Date of Inspection
(§63.567(o)(5)(i))]],Table22[],2,FALSE))</f>
        <v/>
      </c>
      <c r="E800" s="140"/>
      <c r="F800" s="140"/>
    </row>
    <row r="801" spans="2:6" x14ac:dyDescent="0.3">
      <c r="B801" s="153" t="str">
        <f>IF(Table25[[#This Row],[Date of Inspection
(§63.567(o)(5)(i))]]="","",VLOOKUP(Table25[[#This Row],[Date of Inspection
(§63.567(o)(5)(i))]],Table22[],2,FALSE))</f>
        <v/>
      </c>
      <c r="E801" s="140"/>
      <c r="F801" s="140"/>
    </row>
    <row r="802" spans="2:6" x14ac:dyDescent="0.3">
      <c r="B802" s="153" t="str">
        <f>IF(Table25[[#This Row],[Date of Inspection
(§63.567(o)(5)(i))]]="","",VLOOKUP(Table25[[#This Row],[Date of Inspection
(§63.567(o)(5)(i))]],Table22[],2,FALSE))</f>
        <v/>
      </c>
      <c r="E802" s="140"/>
      <c r="F802" s="140"/>
    </row>
    <row r="803" spans="2:6" x14ac:dyDescent="0.3">
      <c r="B803" s="153" t="str">
        <f>IF(Table25[[#This Row],[Date of Inspection
(§63.567(o)(5)(i))]]="","",VLOOKUP(Table25[[#This Row],[Date of Inspection
(§63.567(o)(5)(i))]],Table22[],2,FALSE))</f>
        <v/>
      </c>
      <c r="E803" s="140"/>
      <c r="F803" s="140"/>
    </row>
    <row r="804" spans="2:6" x14ac:dyDescent="0.3">
      <c r="B804" s="153" t="str">
        <f>IF(Table25[[#This Row],[Date of Inspection
(§63.567(o)(5)(i))]]="","",VLOOKUP(Table25[[#This Row],[Date of Inspection
(§63.567(o)(5)(i))]],Table22[],2,FALSE))</f>
        <v/>
      </c>
      <c r="E804" s="140"/>
      <c r="F804" s="140"/>
    </row>
    <row r="805" spans="2:6" x14ac:dyDescent="0.3">
      <c r="B805" s="153" t="str">
        <f>IF(Table25[[#This Row],[Date of Inspection
(§63.567(o)(5)(i))]]="","",VLOOKUP(Table25[[#This Row],[Date of Inspection
(§63.567(o)(5)(i))]],Table22[],2,FALSE))</f>
        <v/>
      </c>
      <c r="E805" s="140"/>
      <c r="F805" s="140"/>
    </row>
    <row r="806" spans="2:6" x14ac:dyDescent="0.3">
      <c r="B806" s="153" t="str">
        <f>IF(Table25[[#This Row],[Date of Inspection
(§63.567(o)(5)(i))]]="","",VLOOKUP(Table25[[#This Row],[Date of Inspection
(§63.567(o)(5)(i))]],Table22[],2,FALSE))</f>
        <v/>
      </c>
      <c r="E806" s="140"/>
      <c r="F806" s="140"/>
    </row>
    <row r="807" spans="2:6" x14ac:dyDescent="0.3">
      <c r="B807" s="153" t="str">
        <f>IF(Table25[[#This Row],[Date of Inspection
(§63.567(o)(5)(i))]]="","",VLOOKUP(Table25[[#This Row],[Date of Inspection
(§63.567(o)(5)(i))]],Table22[],2,FALSE))</f>
        <v/>
      </c>
      <c r="E807" s="140"/>
      <c r="F807" s="140"/>
    </row>
    <row r="808" spans="2:6" x14ac:dyDescent="0.3">
      <c r="B808" s="153" t="str">
        <f>IF(Table25[[#This Row],[Date of Inspection
(§63.567(o)(5)(i))]]="","",VLOOKUP(Table25[[#This Row],[Date of Inspection
(§63.567(o)(5)(i))]],Table22[],2,FALSE))</f>
        <v/>
      </c>
      <c r="E808" s="140"/>
      <c r="F808" s="140"/>
    </row>
    <row r="809" spans="2:6" x14ac:dyDescent="0.3">
      <c r="B809" s="153" t="str">
        <f>IF(Table25[[#This Row],[Date of Inspection
(§63.567(o)(5)(i))]]="","",VLOOKUP(Table25[[#This Row],[Date of Inspection
(§63.567(o)(5)(i))]],Table22[],2,FALSE))</f>
        <v/>
      </c>
      <c r="E809" s="140"/>
      <c r="F809" s="140"/>
    </row>
    <row r="810" spans="2:6" x14ac:dyDescent="0.3">
      <c r="B810" s="153" t="str">
        <f>IF(Table25[[#This Row],[Date of Inspection
(§63.567(o)(5)(i))]]="","",VLOOKUP(Table25[[#This Row],[Date of Inspection
(§63.567(o)(5)(i))]],Table22[],2,FALSE))</f>
        <v/>
      </c>
      <c r="E810" s="140"/>
      <c r="F810" s="140"/>
    </row>
    <row r="811" spans="2:6" x14ac:dyDescent="0.3">
      <c r="B811" s="153" t="str">
        <f>IF(Table25[[#This Row],[Date of Inspection
(§63.567(o)(5)(i))]]="","",VLOOKUP(Table25[[#This Row],[Date of Inspection
(§63.567(o)(5)(i))]],Table22[],2,FALSE))</f>
        <v/>
      </c>
      <c r="E811" s="140"/>
      <c r="F811" s="140"/>
    </row>
    <row r="812" spans="2:6" x14ac:dyDescent="0.3">
      <c r="B812" s="153" t="str">
        <f>IF(Table25[[#This Row],[Date of Inspection
(§63.567(o)(5)(i))]]="","",VLOOKUP(Table25[[#This Row],[Date of Inspection
(§63.567(o)(5)(i))]],Table22[],2,FALSE))</f>
        <v/>
      </c>
      <c r="E812" s="140"/>
      <c r="F812" s="140"/>
    </row>
    <row r="813" spans="2:6" x14ac:dyDescent="0.3">
      <c r="B813" s="153" t="str">
        <f>IF(Table25[[#This Row],[Date of Inspection
(§63.567(o)(5)(i))]]="","",VLOOKUP(Table25[[#This Row],[Date of Inspection
(§63.567(o)(5)(i))]],Table22[],2,FALSE))</f>
        <v/>
      </c>
      <c r="E813" s="140"/>
      <c r="F813" s="140"/>
    </row>
    <row r="814" spans="2:6" x14ac:dyDescent="0.3">
      <c r="B814" s="153" t="str">
        <f>IF(Table25[[#This Row],[Date of Inspection
(§63.567(o)(5)(i))]]="","",VLOOKUP(Table25[[#This Row],[Date of Inspection
(§63.567(o)(5)(i))]],Table22[],2,FALSE))</f>
        <v/>
      </c>
      <c r="E814" s="140"/>
      <c r="F814" s="140"/>
    </row>
    <row r="815" spans="2:6" x14ac:dyDescent="0.3">
      <c r="B815" s="153" t="str">
        <f>IF(Table25[[#This Row],[Date of Inspection
(§63.567(o)(5)(i))]]="","",VLOOKUP(Table25[[#This Row],[Date of Inspection
(§63.567(o)(5)(i))]],Table22[],2,FALSE))</f>
        <v/>
      </c>
      <c r="E815" s="140"/>
      <c r="F815" s="140"/>
    </row>
    <row r="816" spans="2:6" x14ac:dyDescent="0.3">
      <c r="B816" s="153" t="str">
        <f>IF(Table25[[#This Row],[Date of Inspection
(§63.567(o)(5)(i))]]="","",VLOOKUP(Table25[[#This Row],[Date of Inspection
(§63.567(o)(5)(i))]],Table22[],2,FALSE))</f>
        <v/>
      </c>
      <c r="E816" s="140"/>
      <c r="F816" s="140"/>
    </row>
    <row r="817" spans="2:6" x14ac:dyDescent="0.3">
      <c r="B817" s="153" t="str">
        <f>IF(Table25[[#This Row],[Date of Inspection
(§63.567(o)(5)(i))]]="","",VLOOKUP(Table25[[#This Row],[Date of Inspection
(§63.567(o)(5)(i))]],Table22[],2,FALSE))</f>
        <v/>
      </c>
      <c r="E817" s="140"/>
      <c r="F817" s="140"/>
    </row>
    <row r="818" spans="2:6" x14ac:dyDescent="0.3">
      <c r="B818" s="153" t="str">
        <f>IF(Table25[[#This Row],[Date of Inspection
(§63.567(o)(5)(i))]]="","",VLOOKUP(Table25[[#This Row],[Date of Inspection
(§63.567(o)(5)(i))]],Table22[],2,FALSE))</f>
        <v/>
      </c>
      <c r="E818" s="140"/>
      <c r="F818" s="140"/>
    </row>
    <row r="819" spans="2:6" x14ac:dyDescent="0.3">
      <c r="B819" s="153" t="str">
        <f>IF(Table25[[#This Row],[Date of Inspection
(§63.567(o)(5)(i))]]="","",VLOOKUP(Table25[[#This Row],[Date of Inspection
(§63.567(o)(5)(i))]],Table22[],2,FALSE))</f>
        <v/>
      </c>
      <c r="E819" s="140"/>
      <c r="F819" s="140"/>
    </row>
    <row r="820" spans="2:6" x14ac:dyDescent="0.3">
      <c r="B820" s="153" t="str">
        <f>IF(Table25[[#This Row],[Date of Inspection
(§63.567(o)(5)(i))]]="","",VLOOKUP(Table25[[#This Row],[Date of Inspection
(§63.567(o)(5)(i))]],Table22[],2,FALSE))</f>
        <v/>
      </c>
      <c r="E820" s="140"/>
      <c r="F820" s="140"/>
    </row>
    <row r="821" spans="2:6" x14ac:dyDescent="0.3">
      <c r="B821" s="153" t="str">
        <f>IF(Table25[[#This Row],[Date of Inspection
(§63.567(o)(5)(i))]]="","",VLOOKUP(Table25[[#This Row],[Date of Inspection
(§63.567(o)(5)(i))]],Table22[],2,FALSE))</f>
        <v/>
      </c>
      <c r="E821" s="140"/>
      <c r="F821" s="140"/>
    </row>
    <row r="822" spans="2:6" x14ac:dyDescent="0.3">
      <c r="B822" s="153" t="str">
        <f>IF(Table25[[#This Row],[Date of Inspection
(§63.567(o)(5)(i))]]="","",VLOOKUP(Table25[[#This Row],[Date of Inspection
(§63.567(o)(5)(i))]],Table22[],2,FALSE))</f>
        <v/>
      </c>
      <c r="E822" s="140"/>
      <c r="F822" s="140"/>
    </row>
    <row r="823" spans="2:6" x14ac:dyDescent="0.3">
      <c r="B823" s="153" t="str">
        <f>IF(Table25[[#This Row],[Date of Inspection
(§63.567(o)(5)(i))]]="","",VLOOKUP(Table25[[#This Row],[Date of Inspection
(§63.567(o)(5)(i))]],Table22[],2,FALSE))</f>
        <v/>
      </c>
      <c r="E823" s="140"/>
      <c r="F823" s="140"/>
    </row>
    <row r="824" spans="2:6" x14ac:dyDescent="0.3">
      <c r="B824" s="153" t="str">
        <f>IF(Table25[[#This Row],[Date of Inspection
(§63.567(o)(5)(i))]]="","",VLOOKUP(Table25[[#This Row],[Date of Inspection
(§63.567(o)(5)(i))]],Table22[],2,FALSE))</f>
        <v/>
      </c>
      <c r="E824" s="140"/>
      <c r="F824" s="140"/>
    </row>
    <row r="825" spans="2:6" x14ac:dyDescent="0.3">
      <c r="B825" s="153" t="str">
        <f>IF(Table25[[#This Row],[Date of Inspection
(§63.567(o)(5)(i))]]="","",VLOOKUP(Table25[[#This Row],[Date of Inspection
(§63.567(o)(5)(i))]],Table22[],2,FALSE))</f>
        <v/>
      </c>
      <c r="E825" s="140"/>
      <c r="F825" s="140"/>
    </row>
    <row r="826" spans="2:6" x14ac:dyDescent="0.3">
      <c r="B826" s="153" t="str">
        <f>IF(Table25[[#This Row],[Date of Inspection
(§63.567(o)(5)(i))]]="","",VLOOKUP(Table25[[#This Row],[Date of Inspection
(§63.567(o)(5)(i))]],Table22[],2,FALSE))</f>
        <v/>
      </c>
      <c r="E826" s="140"/>
      <c r="F826" s="140"/>
    </row>
    <row r="827" spans="2:6" x14ac:dyDescent="0.3">
      <c r="B827" s="153" t="str">
        <f>IF(Table25[[#This Row],[Date of Inspection
(§63.567(o)(5)(i))]]="","",VLOOKUP(Table25[[#This Row],[Date of Inspection
(§63.567(o)(5)(i))]],Table22[],2,FALSE))</f>
        <v/>
      </c>
      <c r="E827" s="140"/>
      <c r="F827" s="140"/>
    </row>
    <row r="828" spans="2:6" x14ac:dyDescent="0.3">
      <c r="B828" s="153" t="str">
        <f>IF(Table25[[#This Row],[Date of Inspection
(§63.567(o)(5)(i))]]="","",VLOOKUP(Table25[[#This Row],[Date of Inspection
(§63.567(o)(5)(i))]],Table22[],2,FALSE))</f>
        <v/>
      </c>
      <c r="E828" s="140"/>
      <c r="F828" s="140"/>
    </row>
    <row r="829" spans="2:6" x14ac:dyDescent="0.3">
      <c r="B829" s="153" t="str">
        <f>IF(Table25[[#This Row],[Date of Inspection
(§63.567(o)(5)(i))]]="","",VLOOKUP(Table25[[#This Row],[Date of Inspection
(§63.567(o)(5)(i))]],Table22[],2,FALSE))</f>
        <v/>
      </c>
      <c r="E829" s="140"/>
      <c r="F829" s="140"/>
    </row>
    <row r="830" spans="2:6" x14ac:dyDescent="0.3">
      <c r="B830" s="153" t="str">
        <f>IF(Table25[[#This Row],[Date of Inspection
(§63.567(o)(5)(i))]]="","",VLOOKUP(Table25[[#This Row],[Date of Inspection
(§63.567(o)(5)(i))]],Table22[],2,FALSE))</f>
        <v/>
      </c>
      <c r="E830" s="140"/>
      <c r="F830" s="140"/>
    </row>
    <row r="831" spans="2:6" x14ac:dyDescent="0.3">
      <c r="B831" s="153" t="str">
        <f>IF(Table25[[#This Row],[Date of Inspection
(§63.567(o)(5)(i))]]="","",VLOOKUP(Table25[[#This Row],[Date of Inspection
(§63.567(o)(5)(i))]],Table22[],2,FALSE))</f>
        <v/>
      </c>
      <c r="E831" s="140"/>
      <c r="F831" s="140"/>
    </row>
    <row r="832" spans="2:6" x14ac:dyDescent="0.3">
      <c r="B832" s="153" t="str">
        <f>IF(Table25[[#This Row],[Date of Inspection
(§63.567(o)(5)(i))]]="","",VLOOKUP(Table25[[#This Row],[Date of Inspection
(§63.567(o)(5)(i))]],Table22[],2,FALSE))</f>
        <v/>
      </c>
      <c r="E832" s="140"/>
      <c r="F832" s="140"/>
    </row>
    <row r="833" spans="2:6" x14ac:dyDescent="0.3">
      <c r="B833" s="153" t="str">
        <f>IF(Table25[[#This Row],[Date of Inspection
(§63.567(o)(5)(i))]]="","",VLOOKUP(Table25[[#This Row],[Date of Inspection
(§63.567(o)(5)(i))]],Table22[],2,FALSE))</f>
        <v/>
      </c>
      <c r="E833" s="140"/>
      <c r="F833" s="140"/>
    </row>
    <row r="834" spans="2:6" x14ac:dyDescent="0.3">
      <c r="B834" s="153" t="str">
        <f>IF(Table25[[#This Row],[Date of Inspection
(§63.567(o)(5)(i))]]="","",VLOOKUP(Table25[[#This Row],[Date of Inspection
(§63.567(o)(5)(i))]],Table22[],2,FALSE))</f>
        <v/>
      </c>
      <c r="E834" s="140"/>
      <c r="F834" s="140"/>
    </row>
    <row r="835" spans="2:6" x14ac:dyDescent="0.3">
      <c r="B835" s="153" t="str">
        <f>IF(Table25[[#This Row],[Date of Inspection
(§63.567(o)(5)(i))]]="","",VLOOKUP(Table25[[#This Row],[Date of Inspection
(§63.567(o)(5)(i))]],Table22[],2,FALSE))</f>
        <v/>
      </c>
      <c r="E835" s="140"/>
      <c r="F835" s="140"/>
    </row>
    <row r="836" spans="2:6" x14ac:dyDescent="0.3">
      <c r="B836" s="153" t="str">
        <f>IF(Table25[[#This Row],[Date of Inspection
(§63.567(o)(5)(i))]]="","",VLOOKUP(Table25[[#This Row],[Date of Inspection
(§63.567(o)(5)(i))]],Table22[],2,FALSE))</f>
        <v/>
      </c>
      <c r="E836" s="140"/>
      <c r="F836" s="140"/>
    </row>
    <row r="837" spans="2:6" x14ac:dyDescent="0.3">
      <c r="B837" s="153" t="str">
        <f>IF(Table25[[#This Row],[Date of Inspection
(§63.567(o)(5)(i))]]="","",VLOOKUP(Table25[[#This Row],[Date of Inspection
(§63.567(o)(5)(i))]],Table22[],2,FALSE))</f>
        <v/>
      </c>
      <c r="E837" s="140"/>
      <c r="F837" s="140"/>
    </row>
    <row r="838" spans="2:6" x14ac:dyDescent="0.3">
      <c r="B838" s="153" t="str">
        <f>IF(Table25[[#This Row],[Date of Inspection
(§63.567(o)(5)(i))]]="","",VLOOKUP(Table25[[#This Row],[Date of Inspection
(§63.567(o)(5)(i))]],Table22[],2,FALSE))</f>
        <v/>
      </c>
      <c r="E838" s="140"/>
      <c r="F838" s="140"/>
    </row>
    <row r="839" spans="2:6" x14ac:dyDescent="0.3">
      <c r="B839" s="153" t="str">
        <f>IF(Table25[[#This Row],[Date of Inspection
(§63.567(o)(5)(i))]]="","",VLOOKUP(Table25[[#This Row],[Date of Inspection
(§63.567(o)(5)(i))]],Table22[],2,FALSE))</f>
        <v/>
      </c>
      <c r="E839" s="140"/>
      <c r="F839" s="140"/>
    </row>
    <row r="840" spans="2:6" x14ac:dyDescent="0.3">
      <c r="B840" s="153" t="str">
        <f>IF(Table25[[#This Row],[Date of Inspection
(§63.567(o)(5)(i))]]="","",VLOOKUP(Table25[[#This Row],[Date of Inspection
(§63.567(o)(5)(i))]],Table22[],2,FALSE))</f>
        <v/>
      </c>
      <c r="E840" s="140"/>
      <c r="F840" s="140"/>
    </row>
    <row r="841" spans="2:6" x14ac:dyDescent="0.3">
      <c r="B841" s="153" t="str">
        <f>IF(Table25[[#This Row],[Date of Inspection
(§63.567(o)(5)(i))]]="","",VLOOKUP(Table25[[#This Row],[Date of Inspection
(§63.567(o)(5)(i))]],Table22[],2,FALSE))</f>
        <v/>
      </c>
      <c r="E841" s="140"/>
      <c r="F841" s="140"/>
    </row>
    <row r="842" spans="2:6" x14ac:dyDescent="0.3">
      <c r="B842" s="153" t="str">
        <f>IF(Table25[[#This Row],[Date of Inspection
(§63.567(o)(5)(i))]]="","",VLOOKUP(Table25[[#This Row],[Date of Inspection
(§63.567(o)(5)(i))]],Table22[],2,FALSE))</f>
        <v/>
      </c>
      <c r="E842" s="140"/>
      <c r="F842" s="140"/>
    </row>
    <row r="843" spans="2:6" x14ac:dyDescent="0.3">
      <c r="B843" s="153" t="str">
        <f>IF(Table25[[#This Row],[Date of Inspection
(§63.567(o)(5)(i))]]="","",VLOOKUP(Table25[[#This Row],[Date of Inspection
(§63.567(o)(5)(i))]],Table22[],2,FALSE))</f>
        <v/>
      </c>
      <c r="E843" s="140"/>
      <c r="F843" s="140"/>
    </row>
    <row r="844" spans="2:6" x14ac:dyDescent="0.3">
      <c r="B844" s="153" t="str">
        <f>IF(Table25[[#This Row],[Date of Inspection
(§63.567(o)(5)(i))]]="","",VLOOKUP(Table25[[#This Row],[Date of Inspection
(§63.567(o)(5)(i))]],Table22[],2,FALSE))</f>
        <v/>
      </c>
      <c r="E844" s="140"/>
      <c r="F844" s="140"/>
    </row>
    <row r="845" spans="2:6" x14ac:dyDescent="0.3">
      <c r="B845" s="153" t="str">
        <f>IF(Table25[[#This Row],[Date of Inspection
(§63.567(o)(5)(i))]]="","",VLOOKUP(Table25[[#This Row],[Date of Inspection
(§63.567(o)(5)(i))]],Table22[],2,FALSE))</f>
        <v/>
      </c>
      <c r="E845" s="140"/>
      <c r="F845" s="140"/>
    </row>
    <row r="846" spans="2:6" x14ac:dyDescent="0.3">
      <c r="B846" s="153" t="str">
        <f>IF(Table25[[#This Row],[Date of Inspection
(§63.567(o)(5)(i))]]="","",VLOOKUP(Table25[[#This Row],[Date of Inspection
(§63.567(o)(5)(i))]],Table22[],2,FALSE))</f>
        <v/>
      </c>
      <c r="E846" s="140"/>
      <c r="F846" s="140"/>
    </row>
    <row r="847" spans="2:6" x14ac:dyDescent="0.3">
      <c r="B847" s="153" t="str">
        <f>IF(Table25[[#This Row],[Date of Inspection
(§63.567(o)(5)(i))]]="","",VLOOKUP(Table25[[#This Row],[Date of Inspection
(§63.567(o)(5)(i))]],Table22[],2,FALSE))</f>
        <v/>
      </c>
      <c r="E847" s="140"/>
      <c r="F847" s="140"/>
    </row>
    <row r="848" spans="2:6" x14ac:dyDescent="0.3">
      <c r="B848" s="153" t="str">
        <f>IF(Table25[[#This Row],[Date of Inspection
(§63.567(o)(5)(i))]]="","",VLOOKUP(Table25[[#This Row],[Date of Inspection
(§63.567(o)(5)(i))]],Table22[],2,FALSE))</f>
        <v/>
      </c>
      <c r="E848" s="140"/>
      <c r="F848" s="140"/>
    </row>
    <row r="849" spans="2:6" x14ac:dyDescent="0.3">
      <c r="B849" s="153" t="str">
        <f>IF(Table25[[#This Row],[Date of Inspection
(§63.567(o)(5)(i))]]="","",VLOOKUP(Table25[[#This Row],[Date of Inspection
(§63.567(o)(5)(i))]],Table22[],2,FALSE))</f>
        <v/>
      </c>
      <c r="E849" s="140"/>
      <c r="F849" s="140"/>
    </row>
    <row r="850" spans="2:6" x14ac:dyDescent="0.3">
      <c r="B850" s="153" t="str">
        <f>IF(Table25[[#This Row],[Date of Inspection
(§63.567(o)(5)(i))]]="","",VLOOKUP(Table25[[#This Row],[Date of Inspection
(§63.567(o)(5)(i))]],Table22[],2,FALSE))</f>
        <v/>
      </c>
      <c r="E850" s="140"/>
      <c r="F850" s="140"/>
    </row>
    <row r="851" spans="2:6" x14ac:dyDescent="0.3">
      <c r="B851" s="153" t="str">
        <f>IF(Table25[[#This Row],[Date of Inspection
(§63.567(o)(5)(i))]]="","",VLOOKUP(Table25[[#This Row],[Date of Inspection
(§63.567(o)(5)(i))]],Table22[],2,FALSE))</f>
        <v/>
      </c>
      <c r="E851" s="140"/>
      <c r="F851" s="140"/>
    </row>
    <row r="852" spans="2:6" x14ac:dyDescent="0.3">
      <c r="B852" s="153" t="str">
        <f>IF(Table25[[#This Row],[Date of Inspection
(§63.567(o)(5)(i))]]="","",VLOOKUP(Table25[[#This Row],[Date of Inspection
(§63.567(o)(5)(i))]],Table22[],2,FALSE))</f>
        <v/>
      </c>
      <c r="E852" s="140"/>
      <c r="F852" s="140"/>
    </row>
    <row r="853" spans="2:6" x14ac:dyDescent="0.3">
      <c r="B853" s="153" t="str">
        <f>IF(Table25[[#This Row],[Date of Inspection
(§63.567(o)(5)(i))]]="","",VLOOKUP(Table25[[#This Row],[Date of Inspection
(§63.567(o)(5)(i))]],Table22[],2,FALSE))</f>
        <v/>
      </c>
      <c r="E853" s="140"/>
      <c r="F853" s="140"/>
    </row>
    <row r="854" spans="2:6" x14ac:dyDescent="0.3">
      <c r="B854" s="153" t="str">
        <f>IF(Table25[[#This Row],[Date of Inspection
(§63.567(o)(5)(i))]]="","",VLOOKUP(Table25[[#This Row],[Date of Inspection
(§63.567(o)(5)(i))]],Table22[],2,FALSE))</f>
        <v/>
      </c>
      <c r="E854" s="140"/>
      <c r="F854" s="140"/>
    </row>
    <row r="855" spans="2:6" x14ac:dyDescent="0.3">
      <c r="B855" s="153" t="str">
        <f>IF(Table25[[#This Row],[Date of Inspection
(§63.567(o)(5)(i))]]="","",VLOOKUP(Table25[[#This Row],[Date of Inspection
(§63.567(o)(5)(i))]],Table22[],2,FALSE))</f>
        <v/>
      </c>
      <c r="E855" s="140"/>
      <c r="F855" s="140"/>
    </row>
    <row r="856" spans="2:6" x14ac:dyDescent="0.3">
      <c r="B856" s="153" t="str">
        <f>IF(Table25[[#This Row],[Date of Inspection
(§63.567(o)(5)(i))]]="","",VLOOKUP(Table25[[#This Row],[Date of Inspection
(§63.567(o)(5)(i))]],Table22[],2,FALSE))</f>
        <v/>
      </c>
      <c r="E856" s="140"/>
      <c r="F856" s="140"/>
    </row>
    <row r="857" spans="2:6" x14ac:dyDescent="0.3">
      <c r="B857" s="153" t="str">
        <f>IF(Table25[[#This Row],[Date of Inspection
(§63.567(o)(5)(i))]]="","",VLOOKUP(Table25[[#This Row],[Date of Inspection
(§63.567(o)(5)(i))]],Table22[],2,FALSE))</f>
        <v/>
      </c>
      <c r="E857" s="140"/>
      <c r="F857" s="140"/>
    </row>
    <row r="858" spans="2:6" x14ac:dyDescent="0.3">
      <c r="B858" s="153" t="str">
        <f>IF(Table25[[#This Row],[Date of Inspection
(§63.567(o)(5)(i))]]="","",VLOOKUP(Table25[[#This Row],[Date of Inspection
(§63.567(o)(5)(i))]],Table22[],2,FALSE))</f>
        <v/>
      </c>
      <c r="E858" s="140"/>
      <c r="F858" s="140"/>
    </row>
    <row r="859" spans="2:6" x14ac:dyDescent="0.3">
      <c r="B859" s="153" t="str">
        <f>IF(Table25[[#This Row],[Date of Inspection
(§63.567(o)(5)(i))]]="","",VLOOKUP(Table25[[#This Row],[Date of Inspection
(§63.567(o)(5)(i))]],Table22[],2,FALSE))</f>
        <v/>
      </c>
      <c r="E859" s="140"/>
      <c r="F859" s="140"/>
    </row>
    <row r="860" spans="2:6" x14ac:dyDescent="0.3">
      <c r="B860" s="153" t="str">
        <f>IF(Table25[[#This Row],[Date of Inspection
(§63.567(o)(5)(i))]]="","",VLOOKUP(Table25[[#This Row],[Date of Inspection
(§63.567(o)(5)(i))]],Table22[],2,FALSE))</f>
        <v/>
      </c>
      <c r="E860" s="140"/>
      <c r="F860" s="140"/>
    </row>
    <row r="861" spans="2:6" x14ac:dyDescent="0.3">
      <c r="B861" s="153" t="str">
        <f>IF(Table25[[#This Row],[Date of Inspection
(§63.567(o)(5)(i))]]="","",VLOOKUP(Table25[[#This Row],[Date of Inspection
(§63.567(o)(5)(i))]],Table22[],2,FALSE))</f>
        <v/>
      </c>
      <c r="E861" s="140"/>
      <c r="F861" s="140"/>
    </row>
    <row r="862" spans="2:6" x14ac:dyDescent="0.3">
      <c r="B862" s="153" t="str">
        <f>IF(Table25[[#This Row],[Date of Inspection
(§63.567(o)(5)(i))]]="","",VLOOKUP(Table25[[#This Row],[Date of Inspection
(§63.567(o)(5)(i))]],Table22[],2,FALSE))</f>
        <v/>
      </c>
      <c r="E862" s="140"/>
      <c r="F862" s="140"/>
    </row>
    <row r="863" spans="2:6" x14ac:dyDescent="0.3">
      <c r="B863" s="153" t="str">
        <f>IF(Table25[[#This Row],[Date of Inspection
(§63.567(o)(5)(i))]]="","",VLOOKUP(Table25[[#This Row],[Date of Inspection
(§63.567(o)(5)(i))]],Table22[],2,FALSE))</f>
        <v/>
      </c>
      <c r="E863" s="140"/>
      <c r="F863" s="140"/>
    </row>
    <row r="864" spans="2:6" x14ac:dyDescent="0.3">
      <c r="B864" s="153" t="str">
        <f>IF(Table25[[#This Row],[Date of Inspection
(§63.567(o)(5)(i))]]="","",VLOOKUP(Table25[[#This Row],[Date of Inspection
(§63.567(o)(5)(i))]],Table22[],2,FALSE))</f>
        <v/>
      </c>
      <c r="E864" s="140"/>
      <c r="F864" s="140"/>
    </row>
    <row r="865" spans="2:6" x14ac:dyDescent="0.3">
      <c r="B865" s="153" t="str">
        <f>IF(Table25[[#This Row],[Date of Inspection
(§63.567(o)(5)(i))]]="","",VLOOKUP(Table25[[#This Row],[Date of Inspection
(§63.567(o)(5)(i))]],Table22[],2,FALSE))</f>
        <v/>
      </c>
      <c r="E865" s="140"/>
      <c r="F865" s="140"/>
    </row>
    <row r="866" spans="2:6" x14ac:dyDescent="0.3">
      <c r="B866" s="153" t="str">
        <f>IF(Table25[[#This Row],[Date of Inspection
(§63.567(o)(5)(i))]]="","",VLOOKUP(Table25[[#This Row],[Date of Inspection
(§63.567(o)(5)(i))]],Table22[],2,FALSE))</f>
        <v/>
      </c>
      <c r="E866" s="140"/>
      <c r="F866" s="140"/>
    </row>
    <row r="867" spans="2:6" x14ac:dyDescent="0.3">
      <c r="B867" s="153" t="str">
        <f>IF(Table25[[#This Row],[Date of Inspection
(§63.567(o)(5)(i))]]="","",VLOOKUP(Table25[[#This Row],[Date of Inspection
(§63.567(o)(5)(i))]],Table22[],2,FALSE))</f>
        <v/>
      </c>
      <c r="E867" s="140"/>
      <c r="F867" s="140"/>
    </row>
    <row r="868" spans="2:6" x14ac:dyDescent="0.3">
      <c r="B868" s="153" t="str">
        <f>IF(Table25[[#This Row],[Date of Inspection
(§63.567(o)(5)(i))]]="","",VLOOKUP(Table25[[#This Row],[Date of Inspection
(§63.567(o)(5)(i))]],Table22[],2,FALSE))</f>
        <v/>
      </c>
      <c r="E868" s="140"/>
      <c r="F868" s="140"/>
    </row>
    <row r="869" spans="2:6" x14ac:dyDescent="0.3">
      <c r="B869" s="153" t="str">
        <f>IF(Table25[[#This Row],[Date of Inspection
(§63.567(o)(5)(i))]]="","",VLOOKUP(Table25[[#This Row],[Date of Inspection
(§63.567(o)(5)(i))]],Table22[],2,FALSE))</f>
        <v/>
      </c>
      <c r="E869" s="140"/>
      <c r="F869" s="140"/>
    </row>
    <row r="870" spans="2:6" x14ac:dyDescent="0.3">
      <c r="B870" s="153" t="str">
        <f>IF(Table25[[#This Row],[Date of Inspection
(§63.567(o)(5)(i))]]="","",VLOOKUP(Table25[[#This Row],[Date of Inspection
(§63.567(o)(5)(i))]],Table22[],2,FALSE))</f>
        <v/>
      </c>
      <c r="E870" s="140"/>
      <c r="F870" s="140"/>
    </row>
    <row r="871" spans="2:6" x14ac:dyDescent="0.3">
      <c r="B871" s="153" t="str">
        <f>IF(Table25[[#This Row],[Date of Inspection
(§63.567(o)(5)(i))]]="","",VLOOKUP(Table25[[#This Row],[Date of Inspection
(§63.567(o)(5)(i))]],Table22[],2,FALSE))</f>
        <v/>
      </c>
      <c r="E871" s="140"/>
      <c r="F871" s="140"/>
    </row>
    <row r="872" spans="2:6" x14ac:dyDescent="0.3">
      <c r="B872" s="153" t="str">
        <f>IF(Table25[[#This Row],[Date of Inspection
(§63.567(o)(5)(i))]]="","",VLOOKUP(Table25[[#This Row],[Date of Inspection
(§63.567(o)(5)(i))]],Table22[],2,FALSE))</f>
        <v/>
      </c>
      <c r="E872" s="140"/>
      <c r="F872" s="140"/>
    </row>
    <row r="873" spans="2:6" x14ac:dyDescent="0.3">
      <c r="B873" s="153" t="str">
        <f>IF(Table25[[#This Row],[Date of Inspection
(§63.567(o)(5)(i))]]="","",VLOOKUP(Table25[[#This Row],[Date of Inspection
(§63.567(o)(5)(i))]],Table22[],2,FALSE))</f>
        <v/>
      </c>
      <c r="E873" s="140"/>
      <c r="F873" s="140"/>
    </row>
    <row r="874" spans="2:6" x14ac:dyDescent="0.3">
      <c r="B874" s="153" t="str">
        <f>IF(Table25[[#This Row],[Date of Inspection
(§63.567(o)(5)(i))]]="","",VLOOKUP(Table25[[#This Row],[Date of Inspection
(§63.567(o)(5)(i))]],Table22[],2,FALSE))</f>
        <v/>
      </c>
      <c r="E874" s="140"/>
      <c r="F874" s="140"/>
    </row>
    <row r="875" spans="2:6" x14ac:dyDescent="0.3">
      <c r="B875" s="153" t="str">
        <f>IF(Table25[[#This Row],[Date of Inspection
(§63.567(o)(5)(i))]]="","",VLOOKUP(Table25[[#This Row],[Date of Inspection
(§63.567(o)(5)(i))]],Table22[],2,FALSE))</f>
        <v/>
      </c>
      <c r="E875" s="140"/>
      <c r="F875" s="140"/>
    </row>
    <row r="876" spans="2:6" x14ac:dyDescent="0.3">
      <c r="B876" s="153" t="str">
        <f>IF(Table25[[#This Row],[Date of Inspection
(§63.567(o)(5)(i))]]="","",VLOOKUP(Table25[[#This Row],[Date of Inspection
(§63.567(o)(5)(i))]],Table22[],2,FALSE))</f>
        <v/>
      </c>
      <c r="E876" s="140"/>
      <c r="F876" s="140"/>
    </row>
    <row r="877" spans="2:6" x14ac:dyDescent="0.3">
      <c r="B877" s="153" t="str">
        <f>IF(Table25[[#This Row],[Date of Inspection
(§63.567(o)(5)(i))]]="","",VLOOKUP(Table25[[#This Row],[Date of Inspection
(§63.567(o)(5)(i))]],Table22[],2,FALSE))</f>
        <v/>
      </c>
      <c r="E877" s="140"/>
      <c r="F877" s="140"/>
    </row>
    <row r="878" spans="2:6" x14ac:dyDescent="0.3">
      <c r="B878" s="153" t="str">
        <f>IF(Table25[[#This Row],[Date of Inspection
(§63.567(o)(5)(i))]]="","",VLOOKUP(Table25[[#This Row],[Date of Inspection
(§63.567(o)(5)(i))]],Table22[],2,FALSE))</f>
        <v/>
      </c>
      <c r="E878" s="140"/>
      <c r="F878" s="140"/>
    </row>
    <row r="879" spans="2:6" x14ac:dyDescent="0.3">
      <c r="B879" s="153" t="str">
        <f>IF(Table25[[#This Row],[Date of Inspection
(§63.567(o)(5)(i))]]="","",VLOOKUP(Table25[[#This Row],[Date of Inspection
(§63.567(o)(5)(i))]],Table22[],2,FALSE))</f>
        <v/>
      </c>
      <c r="E879" s="140"/>
      <c r="F879" s="140"/>
    </row>
    <row r="880" spans="2:6" x14ac:dyDescent="0.3">
      <c r="B880" s="153" t="str">
        <f>IF(Table25[[#This Row],[Date of Inspection
(§63.567(o)(5)(i))]]="","",VLOOKUP(Table25[[#This Row],[Date of Inspection
(§63.567(o)(5)(i))]],Table22[],2,FALSE))</f>
        <v/>
      </c>
      <c r="E880" s="140"/>
      <c r="F880" s="140"/>
    </row>
    <row r="881" spans="2:6" x14ac:dyDescent="0.3">
      <c r="B881" s="153" t="str">
        <f>IF(Table25[[#This Row],[Date of Inspection
(§63.567(o)(5)(i))]]="","",VLOOKUP(Table25[[#This Row],[Date of Inspection
(§63.567(o)(5)(i))]],Table22[],2,FALSE))</f>
        <v/>
      </c>
      <c r="E881" s="140"/>
      <c r="F881" s="140"/>
    </row>
    <row r="882" spans="2:6" x14ac:dyDescent="0.3">
      <c r="B882" s="153" t="str">
        <f>IF(Table25[[#This Row],[Date of Inspection
(§63.567(o)(5)(i))]]="","",VLOOKUP(Table25[[#This Row],[Date of Inspection
(§63.567(o)(5)(i))]],Table22[],2,FALSE))</f>
        <v/>
      </c>
      <c r="E882" s="140"/>
      <c r="F882" s="140"/>
    </row>
    <row r="883" spans="2:6" x14ac:dyDescent="0.3">
      <c r="B883" s="153" t="str">
        <f>IF(Table25[[#This Row],[Date of Inspection
(§63.567(o)(5)(i))]]="","",VLOOKUP(Table25[[#This Row],[Date of Inspection
(§63.567(o)(5)(i))]],Table22[],2,FALSE))</f>
        <v/>
      </c>
      <c r="E883" s="140"/>
      <c r="F883" s="140"/>
    </row>
    <row r="884" spans="2:6" x14ac:dyDescent="0.3">
      <c r="B884" s="153" t="str">
        <f>IF(Table25[[#This Row],[Date of Inspection
(§63.567(o)(5)(i))]]="","",VLOOKUP(Table25[[#This Row],[Date of Inspection
(§63.567(o)(5)(i))]],Table22[],2,FALSE))</f>
        <v/>
      </c>
      <c r="E884" s="140"/>
      <c r="F884" s="140"/>
    </row>
    <row r="885" spans="2:6" x14ac:dyDescent="0.3">
      <c r="B885" s="153" t="str">
        <f>IF(Table25[[#This Row],[Date of Inspection
(§63.567(o)(5)(i))]]="","",VLOOKUP(Table25[[#This Row],[Date of Inspection
(§63.567(o)(5)(i))]],Table22[],2,FALSE))</f>
        <v/>
      </c>
      <c r="E885" s="140"/>
      <c r="F885" s="140"/>
    </row>
    <row r="886" spans="2:6" x14ac:dyDescent="0.3">
      <c r="B886" s="153" t="str">
        <f>IF(Table25[[#This Row],[Date of Inspection
(§63.567(o)(5)(i))]]="","",VLOOKUP(Table25[[#This Row],[Date of Inspection
(§63.567(o)(5)(i))]],Table22[],2,FALSE))</f>
        <v/>
      </c>
      <c r="E886" s="140"/>
      <c r="F886" s="140"/>
    </row>
    <row r="887" spans="2:6" x14ac:dyDescent="0.3">
      <c r="B887" s="153" t="str">
        <f>IF(Table25[[#This Row],[Date of Inspection
(§63.567(o)(5)(i))]]="","",VLOOKUP(Table25[[#This Row],[Date of Inspection
(§63.567(o)(5)(i))]],Table22[],2,FALSE))</f>
        <v/>
      </c>
      <c r="E887" s="140"/>
      <c r="F887" s="140"/>
    </row>
    <row r="888" spans="2:6" x14ac:dyDescent="0.3">
      <c r="B888" s="153" t="str">
        <f>IF(Table25[[#This Row],[Date of Inspection
(§63.567(o)(5)(i))]]="","",VLOOKUP(Table25[[#This Row],[Date of Inspection
(§63.567(o)(5)(i))]],Table22[],2,FALSE))</f>
        <v/>
      </c>
      <c r="E888" s="140"/>
      <c r="F888" s="140"/>
    </row>
    <row r="889" spans="2:6" x14ac:dyDescent="0.3">
      <c r="B889" s="153" t="str">
        <f>IF(Table25[[#This Row],[Date of Inspection
(§63.567(o)(5)(i))]]="","",VLOOKUP(Table25[[#This Row],[Date of Inspection
(§63.567(o)(5)(i))]],Table22[],2,FALSE))</f>
        <v/>
      </c>
      <c r="E889" s="140"/>
      <c r="F889" s="140"/>
    </row>
    <row r="890" spans="2:6" x14ac:dyDescent="0.3">
      <c r="B890" s="153" t="str">
        <f>IF(Table25[[#This Row],[Date of Inspection
(§63.567(o)(5)(i))]]="","",VLOOKUP(Table25[[#This Row],[Date of Inspection
(§63.567(o)(5)(i))]],Table22[],2,FALSE))</f>
        <v/>
      </c>
      <c r="E890" s="140"/>
      <c r="F890" s="140"/>
    </row>
    <row r="891" spans="2:6" x14ac:dyDescent="0.3">
      <c r="B891" s="153" t="str">
        <f>IF(Table25[[#This Row],[Date of Inspection
(§63.567(o)(5)(i))]]="","",VLOOKUP(Table25[[#This Row],[Date of Inspection
(§63.567(o)(5)(i))]],Table22[],2,FALSE))</f>
        <v/>
      </c>
      <c r="E891" s="140"/>
      <c r="F891" s="140"/>
    </row>
    <row r="892" spans="2:6" x14ac:dyDescent="0.3">
      <c r="B892" s="153" t="str">
        <f>IF(Table25[[#This Row],[Date of Inspection
(§63.567(o)(5)(i))]]="","",VLOOKUP(Table25[[#This Row],[Date of Inspection
(§63.567(o)(5)(i))]],Table22[],2,FALSE))</f>
        <v/>
      </c>
      <c r="E892" s="140"/>
      <c r="F892" s="140"/>
    </row>
    <row r="893" spans="2:6" x14ac:dyDescent="0.3">
      <c r="B893" s="153" t="str">
        <f>IF(Table25[[#This Row],[Date of Inspection
(§63.567(o)(5)(i))]]="","",VLOOKUP(Table25[[#This Row],[Date of Inspection
(§63.567(o)(5)(i))]],Table22[],2,FALSE))</f>
        <v/>
      </c>
      <c r="E893" s="140"/>
      <c r="F893" s="140"/>
    </row>
    <row r="894" spans="2:6" x14ac:dyDescent="0.3">
      <c r="B894" s="153" t="str">
        <f>IF(Table25[[#This Row],[Date of Inspection
(§63.567(o)(5)(i))]]="","",VLOOKUP(Table25[[#This Row],[Date of Inspection
(§63.567(o)(5)(i))]],Table22[],2,FALSE))</f>
        <v/>
      </c>
      <c r="E894" s="140"/>
      <c r="F894" s="140"/>
    </row>
    <row r="895" spans="2:6" x14ac:dyDescent="0.3">
      <c r="B895" s="153" t="str">
        <f>IF(Table25[[#This Row],[Date of Inspection
(§63.567(o)(5)(i))]]="","",VLOOKUP(Table25[[#This Row],[Date of Inspection
(§63.567(o)(5)(i))]],Table22[],2,FALSE))</f>
        <v/>
      </c>
      <c r="E895" s="140"/>
      <c r="F895" s="140"/>
    </row>
    <row r="896" spans="2:6" x14ac:dyDescent="0.3">
      <c r="B896" s="153" t="str">
        <f>IF(Table25[[#This Row],[Date of Inspection
(§63.567(o)(5)(i))]]="","",VLOOKUP(Table25[[#This Row],[Date of Inspection
(§63.567(o)(5)(i))]],Table22[],2,FALSE))</f>
        <v/>
      </c>
      <c r="E896" s="140"/>
      <c r="F896" s="140"/>
    </row>
    <row r="897" spans="2:6" x14ac:dyDescent="0.3">
      <c r="B897" s="153" t="str">
        <f>IF(Table25[[#This Row],[Date of Inspection
(§63.567(o)(5)(i))]]="","",VLOOKUP(Table25[[#This Row],[Date of Inspection
(§63.567(o)(5)(i))]],Table22[],2,FALSE))</f>
        <v/>
      </c>
      <c r="E897" s="140"/>
      <c r="F897" s="140"/>
    </row>
    <row r="898" spans="2:6" x14ac:dyDescent="0.3">
      <c r="B898" s="153" t="str">
        <f>IF(Table25[[#This Row],[Date of Inspection
(§63.567(o)(5)(i))]]="","",VLOOKUP(Table25[[#This Row],[Date of Inspection
(§63.567(o)(5)(i))]],Table22[],2,FALSE))</f>
        <v/>
      </c>
      <c r="E898" s="140"/>
      <c r="F898" s="140"/>
    </row>
    <row r="899" spans="2:6" x14ac:dyDescent="0.3">
      <c r="B899" s="153" t="str">
        <f>IF(Table25[[#This Row],[Date of Inspection
(§63.567(o)(5)(i))]]="","",VLOOKUP(Table25[[#This Row],[Date of Inspection
(§63.567(o)(5)(i))]],Table22[],2,FALSE))</f>
        <v/>
      </c>
      <c r="E899" s="140"/>
      <c r="F899" s="140"/>
    </row>
    <row r="900" spans="2:6" x14ac:dyDescent="0.3">
      <c r="B900" s="153" t="str">
        <f>IF(Table25[[#This Row],[Date of Inspection
(§63.567(o)(5)(i))]]="","",VLOOKUP(Table25[[#This Row],[Date of Inspection
(§63.567(o)(5)(i))]],Table22[],2,FALSE))</f>
        <v/>
      </c>
      <c r="E900" s="140"/>
      <c r="F900" s="140"/>
    </row>
    <row r="901" spans="2:6" x14ac:dyDescent="0.3">
      <c r="B901" s="153" t="str">
        <f>IF(Table25[[#This Row],[Date of Inspection
(§63.567(o)(5)(i))]]="","",VLOOKUP(Table25[[#This Row],[Date of Inspection
(§63.567(o)(5)(i))]],Table22[],2,FALSE))</f>
        <v/>
      </c>
      <c r="E901" s="140"/>
      <c r="F901" s="140"/>
    </row>
    <row r="902" spans="2:6" x14ac:dyDescent="0.3">
      <c r="B902" s="153" t="str">
        <f>IF(Table25[[#This Row],[Date of Inspection
(§63.567(o)(5)(i))]]="","",VLOOKUP(Table25[[#This Row],[Date of Inspection
(§63.567(o)(5)(i))]],Table22[],2,FALSE))</f>
        <v/>
      </c>
      <c r="E902" s="140"/>
      <c r="F902" s="140"/>
    </row>
    <row r="903" spans="2:6" x14ac:dyDescent="0.3">
      <c r="B903" s="153" t="str">
        <f>IF(Table25[[#This Row],[Date of Inspection
(§63.567(o)(5)(i))]]="","",VLOOKUP(Table25[[#This Row],[Date of Inspection
(§63.567(o)(5)(i))]],Table22[],2,FALSE))</f>
        <v/>
      </c>
      <c r="E903" s="140"/>
      <c r="F903" s="140"/>
    </row>
    <row r="904" spans="2:6" x14ac:dyDescent="0.3">
      <c r="B904" s="153" t="str">
        <f>IF(Table25[[#This Row],[Date of Inspection
(§63.567(o)(5)(i))]]="","",VLOOKUP(Table25[[#This Row],[Date of Inspection
(§63.567(o)(5)(i))]],Table22[],2,FALSE))</f>
        <v/>
      </c>
      <c r="E904" s="140"/>
      <c r="F904" s="140"/>
    </row>
    <row r="905" spans="2:6" x14ac:dyDescent="0.3">
      <c r="B905" s="153" t="str">
        <f>IF(Table25[[#This Row],[Date of Inspection
(§63.567(o)(5)(i))]]="","",VLOOKUP(Table25[[#This Row],[Date of Inspection
(§63.567(o)(5)(i))]],Table22[],2,FALSE))</f>
        <v/>
      </c>
      <c r="E905" s="140"/>
      <c r="F905" s="140"/>
    </row>
    <row r="906" spans="2:6" x14ac:dyDescent="0.3">
      <c r="B906" s="153" t="str">
        <f>IF(Table25[[#This Row],[Date of Inspection
(§63.567(o)(5)(i))]]="","",VLOOKUP(Table25[[#This Row],[Date of Inspection
(§63.567(o)(5)(i))]],Table22[],2,FALSE))</f>
        <v/>
      </c>
      <c r="E906" s="140"/>
      <c r="F906" s="140"/>
    </row>
    <row r="907" spans="2:6" x14ac:dyDescent="0.3">
      <c r="B907" s="153" t="str">
        <f>IF(Table25[[#This Row],[Date of Inspection
(§63.567(o)(5)(i))]]="","",VLOOKUP(Table25[[#This Row],[Date of Inspection
(§63.567(o)(5)(i))]],Table22[],2,FALSE))</f>
        <v/>
      </c>
      <c r="E907" s="140"/>
      <c r="F907" s="140"/>
    </row>
    <row r="908" spans="2:6" x14ac:dyDescent="0.3">
      <c r="B908" s="153" t="str">
        <f>IF(Table25[[#This Row],[Date of Inspection
(§63.567(o)(5)(i))]]="","",VLOOKUP(Table25[[#This Row],[Date of Inspection
(§63.567(o)(5)(i))]],Table22[],2,FALSE))</f>
        <v/>
      </c>
      <c r="E908" s="140"/>
      <c r="F908" s="140"/>
    </row>
    <row r="909" spans="2:6" x14ac:dyDescent="0.3">
      <c r="B909" s="153" t="str">
        <f>IF(Table25[[#This Row],[Date of Inspection
(§63.567(o)(5)(i))]]="","",VLOOKUP(Table25[[#This Row],[Date of Inspection
(§63.567(o)(5)(i))]],Table22[],2,FALSE))</f>
        <v/>
      </c>
      <c r="E909" s="140"/>
      <c r="F909" s="140"/>
    </row>
    <row r="910" spans="2:6" x14ac:dyDescent="0.3">
      <c r="B910" s="153" t="str">
        <f>IF(Table25[[#This Row],[Date of Inspection
(§63.567(o)(5)(i))]]="","",VLOOKUP(Table25[[#This Row],[Date of Inspection
(§63.567(o)(5)(i))]],Table22[],2,FALSE))</f>
        <v/>
      </c>
      <c r="E910" s="140"/>
      <c r="F910" s="140"/>
    </row>
    <row r="911" spans="2:6" x14ac:dyDescent="0.3">
      <c r="B911" s="153" t="str">
        <f>IF(Table25[[#This Row],[Date of Inspection
(§63.567(o)(5)(i))]]="","",VLOOKUP(Table25[[#This Row],[Date of Inspection
(§63.567(o)(5)(i))]],Table22[],2,FALSE))</f>
        <v/>
      </c>
      <c r="E911" s="140"/>
      <c r="F911" s="140"/>
    </row>
    <row r="912" spans="2:6" x14ac:dyDescent="0.3">
      <c r="B912" s="153" t="str">
        <f>IF(Table25[[#This Row],[Date of Inspection
(§63.567(o)(5)(i))]]="","",VLOOKUP(Table25[[#This Row],[Date of Inspection
(§63.567(o)(5)(i))]],Table22[],2,FALSE))</f>
        <v/>
      </c>
      <c r="E912" s="140"/>
      <c r="F912" s="140"/>
    </row>
    <row r="913" spans="2:6" x14ac:dyDescent="0.3">
      <c r="B913" s="153" t="str">
        <f>IF(Table25[[#This Row],[Date of Inspection
(§63.567(o)(5)(i))]]="","",VLOOKUP(Table25[[#This Row],[Date of Inspection
(§63.567(o)(5)(i))]],Table22[],2,FALSE))</f>
        <v/>
      </c>
      <c r="E913" s="140"/>
      <c r="F913" s="140"/>
    </row>
    <row r="914" spans="2:6" x14ac:dyDescent="0.3">
      <c r="B914" s="153" t="str">
        <f>IF(Table25[[#This Row],[Date of Inspection
(§63.567(o)(5)(i))]]="","",VLOOKUP(Table25[[#This Row],[Date of Inspection
(§63.567(o)(5)(i))]],Table22[],2,FALSE))</f>
        <v/>
      </c>
      <c r="E914" s="140"/>
      <c r="F914" s="140"/>
    </row>
    <row r="915" spans="2:6" x14ac:dyDescent="0.3">
      <c r="B915" s="153" t="str">
        <f>IF(Table25[[#This Row],[Date of Inspection
(§63.567(o)(5)(i))]]="","",VLOOKUP(Table25[[#This Row],[Date of Inspection
(§63.567(o)(5)(i))]],Table22[],2,FALSE))</f>
        <v/>
      </c>
      <c r="E915" s="140"/>
      <c r="F915" s="140"/>
    </row>
    <row r="916" spans="2:6" x14ac:dyDescent="0.3">
      <c r="B916" s="153" t="str">
        <f>IF(Table25[[#This Row],[Date of Inspection
(§63.567(o)(5)(i))]]="","",VLOOKUP(Table25[[#This Row],[Date of Inspection
(§63.567(o)(5)(i))]],Table22[],2,FALSE))</f>
        <v/>
      </c>
      <c r="E916" s="140"/>
      <c r="F916" s="140"/>
    </row>
    <row r="917" spans="2:6" x14ac:dyDescent="0.3">
      <c r="B917" s="153" t="str">
        <f>IF(Table25[[#This Row],[Date of Inspection
(§63.567(o)(5)(i))]]="","",VLOOKUP(Table25[[#This Row],[Date of Inspection
(§63.567(o)(5)(i))]],Table22[],2,FALSE))</f>
        <v/>
      </c>
      <c r="E917" s="140"/>
      <c r="F917" s="140"/>
    </row>
    <row r="918" spans="2:6" x14ac:dyDescent="0.3">
      <c r="B918" s="153" t="str">
        <f>IF(Table25[[#This Row],[Date of Inspection
(§63.567(o)(5)(i))]]="","",VLOOKUP(Table25[[#This Row],[Date of Inspection
(§63.567(o)(5)(i))]],Table22[],2,FALSE))</f>
        <v/>
      </c>
      <c r="E918" s="140"/>
      <c r="F918" s="140"/>
    </row>
    <row r="919" spans="2:6" x14ac:dyDescent="0.3">
      <c r="B919" s="153" t="str">
        <f>IF(Table25[[#This Row],[Date of Inspection
(§63.567(o)(5)(i))]]="","",VLOOKUP(Table25[[#This Row],[Date of Inspection
(§63.567(o)(5)(i))]],Table22[],2,FALSE))</f>
        <v/>
      </c>
      <c r="E919" s="140"/>
      <c r="F919" s="140"/>
    </row>
    <row r="920" spans="2:6" x14ac:dyDescent="0.3">
      <c r="B920" s="153" t="str">
        <f>IF(Table25[[#This Row],[Date of Inspection
(§63.567(o)(5)(i))]]="","",VLOOKUP(Table25[[#This Row],[Date of Inspection
(§63.567(o)(5)(i))]],Table22[],2,FALSE))</f>
        <v/>
      </c>
      <c r="E920" s="140"/>
      <c r="F920" s="140"/>
    </row>
    <row r="921" spans="2:6" x14ac:dyDescent="0.3">
      <c r="B921" s="153" t="str">
        <f>IF(Table25[[#This Row],[Date of Inspection
(§63.567(o)(5)(i))]]="","",VLOOKUP(Table25[[#This Row],[Date of Inspection
(§63.567(o)(5)(i))]],Table22[],2,FALSE))</f>
        <v/>
      </c>
      <c r="E921" s="140"/>
      <c r="F921" s="140"/>
    </row>
    <row r="922" spans="2:6" x14ac:dyDescent="0.3">
      <c r="B922" s="153" t="str">
        <f>IF(Table25[[#This Row],[Date of Inspection
(§63.567(o)(5)(i))]]="","",VLOOKUP(Table25[[#This Row],[Date of Inspection
(§63.567(o)(5)(i))]],Table22[],2,FALSE))</f>
        <v/>
      </c>
      <c r="E922" s="140"/>
      <c r="F922" s="140"/>
    </row>
    <row r="923" spans="2:6" x14ac:dyDescent="0.3">
      <c r="B923" s="153" t="str">
        <f>IF(Table25[[#This Row],[Date of Inspection
(§63.567(o)(5)(i))]]="","",VLOOKUP(Table25[[#This Row],[Date of Inspection
(§63.567(o)(5)(i))]],Table22[],2,FALSE))</f>
        <v/>
      </c>
      <c r="E923" s="140"/>
      <c r="F923" s="140"/>
    </row>
    <row r="924" spans="2:6" x14ac:dyDescent="0.3">
      <c r="B924" s="153" t="str">
        <f>IF(Table25[[#This Row],[Date of Inspection
(§63.567(o)(5)(i))]]="","",VLOOKUP(Table25[[#This Row],[Date of Inspection
(§63.567(o)(5)(i))]],Table22[],2,FALSE))</f>
        <v/>
      </c>
      <c r="E924" s="140"/>
      <c r="F924" s="140"/>
    </row>
    <row r="925" spans="2:6" x14ac:dyDescent="0.3">
      <c r="B925" s="153" t="str">
        <f>IF(Table25[[#This Row],[Date of Inspection
(§63.567(o)(5)(i))]]="","",VLOOKUP(Table25[[#This Row],[Date of Inspection
(§63.567(o)(5)(i))]],Table22[],2,FALSE))</f>
        <v/>
      </c>
      <c r="E925" s="140"/>
      <c r="F925" s="140"/>
    </row>
    <row r="926" spans="2:6" x14ac:dyDescent="0.3">
      <c r="B926" s="153" t="str">
        <f>IF(Table25[[#This Row],[Date of Inspection
(§63.567(o)(5)(i))]]="","",VLOOKUP(Table25[[#This Row],[Date of Inspection
(§63.567(o)(5)(i))]],Table22[],2,FALSE))</f>
        <v/>
      </c>
      <c r="E926" s="140"/>
      <c r="F926" s="140"/>
    </row>
    <row r="927" spans="2:6" x14ac:dyDescent="0.3">
      <c r="B927" s="153" t="str">
        <f>IF(Table25[[#This Row],[Date of Inspection
(§63.567(o)(5)(i))]]="","",VLOOKUP(Table25[[#This Row],[Date of Inspection
(§63.567(o)(5)(i))]],Table22[],2,FALSE))</f>
        <v/>
      </c>
      <c r="E927" s="140"/>
      <c r="F927" s="140"/>
    </row>
    <row r="928" spans="2:6" x14ac:dyDescent="0.3">
      <c r="B928" s="153" t="str">
        <f>IF(Table25[[#This Row],[Date of Inspection
(§63.567(o)(5)(i))]]="","",VLOOKUP(Table25[[#This Row],[Date of Inspection
(§63.567(o)(5)(i))]],Table22[],2,FALSE))</f>
        <v/>
      </c>
      <c r="E928" s="140"/>
      <c r="F928" s="140"/>
    </row>
    <row r="929" spans="2:6" x14ac:dyDescent="0.3">
      <c r="B929" s="153" t="str">
        <f>IF(Table25[[#This Row],[Date of Inspection
(§63.567(o)(5)(i))]]="","",VLOOKUP(Table25[[#This Row],[Date of Inspection
(§63.567(o)(5)(i))]],Table22[],2,FALSE))</f>
        <v/>
      </c>
      <c r="E929" s="140"/>
      <c r="F929" s="140"/>
    </row>
    <row r="930" spans="2:6" x14ac:dyDescent="0.3">
      <c r="B930" s="153" t="str">
        <f>IF(Table25[[#This Row],[Date of Inspection
(§63.567(o)(5)(i))]]="","",VLOOKUP(Table25[[#This Row],[Date of Inspection
(§63.567(o)(5)(i))]],Table22[],2,FALSE))</f>
        <v/>
      </c>
      <c r="E930" s="140"/>
      <c r="F930" s="140"/>
    </row>
    <row r="931" spans="2:6" x14ac:dyDescent="0.3">
      <c r="B931" s="153" t="str">
        <f>IF(Table25[[#This Row],[Date of Inspection
(§63.567(o)(5)(i))]]="","",VLOOKUP(Table25[[#This Row],[Date of Inspection
(§63.567(o)(5)(i))]],Table22[],2,FALSE))</f>
        <v/>
      </c>
      <c r="E931" s="140"/>
      <c r="F931" s="140"/>
    </row>
    <row r="932" spans="2:6" x14ac:dyDescent="0.3">
      <c r="B932" s="153" t="str">
        <f>IF(Table25[[#This Row],[Date of Inspection
(§63.567(o)(5)(i))]]="","",VLOOKUP(Table25[[#This Row],[Date of Inspection
(§63.567(o)(5)(i))]],Table22[],2,FALSE))</f>
        <v/>
      </c>
      <c r="E932" s="140"/>
      <c r="F932" s="140"/>
    </row>
    <row r="933" spans="2:6" x14ac:dyDescent="0.3">
      <c r="B933" s="153" t="str">
        <f>IF(Table25[[#This Row],[Date of Inspection
(§63.567(o)(5)(i))]]="","",VLOOKUP(Table25[[#This Row],[Date of Inspection
(§63.567(o)(5)(i))]],Table22[],2,FALSE))</f>
        <v/>
      </c>
      <c r="E933" s="140"/>
      <c r="F933" s="140"/>
    </row>
    <row r="934" spans="2:6" x14ac:dyDescent="0.3">
      <c r="B934" s="153" t="str">
        <f>IF(Table25[[#This Row],[Date of Inspection
(§63.567(o)(5)(i))]]="","",VLOOKUP(Table25[[#This Row],[Date of Inspection
(§63.567(o)(5)(i))]],Table22[],2,FALSE))</f>
        <v/>
      </c>
      <c r="E934" s="140"/>
      <c r="F934" s="140"/>
    </row>
    <row r="935" spans="2:6" x14ac:dyDescent="0.3">
      <c r="B935" s="153" t="str">
        <f>IF(Table25[[#This Row],[Date of Inspection
(§63.567(o)(5)(i))]]="","",VLOOKUP(Table25[[#This Row],[Date of Inspection
(§63.567(o)(5)(i))]],Table22[],2,FALSE))</f>
        <v/>
      </c>
      <c r="E935" s="140"/>
      <c r="F935" s="140"/>
    </row>
    <row r="936" spans="2:6" x14ac:dyDescent="0.3">
      <c r="B936" s="153" t="str">
        <f>IF(Table25[[#This Row],[Date of Inspection
(§63.567(o)(5)(i))]]="","",VLOOKUP(Table25[[#This Row],[Date of Inspection
(§63.567(o)(5)(i))]],Table22[],2,FALSE))</f>
        <v/>
      </c>
      <c r="E936" s="140"/>
      <c r="F936" s="140"/>
    </row>
    <row r="937" spans="2:6" x14ac:dyDescent="0.3">
      <c r="B937" s="153" t="str">
        <f>IF(Table25[[#This Row],[Date of Inspection
(§63.567(o)(5)(i))]]="","",VLOOKUP(Table25[[#This Row],[Date of Inspection
(§63.567(o)(5)(i))]],Table22[],2,FALSE))</f>
        <v/>
      </c>
      <c r="E937" s="140"/>
      <c r="F937" s="140"/>
    </row>
    <row r="938" spans="2:6" x14ac:dyDescent="0.3">
      <c r="B938" s="153" t="str">
        <f>IF(Table25[[#This Row],[Date of Inspection
(§63.567(o)(5)(i))]]="","",VLOOKUP(Table25[[#This Row],[Date of Inspection
(§63.567(o)(5)(i))]],Table22[],2,FALSE))</f>
        <v/>
      </c>
      <c r="E938" s="140"/>
      <c r="F938" s="140"/>
    </row>
    <row r="939" spans="2:6" x14ac:dyDescent="0.3">
      <c r="B939" s="153" t="str">
        <f>IF(Table25[[#This Row],[Date of Inspection
(§63.567(o)(5)(i))]]="","",VLOOKUP(Table25[[#This Row],[Date of Inspection
(§63.567(o)(5)(i))]],Table22[],2,FALSE))</f>
        <v/>
      </c>
      <c r="E939" s="140"/>
      <c r="F939" s="140"/>
    </row>
    <row r="940" spans="2:6" x14ac:dyDescent="0.3">
      <c r="B940" s="153" t="str">
        <f>IF(Table25[[#This Row],[Date of Inspection
(§63.567(o)(5)(i))]]="","",VLOOKUP(Table25[[#This Row],[Date of Inspection
(§63.567(o)(5)(i))]],Table22[],2,FALSE))</f>
        <v/>
      </c>
      <c r="E940" s="140"/>
      <c r="F940" s="140"/>
    </row>
    <row r="941" spans="2:6" x14ac:dyDescent="0.3">
      <c r="B941" s="153" t="str">
        <f>IF(Table25[[#This Row],[Date of Inspection
(§63.567(o)(5)(i))]]="","",VLOOKUP(Table25[[#This Row],[Date of Inspection
(§63.567(o)(5)(i))]],Table22[],2,FALSE))</f>
        <v/>
      </c>
      <c r="E941" s="140"/>
      <c r="F941" s="140"/>
    </row>
    <row r="942" spans="2:6" x14ac:dyDescent="0.3">
      <c r="B942" s="153" t="str">
        <f>IF(Table25[[#This Row],[Date of Inspection
(§63.567(o)(5)(i))]]="","",VLOOKUP(Table25[[#This Row],[Date of Inspection
(§63.567(o)(5)(i))]],Table22[],2,FALSE))</f>
        <v/>
      </c>
      <c r="E942" s="140"/>
      <c r="F942" s="140"/>
    </row>
    <row r="943" spans="2:6" x14ac:dyDescent="0.3">
      <c r="B943" s="153" t="str">
        <f>IF(Table25[[#This Row],[Date of Inspection
(§63.567(o)(5)(i))]]="","",VLOOKUP(Table25[[#This Row],[Date of Inspection
(§63.567(o)(5)(i))]],Table22[],2,FALSE))</f>
        <v/>
      </c>
      <c r="E943" s="140"/>
      <c r="F943" s="140"/>
    </row>
    <row r="944" spans="2:6" x14ac:dyDescent="0.3">
      <c r="B944" s="153" t="str">
        <f>IF(Table25[[#This Row],[Date of Inspection
(§63.567(o)(5)(i))]]="","",VLOOKUP(Table25[[#This Row],[Date of Inspection
(§63.567(o)(5)(i))]],Table22[],2,FALSE))</f>
        <v/>
      </c>
      <c r="E944" s="140"/>
      <c r="F944" s="140"/>
    </row>
    <row r="945" spans="2:6" x14ac:dyDescent="0.3">
      <c r="B945" s="153" t="str">
        <f>IF(Table25[[#This Row],[Date of Inspection
(§63.567(o)(5)(i))]]="","",VLOOKUP(Table25[[#This Row],[Date of Inspection
(§63.567(o)(5)(i))]],Table22[],2,FALSE))</f>
        <v/>
      </c>
      <c r="E945" s="140"/>
      <c r="F945" s="140"/>
    </row>
    <row r="946" spans="2:6" x14ac:dyDescent="0.3">
      <c r="B946" s="153" t="str">
        <f>IF(Table25[[#This Row],[Date of Inspection
(§63.567(o)(5)(i))]]="","",VLOOKUP(Table25[[#This Row],[Date of Inspection
(§63.567(o)(5)(i))]],Table22[],2,FALSE))</f>
        <v/>
      </c>
      <c r="E946" s="140"/>
      <c r="F946" s="140"/>
    </row>
    <row r="947" spans="2:6" x14ac:dyDescent="0.3">
      <c r="B947" s="153" t="str">
        <f>IF(Table25[[#This Row],[Date of Inspection
(§63.567(o)(5)(i))]]="","",VLOOKUP(Table25[[#This Row],[Date of Inspection
(§63.567(o)(5)(i))]],Table22[],2,FALSE))</f>
        <v/>
      </c>
      <c r="E947" s="140"/>
      <c r="F947" s="140"/>
    </row>
    <row r="948" spans="2:6" x14ac:dyDescent="0.3">
      <c r="B948" s="153" t="str">
        <f>IF(Table25[[#This Row],[Date of Inspection
(§63.567(o)(5)(i))]]="","",VLOOKUP(Table25[[#This Row],[Date of Inspection
(§63.567(o)(5)(i))]],Table22[],2,FALSE))</f>
        <v/>
      </c>
      <c r="E948" s="140"/>
      <c r="F948" s="140"/>
    </row>
    <row r="949" spans="2:6" x14ac:dyDescent="0.3">
      <c r="B949" s="153" t="str">
        <f>IF(Table25[[#This Row],[Date of Inspection
(§63.567(o)(5)(i))]]="","",VLOOKUP(Table25[[#This Row],[Date of Inspection
(§63.567(o)(5)(i))]],Table22[],2,FALSE))</f>
        <v/>
      </c>
      <c r="E949" s="140"/>
      <c r="F949" s="140"/>
    </row>
    <row r="950" spans="2:6" x14ac:dyDescent="0.3">
      <c r="B950" s="153" t="str">
        <f>IF(Table25[[#This Row],[Date of Inspection
(§63.567(o)(5)(i))]]="","",VLOOKUP(Table25[[#This Row],[Date of Inspection
(§63.567(o)(5)(i))]],Table22[],2,FALSE))</f>
        <v/>
      </c>
      <c r="E950" s="140"/>
      <c r="F950" s="140"/>
    </row>
    <row r="951" spans="2:6" x14ac:dyDescent="0.3">
      <c r="B951" s="153" t="str">
        <f>IF(Table25[[#This Row],[Date of Inspection
(§63.567(o)(5)(i))]]="","",VLOOKUP(Table25[[#This Row],[Date of Inspection
(§63.567(o)(5)(i))]],Table22[],2,FALSE))</f>
        <v/>
      </c>
      <c r="E951" s="140"/>
      <c r="F951" s="140"/>
    </row>
    <row r="952" spans="2:6" x14ac:dyDescent="0.3">
      <c r="B952" s="153" t="str">
        <f>IF(Table25[[#This Row],[Date of Inspection
(§63.567(o)(5)(i))]]="","",VLOOKUP(Table25[[#This Row],[Date of Inspection
(§63.567(o)(5)(i))]],Table22[],2,FALSE))</f>
        <v/>
      </c>
      <c r="E952" s="140"/>
      <c r="F952" s="140"/>
    </row>
    <row r="953" spans="2:6" x14ac:dyDescent="0.3">
      <c r="B953" s="153" t="str">
        <f>IF(Table25[[#This Row],[Date of Inspection
(§63.567(o)(5)(i))]]="","",VLOOKUP(Table25[[#This Row],[Date of Inspection
(§63.567(o)(5)(i))]],Table22[],2,FALSE))</f>
        <v/>
      </c>
      <c r="E953" s="140"/>
      <c r="F953" s="140"/>
    </row>
    <row r="954" spans="2:6" x14ac:dyDescent="0.3">
      <c r="B954" s="153" t="str">
        <f>IF(Table25[[#This Row],[Date of Inspection
(§63.567(o)(5)(i))]]="","",VLOOKUP(Table25[[#This Row],[Date of Inspection
(§63.567(o)(5)(i))]],Table22[],2,FALSE))</f>
        <v/>
      </c>
      <c r="E954" s="140"/>
      <c r="F954" s="140"/>
    </row>
    <row r="955" spans="2:6" x14ac:dyDescent="0.3">
      <c r="B955" s="153" t="str">
        <f>IF(Table25[[#This Row],[Date of Inspection
(§63.567(o)(5)(i))]]="","",VLOOKUP(Table25[[#This Row],[Date of Inspection
(§63.567(o)(5)(i))]],Table22[],2,FALSE))</f>
        <v/>
      </c>
      <c r="E955" s="140"/>
      <c r="F955" s="140"/>
    </row>
    <row r="956" spans="2:6" x14ac:dyDescent="0.3">
      <c r="B956" s="153" t="str">
        <f>IF(Table25[[#This Row],[Date of Inspection
(§63.567(o)(5)(i))]]="","",VLOOKUP(Table25[[#This Row],[Date of Inspection
(§63.567(o)(5)(i))]],Table22[],2,FALSE))</f>
        <v/>
      </c>
      <c r="E956" s="140"/>
      <c r="F956" s="140"/>
    </row>
    <row r="957" spans="2:6" x14ac:dyDescent="0.3">
      <c r="B957" s="153" t="str">
        <f>IF(Table25[[#This Row],[Date of Inspection
(§63.567(o)(5)(i))]]="","",VLOOKUP(Table25[[#This Row],[Date of Inspection
(§63.567(o)(5)(i))]],Table22[],2,FALSE))</f>
        <v/>
      </c>
      <c r="E957" s="140"/>
      <c r="F957" s="140"/>
    </row>
    <row r="958" spans="2:6" x14ac:dyDescent="0.3">
      <c r="B958" s="153" t="str">
        <f>IF(Table25[[#This Row],[Date of Inspection
(§63.567(o)(5)(i))]]="","",VLOOKUP(Table25[[#This Row],[Date of Inspection
(§63.567(o)(5)(i))]],Table22[],2,FALSE))</f>
        <v/>
      </c>
      <c r="E958" s="140"/>
      <c r="F958" s="140"/>
    </row>
    <row r="959" spans="2:6" x14ac:dyDescent="0.3">
      <c r="B959" s="153" t="str">
        <f>IF(Table25[[#This Row],[Date of Inspection
(§63.567(o)(5)(i))]]="","",VLOOKUP(Table25[[#This Row],[Date of Inspection
(§63.567(o)(5)(i))]],Table22[],2,FALSE))</f>
        <v/>
      </c>
      <c r="E959" s="140"/>
      <c r="F959" s="140"/>
    </row>
    <row r="960" spans="2:6" x14ac:dyDescent="0.3">
      <c r="B960" s="153" t="str">
        <f>IF(Table25[[#This Row],[Date of Inspection
(§63.567(o)(5)(i))]]="","",VLOOKUP(Table25[[#This Row],[Date of Inspection
(§63.567(o)(5)(i))]],Table22[],2,FALSE))</f>
        <v/>
      </c>
      <c r="E960" s="140"/>
      <c r="F960" s="140"/>
    </row>
    <row r="961" spans="2:6" x14ac:dyDescent="0.3">
      <c r="B961" s="153" t="str">
        <f>IF(Table25[[#This Row],[Date of Inspection
(§63.567(o)(5)(i))]]="","",VLOOKUP(Table25[[#This Row],[Date of Inspection
(§63.567(o)(5)(i))]],Table22[],2,FALSE))</f>
        <v/>
      </c>
      <c r="E961" s="140"/>
      <c r="F961" s="140"/>
    </row>
    <row r="962" spans="2:6" x14ac:dyDescent="0.3">
      <c r="B962" s="153" t="str">
        <f>IF(Table25[[#This Row],[Date of Inspection
(§63.567(o)(5)(i))]]="","",VLOOKUP(Table25[[#This Row],[Date of Inspection
(§63.567(o)(5)(i))]],Table22[],2,FALSE))</f>
        <v/>
      </c>
      <c r="E962" s="140"/>
      <c r="F962" s="140"/>
    </row>
    <row r="963" spans="2:6" x14ac:dyDescent="0.3">
      <c r="B963" s="153" t="str">
        <f>IF(Table25[[#This Row],[Date of Inspection
(§63.567(o)(5)(i))]]="","",VLOOKUP(Table25[[#This Row],[Date of Inspection
(§63.567(o)(5)(i))]],Table22[],2,FALSE))</f>
        <v/>
      </c>
      <c r="E963" s="140"/>
      <c r="F963" s="140"/>
    </row>
    <row r="964" spans="2:6" x14ac:dyDescent="0.3">
      <c r="B964" s="153" t="str">
        <f>IF(Table25[[#This Row],[Date of Inspection
(§63.567(o)(5)(i))]]="","",VLOOKUP(Table25[[#This Row],[Date of Inspection
(§63.567(o)(5)(i))]],Table22[],2,FALSE))</f>
        <v/>
      </c>
      <c r="E964" s="140"/>
      <c r="F964" s="140"/>
    </row>
    <row r="965" spans="2:6" x14ac:dyDescent="0.3">
      <c r="B965" s="153" t="str">
        <f>IF(Table25[[#This Row],[Date of Inspection
(§63.567(o)(5)(i))]]="","",VLOOKUP(Table25[[#This Row],[Date of Inspection
(§63.567(o)(5)(i))]],Table22[],2,FALSE))</f>
        <v/>
      </c>
      <c r="E965" s="140"/>
      <c r="F965" s="140"/>
    </row>
    <row r="966" spans="2:6" x14ac:dyDescent="0.3">
      <c r="B966" s="153" t="str">
        <f>IF(Table25[[#This Row],[Date of Inspection
(§63.567(o)(5)(i))]]="","",VLOOKUP(Table25[[#This Row],[Date of Inspection
(§63.567(o)(5)(i))]],Table22[],2,FALSE))</f>
        <v/>
      </c>
      <c r="E966" s="140"/>
      <c r="F966" s="140"/>
    </row>
    <row r="967" spans="2:6" x14ac:dyDescent="0.3">
      <c r="B967" s="153" t="str">
        <f>IF(Table25[[#This Row],[Date of Inspection
(§63.567(o)(5)(i))]]="","",VLOOKUP(Table25[[#This Row],[Date of Inspection
(§63.567(o)(5)(i))]],Table22[],2,FALSE))</f>
        <v/>
      </c>
      <c r="E967" s="140"/>
      <c r="F967" s="140"/>
    </row>
    <row r="968" spans="2:6" x14ac:dyDescent="0.3">
      <c r="B968" s="153" t="str">
        <f>IF(Table25[[#This Row],[Date of Inspection
(§63.567(o)(5)(i))]]="","",VLOOKUP(Table25[[#This Row],[Date of Inspection
(§63.567(o)(5)(i))]],Table22[],2,FALSE))</f>
        <v/>
      </c>
      <c r="E968" s="140"/>
      <c r="F968" s="140"/>
    </row>
    <row r="969" spans="2:6" x14ac:dyDescent="0.3">
      <c r="B969" s="153" t="str">
        <f>IF(Table25[[#This Row],[Date of Inspection
(§63.567(o)(5)(i))]]="","",VLOOKUP(Table25[[#This Row],[Date of Inspection
(§63.567(o)(5)(i))]],Table22[],2,FALSE))</f>
        <v/>
      </c>
      <c r="E969" s="140"/>
      <c r="F969" s="140"/>
    </row>
    <row r="970" spans="2:6" x14ac:dyDescent="0.3">
      <c r="B970" s="153" t="str">
        <f>IF(Table25[[#This Row],[Date of Inspection
(§63.567(o)(5)(i))]]="","",VLOOKUP(Table25[[#This Row],[Date of Inspection
(§63.567(o)(5)(i))]],Table22[],2,FALSE))</f>
        <v/>
      </c>
      <c r="E970" s="140"/>
      <c r="F970" s="140"/>
    </row>
    <row r="971" spans="2:6" x14ac:dyDescent="0.3">
      <c r="B971" s="153" t="str">
        <f>IF(Table25[[#This Row],[Date of Inspection
(§63.567(o)(5)(i))]]="","",VLOOKUP(Table25[[#This Row],[Date of Inspection
(§63.567(o)(5)(i))]],Table22[],2,FALSE))</f>
        <v/>
      </c>
      <c r="E971" s="140"/>
      <c r="F971" s="140"/>
    </row>
    <row r="972" spans="2:6" x14ac:dyDescent="0.3">
      <c r="B972" s="153" t="str">
        <f>IF(Table25[[#This Row],[Date of Inspection
(§63.567(o)(5)(i))]]="","",VLOOKUP(Table25[[#This Row],[Date of Inspection
(§63.567(o)(5)(i))]],Table22[],2,FALSE))</f>
        <v/>
      </c>
      <c r="E972" s="140"/>
      <c r="F972" s="140"/>
    </row>
    <row r="973" spans="2:6" x14ac:dyDescent="0.3">
      <c r="B973" s="153" t="str">
        <f>IF(Table25[[#This Row],[Date of Inspection
(§63.567(o)(5)(i))]]="","",VLOOKUP(Table25[[#This Row],[Date of Inspection
(§63.567(o)(5)(i))]],Table22[],2,FALSE))</f>
        <v/>
      </c>
      <c r="E973" s="140"/>
      <c r="F973" s="140"/>
    </row>
    <row r="974" spans="2:6" x14ac:dyDescent="0.3">
      <c r="B974" s="153" t="str">
        <f>IF(Table25[[#This Row],[Date of Inspection
(§63.567(o)(5)(i))]]="","",VLOOKUP(Table25[[#This Row],[Date of Inspection
(§63.567(o)(5)(i))]],Table22[],2,FALSE))</f>
        <v/>
      </c>
      <c r="E974" s="140"/>
      <c r="F974" s="140"/>
    </row>
    <row r="975" spans="2:6" x14ac:dyDescent="0.3">
      <c r="B975" s="153" t="str">
        <f>IF(Table25[[#This Row],[Date of Inspection
(§63.567(o)(5)(i))]]="","",VLOOKUP(Table25[[#This Row],[Date of Inspection
(§63.567(o)(5)(i))]],Table22[],2,FALSE))</f>
        <v/>
      </c>
      <c r="E975" s="140"/>
      <c r="F975" s="140"/>
    </row>
    <row r="976" spans="2:6" x14ac:dyDescent="0.3">
      <c r="B976" s="153" t="str">
        <f>IF(Table25[[#This Row],[Date of Inspection
(§63.567(o)(5)(i))]]="","",VLOOKUP(Table25[[#This Row],[Date of Inspection
(§63.567(o)(5)(i))]],Table22[],2,FALSE))</f>
        <v/>
      </c>
      <c r="E976" s="140"/>
      <c r="F976" s="140"/>
    </row>
    <row r="977" spans="2:6" x14ac:dyDescent="0.3">
      <c r="B977" s="153" t="str">
        <f>IF(Table25[[#This Row],[Date of Inspection
(§63.567(o)(5)(i))]]="","",VLOOKUP(Table25[[#This Row],[Date of Inspection
(§63.567(o)(5)(i))]],Table22[],2,FALSE))</f>
        <v/>
      </c>
      <c r="E977" s="140"/>
      <c r="F977" s="140"/>
    </row>
    <row r="978" spans="2:6" x14ac:dyDescent="0.3">
      <c r="B978" s="153" t="str">
        <f>IF(Table25[[#This Row],[Date of Inspection
(§63.567(o)(5)(i))]]="","",VLOOKUP(Table25[[#This Row],[Date of Inspection
(§63.567(o)(5)(i))]],Table22[],2,FALSE))</f>
        <v/>
      </c>
      <c r="E978" s="140"/>
      <c r="F978" s="140"/>
    </row>
    <row r="979" spans="2:6" x14ac:dyDescent="0.3">
      <c r="B979" s="153" t="str">
        <f>IF(Table25[[#This Row],[Date of Inspection
(§63.567(o)(5)(i))]]="","",VLOOKUP(Table25[[#This Row],[Date of Inspection
(§63.567(o)(5)(i))]],Table22[],2,FALSE))</f>
        <v/>
      </c>
      <c r="E979" s="140"/>
      <c r="F979" s="140"/>
    </row>
    <row r="980" spans="2:6" x14ac:dyDescent="0.3">
      <c r="B980" s="153" t="str">
        <f>IF(Table25[[#This Row],[Date of Inspection
(§63.567(o)(5)(i))]]="","",VLOOKUP(Table25[[#This Row],[Date of Inspection
(§63.567(o)(5)(i))]],Table22[],2,FALSE))</f>
        <v/>
      </c>
      <c r="E980" s="140"/>
      <c r="F980" s="140"/>
    </row>
    <row r="981" spans="2:6" x14ac:dyDescent="0.3">
      <c r="B981" s="153" t="str">
        <f>IF(Table25[[#This Row],[Date of Inspection
(§63.567(o)(5)(i))]]="","",VLOOKUP(Table25[[#This Row],[Date of Inspection
(§63.567(o)(5)(i))]],Table22[],2,FALSE))</f>
        <v/>
      </c>
      <c r="E981" s="140"/>
      <c r="F981" s="140"/>
    </row>
    <row r="982" spans="2:6" x14ac:dyDescent="0.3">
      <c r="B982" s="153" t="str">
        <f>IF(Table25[[#This Row],[Date of Inspection
(§63.567(o)(5)(i))]]="","",VLOOKUP(Table25[[#This Row],[Date of Inspection
(§63.567(o)(5)(i))]],Table22[],2,FALSE))</f>
        <v/>
      </c>
      <c r="E982" s="140"/>
      <c r="F982" s="140"/>
    </row>
    <row r="983" spans="2:6" x14ac:dyDescent="0.3">
      <c r="B983" s="153" t="str">
        <f>IF(Table25[[#This Row],[Date of Inspection
(§63.567(o)(5)(i))]]="","",VLOOKUP(Table25[[#This Row],[Date of Inspection
(§63.567(o)(5)(i))]],Table22[],2,FALSE))</f>
        <v/>
      </c>
      <c r="E983" s="140"/>
      <c r="F983" s="140"/>
    </row>
    <row r="984" spans="2:6" x14ac:dyDescent="0.3">
      <c r="B984" s="153" t="str">
        <f>IF(Table25[[#This Row],[Date of Inspection
(§63.567(o)(5)(i))]]="","",VLOOKUP(Table25[[#This Row],[Date of Inspection
(§63.567(o)(5)(i))]],Table22[],2,FALSE))</f>
        <v/>
      </c>
      <c r="E984" s="140"/>
      <c r="F984" s="140"/>
    </row>
    <row r="985" spans="2:6" x14ac:dyDescent="0.3">
      <c r="B985" s="153" t="str">
        <f>IF(Table25[[#This Row],[Date of Inspection
(§63.567(o)(5)(i))]]="","",VLOOKUP(Table25[[#This Row],[Date of Inspection
(§63.567(o)(5)(i))]],Table22[],2,FALSE))</f>
        <v/>
      </c>
      <c r="E985" s="140"/>
      <c r="F985" s="140"/>
    </row>
    <row r="986" spans="2:6" x14ac:dyDescent="0.3">
      <c r="B986" s="153" t="str">
        <f>IF(Table25[[#This Row],[Date of Inspection
(§63.567(o)(5)(i))]]="","",VLOOKUP(Table25[[#This Row],[Date of Inspection
(§63.567(o)(5)(i))]],Table22[],2,FALSE))</f>
        <v/>
      </c>
      <c r="E986" s="140"/>
      <c r="F986" s="140"/>
    </row>
    <row r="987" spans="2:6" x14ac:dyDescent="0.3">
      <c r="B987" s="153" t="str">
        <f>IF(Table25[[#This Row],[Date of Inspection
(§63.567(o)(5)(i))]]="","",VLOOKUP(Table25[[#This Row],[Date of Inspection
(§63.567(o)(5)(i))]],Table22[],2,FALSE))</f>
        <v/>
      </c>
      <c r="E987" s="140"/>
      <c r="F987" s="140"/>
    </row>
    <row r="988" spans="2:6" x14ac:dyDescent="0.3">
      <c r="B988" s="153" t="str">
        <f>IF(Table25[[#This Row],[Date of Inspection
(§63.567(o)(5)(i))]]="","",VLOOKUP(Table25[[#This Row],[Date of Inspection
(§63.567(o)(5)(i))]],Table22[],2,FALSE))</f>
        <v/>
      </c>
      <c r="E988" s="140"/>
      <c r="F988" s="140"/>
    </row>
    <row r="989" spans="2:6" x14ac:dyDescent="0.3">
      <c r="B989" s="153" t="str">
        <f>IF(Table25[[#This Row],[Date of Inspection
(§63.567(o)(5)(i))]]="","",VLOOKUP(Table25[[#This Row],[Date of Inspection
(§63.567(o)(5)(i))]],Table22[],2,FALSE))</f>
        <v/>
      </c>
      <c r="E989" s="140"/>
      <c r="F989" s="140"/>
    </row>
    <row r="990" spans="2:6" x14ac:dyDescent="0.3">
      <c r="B990" s="153" t="str">
        <f>IF(Table25[[#This Row],[Date of Inspection
(§63.567(o)(5)(i))]]="","",VLOOKUP(Table25[[#This Row],[Date of Inspection
(§63.567(o)(5)(i))]],Table22[],2,FALSE))</f>
        <v/>
      </c>
      <c r="E990" s="140"/>
      <c r="F990" s="140"/>
    </row>
    <row r="991" spans="2:6" x14ac:dyDescent="0.3">
      <c r="B991" s="153" t="str">
        <f>IF(Table25[[#This Row],[Date of Inspection
(§63.567(o)(5)(i))]]="","",VLOOKUP(Table25[[#This Row],[Date of Inspection
(§63.567(o)(5)(i))]],Table22[],2,FALSE))</f>
        <v/>
      </c>
      <c r="E991" s="140"/>
      <c r="F991" s="140"/>
    </row>
    <row r="992" spans="2:6" x14ac:dyDescent="0.3">
      <c r="B992" s="153" t="str">
        <f>IF(Table25[[#This Row],[Date of Inspection
(§63.567(o)(5)(i))]]="","",VLOOKUP(Table25[[#This Row],[Date of Inspection
(§63.567(o)(5)(i))]],Table22[],2,FALSE))</f>
        <v/>
      </c>
      <c r="E992" s="140"/>
      <c r="F992" s="140"/>
    </row>
    <row r="993" spans="2:6" x14ac:dyDescent="0.3">
      <c r="B993" s="153" t="str">
        <f>IF(Table25[[#This Row],[Date of Inspection
(§63.567(o)(5)(i))]]="","",VLOOKUP(Table25[[#This Row],[Date of Inspection
(§63.567(o)(5)(i))]],Table22[],2,FALSE))</f>
        <v/>
      </c>
      <c r="E993" s="140"/>
      <c r="F993" s="140"/>
    </row>
    <row r="994" spans="2:6" x14ac:dyDescent="0.3">
      <c r="B994" s="153" t="str">
        <f>IF(Table25[[#This Row],[Date of Inspection
(§63.567(o)(5)(i))]]="","",VLOOKUP(Table25[[#This Row],[Date of Inspection
(§63.567(o)(5)(i))]],Table22[],2,FALSE))</f>
        <v/>
      </c>
      <c r="E994" s="140"/>
      <c r="F994" s="140"/>
    </row>
    <row r="995" spans="2:6" x14ac:dyDescent="0.3">
      <c r="B995" s="153" t="str">
        <f>IF(Table25[[#This Row],[Date of Inspection
(§63.567(o)(5)(i))]]="","",VLOOKUP(Table25[[#This Row],[Date of Inspection
(§63.567(o)(5)(i))]],Table22[],2,FALSE))</f>
        <v/>
      </c>
      <c r="E995" s="140"/>
      <c r="F995" s="140"/>
    </row>
    <row r="996" spans="2:6" x14ac:dyDescent="0.3">
      <c r="B996" s="153" t="str">
        <f>IF(Table25[[#This Row],[Date of Inspection
(§63.567(o)(5)(i))]]="","",VLOOKUP(Table25[[#This Row],[Date of Inspection
(§63.567(o)(5)(i))]],Table22[],2,FALSE))</f>
        <v/>
      </c>
      <c r="E996" s="140"/>
      <c r="F996" s="140"/>
    </row>
    <row r="997" spans="2:6" x14ac:dyDescent="0.3">
      <c r="B997" s="153" t="str">
        <f>IF(Table25[[#This Row],[Date of Inspection
(§63.567(o)(5)(i))]]="","",VLOOKUP(Table25[[#This Row],[Date of Inspection
(§63.567(o)(5)(i))]],Table22[],2,FALSE))</f>
        <v/>
      </c>
      <c r="E997" s="140"/>
      <c r="F997" s="140"/>
    </row>
    <row r="998" spans="2:6" x14ac:dyDescent="0.3">
      <c r="B998" s="153" t="str">
        <f>IF(Table25[[#This Row],[Date of Inspection
(§63.567(o)(5)(i))]]="","",VLOOKUP(Table25[[#This Row],[Date of Inspection
(§63.567(o)(5)(i))]],Table22[],2,FALSE))</f>
        <v/>
      </c>
      <c r="E998" s="140"/>
      <c r="F998" s="140"/>
    </row>
    <row r="999" spans="2:6" x14ac:dyDescent="0.3">
      <c r="B999" s="153" t="str">
        <f>IF(Table25[[#This Row],[Date of Inspection
(§63.567(o)(5)(i))]]="","",VLOOKUP(Table25[[#This Row],[Date of Inspection
(§63.567(o)(5)(i))]],Table22[],2,FALSE))</f>
        <v/>
      </c>
      <c r="E999" s="140"/>
      <c r="F999" s="140"/>
    </row>
    <row r="1000" spans="2:6" x14ac:dyDescent="0.3">
      <c r="B1000" s="153" t="str">
        <f>IF(Table25[[#This Row],[Date of Inspection
(§63.567(o)(5)(i))]]="","",VLOOKUP(Table25[[#This Row],[Date of Inspection
(§63.567(o)(5)(i))]],Table22[],2,FALSE))</f>
        <v/>
      </c>
      <c r="E1000" s="140"/>
      <c r="F1000" s="140"/>
    </row>
    <row r="1001" spans="2:6" x14ac:dyDescent="0.3">
      <c r="B1001" s="153" t="str">
        <f>IF(Table25[[#This Row],[Date of Inspection
(§63.567(o)(5)(i))]]="","",VLOOKUP(Table25[[#This Row],[Date of Inspection
(§63.567(o)(5)(i))]],Table22[],2,FALSE))</f>
        <v/>
      </c>
      <c r="E1001" s="140"/>
      <c r="F1001" s="140"/>
    </row>
    <row r="1002" spans="2:6" x14ac:dyDescent="0.3">
      <c r="B1002" s="153" t="str">
        <f>IF(Table25[[#This Row],[Date of Inspection
(§63.567(o)(5)(i))]]="","",VLOOKUP(Table25[[#This Row],[Date of Inspection
(§63.567(o)(5)(i))]],Table22[],2,FALSE))</f>
        <v/>
      </c>
      <c r="E1002" s="140"/>
      <c r="F1002" s="140"/>
    </row>
    <row r="1003" spans="2:6" x14ac:dyDescent="0.3">
      <c r="B1003" s="153" t="str">
        <f>IF(Table25[[#This Row],[Date of Inspection
(§63.567(o)(5)(i))]]="","",VLOOKUP(Table25[[#This Row],[Date of Inspection
(§63.567(o)(5)(i))]],Table22[],2,FALSE))</f>
        <v/>
      </c>
      <c r="E1003" s="140"/>
      <c r="F1003" s="140"/>
    </row>
    <row r="1004" spans="2:6" x14ac:dyDescent="0.3">
      <c r="B1004" s="153" t="str">
        <f>IF(Table25[[#This Row],[Date of Inspection
(§63.567(o)(5)(i))]]="","",VLOOKUP(Table25[[#This Row],[Date of Inspection
(§63.567(o)(5)(i))]],Table22[],2,FALSE))</f>
        <v/>
      </c>
      <c r="E1004" s="140"/>
      <c r="F1004" s="140"/>
    </row>
    <row r="1005" spans="2:6" x14ac:dyDescent="0.3">
      <c r="B1005" s="153" t="str">
        <f>IF(Table25[[#This Row],[Date of Inspection
(§63.567(o)(5)(i))]]="","",VLOOKUP(Table25[[#This Row],[Date of Inspection
(§63.567(o)(5)(i))]],Table22[],2,FALSE))</f>
        <v/>
      </c>
      <c r="E1005" s="140"/>
      <c r="F1005" s="140"/>
    </row>
    <row r="1006" spans="2:6" x14ac:dyDescent="0.3">
      <c r="B1006" s="153" t="str">
        <f>IF(Table25[[#This Row],[Date of Inspection
(§63.567(o)(5)(i))]]="","",VLOOKUP(Table25[[#This Row],[Date of Inspection
(§63.567(o)(5)(i))]],Table22[],2,FALSE))</f>
        <v/>
      </c>
      <c r="E1006" s="140"/>
      <c r="F1006" s="140"/>
    </row>
    <row r="1007" spans="2:6" x14ac:dyDescent="0.3">
      <c r="B1007" s="153" t="str">
        <f>IF(Table25[[#This Row],[Date of Inspection
(§63.567(o)(5)(i))]]="","",VLOOKUP(Table25[[#This Row],[Date of Inspection
(§63.567(o)(5)(i))]],Table22[],2,FALSE))</f>
        <v/>
      </c>
      <c r="E1007" s="140"/>
      <c r="F1007" s="140"/>
    </row>
    <row r="1008" spans="2:6" x14ac:dyDescent="0.3">
      <c r="B1008" s="153" t="str">
        <f>IF(Table25[[#This Row],[Date of Inspection
(§63.567(o)(5)(i))]]="","",VLOOKUP(Table25[[#This Row],[Date of Inspection
(§63.567(o)(5)(i))]],Table22[],2,FALSE))</f>
        <v/>
      </c>
      <c r="E1008" s="140"/>
      <c r="F1008" s="140"/>
    </row>
    <row r="1009" spans="2:8" x14ac:dyDescent="0.3">
      <c r="B1009" s="153" t="str">
        <f>IF(Table25[[#This Row],[Date of Inspection
(§63.567(o)(5)(i))]]="","",VLOOKUP(Table25[[#This Row],[Date of Inspection
(§63.567(o)(5)(i))]],Table22[],2,FALSE))</f>
        <v/>
      </c>
      <c r="E1009" s="140"/>
      <c r="F1009" s="140"/>
    </row>
    <row r="1010" spans="2:8" x14ac:dyDescent="0.3">
      <c r="B1010" s="153" t="str">
        <f>IF(Table25[[#This Row],[Date of Inspection
(§63.567(o)(5)(i))]]="","",VLOOKUP(Table25[[#This Row],[Date of Inspection
(§63.567(o)(5)(i))]],Table22[],2,FALSE))</f>
        <v/>
      </c>
      <c r="E1010" s="140"/>
      <c r="F1010" s="140"/>
    </row>
    <row r="1011" spans="2:8" x14ac:dyDescent="0.3">
      <c r="B1011" s="153" t="str">
        <f>IF(Table25[[#This Row],[Date of Inspection
(§63.567(o)(5)(i))]]="","",VLOOKUP(Table25[[#This Row],[Date of Inspection
(§63.567(o)(5)(i))]],Table22[],2,FALSE))</f>
        <v/>
      </c>
      <c r="E1011" s="140"/>
      <c r="F1011" s="140"/>
    </row>
    <row r="1012" spans="2:8" x14ac:dyDescent="0.3">
      <c r="B1012" s="153" t="str">
        <f>IF(Table25[[#This Row],[Date of Inspection
(§63.567(o)(5)(i))]]="","",VLOOKUP(Table25[[#This Row],[Date of Inspection
(§63.567(o)(5)(i))]],Table22[],2,FALSE))</f>
        <v/>
      </c>
      <c r="E1012" s="140"/>
      <c r="F1012" s="140"/>
    </row>
    <row r="1013" spans="2:8" x14ac:dyDescent="0.3">
      <c r="B1013" s="153" t="str">
        <f>IF(Table25[[#This Row],[Date of Inspection
(§63.567(o)(5)(i))]]="","",VLOOKUP(Table25[[#This Row],[Date of Inspection
(§63.567(o)(5)(i))]],Table22[],2,FALSE))</f>
        <v/>
      </c>
      <c r="E1013" s="140"/>
      <c r="F1013" s="140"/>
    </row>
    <row r="1014" spans="2:8" x14ac:dyDescent="0.3">
      <c r="B1014" s="153" t="str">
        <f>IF(Table25[[#This Row],[Date of Inspection
(§63.567(o)(5)(i))]]="","",VLOOKUP(Table25[[#This Row],[Date of Inspection
(§63.567(o)(5)(i))]],Table22[],2,FALSE))</f>
        <v/>
      </c>
      <c r="E1014" s="140"/>
      <c r="F1014" s="140"/>
    </row>
    <row r="1015" spans="2:8" x14ac:dyDescent="0.3">
      <c r="B1015" s="153" t="str">
        <f>IF(Table25[[#This Row],[Date of Inspection
(§63.567(o)(5)(i))]]="","",VLOOKUP(Table25[[#This Row],[Date of Inspection
(§63.567(o)(5)(i))]],Table22[],2,FALSE))</f>
        <v/>
      </c>
      <c r="E1015" s="140"/>
      <c r="F1015" s="140"/>
    </row>
    <row r="1016" spans="2:8" x14ac:dyDescent="0.3">
      <c r="B1016" s="153" t="str">
        <f>IF(Table25[[#This Row],[Date of Inspection
(§63.567(o)(5)(i))]]="","",VLOOKUP(Table25[[#This Row],[Date of Inspection
(§63.567(o)(5)(i))]],Table22[],2,FALSE))</f>
        <v/>
      </c>
      <c r="E1016" s="140"/>
      <c r="F1016" s="140"/>
    </row>
    <row r="1017" spans="2:8" x14ac:dyDescent="0.3">
      <c r="B1017" s="153" t="str">
        <f>IF(Table25[[#This Row],[Date of Inspection
(§63.567(o)(5)(i))]]="","",VLOOKUP(Table25[[#This Row],[Date of Inspection
(§63.567(o)(5)(i))]],Table22[],2,FALSE))</f>
        <v/>
      </c>
      <c r="E1017" s="140"/>
      <c r="F1017" s="140"/>
    </row>
    <row r="1018" spans="2:8" x14ac:dyDescent="0.3">
      <c r="B1018" s="153" t="str">
        <f>IF(Table25[[#This Row],[Date of Inspection
(§63.567(o)(5)(i))]]="","",VLOOKUP(Table25[[#This Row],[Date of Inspection
(§63.567(o)(5)(i))]],Table22[],2,FALSE))</f>
        <v/>
      </c>
      <c r="E1018" s="140"/>
      <c r="F1018" s="140"/>
    </row>
    <row r="1019" spans="2:8" x14ac:dyDescent="0.3">
      <c r="B1019" s="153" t="str">
        <f>IF(Table25[[#This Row],[Date of Inspection
(§63.567(o)(5)(i))]]="","",VLOOKUP(Table25[[#This Row],[Date of Inspection
(§63.567(o)(5)(i))]],Table22[],2,FALSE))</f>
        <v/>
      </c>
      <c r="E1019" s="140"/>
      <c r="F1019" s="140"/>
    </row>
    <row r="1020" spans="2:8" x14ac:dyDescent="0.3">
      <c r="B1020" s="153" t="str">
        <f>IF(Table25[[#This Row],[Date of Inspection
(§63.567(o)(5)(i))]]="","",VLOOKUP(Table25[[#This Row],[Date of Inspection
(§63.567(o)(5)(i))]],Table22[],2,FALSE))</f>
        <v/>
      </c>
      <c r="E1020" s="140"/>
      <c r="F1020" s="140"/>
    </row>
    <row r="1021" spans="2:8" x14ac:dyDescent="0.3">
      <c r="B1021" s="153" t="str">
        <f>IF(Table25[[#This Row],[Date of Inspection
(§63.567(o)(5)(i))]]="","",VLOOKUP(Table25[[#This Row],[Date of Inspection
(§63.567(o)(5)(i))]],Table22[],2,FALSE))</f>
        <v/>
      </c>
      <c r="E1021" s="140"/>
      <c r="F1021" s="140"/>
    </row>
    <row r="1022" spans="2:8" x14ac:dyDescent="0.3">
      <c r="B1022" s="153" t="str">
        <f>IF(Table25[[#This Row],[Date of Inspection
(§63.567(o)(5)(i))]]="","",VLOOKUP(Table25[[#This Row],[Date of Inspection
(§63.567(o)(5)(i))]],Table22[],2,FALSE))</f>
        <v/>
      </c>
      <c r="E1022" s="140"/>
      <c r="F1022" s="140"/>
    </row>
    <row r="1023" spans="2:8" x14ac:dyDescent="0.3">
      <c r="B1023" s="153" t="str">
        <f>IF(Table25[[#This Row],[Date of Inspection
(§63.567(o)(5)(i))]]="","",VLOOKUP(Table25[[#This Row],[Date of Inspection
(§63.567(o)(5)(i))]],Table22[],2,FALSE))</f>
        <v/>
      </c>
      <c r="E1023" s="140"/>
      <c r="F1023" s="140"/>
      <c r="H1023" s="51" t="s">
        <v>245</v>
      </c>
    </row>
  </sheetData>
  <sheetProtection sort="0" autoFilter="0"/>
  <dataValidations xWindow="370" yWindow="466" count="3">
    <dataValidation type="date" operator="greaterThan" allowBlank="1" showInputMessage="1" showErrorMessage="1" sqref="C24:C1023" xr:uid="{423E0C49-0382-4856-A2EC-150664E2FE17}">
      <formula1>45658</formula1>
    </dataValidation>
    <dataValidation type="decimal" operator="greaterThanOrEqual" allowBlank="1" showInputMessage="1" showErrorMessage="1" sqref="G24:G1048576" xr:uid="{AF65E178-1CD0-4326-A80A-AB5A213CEC35}">
      <formula1>0</formula1>
    </dataValidation>
    <dataValidation type="list" allowBlank="1" showInputMessage="1" showErrorMessage="1" sqref="B24:B523" xr:uid="{E66E86D7-802C-48DD-BB95-16F96C7C15ED}">
      <formula1>Sites</formula1>
    </dataValidation>
  </dataValidations>
  <pageMargins left="0.25" right="0.25" top="0.75" bottom="0.75" header="0.3" footer="0.3"/>
  <pageSetup scale="50" pageOrder="overThenDown" orientation="landscape" r:id="rId1"/>
  <headerFooter>
    <oddHeader>&amp;C&amp;10 40 CFR Part 63, Subpart EEEE National Emission Standards for Hazardous Air Pollutants: Organic Liquids Distribution (Non-Gasoline) - Compliance Report</oddHeader>
    <oddFooter>&amp;L&amp;10&amp;A&amp;R&amp;10Page &amp;P</oddFooter>
  </headerFooter>
  <tableParts count="1">
    <tablePart r:id="rId2"/>
  </tableParts>
  <extLst>
    <ext xmlns:x14="http://schemas.microsoft.com/office/spreadsheetml/2009/9/main" uri="{CCE6A557-97BC-4b89-ADB6-D9C93CAAB3DF}">
      <x14:dataValidations xmlns:xm="http://schemas.microsoft.com/office/excel/2006/main" xWindow="370" yWindow="466" count="1">
        <x14:dataValidation type="list" allowBlank="1" showInputMessage="1" showErrorMessage="1" errorTitle="Invalid Entry!" error="Please select the appropriate method from the dropdown list." promptTitle="LeakIDMethod" prompt="Please select the appropriate method from the dropdown list." xr:uid="{2263AB35-B74B-4780-A3C6-4D3579989FBE}">
          <x14:formula1>
            <xm:f>Lists!$B$47:$B$48</xm:f>
          </x14:formula1>
          <xm:sqref>D24:D1023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29A6C-3199-4CB9-AA6D-C4CD9FC57DA9}">
  <sheetPr codeName="Sheet13">
    <tabColor theme="7" tint="0.59999389629810485"/>
    <pageSetUpPr fitToPage="1"/>
  </sheetPr>
  <dimension ref="A1:R523"/>
  <sheetViews>
    <sheetView showGridLines="0" topLeftCell="B7" zoomScaleNormal="100" workbookViewId="0">
      <selection activeCell="D13" sqref="D13"/>
    </sheetView>
  </sheetViews>
  <sheetFormatPr defaultColWidth="0" defaultRowHeight="14.4" zeroHeight="1" x14ac:dyDescent="0.3"/>
  <cols>
    <col min="1" max="1" width="9.109375" style="79" hidden="1" customWidth="1"/>
    <col min="2" max="2" width="12.6640625" style="79" customWidth="1"/>
    <col min="3" max="3" width="31.6640625" style="79" customWidth="1"/>
    <col min="4" max="4" width="34.33203125" style="79" customWidth="1"/>
    <col min="5" max="5" width="20.6640625" style="79" bestFit="1" customWidth="1"/>
    <col min="6" max="7" width="19.33203125" style="79" bestFit="1" customWidth="1"/>
    <col min="8" max="8" width="21.44140625" style="79" customWidth="1"/>
    <col min="9" max="9" width="19.33203125" style="79" customWidth="1"/>
    <col min="10" max="10" width="22" style="79" bestFit="1" customWidth="1"/>
    <col min="11" max="11" width="21" style="79" customWidth="1"/>
    <col min="12" max="12" width="37.33203125" style="79" customWidth="1"/>
    <col min="13" max="17" width="18" style="79" hidden="1" customWidth="1"/>
    <col min="18" max="18" width="26.44140625" style="79" hidden="1" customWidth="1"/>
    <col min="19" max="16384" width="9.109375" style="79" hidden="1"/>
  </cols>
  <sheetData>
    <row r="1" spans="1:13" s="236" customFormat="1" ht="24.75" hidden="1" customHeight="1" x14ac:dyDescent="0.3">
      <c r="A1" s="238"/>
      <c r="B1" s="1" t="s">
        <v>0</v>
      </c>
      <c r="C1" s="1"/>
      <c r="D1" s="1"/>
      <c r="E1" s="1"/>
      <c r="F1" s="1"/>
      <c r="G1" s="1"/>
      <c r="H1" s="1"/>
      <c r="I1" s="1"/>
      <c r="J1" s="1"/>
      <c r="K1" s="1"/>
      <c r="L1" s="237"/>
    </row>
    <row r="2" spans="1:13" s="231" customFormat="1" ht="13.8" hidden="1" x14ac:dyDescent="0.3">
      <c r="B2" s="234" t="s">
        <v>1</v>
      </c>
      <c r="C2" s="234" t="s">
        <v>304</v>
      </c>
      <c r="D2" s="234"/>
      <c r="E2" s="234"/>
      <c r="F2" s="234"/>
      <c r="G2" s="234"/>
      <c r="H2" s="234"/>
      <c r="I2" s="234"/>
      <c r="J2" s="234"/>
      <c r="K2" s="234"/>
      <c r="L2" s="33"/>
    </row>
    <row r="3" spans="1:13" s="231" customFormat="1" ht="13.8" hidden="1" x14ac:dyDescent="0.3">
      <c r="B3" s="234" t="s">
        <v>2</v>
      </c>
      <c r="C3" s="234" t="s">
        <v>305</v>
      </c>
      <c r="D3" s="33"/>
      <c r="E3" s="33"/>
      <c r="F3" s="33"/>
      <c r="G3" s="33"/>
      <c r="H3" s="33"/>
      <c r="I3" s="33"/>
      <c r="J3" s="33"/>
      <c r="K3" s="33"/>
      <c r="L3" s="33"/>
    </row>
    <row r="4" spans="1:13" s="231" customFormat="1" ht="13.8" hidden="1" x14ac:dyDescent="0.3">
      <c r="B4" s="234" t="s">
        <v>3</v>
      </c>
      <c r="C4" s="234" t="s">
        <v>306</v>
      </c>
      <c r="D4" s="33"/>
      <c r="E4" s="33"/>
      <c r="F4" s="235"/>
      <c r="G4" s="235"/>
      <c r="H4" s="235"/>
      <c r="I4" s="235"/>
      <c r="J4" s="235"/>
      <c r="K4" s="235"/>
      <c r="L4" s="33"/>
    </row>
    <row r="5" spans="1:13" s="231" customFormat="1" ht="13.8" hidden="1" x14ac:dyDescent="0.3">
      <c r="B5" s="234" t="s">
        <v>4</v>
      </c>
      <c r="C5" s="233">
        <v>45391</v>
      </c>
      <c r="D5" s="161"/>
      <c r="E5" s="161"/>
      <c r="F5" s="232"/>
      <c r="G5" s="232"/>
      <c r="H5" s="232"/>
      <c r="I5" s="232"/>
      <c r="J5" s="232"/>
      <c r="K5" s="232"/>
      <c r="L5" s="33"/>
    </row>
    <row r="6" spans="1:13" s="217" customFormat="1" hidden="1" x14ac:dyDescent="0.3"/>
    <row r="7" spans="1:13" s="217" customFormat="1" x14ac:dyDescent="0.3">
      <c r="B7" s="9" t="str">
        <f>Company_Information!B7</f>
        <v>40 CFR Part 63, Subpart Y National Emission Standards for Hazardous Air Pollutants: Marine Tank Vessel Loading Operations</v>
      </c>
      <c r="C7" s="4"/>
      <c r="D7" s="4"/>
      <c r="E7" s="4"/>
      <c r="F7" s="9"/>
      <c r="G7" s="9"/>
      <c r="H7" s="9"/>
      <c r="I7" s="9"/>
      <c r="J7" s="9"/>
      <c r="K7" s="9"/>
      <c r="L7" s="9"/>
      <c r="M7" s="9"/>
    </row>
    <row r="8" spans="1:13" s="217" customFormat="1" x14ac:dyDescent="0.3">
      <c r="B8" s="10" t="str">
        <f>Company_Information!B8</f>
        <v>§63.567(o) Periodic Report Spreadsheet Template</v>
      </c>
      <c r="C8" s="9"/>
      <c r="D8" s="9"/>
      <c r="E8" s="9"/>
      <c r="F8" s="9"/>
      <c r="G8" s="9"/>
      <c r="H8" s="9"/>
      <c r="J8" s="9"/>
      <c r="L8" s="9"/>
      <c r="M8" s="9"/>
    </row>
    <row r="9" spans="1:13" s="217" customFormat="1" ht="30.75" customHeight="1" x14ac:dyDescent="0.3">
      <c r="B9" s="229" t="s">
        <v>294</v>
      </c>
      <c r="C9" s="229"/>
      <c r="D9" s="229"/>
      <c r="E9" s="229"/>
      <c r="F9" s="229"/>
      <c r="G9" s="229"/>
      <c r="H9" s="229"/>
      <c r="J9" s="229"/>
      <c r="L9" s="9"/>
      <c r="M9" s="9"/>
    </row>
    <row r="10" spans="1:13" s="217" customFormat="1" ht="15" thickBot="1" x14ac:dyDescent="0.35">
      <c r="B10" s="230" t="s">
        <v>135</v>
      </c>
      <c r="L10" s="229"/>
      <c r="M10" s="229"/>
    </row>
    <row r="11" spans="1:13" s="217" customFormat="1" ht="29.4" thickBot="1" x14ac:dyDescent="0.35">
      <c r="C11" s="9"/>
      <c r="D11" s="9"/>
      <c r="E11" s="9"/>
      <c r="F11" s="9"/>
      <c r="G11" s="9"/>
      <c r="H11" s="224" t="s">
        <v>293</v>
      </c>
      <c r="I11" s="228" t="s">
        <v>292</v>
      </c>
      <c r="J11" s="227"/>
      <c r="K11" s="226"/>
    </row>
    <row r="12" spans="1:13" s="220" customFormat="1" ht="72.599999999999994" thickBot="1" x14ac:dyDescent="0.35">
      <c r="A12" s="225"/>
      <c r="B12" s="17" t="s">
        <v>136</v>
      </c>
      <c r="C12" s="27" t="s">
        <v>385</v>
      </c>
      <c r="D12" s="27" t="s">
        <v>386</v>
      </c>
      <c r="E12" s="221" t="s">
        <v>295</v>
      </c>
      <c r="F12" s="221" t="s">
        <v>296</v>
      </c>
      <c r="G12" s="222" t="s">
        <v>297</v>
      </c>
      <c r="H12" s="224" t="s">
        <v>298</v>
      </c>
      <c r="I12" s="223" t="s">
        <v>299</v>
      </c>
      <c r="J12" s="221" t="s">
        <v>300</v>
      </c>
      <c r="K12" s="222" t="s">
        <v>301</v>
      </c>
      <c r="L12" s="221" t="s">
        <v>118</v>
      </c>
    </row>
    <row r="13" spans="1:13" s="217" customFormat="1" x14ac:dyDescent="0.3">
      <c r="B13" s="219" t="s">
        <v>190</v>
      </c>
      <c r="C13" s="219" t="s">
        <v>291</v>
      </c>
      <c r="D13" s="219" t="s">
        <v>290</v>
      </c>
      <c r="E13" s="219" t="s">
        <v>289</v>
      </c>
      <c r="F13" s="219" t="s">
        <v>288</v>
      </c>
      <c r="G13" s="219" t="s">
        <v>287</v>
      </c>
      <c r="H13" s="219" t="s">
        <v>286</v>
      </c>
      <c r="I13" s="219" t="s">
        <v>285</v>
      </c>
      <c r="J13" s="219" t="s">
        <v>284</v>
      </c>
      <c r="K13" s="219" t="s">
        <v>283</v>
      </c>
      <c r="L13" s="218" t="s">
        <v>282</v>
      </c>
    </row>
    <row r="14" spans="1:13" x14ac:dyDescent="0.3">
      <c r="B14" s="97" t="s">
        <v>5</v>
      </c>
      <c r="C14" s="97" t="s">
        <v>281</v>
      </c>
      <c r="D14" s="97" t="s">
        <v>280</v>
      </c>
      <c r="E14" s="97" t="s">
        <v>279</v>
      </c>
      <c r="F14" s="97" t="s">
        <v>278</v>
      </c>
      <c r="G14" s="97" t="s">
        <v>277</v>
      </c>
      <c r="H14" s="97" t="s">
        <v>114</v>
      </c>
      <c r="I14" s="97" t="s">
        <v>276</v>
      </c>
      <c r="J14" s="97" t="s">
        <v>275</v>
      </c>
      <c r="K14" s="97" t="s">
        <v>274</v>
      </c>
      <c r="L14" s="216" t="s">
        <v>107</v>
      </c>
    </row>
    <row r="15" spans="1:13" hidden="1" x14ac:dyDescent="0.3">
      <c r="B15" s="97" t="s">
        <v>188</v>
      </c>
      <c r="C15" s="97" t="s">
        <v>188</v>
      </c>
      <c r="D15" s="97" t="s">
        <v>188</v>
      </c>
      <c r="E15" s="97" t="s">
        <v>188</v>
      </c>
      <c r="F15" s="97" t="s">
        <v>188</v>
      </c>
      <c r="G15" s="97" t="s">
        <v>188</v>
      </c>
      <c r="H15" s="97" t="s">
        <v>188</v>
      </c>
      <c r="I15" s="97" t="s">
        <v>188</v>
      </c>
      <c r="J15" s="97" t="s">
        <v>188</v>
      </c>
      <c r="K15" s="97" t="s">
        <v>188</v>
      </c>
      <c r="L15" s="97" t="s">
        <v>188</v>
      </c>
    </row>
    <row r="16" spans="1:13" hidden="1" x14ac:dyDescent="0.3">
      <c r="B16" s="97" t="s">
        <v>188</v>
      </c>
      <c r="C16" s="97" t="s">
        <v>188</v>
      </c>
      <c r="D16" s="97" t="s">
        <v>188</v>
      </c>
      <c r="E16" s="97" t="s">
        <v>188</v>
      </c>
      <c r="F16" s="97" t="s">
        <v>188</v>
      </c>
      <c r="G16" s="97" t="s">
        <v>188</v>
      </c>
      <c r="H16" s="97" t="s">
        <v>188</v>
      </c>
      <c r="I16" s="97" t="s">
        <v>188</v>
      </c>
      <c r="J16" s="97" t="s">
        <v>188</v>
      </c>
      <c r="K16" s="97" t="s">
        <v>188</v>
      </c>
      <c r="L16" s="97" t="s">
        <v>188</v>
      </c>
    </row>
    <row r="17" spans="2:12" hidden="1" x14ac:dyDescent="0.3">
      <c r="B17" s="97" t="s">
        <v>188</v>
      </c>
      <c r="C17" s="97" t="s">
        <v>188</v>
      </c>
      <c r="D17" s="97" t="s">
        <v>188</v>
      </c>
      <c r="E17" s="97" t="s">
        <v>188</v>
      </c>
      <c r="F17" s="97" t="s">
        <v>188</v>
      </c>
      <c r="G17" s="97" t="s">
        <v>188</v>
      </c>
      <c r="H17" s="97" t="s">
        <v>188</v>
      </c>
      <c r="I17" s="97" t="s">
        <v>188</v>
      </c>
      <c r="J17" s="97" t="s">
        <v>188</v>
      </c>
      <c r="K17" s="97" t="s">
        <v>188</v>
      </c>
      <c r="L17" s="97" t="s">
        <v>188</v>
      </c>
    </row>
    <row r="18" spans="2:12" hidden="1" x14ac:dyDescent="0.3">
      <c r="B18" s="97" t="s">
        <v>188</v>
      </c>
      <c r="C18" s="97" t="s">
        <v>188</v>
      </c>
      <c r="D18" s="97" t="s">
        <v>188</v>
      </c>
      <c r="E18" s="97" t="s">
        <v>188</v>
      </c>
      <c r="F18" s="97" t="s">
        <v>188</v>
      </c>
      <c r="G18" s="97" t="s">
        <v>188</v>
      </c>
      <c r="H18" s="97" t="s">
        <v>188</v>
      </c>
      <c r="I18" s="97" t="s">
        <v>188</v>
      </c>
      <c r="J18" s="97" t="s">
        <v>188</v>
      </c>
      <c r="K18" s="97" t="s">
        <v>188</v>
      </c>
      <c r="L18" s="97" t="s">
        <v>188</v>
      </c>
    </row>
    <row r="19" spans="2:12" hidden="1" x14ac:dyDescent="0.3">
      <c r="B19" s="97" t="s">
        <v>188</v>
      </c>
      <c r="C19" s="97" t="s">
        <v>188</v>
      </c>
      <c r="D19" s="97" t="s">
        <v>188</v>
      </c>
      <c r="E19" s="97" t="s">
        <v>188</v>
      </c>
      <c r="F19" s="97" t="s">
        <v>188</v>
      </c>
      <c r="G19" s="97" t="s">
        <v>188</v>
      </c>
      <c r="H19" s="97" t="s">
        <v>188</v>
      </c>
      <c r="I19" s="97" t="s">
        <v>188</v>
      </c>
      <c r="J19" s="97" t="s">
        <v>188</v>
      </c>
      <c r="K19" s="97" t="s">
        <v>188</v>
      </c>
      <c r="L19" s="97" t="s">
        <v>188</v>
      </c>
    </row>
    <row r="20" spans="2:12" hidden="1" x14ac:dyDescent="0.3">
      <c r="B20" s="97" t="s">
        <v>188</v>
      </c>
      <c r="C20" s="97" t="s">
        <v>188</v>
      </c>
      <c r="D20" s="97" t="s">
        <v>188</v>
      </c>
      <c r="E20" s="97" t="s">
        <v>188</v>
      </c>
      <c r="F20" s="97" t="s">
        <v>188</v>
      </c>
      <c r="G20" s="97" t="s">
        <v>188</v>
      </c>
      <c r="H20" s="97" t="s">
        <v>188</v>
      </c>
      <c r="I20" s="97" t="s">
        <v>188</v>
      </c>
      <c r="J20" s="97" t="s">
        <v>188</v>
      </c>
      <c r="K20" s="97" t="s">
        <v>188</v>
      </c>
      <c r="L20" s="97" t="s">
        <v>188</v>
      </c>
    </row>
    <row r="21" spans="2:12" hidden="1" x14ac:dyDescent="0.3">
      <c r="B21" s="97" t="s">
        <v>188</v>
      </c>
      <c r="C21" s="97" t="s">
        <v>188</v>
      </c>
      <c r="D21" s="97" t="s">
        <v>188</v>
      </c>
      <c r="E21" s="97" t="s">
        <v>188</v>
      </c>
      <c r="F21" s="97" t="s">
        <v>188</v>
      </c>
      <c r="G21" s="97" t="s">
        <v>188</v>
      </c>
      <c r="H21" s="97" t="s">
        <v>188</v>
      </c>
      <c r="I21" s="97" t="s">
        <v>188</v>
      </c>
      <c r="J21" s="97" t="s">
        <v>188</v>
      </c>
      <c r="K21" s="97" t="s">
        <v>188</v>
      </c>
      <c r="L21" s="97" t="s">
        <v>188</v>
      </c>
    </row>
    <row r="22" spans="2:12" hidden="1" x14ac:dyDescent="0.3">
      <c r="B22" s="97" t="s">
        <v>188</v>
      </c>
      <c r="C22" s="97" t="s">
        <v>188</v>
      </c>
      <c r="D22" s="97" t="s">
        <v>188</v>
      </c>
      <c r="E22" s="97" t="s">
        <v>188</v>
      </c>
      <c r="F22" s="97" t="s">
        <v>188</v>
      </c>
      <c r="G22" s="97" t="s">
        <v>188</v>
      </c>
      <c r="H22" s="97" t="s">
        <v>188</v>
      </c>
      <c r="I22" s="97" t="s">
        <v>188</v>
      </c>
      <c r="J22" s="97" t="s">
        <v>188</v>
      </c>
      <c r="K22" s="97" t="s">
        <v>188</v>
      </c>
      <c r="L22" s="97" t="s">
        <v>188</v>
      </c>
    </row>
    <row r="23" spans="2:12" hidden="1" x14ac:dyDescent="0.3">
      <c r="B23" s="97" t="s">
        <v>188</v>
      </c>
      <c r="C23" s="97" t="s">
        <v>188</v>
      </c>
      <c r="D23" s="97" t="s">
        <v>188</v>
      </c>
      <c r="E23" s="97" t="s">
        <v>188</v>
      </c>
      <c r="F23" s="97" t="s">
        <v>188</v>
      </c>
      <c r="G23" s="97" t="s">
        <v>188</v>
      </c>
      <c r="H23" s="97" t="s">
        <v>188</v>
      </c>
      <c r="I23" s="97" t="s">
        <v>188</v>
      </c>
      <c r="J23" s="97" t="s">
        <v>188</v>
      </c>
      <c r="K23" s="97" t="s">
        <v>188</v>
      </c>
      <c r="L23" s="97" t="s">
        <v>188</v>
      </c>
    </row>
    <row r="24" spans="2:12" x14ac:dyDescent="0.3">
      <c r="B24" s="51"/>
      <c r="C24" s="51"/>
      <c r="D24" s="51"/>
      <c r="E24" s="132"/>
      <c r="F24" s="140"/>
      <c r="G24" s="140"/>
      <c r="H24" s="51"/>
      <c r="I24" s="51"/>
      <c r="J24" s="51"/>
      <c r="K24" s="79" t="str">
        <f t="shared" ref="K24:K87" si="0">IF(I24="","",IF(I24="vtip","ft/s",IF(I24="NHVcz","Btu/scf","Btu/sq ft")))</f>
        <v/>
      </c>
      <c r="L24" s="51"/>
    </row>
    <row r="25" spans="2:12" x14ac:dyDescent="0.3">
      <c r="B25" s="51"/>
      <c r="C25" s="51"/>
      <c r="D25" s="51"/>
      <c r="E25" s="132"/>
      <c r="F25" s="140"/>
      <c r="G25" s="140"/>
      <c r="H25" s="51"/>
      <c r="I25" s="51"/>
      <c r="J25" s="51"/>
      <c r="K25" s="79" t="str">
        <f t="shared" si="0"/>
        <v/>
      </c>
      <c r="L25" s="51"/>
    </row>
    <row r="26" spans="2:12" x14ac:dyDescent="0.3">
      <c r="B26" s="51"/>
      <c r="C26" s="51"/>
      <c r="D26" s="51"/>
      <c r="E26" s="132"/>
      <c r="F26" s="140"/>
      <c r="G26" s="140"/>
      <c r="H26" s="51"/>
      <c r="I26" s="51"/>
      <c r="J26" s="51"/>
      <c r="K26" s="79" t="str">
        <f t="shared" si="0"/>
        <v/>
      </c>
      <c r="L26" s="51"/>
    </row>
    <row r="27" spans="2:12" x14ac:dyDescent="0.3">
      <c r="B27" s="51"/>
      <c r="C27" s="51"/>
      <c r="D27" s="51"/>
      <c r="E27" s="132"/>
      <c r="F27" s="140"/>
      <c r="G27" s="140"/>
      <c r="H27" s="51"/>
      <c r="I27" s="51"/>
      <c r="J27" s="51"/>
      <c r="K27" s="79" t="str">
        <f t="shared" si="0"/>
        <v/>
      </c>
      <c r="L27" s="51"/>
    </row>
    <row r="28" spans="2:12" x14ac:dyDescent="0.3">
      <c r="B28" s="51"/>
      <c r="C28" s="51"/>
      <c r="D28" s="51"/>
      <c r="E28" s="132"/>
      <c r="F28" s="140"/>
      <c r="G28" s="140"/>
      <c r="H28" s="51"/>
      <c r="I28" s="51"/>
      <c r="J28" s="51"/>
      <c r="K28" s="79" t="str">
        <f t="shared" si="0"/>
        <v/>
      </c>
      <c r="L28" s="51"/>
    </row>
    <row r="29" spans="2:12" x14ac:dyDescent="0.3">
      <c r="B29" s="51"/>
      <c r="C29" s="51"/>
      <c r="D29" s="51"/>
      <c r="E29" s="132"/>
      <c r="F29" s="140"/>
      <c r="G29" s="140"/>
      <c r="H29" s="51"/>
      <c r="I29" s="51"/>
      <c r="J29" s="51"/>
      <c r="K29" s="79" t="str">
        <f t="shared" si="0"/>
        <v/>
      </c>
      <c r="L29" s="51"/>
    </row>
    <row r="30" spans="2:12" x14ac:dyDescent="0.3">
      <c r="B30" s="51"/>
      <c r="C30" s="51"/>
      <c r="D30" s="51"/>
      <c r="E30" s="132"/>
      <c r="F30" s="140"/>
      <c r="G30" s="140"/>
      <c r="H30" s="51"/>
      <c r="I30" s="51"/>
      <c r="J30" s="51"/>
      <c r="K30" s="79" t="str">
        <f t="shared" si="0"/>
        <v/>
      </c>
      <c r="L30" s="51"/>
    </row>
    <row r="31" spans="2:12" x14ac:dyDescent="0.3">
      <c r="B31" s="51"/>
      <c r="C31" s="51"/>
      <c r="D31" s="51"/>
      <c r="E31" s="132"/>
      <c r="F31" s="140"/>
      <c r="G31" s="140"/>
      <c r="H31" s="51"/>
      <c r="I31" s="51"/>
      <c r="J31" s="51"/>
      <c r="K31" s="79" t="str">
        <f t="shared" si="0"/>
        <v/>
      </c>
      <c r="L31" s="51"/>
    </row>
    <row r="32" spans="2:12" x14ac:dyDescent="0.3">
      <c r="B32" s="51"/>
      <c r="C32" s="51"/>
      <c r="D32" s="51"/>
      <c r="E32" s="132"/>
      <c r="F32" s="140"/>
      <c r="G32" s="140"/>
      <c r="H32" s="51"/>
      <c r="I32" s="51"/>
      <c r="J32" s="51"/>
      <c r="K32" s="79" t="str">
        <f t="shared" si="0"/>
        <v/>
      </c>
      <c r="L32" s="51"/>
    </row>
    <row r="33" spans="2:12" x14ac:dyDescent="0.3">
      <c r="B33" s="51"/>
      <c r="C33" s="51"/>
      <c r="D33" s="51"/>
      <c r="E33" s="132"/>
      <c r="F33" s="140"/>
      <c r="G33" s="140"/>
      <c r="H33" s="51"/>
      <c r="I33" s="51"/>
      <c r="J33" s="51"/>
      <c r="K33" s="79" t="str">
        <f t="shared" si="0"/>
        <v/>
      </c>
      <c r="L33" s="51"/>
    </row>
    <row r="34" spans="2:12" x14ac:dyDescent="0.3">
      <c r="B34" s="51"/>
      <c r="C34" s="51"/>
      <c r="D34" s="51"/>
      <c r="E34" s="132"/>
      <c r="F34" s="140"/>
      <c r="G34" s="140"/>
      <c r="H34" s="51"/>
      <c r="I34" s="51"/>
      <c r="J34" s="51"/>
      <c r="K34" s="79" t="str">
        <f t="shared" si="0"/>
        <v/>
      </c>
      <c r="L34" s="51"/>
    </row>
    <row r="35" spans="2:12" x14ac:dyDescent="0.3">
      <c r="B35" s="51"/>
      <c r="C35" s="51"/>
      <c r="D35" s="51"/>
      <c r="E35" s="132"/>
      <c r="F35" s="140"/>
      <c r="G35" s="140"/>
      <c r="H35" s="51"/>
      <c r="I35" s="51"/>
      <c r="J35" s="51"/>
      <c r="K35" s="79" t="str">
        <f t="shared" si="0"/>
        <v/>
      </c>
      <c r="L35" s="51"/>
    </row>
    <row r="36" spans="2:12" x14ac:dyDescent="0.3">
      <c r="B36" s="51"/>
      <c r="C36" s="51"/>
      <c r="D36" s="51"/>
      <c r="E36" s="132"/>
      <c r="F36" s="140"/>
      <c r="G36" s="140"/>
      <c r="H36" s="51"/>
      <c r="I36" s="51"/>
      <c r="J36" s="51"/>
      <c r="K36" s="79" t="str">
        <f t="shared" si="0"/>
        <v/>
      </c>
      <c r="L36" s="51"/>
    </row>
    <row r="37" spans="2:12" x14ac:dyDescent="0.3">
      <c r="B37" s="51"/>
      <c r="C37" s="51"/>
      <c r="D37" s="51"/>
      <c r="E37" s="132"/>
      <c r="F37" s="140"/>
      <c r="G37" s="140"/>
      <c r="H37" s="51"/>
      <c r="I37" s="51"/>
      <c r="J37" s="51"/>
      <c r="K37" s="79" t="str">
        <f t="shared" si="0"/>
        <v/>
      </c>
      <c r="L37" s="51"/>
    </row>
    <row r="38" spans="2:12" x14ac:dyDescent="0.3">
      <c r="B38" s="51"/>
      <c r="C38" s="51"/>
      <c r="D38" s="51"/>
      <c r="E38" s="132"/>
      <c r="F38" s="140"/>
      <c r="G38" s="140"/>
      <c r="H38" s="51"/>
      <c r="I38" s="51"/>
      <c r="J38" s="51"/>
      <c r="K38" s="79" t="str">
        <f t="shared" si="0"/>
        <v/>
      </c>
      <c r="L38" s="51"/>
    </row>
    <row r="39" spans="2:12" x14ac:dyDescent="0.3">
      <c r="B39" s="51"/>
      <c r="C39" s="51"/>
      <c r="D39" s="51"/>
      <c r="E39" s="132"/>
      <c r="F39" s="140"/>
      <c r="G39" s="140"/>
      <c r="H39" s="51"/>
      <c r="I39" s="51"/>
      <c r="J39" s="51"/>
      <c r="K39" s="79" t="str">
        <f t="shared" si="0"/>
        <v/>
      </c>
      <c r="L39" s="51"/>
    </row>
    <row r="40" spans="2:12" x14ac:dyDescent="0.3">
      <c r="B40" s="51"/>
      <c r="C40" s="51"/>
      <c r="D40" s="51"/>
      <c r="E40" s="132"/>
      <c r="F40" s="140"/>
      <c r="G40" s="140"/>
      <c r="H40" s="51"/>
      <c r="I40" s="51"/>
      <c r="J40" s="51"/>
      <c r="K40" s="79" t="str">
        <f t="shared" si="0"/>
        <v/>
      </c>
      <c r="L40" s="51"/>
    </row>
    <row r="41" spans="2:12" x14ac:dyDescent="0.3">
      <c r="B41" s="51"/>
      <c r="C41" s="51"/>
      <c r="D41" s="51"/>
      <c r="E41" s="132"/>
      <c r="F41" s="140"/>
      <c r="G41" s="140"/>
      <c r="H41" s="51"/>
      <c r="I41" s="51"/>
      <c r="J41" s="51"/>
      <c r="K41" s="79" t="str">
        <f t="shared" si="0"/>
        <v/>
      </c>
      <c r="L41" s="51"/>
    </row>
    <row r="42" spans="2:12" x14ac:dyDescent="0.3">
      <c r="B42" s="51"/>
      <c r="C42" s="51"/>
      <c r="D42" s="51"/>
      <c r="E42" s="132"/>
      <c r="F42" s="140"/>
      <c r="G42" s="140"/>
      <c r="H42" s="51"/>
      <c r="I42" s="51"/>
      <c r="J42" s="51"/>
      <c r="K42" s="79" t="str">
        <f t="shared" si="0"/>
        <v/>
      </c>
      <c r="L42" s="51"/>
    </row>
    <row r="43" spans="2:12" x14ac:dyDescent="0.3">
      <c r="B43" s="51"/>
      <c r="C43" s="51"/>
      <c r="D43" s="51"/>
      <c r="E43" s="132"/>
      <c r="F43" s="140"/>
      <c r="G43" s="140"/>
      <c r="H43" s="51"/>
      <c r="I43" s="51"/>
      <c r="J43" s="51"/>
      <c r="K43" s="79" t="str">
        <f t="shared" si="0"/>
        <v/>
      </c>
      <c r="L43" s="51"/>
    </row>
    <row r="44" spans="2:12" x14ac:dyDescent="0.3">
      <c r="B44" s="51"/>
      <c r="C44" s="51"/>
      <c r="D44" s="51"/>
      <c r="E44" s="132"/>
      <c r="F44" s="140"/>
      <c r="G44" s="140"/>
      <c r="H44" s="51"/>
      <c r="I44" s="51"/>
      <c r="J44" s="51"/>
      <c r="K44" s="79" t="str">
        <f t="shared" si="0"/>
        <v/>
      </c>
      <c r="L44" s="51"/>
    </row>
    <row r="45" spans="2:12" x14ac:dyDescent="0.3">
      <c r="B45" s="51"/>
      <c r="C45" s="51"/>
      <c r="D45" s="51"/>
      <c r="E45" s="132"/>
      <c r="F45" s="140"/>
      <c r="G45" s="140"/>
      <c r="H45" s="51"/>
      <c r="I45" s="51"/>
      <c r="J45" s="51"/>
      <c r="K45" s="79" t="str">
        <f t="shared" si="0"/>
        <v/>
      </c>
      <c r="L45" s="51"/>
    </row>
    <row r="46" spans="2:12" x14ac:dyDescent="0.3">
      <c r="B46" s="51"/>
      <c r="C46" s="51"/>
      <c r="D46" s="51"/>
      <c r="E46" s="132"/>
      <c r="F46" s="140"/>
      <c r="G46" s="140"/>
      <c r="H46" s="51"/>
      <c r="I46" s="51"/>
      <c r="J46" s="51"/>
      <c r="K46" s="79" t="str">
        <f t="shared" si="0"/>
        <v/>
      </c>
      <c r="L46" s="51"/>
    </row>
    <row r="47" spans="2:12" x14ac:dyDescent="0.3">
      <c r="B47" s="51"/>
      <c r="C47" s="51"/>
      <c r="D47" s="51"/>
      <c r="E47" s="132"/>
      <c r="F47" s="140"/>
      <c r="G47" s="140"/>
      <c r="H47" s="51"/>
      <c r="I47" s="51"/>
      <c r="J47" s="51"/>
      <c r="K47" s="79" t="str">
        <f t="shared" si="0"/>
        <v/>
      </c>
      <c r="L47" s="51"/>
    </row>
    <row r="48" spans="2:12" x14ac:dyDescent="0.3">
      <c r="B48" s="51"/>
      <c r="C48" s="51"/>
      <c r="D48" s="51"/>
      <c r="E48" s="132"/>
      <c r="F48" s="140"/>
      <c r="G48" s="140"/>
      <c r="H48" s="51"/>
      <c r="I48" s="51"/>
      <c r="J48" s="51"/>
      <c r="K48" s="79" t="str">
        <f t="shared" si="0"/>
        <v/>
      </c>
      <c r="L48" s="51"/>
    </row>
    <row r="49" spans="2:12" x14ac:dyDescent="0.3">
      <c r="B49" s="51"/>
      <c r="C49" s="51"/>
      <c r="D49" s="51"/>
      <c r="E49" s="132"/>
      <c r="F49" s="140"/>
      <c r="G49" s="140"/>
      <c r="H49" s="51"/>
      <c r="I49" s="51"/>
      <c r="J49" s="51"/>
      <c r="K49" s="79" t="str">
        <f t="shared" si="0"/>
        <v/>
      </c>
      <c r="L49" s="51"/>
    </row>
    <row r="50" spans="2:12" x14ac:dyDescent="0.3">
      <c r="B50" s="51"/>
      <c r="C50" s="51"/>
      <c r="D50" s="51"/>
      <c r="E50" s="132"/>
      <c r="F50" s="140"/>
      <c r="G50" s="140"/>
      <c r="H50" s="51"/>
      <c r="I50" s="51"/>
      <c r="J50" s="51"/>
      <c r="K50" s="79" t="str">
        <f t="shared" si="0"/>
        <v/>
      </c>
      <c r="L50" s="51"/>
    </row>
    <row r="51" spans="2:12" x14ac:dyDescent="0.3">
      <c r="B51" s="51"/>
      <c r="C51" s="51"/>
      <c r="D51" s="51"/>
      <c r="E51" s="132"/>
      <c r="F51" s="140"/>
      <c r="G51" s="140"/>
      <c r="H51" s="51"/>
      <c r="I51" s="51"/>
      <c r="J51" s="51"/>
      <c r="K51" s="79" t="str">
        <f t="shared" si="0"/>
        <v/>
      </c>
      <c r="L51" s="51"/>
    </row>
    <row r="52" spans="2:12" x14ac:dyDescent="0.3">
      <c r="B52" s="51"/>
      <c r="C52" s="51"/>
      <c r="D52" s="51"/>
      <c r="E52" s="132"/>
      <c r="F52" s="140"/>
      <c r="G52" s="140"/>
      <c r="H52" s="51"/>
      <c r="I52" s="51"/>
      <c r="J52" s="51"/>
      <c r="K52" s="79" t="str">
        <f t="shared" si="0"/>
        <v/>
      </c>
      <c r="L52" s="51"/>
    </row>
    <row r="53" spans="2:12" x14ac:dyDescent="0.3">
      <c r="B53" s="51"/>
      <c r="C53" s="51"/>
      <c r="D53" s="51"/>
      <c r="E53" s="132"/>
      <c r="F53" s="140"/>
      <c r="G53" s="140"/>
      <c r="H53" s="51"/>
      <c r="I53" s="51"/>
      <c r="J53" s="51"/>
      <c r="K53" s="79" t="str">
        <f t="shared" si="0"/>
        <v/>
      </c>
      <c r="L53" s="51"/>
    </row>
    <row r="54" spans="2:12" x14ac:dyDescent="0.3">
      <c r="B54" s="51"/>
      <c r="C54" s="51"/>
      <c r="D54" s="51"/>
      <c r="E54" s="132"/>
      <c r="F54" s="140"/>
      <c r="G54" s="140"/>
      <c r="H54" s="51"/>
      <c r="I54" s="51"/>
      <c r="J54" s="51"/>
      <c r="K54" s="79" t="str">
        <f t="shared" si="0"/>
        <v/>
      </c>
      <c r="L54" s="51"/>
    </row>
    <row r="55" spans="2:12" x14ac:dyDescent="0.3">
      <c r="B55" s="51"/>
      <c r="C55" s="51"/>
      <c r="D55" s="51"/>
      <c r="E55" s="132"/>
      <c r="F55" s="140"/>
      <c r="G55" s="140"/>
      <c r="H55" s="51"/>
      <c r="I55" s="51"/>
      <c r="J55" s="51"/>
      <c r="K55" s="79" t="str">
        <f t="shared" si="0"/>
        <v/>
      </c>
      <c r="L55" s="51"/>
    </row>
    <row r="56" spans="2:12" x14ac:dyDescent="0.3">
      <c r="B56" s="51"/>
      <c r="C56" s="51"/>
      <c r="D56" s="51"/>
      <c r="E56" s="132"/>
      <c r="F56" s="140"/>
      <c r="G56" s="140"/>
      <c r="H56" s="51"/>
      <c r="I56" s="51"/>
      <c r="J56" s="51"/>
      <c r="K56" s="79" t="str">
        <f t="shared" si="0"/>
        <v/>
      </c>
      <c r="L56" s="51"/>
    </row>
    <row r="57" spans="2:12" x14ac:dyDescent="0.3">
      <c r="B57" s="51"/>
      <c r="C57" s="51"/>
      <c r="D57" s="51"/>
      <c r="E57" s="132"/>
      <c r="F57" s="140"/>
      <c r="G57" s="140"/>
      <c r="H57" s="51"/>
      <c r="I57" s="51"/>
      <c r="J57" s="51"/>
      <c r="K57" s="79" t="str">
        <f t="shared" si="0"/>
        <v/>
      </c>
      <c r="L57" s="51"/>
    </row>
    <row r="58" spans="2:12" x14ac:dyDescent="0.3">
      <c r="B58" s="51"/>
      <c r="C58" s="51"/>
      <c r="D58" s="51"/>
      <c r="E58" s="132"/>
      <c r="F58" s="140"/>
      <c r="G58" s="140"/>
      <c r="H58" s="51"/>
      <c r="I58" s="51"/>
      <c r="J58" s="51"/>
      <c r="K58" s="79" t="str">
        <f t="shared" si="0"/>
        <v/>
      </c>
      <c r="L58" s="51"/>
    </row>
    <row r="59" spans="2:12" x14ac:dyDescent="0.3">
      <c r="B59" s="51"/>
      <c r="C59" s="51"/>
      <c r="D59" s="51"/>
      <c r="E59" s="132"/>
      <c r="F59" s="140"/>
      <c r="G59" s="140"/>
      <c r="H59" s="51"/>
      <c r="I59" s="51"/>
      <c r="J59" s="51"/>
      <c r="K59" s="79" t="str">
        <f t="shared" si="0"/>
        <v/>
      </c>
      <c r="L59" s="51"/>
    </row>
    <row r="60" spans="2:12" x14ac:dyDescent="0.3">
      <c r="B60" s="51"/>
      <c r="C60" s="51"/>
      <c r="D60" s="51"/>
      <c r="E60" s="132"/>
      <c r="F60" s="140"/>
      <c r="G60" s="140"/>
      <c r="H60" s="51"/>
      <c r="I60" s="51"/>
      <c r="J60" s="51"/>
      <c r="K60" s="79" t="str">
        <f t="shared" si="0"/>
        <v/>
      </c>
      <c r="L60" s="51"/>
    </row>
    <row r="61" spans="2:12" x14ac:dyDescent="0.3">
      <c r="B61" s="51"/>
      <c r="C61" s="51"/>
      <c r="D61" s="51"/>
      <c r="E61" s="132"/>
      <c r="F61" s="140"/>
      <c r="G61" s="140"/>
      <c r="H61" s="51"/>
      <c r="I61" s="51"/>
      <c r="J61" s="51"/>
      <c r="K61" s="79" t="str">
        <f t="shared" si="0"/>
        <v/>
      </c>
      <c r="L61" s="51"/>
    </row>
    <row r="62" spans="2:12" x14ac:dyDescent="0.3">
      <c r="B62" s="51"/>
      <c r="C62" s="51"/>
      <c r="D62" s="51"/>
      <c r="E62" s="132"/>
      <c r="F62" s="140"/>
      <c r="G62" s="140"/>
      <c r="H62" s="51"/>
      <c r="I62" s="51"/>
      <c r="J62" s="51"/>
      <c r="K62" s="79" t="str">
        <f t="shared" si="0"/>
        <v/>
      </c>
      <c r="L62" s="51"/>
    </row>
    <row r="63" spans="2:12" x14ac:dyDescent="0.3">
      <c r="B63" s="51"/>
      <c r="C63" s="51"/>
      <c r="D63" s="51"/>
      <c r="E63" s="132"/>
      <c r="F63" s="140"/>
      <c r="G63" s="140"/>
      <c r="H63" s="51"/>
      <c r="I63" s="51"/>
      <c r="J63" s="51"/>
      <c r="K63" s="79" t="str">
        <f t="shared" si="0"/>
        <v/>
      </c>
      <c r="L63" s="51"/>
    </row>
    <row r="64" spans="2:12" x14ac:dyDescent="0.3">
      <c r="B64" s="51"/>
      <c r="C64" s="51"/>
      <c r="D64" s="51"/>
      <c r="E64" s="132"/>
      <c r="F64" s="140"/>
      <c r="G64" s="140"/>
      <c r="H64" s="51"/>
      <c r="I64" s="51"/>
      <c r="J64" s="51"/>
      <c r="K64" s="79" t="str">
        <f t="shared" si="0"/>
        <v/>
      </c>
      <c r="L64" s="51"/>
    </row>
    <row r="65" spans="2:12" x14ac:dyDescent="0.3">
      <c r="B65" s="51"/>
      <c r="C65" s="51"/>
      <c r="D65" s="51"/>
      <c r="E65" s="132"/>
      <c r="F65" s="140"/>
      <c r="G65" s="140"/>
      <c r="H65" s="51"/>
      <c r="I65" s="51"/>
      <c r="J65" s="51"/>
      <c r="K65" s="79" t="str">
        <f t="shared" si="0"/>
        <v/>
      </c>
      <c r="L65" s="51"/>
    </row>
    <row r="66" spans="2:12" x14ac:dyDescent="0.3">
      <c r="B66" s="51"/>
      <c r="C66" s="51"/>
      <c r="D66" s="51"/>
      <c r="E66" s="132"/>
      <c r="F66" s="140"/>
      <c r="G66" s="140"/>
      <c r="H66" s="51"/>
      <c r="I66" s="51"/>
      <c r="J66" s="51"/>
      <c r="K66" s="79" t="str">
        <f t="shared" si="0"/>
        <v/>
      </c>
      <c r="L66" s="51"/>
    </row>
    <row r="67" spans="2:12" x14ac:dyDescent="0.3">
      <c r="B67" s="51"/>
      <c r="C67" s="51"/>
      <c r="D67" s="51"/>
      <c r="E67" s="132"/>
      <c r="F67" s="140"/>
      <c r="G67" s="140"/>
      <c r="H67" s="51"/>
      <c r="I67" s="51"/>
      <c r="J67" s="51"/>
      <c r="K67" s="79" t="str">
        <f t="shared" si="0"/>
        <v/>
      </c>
      <c r="L67" s="51"/>
    </row>
    <row r="68" spans="2:12" x14ac:dyDescent="0.3">
      <c r="B68" s="51"/>
      <c r="C68" s="51"/>
      <c r="D68" s="51"/>
      <c r="E68" s="132"/>
      <c r="F68" s="140"/>
      <c r="G68" s="140"/>
      <c r="H68" s="51"/>
      <c r="I68" s="51"/>
      <c r="J68" s="51"/>
      <c r="K68" s="79" t="str">
        <f t="shared" si="0"/>
        <v/>
      </c>
      <c r="L68" s="51"/>
    </row>
    <row r="69" spans="2:12" x14ac:dyDescent="0.3">
      <c r="B69" s="51"/>
      <c r="C69" s="51"/>
      <c r="D69" s="51"/>
      <c r="E69" s="132"/>
      <c r="F69" s="140"/>
      <c r="G69" s="140"/>
      <c r="H69" s="51"/>
      <c r="I69" s="51"/>
      <c r="J69" s="51"/>
      <c r="K69" s="79" t="str">
        <f t="shared" si="0"/>
        <v/>
      </c>
      <c r="L69" s="51"/>
    </row>
    <row r="70" spans="2:12" x14ac:dyDescent="0.3">
      <c r="B70" s="51"/>
      <c r="C70" s="51"/>
      <c r="D70" s="51"/>
      <c r="E70" s="132"/>
      <c r="F70" s="140"/>
      <c r="G70" s="140"/>
      <c r="H70" s="51"/>
      <c r="I70" s="51"/>
      <c r="J70" s="51"/>
      <c r="K70" s="79" t="str">
        <f t="shared" si="0"/>
        <v/>
      </c>
      <c r="L70" s="51"/>
    </row>
    <row r="71" spans="2:12" x14ac:dyDescent="0.3">
      <c r="B71" s="51"/>
      <c r="C71" s="51"/>
      <c r="D71" s="51"/>
      <c r="E71" s="132"/>
      <c r="F71" s="140"/>
      <c r="G71" s="140"/>
      <c r="H71" s="51"/>
      <c r="I71" s="51"/>
      <c r="J71" s="51"/>
      <c r="K71" s="79" t="str">
        <f t="shared" si="0"/>
        <v/>
      </c>
      <c r="L71" s="51"/>
    </row>
    <row r="72" spans="2:12" x14ac:dyDescent="0.3">
      <c r="B72" s="51"/>
      <c r="C72" s="51"/>
      <c r="D72" s="51"/>
      <c r="E72" s="132"/>
      <c r="F72" s="140"/>
      <c r="G72" s="140"/>
      <c r="H72" s="51"/>
      <c r="I72" s="51"/>
      <c r="J72" s="51"/>
      <c r="K72" s="79" t="str">
        <f t="shared" si="0"/>
        <v/>
      </c>
      <c r="L72" s="51"/>
    </row>
    <row r="73" spans="2:12" x14ac:dyDescent="0.3">
      <c r="B73" s="51"/>
      <c r="C73" s="51"/>
      <c r="D73" s="51"/>
      <c r="E73" s="132"/>
      <c r="F73" s="140"/>
      <c r="G73" s="140"/>
      <c r="H73" s="51"/>
      <c r="I73" s="51"/>
      <c r="J73" s="51"/>
      <c r="K73" s="79" t="str">
        <f t="shared" si="0"/>
        <v/>
      </c>
      <c r="L73" s="51"/>
    </row>
    <row r="74" spans="2:12" x14ac:dyDescent="0.3">
      <c r="B74" s="51"/>
      <c r="C74" s="51"/>
      <c r="D74" s="51"/>
      <c r="E74" s="132"/>
      <c r="F74" s="140"/>
      <c r="G74" s="140"/>
      <c r="H74" s="51"/>
      <c r="I74" s="51"/>
      <c r="J74" s="51"/>
      <c r="K74" s="79" t="str">
        <f t="shared" si="0"/>
        <v/>
      </c>
      <c r="L74" s="51"/>
    </row>
    <row r="75" spans="2:12" x14ac:dyDescent="0.3">
      <c r="B75" s="51"/>
      <c r="C75" s="51"/>
      <c r="D75" s="51"/>
      <c r="E75" s="132"/>
      <c r="F75" s="140"/>
      <c r="G75" s="140"/>
      <c r="H75" s="51"/>
      <c r="I75" s="51"/>
      <c r="J75" s="51"/>
      <c r="K75" s="79" t="str">
        <f t="shared" si="0"/>
        <v/>
      </c>
      <c r="L75" s="51"/>
    </row>
    <row r="76" spans="2:12" x14ac:dyDescent="0.3">
      <c r="B76" s="51"/>
      <c r="C76" s="51"/>
      <c r="D76" s="51"/>
      <c r="E76" s="132"/>
      <c r="F76" s="140"/>
      <c r="G76" s="140"/>
      <c r="H76" s="51"/>
      <c r="I76" s="51"/>
      <c r="J76" s="51"/>
      <c r="K76" s="79" t="str">
        <f t="shared" si="0"/>
        <v/>
      </c>
      <c r="L76" s="51"/>
    </row>
    <row r="77" spans="2:12" x14ac:dyDescent="0.3">
      <c r="B77" s="51"/>
      <c r="C77" s="51"/>
      <c r="D77" s="51"/>
      <c r="E77" s="132"/>
      <c r="F77" s="140"/>
      <c r="G77" s="140"/>
      <c r="H77" s="51"/>
      <c r="I77" s="51"/>
      <c r="J77" s="51"/>
      <c r="K77" s="79" t="str">
        <f t="shared" si="0"/>
        <v/>
      </c>
      <c r="L77" s="51"/>
    </row>
    <row r="78" spans="2:12" x14ac:dyDescent="0.3">
      <c r="B78" s="51"/>
      <c r="C78" s="51"/>
      <c r="D78" s="51"/>
      <c r="E78" s="132"/>
      <c r="F78" s="140"/>
      <c r="G78" s="140"/>
      <c r="H78" s="51"/>
      <c r="I78" s="51"/>
      <c r="J78" s="51"/>
      <c r="K78" s="79" t="str">
        <f t="shared" si="0"/>
        <v/>
      </c>
      <c r="L78" s="51"/>
    </row>
    <row r="79" spans="2:12" x14ac:dyDescent="0.3">
      <c r="B79" s="51"/>
      <c r="C79" s="51"/>
      <c r="D79" s="51"/>
      <c r="E79" s="132"/>
      <c r="F79" s="140"/>
      <c r="G79" s="140"/>
      <c r="H79" s="51"/>
      <c r="I79" s="51"/>
      <c r="J79" s="51"/>
      <c r="K79" s="79" t="str">
        <f t="shared" si="0"/>
        <v/>
      </c>
      <c r="L79" s="51"/>
    </row>
    <row r="80" spans="2:12" x14ac:dyDescent="0.3">
      <c r="B80" s="51"/>
      <c r="C80" s="51"/>
      <c r="D80" s="51"/>
      <c r="E80" s="132"/>
      <c r="F80" s="140"/>
      <c r="G80" s="140"/>
      <c r="H80" s="51"/>
      <c r="I80" s="51"/>
      <c r="J80" s="51"/>
      <c r="K80" s="79" t="str">
        <f t="shared" si="0"/>
        <v/>
      </c>
      <c r="L80" s="51"/>
    </row>
    <row r="81" spans="2:12" x14ac:dyDescent="0.3">
      <c r="B81" s="51"/>
      <c r="C81" s="51"/>
      <c r="D81" s="51"/>
      <c r="E81" s="132"/>
      <c r="F81" s="140"/>
      <c r="G81" s="140"/>
      <c r="H81" s="51"/>
      <c r="I81" s="51"/>
      <c r="J81" s="51"/>
      <c r="K81" s="79" t="str">
        <f t="shared" si="0"/>
        <v/>
      </c>
      <c r="L81" s="51"/>
    </row>
    <row r="82" spans="2:12" x14ac:dyDescent="0.3">
      <c r="B82" s="51"/>
      <c r="C82" s="51"/>
      <c r="D82" s="51"/>
      <c r="E82" s="132"/>
      <c r="F82" s="140"/>
      <c r="G82" s="140"/>
      <c r="H82" s="51"/>
      <c r="I82" s="51"/>
      <c r="J82" s="51"/>
      <c r="K82" s="79" t="str">
        <f t="shared" si="0"/>
        <v/>
      </c>
      <c r="L82" s="51"/>
    </row>
    <row r="83" spans="2:12" x14ac:dyDescent="0.3">
      <c r="B83" s="51"/>
      <c r="C83" s="51"/>
      <c r="D83" s="51"/>
      <c r="E83" s="132"/>
      <c r="F83" s="140"/>
      <c r="G83" s="140"/>
      <c r="H83" s="51"/>
      <c r="I83" s="51"/>
      <c r="J83" s="51"/>
      <c r="K83" s="79" t="str">
        <f t="shared" si="0"/>
        <v/>
      </c>
      <c r="L83" s="51"/>
    </row>
    <row r="84" spans="2:12" x14ac:dyDescent="0.3">
      <c r="B84" s="51"/>
      <c r="C84" s="51"/>
      <c r="D84" s="51"/>
      <c r="E84" s="132"/>
      <c r="F84" s="140"/>
      <c r="G84" s="140"/>
      <c r="H84" s="51"/>
      <c r="I84" s="51"/>
      <c r="J84" s="51"/>
      <c r="K84" s="79" t="str">
        <f t="shared" si="0"/>
        <v/>
      </c>
      <c r="L84" s="51"/>
    </row>
    <row r="85" spans="2:12" x14ac:dyDescent="0.3">
      <c r="B85" s="51"/>
      <c r="C85" s="51"/>
      <c r="D85" s="51"/>
      <c r="E85" s="132"/>
      <c r="F85" s="140"/>
      <c r="G85" s="140"/>
      <c r="H85" s="51"/>
      <c r="I85" s="51"/>
      <c r="J85" s="51"/>
      <c r="K85" s="79" t="str">
        <f t="shared" si="0"/>
        <v/>
      </c>
      <c r="L85" s="51"/>
    </row>
    <row r="86" spans="2:12" x14ac:dyDescent="0.3">
      <c r="B86" s="51"/>
      <c r="C86" s="51"/>
      <c r="D86" s="51"/>
      <c r="E86" s="132"/>
      <c r="F86" s="140"/>
      <c r="G86" s="140"/>
      <c r="H86" s="51"/>
      <c r="I86" s="51"/>
      <c r="J86" s="51"/>
      <c r="K86" s="79" t="str">
        <f t="shared" si="0"/>
        <v/>
      </c>
      <c r="L86" s="51"/>
    </row>
    <row r="87" spans="2:12" x14ac:dyDescent="0.3">
      <c r="B87" s="51"/>
      <c r="C87" s="51"/>
      <c r="D87" s="51"/>
      <c r="E87" s="132"/>
      <c r="F87" s="140"/>
      <c r="G87" s="140"/>
      <c r="H87" s="51"/>
      <c r="I87" s="51"/>
      <c r="J87" s="51"/>
      <c r="K87" s="79" t="str">
        <f t="shared" si="0"/>
        <v/>
      </c>
      <c r="L87" s="51"/>
    </row>
    <row r="88" spans="2:12" x14ac:dyDescent="0.3">
      <c r="B88" s="51"/>
      <c r="C88" s="51"/>
      <c r="D88" s="51"/>
      <c r="E88" s="132"/>
      <c r="F88" s="140"/>
      <c r="G88" s="140"/>
      <c r="H88" s="51"/>
      <c r="I88" s="51"/>
      <c r="J88" s="51"/>
      <c r="K88" s="79" t="str">
        <f t="shared" ref="K88:K151" si="1">IF(I88="","",IF(I88="vtip","ft/s",IF(I88="NHVcz","Btu/scf","Btu/sq ft")))</f>
        <v/>
      </c>
      <c r="L88" s="51"/>
    </row>
    <row r="89" spans="2:12" x14ac:dyDescent="0.3">
      <c r="B89" s="51"/>
      <c r="C89" s="51"/>
      <c r="D89" s="51"/>
      <c r="E89" s="132"/>
      <c r="F89" s="140"/>
      <c r="G89" s="140"/>
      <c r="H89" s="51"/>
      <c r="I89" s="51"/>
      <c r="J89" s="51"/>
      <c r="K89" s="79" t="str">
        <f t="shared" si="1"/>
        <v/>
      </c>
      <c r="L89" s="51"/>
    </row>
    <row r="90" spans="2:12" x14ac:dyDescent="0.3">
      <c r="B90" s="51"/>
      <c r="C90" s="51"/>
      <c r="D90" s="51"/>
      <c r="E90" s="132"/>
      <c r="F90" s="140"/>
      <c r="G90" s="140"/>
      <c r="H90" s="51"/>
      <c r="I90" s="51"/>
      <c r="J90" s="51"/>
      <c r="K90" s="79" t="str">
        <f t="shared" si="1"/>
        <v/>
      </c>
      <c r="L90" s="51"/>
    </row>
    <row r="91" spans="2:12" x14ac:dyDescent="0.3">
      <c r="B91" s="51"/>
      <c r="C91" s="51"/>
      <c r="D91" s="51"/>
      <c r="E91" s="132"/>
      <c r="F91" s="140"/>
      <c r="G91" s="140"/>
      <c r="H91" s="51"/>
      <c r="I91" s="51"/>
      <c r="J91" s="51"/>
      <c r="K91" s="79" t="str">
        <f t="shared" si="1"/>
        <v/>
      </c>
      <c r="L91" s="51"/>
    </row>
    <row r="92" spans="2:12" x14ac:dyDescent="0.3">
      <c r="B92" s="51"/>
      <c r="C92" s="51"/>
      <c r="D92" s="51"/>
      <c r="E92" s="132"/>
      <c r="F92" s="140"/>
      <c r="G92" s="140"/>
      <c r="H92" s="51"/>
      <c r="I92" s="51"/>
      <c r="J92" s="51"/>
      <c r="K92" s="79" t="str">
        <f t="shared" si="1"/>
        <v/>
      </c>
      <c r="L92" s="51"/>
    </row>
    <row r="93" spans="2:12" x14ac:dyDescent="0.3">
      <c r="B93" s="51"/>
      <c r="C93" s="51"/>
      <c r="D93" s="51"/>
      <c r="E93" s="132"/>
      <c r="F93" s="140"/>
      <c r="G93" s="140"/>
      <c r="H93" s="51"/>
      <c r="I93" s="51"/>
      <c r="J93" s="51"/>
      <c r="K93" s="79" t="str">
        <f t="shared" si="1"/>
        <v/>
      </c>
      <c r="L93" s="51"/>
    </row>
    <row r="94" spans="2:12" x14ac:dyDescent="0.3">
      <c r="B94" s="51"/>
      <c r="C94" s="51"/>
      <c r="D94" s="51"/>
      <c r="E94" s="132"/>
      <c r="F94" s="140"/>
      <c r="G94" s="140"/>
      <c r="H94" s="51"/>
      <c r="I94" s="51"/>
      <c r="J94" s="51"/>
      <c r="K94" s="79" t="str">
        <f t="shared" si="1"/>
        <v/>
      </c>
      <c r="L94" s="51"/>
    </row>
    <row r="95" spans="2:12" x14ac:dyDescent="0.3">
      <c r="B95" s="51"/>
      <c r="C95" s="51"/>
      <c r="D95" s="51"/>
      <c r="E95" s="132"/>
      <c r="F95" s="140"/>
      <c r="G95" s="140"/>
      <c r="H95" s="51"/>
      <c r="I95" s="51"/>
      <c r="J95" s="51"/>
      <c r="K95" s="79" t="str">
        <f t="shared" si="1"/>
        <v/>
      </c>
      <c r="L95" s="51"/>
    </row>
    <row r="96" spans="2:12" x14ac:dyDescent="0.3">
      <c r="B96" s="51"/>
      <c r="C96" s="51"/>
      <c r="D96" s="51"/>
      <c r="E96" s="132"/>
      <c r="F96" s="140"/>
      <c r="G96" s="140"/>
      <c r="H96" s="51"/>
      <c r="I96" s="51"/>
      <c r="J96" s="51"/>
      <c r="K96" s="79" t="str">
        <f t="shared" si="1"/>
        <v/>
      </c>
      <c r="L96" s="51"/>
    </row>
    <row r="97" spans="2:12" x14ac:dyDescent="0.3">
      <c r="B97" s="51"/>
      <c r="C97" s="51"/>
      <c r="D97" s="51"/>
      <c r="E97" s="132"/>
      <c r="F97" s="140"/>
      <c r="G97" s="140"/>
      <c r="H97" s="51"/>
      <c r="I97" s="51"/>
      <c r="J97" s="51"/>
      <c r="K97" s="79" t="str">
        <f t="shared" si="1"/>
        <v/>
      </c>
      <c r="L97" s="51"/>
    </row>
    <row r="98" spans="2:12" x14ac:dyDescent="0.3">
      <c r="B98" s="51"/>
      <c r="C98" s="51"/>
      <c r="D98" s="51"/>
      <c r="E98" s="132"/>
      <c r="F98" s="140"/>
      <c r="G98" s="140"/>
      <c r="H98" s="51"/>
      <c r="I98" s="51"/>
      <c r="J98" s="51"/>
      <c r="K98" s="79" t="str">
        <f t="shared" si="1"/>
        <v/>
      </c>
      <c r="L98" s="51"/>
    </row>
    <row r="99" spans="2:12" x14ac:dyDescent="0.3">
      <c r="B99" s="51"/>
      <c r="C99" s="51"/>
      <c r="D99" s="51"/>
      <c r="E99" s="132"/>
      <c r="F99" s="140"/>
      <c r="G99" s="140"/>
      <c r="H99" s="51"/>
      <c r="I99" s="51"/>
      <c r="J99" s="51"/>
      <c r="K99" s="79" t="str">
        <f t="shared" si="1"/>
        <v/>
      </c>
      <c r="L99" s="51"/>
    </row>
    <row r="100" spans="2:12" x14ac:dyDescent="0.3">
      <c r="B100" s="51"/>
      <c r="C100" s="51"/>
      <c r="D100" s="51"/>
      <c r="E100" s="132"/>
      <c r="F100" s="140"/>
      <c r="G100" s="140"/>
      <c r="H100" s="51"/>
      <c r="I100" s="51"/>
      <c r="J100" s="51"/>
      <c r="K100" s="79" t="str">
        <f t="shared" si="1"/>
        <v/>
      </c>
      <c r="L100" s="51"/>
    </row>
    <row r="101" spans="2:12" x14ac:dyDescent="0.3">
      <c r="B101" s="51"/>
      <c r="C101" s="51"/>
      <c r="D101" s="51"/>
      <c r="E101" s="132"/>
      <c r="F101" s="140"/>
      <c r="G101" s="140"/>
      <c r="H101" s="51"/>
      <c r="I101" s="51"/>
      <c r="J101" s="51"/>
      <c r="K101" s="79" t="str">
        <f t="shared" si="1"/>
        <v/>
      </c>
      <c r="L101" s="51"/>
    </row>
    <row r="102" spans="2:12" x14ac:dyDescent="0.3">
      <c r="B102" s="51"/>
      <c r="C102" s="51"/>
      <c r="D102" s="51"/>
      <c r="E102" s="132"/>
      <c r="F102" s="140"/>
      <c r="G102" s="140"/>
      <c r="H102" s="51"/>
      <c r="I102" s="51"/>
      <c r="J102" s="51"/>
      <c r="K102" s="79" t="str">
        <f t="shared" si="1"/>
        <v/>
      </c>
      <c r="L102" s="51"/>
    </row>
    <row r="103" spans="2:12" x14ac:dyDescent="0.3">
      <c r="B103" s="51"/>
      <c r="C103" s="51"/>
      <c r="D103" s="51"/>
      <c r="E103" s="132"/>
      <c r="F103" s="140"/>
      <c r="G103" s="140"/>
      <c r="H103" s="51"/>
      <c r="I103" s="51"/>
      <c r="J103" s="51"/>
      <c r="K103" s="79" t="str">
        <f t="shared" si="1"/>
        <v/>
      </c>
      <c r="L103" s="51"/>
    </row>
    <row r="104" spans="2:12" x14ac:dyDescent="0.3">
      <c r="B104" s="51"/>
      <c r="C104" s="51"/>
      <c r="D104" s="51"/>
      <c r="E104" s="132"/>
      <c r="F104" s="140"/>
      <c r="G104" s="140"/>
      <c r="H104" s="51"/>
      <c r="I104" s="51"/>
      <c r="J104" s="51"/>
      <c r="K104" s="79" t="str">
        <f t="shared" si="1"/>
        <v/>
      </c>
      <c r="L104" s="51"/>
    </row>
    <row r="105" spans="2:12" x14ac:dyDescent="0.3">
      <c r="B105" s="51"/>
      <c r="C105" s="51"/>
      <c r="D105" s="51"/>
      <c r="E105" s="132"/>
      <c r="F105" s="140"/>
      <c r="G105" s="140"/>
      <c r="H105" s="51"/>
      <c r="I105" s="51"/>
      <c r="J105" s="51"/>
      <c r="K105" s="79" t="str">
        <f t="shared" si="1"/>
        <v/>
      </c>
      <c r="L105" s="51"/>
    </row>
    <row r="106" spans="2:12" x14ac:dyDescent="0.3">
      <c r="B106" s="51"/>
      <c r="C106" s="51"/>
      <c r="D106" s="51"/>
      <c r="E106" s="132"/>
      <c r="F106" s="140"/>
      <c r="G106" s="140"/>
      <c r="H106" s="51"/>
      <c r="I106" s="51"/>
      <c r="J106" s="51"/>
      <c r="K106" s="79" t="str">
        <f t="shared" si="1"/>
        <v/>
      </c>
      <c r="L106" s="51"/>
    </row>
    <row r="107" spans="2:12" x14ac:dyDescent="0.3">
      <c r="B107" s="51"/>
      <c r="C107" s="51"/>
      <c r="D107" s="51"/>
      <c r="E107" s="132"/>
      <c r="F107" s="140"/>
      <c r="G107" s="140"/>
      <c r="H107" s="51"/>
      <c r="I107" s="51"/>
      <c r="J107" s="51"/>
      <c r="K107" s="79" t="str">
        <f t="shared" si="1"/>
        <v/>
      </c>
      <c r="L107" s="51"/>
    </row>
    <row r="108" spans="2:12" x14ac:dyDescent="0.3">
      <c r="B108" s="51"/>
      <c r="C108" s="51"/>
      <c r="D108" s="51"/>
      <c r="E108" s="132"/>
      <c r="F108" s="140"/>
      <c r="G108" s="140"/>
      <c r="H108" s="51"/>
      <c r="I108" s="51"/>
      <c r="J108" s="51"/>
      <c r="K108" s="79" t="str">
        <f t="shared" si="1"/>
        <v/>
      </c>
      <c r="L108" s="51"/>
    </row>
    <row r="109" spans="2:12" x14ac:dyDescent="0.3">
      <c r="B109" s="51"/>
      <c r="C109" s="51"/>
      <c r="D109" s="51"/>
      <c r="E109" s="132"/>
      <c r="F109" s="140"/>
      <c r="G109" s="140"/>
      <c r="H109" s="51"/>
      <c r="I109" s="51"/>
      <c r="J109" s="51"/>
      <c r="K109" s="79" t="str">
        <f t="shared" si="1"/>
        <v/>
      </c>
      <c r="L109" s="51"/>
    </row>
    <row r="110" spans="2:12" x14ac:dyDescent="0.3">
      <c r="B110" s="51"/>
      <c r="C110" s="51"/>
      <c r="D110" s="51"/>
      <c r="E110" s="132"/>
      <c r="F110" s="140"/>
      <c r="G110" s="140"/>
      <c r="H110" s="51"/>
      <c r="I110" s="51"/>
      <c r="J110" s="51"/>
      <c r="K110" s="79" t="str">
        <f t="shared" si="1"/>
        <v/>
      </c>
      <c r="L110" s="51"/>
    </row>
    <row r="111" spans="2:12" x14ac:dyDescent="0.3">
      <c r="B111" s="51"/>
      <c r="C111" s="51"/>
      <c r="D111" s="51"/>
      <c r="E111" s="132"/>
      <c r="F111" s="140"/>
      <c r="G111" s="140"/>
      <c r="H111" s="51"/>
      <c r="I111" s="51"/>
      <c r="J111" s="51"/>
      <c r="K111" s="79" t="str">
        <f t="shared" si="1"/>
        <v/>
      </c>
      <c r="L111" s="51"/>
    </row>
    <row r="112" spans="2:12" x14ac:dyDescent="0.3">
      <c r="B112" s="51"/>
      <c r="C112" s="51"/>
      <c r="D112" s="51"/>
      <c r="E112" s="132"/>
      <c r="F112" s="140"/>
      <c r="G112" s="140"/>
      <c r="H112" s="51"/>
      <c r="I112" s="51"/>
      <c r="J112" s="51"/>
      <c r="K112" s="79" t="str">
        <f t="shared" si="1"/>
        <v/>
      </c>
      <c r="L112" s="51"/>
    </row>
    <row r="113" spans="2:12" x14ac:dyDescent="0.3">
      <c r="B113" s="51"/>
      <c r="C113" s="51"/>
      <c r="D113" s="51"/>
      <c r="E113" s="132"/>
      <c r="F113" s="140"/>
      <c r="G113" s="140"/>
      <c r="H113" s="51"/>
      <c r="I113" s="51"/>
      <c r="J113" s="51"/>
      <c r="K113" s="79" t="str">
        <f t="shared" si="1"/>
        <v/>
      </c>
      <c r="L113" s="51"/>
    </row>
    <row r="114" spans="2:12" x14ac:dyDescent="0.3">
      <c r="B114" s="51"/>
      <c r="C114" s="51"/>
      <c r="D114" s="51"/>
      <c r="E114" s="132"/>
      <c r="F114" s="140"/>
      <c r="G114" s="140"/>
      <c r="H114" s="51"/>
      <c r="I114" s="51"/>
      <c r="J114" s="51"/>
      <c r="K114" s="79" t="str">
        <f t="shared" si="1"/>
        <v/>
      </c>
      <c r="L114" s="51"/>
    </row>
    <row r="115" spans="2:12" x14ac:dyDescent="0.3">
      <c r="B115" s="51"/>
      <c r="C115" s="51"/>
      <c r="D115" s="51"/>
      <c r="E115" s="132"/>
      <c r="F115" s="140"/>
      <c r="G115" s="140"/>
      <c r="H115" s="51"/>
      <c r="I115" s="51"/>
      <c r="J115" s="51"/>
      <c r="K115" s="79" t="str">
        <f t="shared" si="1"/>
        <v/>
      </c>
      <c r="L115" s="51"/>
    </row>
    <row r="116" spans="2:12" x14ac:dyDescent="0.3">
      <c r="B116" s="51"/>
      <c r="C116" s="51"/>
      <c r="D116" s="51"/>
      <c r="E116" s="132"/>
      <c r="F116" s="140"/>
      <c r="G116" s="140"/>
      <c r="H116" s="51"/>
      <c r="I116" s="51"/>
      <c r="J116" s="51"/>
      <c r="K116" s="79" t="str">
        <f t="shared" si="1"/>
        <v/>
      </c>
      <c r="L116" s="51"/>
    </row>
    <row r="117" spans="2:12" x14ac:dyDescent="0.3">
      <c r="B117" s="51"/>
      <c r="C117" s="51"/>
      <c r="D117" s="51"/>
      <c r="E117" s="132"/>
      <c r="F117" s="140"/>
      <c r="G117" s="140"/>
      <c r="H117" s="51"/>
      <c r="I117" s="51"/>
      <c r="J117" s="51"/>
      <c r="K117" s="79" t="str">
        <f t="shared" si="1"/>
        <v/>
      </c>
      <c r="L117" s="51"/>
    </row>
    <row r="118" spans="2:12" x14ac:dyDescent="0.3">
      <c r="B118" s="51"/>
      <c r="C118" s="51"/>
      <c r="D118" s="51"/>
      <c r="E118" s="132"/>
      <c r="F118" s="140"/>
      <c r="G118" s="140"/>
      <c r="H118" s="51"/>
      <c r="I118" s="51"/>
      <c r="J118" s="51"/>
      <c r="K118" s="79" t="str">
        <f t="shared" si="1"/>
        <v/>
      </c>
      <c r="L118" s="51"/>
    </row>
    <row r="119" spans="2:12" x14ac:dyDescent="0.3">
      <c r="B119" s="51"/>
      <c r="C119" s="51"/>
      <c r="D119" s="51"/>
      <c r="E119" s="132"/>
      <c r="F119" s="140"/>
      <c r="G119" s="140"/>
      <c r="H119" s="51"/>
      <c r="I119" s="51"/>
      <c r="J119" s="51"/>
      <c r="K119" s="79" t="str">
        <f t="shared" si="1"/>
        <v/>
      </c>
      <c r="L119" s="51"/>
    </row>
    <row r="120" spans="2:12" x14ac:dyDescent="0.3">
      <c r="B120" s="51"/>
      <c r="C120" s="51"/>
      <c r="D120" s="51"/>
      <c r="E120" s="132"/>
      <c r="F120" s="140"/>
      <c r="G120" s="140"/>
      <c r="H120" s="51"/>
      <c r="I120" s="51"/>
      <c r="J120" s="51"/>
      <c r="K120" s="79" t="str">
        <f t="shared" si="1"/>
        <v/>
      </c>
      <c r="L120" s="51"/>
    </row>
    <row r="121" spans="2:12" x14ac:dyDescent="0.3">
      <c r="B121" s="51"/>
      <c r="C121" s="51"/>
      <c r="D121" s="51"/>
      <c r="E121" s="132"/>
      <c r="F121" s="140"/>
      <c r="G121" s="140"/>
      <c r="H121" s="51"/>
      <c r="I121" s="51"/>
      <c r="J121" s="51"/>
      <c r="K121" s="79" t="str">
        <f t="shared" si="1"/>
        <v/>
      </c>
      <c r="L121" s="51"/>
    </row>
    <row r="122" spans="2:12" x14ac:dyDescent="0.3">
      <c r="B122" s="51"/>
      <c r="C122" s="51"/>
      <c r="D122" s="51"/>
      <c r="E122" s="132"/>
      <c r="F122" s="140"/>
      <c r="G122" s="140"/>
      <c r="H122" s="51"/>
      <c r="I122" s="51"/>
      <c r="J122" s="51"/>
      <c r="K122" s="79" t="str">
        <f t="shared" si="1"/>
        <v/>
      </c>
      <c r="L122" s="51"/>
    </row>
    <row r="123" spans="2:12" x14ac:dyDescent="0.3">
      <c r="B123" s="51"/>
      <c r="C123" s="51"/>
      <c r="D123" s="51"/>
      <c r="E123" s="132"/>
      <c r="F123" s="140"/>
      <c r="G123" s="140"/>
      <c r="H123" s="51"/>
      <c r="I123" s="51"/>
      <c r="J123" s="51"/>
      <c r="K123" s="79" t="str">
        <f t="shared" si="1"/>
        <v/>
      </c>
      <c r="L123" s="51"/>
    </row>
    <row r="124" spans="2:12" x14ac:dyDescent="0.3">
      <c r="B124" s="51"/>
      <c r="C124" s="51"/>
      <c r="D124" s="51"/>
      <c r="E124" s="132"/>
      <c r="F124" s="140"/>
      <c r="G124" s="140"/>
      <c r="H124" s="51"/>
      <c r="I124" s="51"/>
      <c r="J124" s="51"/>
      <c r="K124" s="79" t="str">
        <f t="shared" si="1"/>
        <v/>
      </c>
      <c r="L124" s="51"/>
    </row>
    <row r="125" spans="2:12" x14ac:dyDescent="0.3">
      <c r="B125" s="51"/>
      <c r="C125" s="51"/>
      <c r="D125" s="51"/>
      <c r="E125" s="132"/>
      <c r="F125" s="140"/>
      <c r="G125" s="140"/>
      <c r="H125" s="51"/>
      <c r="I125" s="51"/>
      <c r="J125" s="51"/>
      <c r="K125" s="79" t="str">
        <f t="shared" si="1"/>
        <v/>
      </c>
      <c r="L125" s="51"/>
    </row>
    <row r="126" spans="2:12" x14ac:dyDescent="0.3">
      <c r="B126" s="51"/>
      <c r="C126" s="51"/>
      <c r="D126" s="51"/>
      <c r="E126" s="132"/>
      <c r="F126" s="140"/>
      <c r="G126" s="140"/>
      <c r="H126" s="51"/>
      <c r="I126" s="51"/>
      <c r="J126" s="51"/>
      <c r="K126" s="79" t="str">
        <f t="shared" si="1"/>
        <v/>
      </c>
      <c r="L126" s="51"/>
    </row>
    <row r="127" spans="2:12" x14ac:dyDescent="0.3">
      <c r="B127" s="51"/>
      <c r="C127" s="51"/>
      <c r="D127" s="51"/>
      <c r="E127" s="132"/>
      <c r="F127" s="140"/>
      <c r="G127" s="140"/>
      <c r="H127" s="51"/>
      <c r="I127" s="51"/>
      <c r="J127" s="51"/>
      <c r="K127" s="79" t="str">
        <f t="shared" si="1"/>
        <v/>
      </c>
      <c r="L127" s="51"/>
    </row>
    <row r="128" spans="2:12" x14ac:dyDescent="0.3">
      <c r="B128" s="51"/>
      <c r="C128" s="51"/>
      <c r="D128" s="51"/>
      <c r="E128" s="132"/>
      <c r="F128" s="140"/>
      <c r="G128" s="140"/>
      <c r="H128" s="51"/>
      <c r="I128" s="51"/>
      <c r="J128" s="51"/>
      <c r="K128" s="79" t="str">
        <f t="shared" si="1"/>
        <v/>
      </c>
      <c r="L128" s="51"/>
    </row>
    <row r="129" spans="2:12" x14ac:dyDescent="0.3">
      <c r="B129" s="51"/>
      <c r="C129" s="51"/>
      <c r="D129" s="51"/>
      <c r="E129" s="132"/>
      <c r="F129" s="140"/>
      <c r="G129" s="140"/>
      <c r="H129" s="51"/>
      <c r="I129" s="51"/>
      <c r="J129" s="51"/>
      <c r="K129" s="79" t="str">
        <f t="shared" si="1"/>
        <v/>
      </c>
      <c r="L129" s="51"/>
    </row>
    <row r="130" spans="2:12" x14ac:dyDescent="0.3">
      <c r="B130" s="51"/>
      <c r="C130" s="51"/>
      <c r="D130" s="51"/>
      <c r="E130" s="132"/>
      <c r="F130" s="140"/>
      <c r="G130" s="140"/>
      <c r="H130" s="51"/>
      <c r="I130" s="51"/>
      <c r="J130" s="51"/>
      <c r="K130" s="79" t="str">
        <f t="shared" si="1"/>
        <v/>
      </c>
      <c r="L130" s="51"/>
    </row>
    <row r="131" spans="2:12" x14ac:dyDescent="0.3">
      <c r="B131" s="51"/>
      <c r="C131" s="51"/>
      <c r="D131" s="51"/>
      <c r="E131" s="132"/>
      <c r="F131" s="140"/>
      <c r="G131" s="140"/>
      <c r="H131" s="51"/>
      <c r="I131" s="51"/>
      <c r="J131" s="51"/>
      <c r="K131" s="79" t="str">
        <f t="shared" si="1"/>
        <v/>
      </c>
      <c r="L131" s="51"/>
    </row>
    <row r="132" spans="2:12" x14ac:dyDescent="0.3">
      <c r="B132" s="51"/>
      <c r="C132" s="51"/>
      <c r="D132" s="51"/>
      <c r="E132" s="132"/>
      <c r="F132" s="140"/>
      <c r="G132" s="140"/>
      <c r="H132" s="51"/>
      <c r="I132" s="51"/>
      <c r="J132" s="51"/>
      <c r="K132" s="79" t="str">
        <f t="shared" si="1"/>
        <v/>
      </c>
      <c r="L132" s="51"/>
    </row>
    <row r="133" spans="2:12" x14ac:dyDescent="0.3">
      <c r="B133" s="51"/>
      <c r="C133" s="51"/>
      <c r="D133" s="51"/>
      <c r="E133" s="132"/>
      <c r="F133" s="140"/>
      <c r="G133" s="140"/>
      <c r="H133" s="51"/>
      <c r="I133" s="51"/>
      <c r="J133" s="51"/>
      <c r="K133" s="79" t="str">
        <f t="shared" si="1"/>
        <v/>
      </c>
      <c r="L133" s="51"/>
    </row>
    <row r="134" spans="2:12" x14ac:dyDescent="0.3">
      <c r="B134" s="51"/>
      <c r="C134" s="51"/>
      <c r="D134" s="51"/>
      <c r="E134" s="132"/>
      <c r="F134" s="140"/>
      <c r="G134" s="140"/>
      <c r="H134" s="51"/>
      <c r="I134" s="51"/>
      <c r="J134" s="51"/>
      <c r="K134" s="79" t="str">
        <f t="shared" si="1"/>
        <v/>
      </c>
      <c r="L134" s="51"/>
    </row>
    <row r="135" spans="2:12" x14ac:dyDescent="0.3">
      <c r="B135" s="51"/>
      <c r="C135" s="51"/>
      <c r="D135" s="51"/>
      <c r="E135" s="132"/>
      <c r="F135" s="140"/>
      <c r="G135" s="140"/>
      <c r="H135" s="51"/>
      <c r="I135" s="51"/>
      <c r="J135" s="51"/>
      <c r="K135" s="79" t="str">
        <f t="shared" si="1"/>
        <v/>
      </c>
      <c r="L135" s="51"/>
    </row>
    <row r="136" spans="2:12" x14ac:dyDescent="0.3">
      <c r="B136" s="51"/>
      <c r="C136" s="51"/>
      <c r="D136" s="51"/>
      <c r="E136" s="132"/>
      <c r="F136" s="140"/>
      <c r="G136" s="140"/>
      <c r="H136" s="51"/>
      <c r="I136" s="51"/>
      <c r="J136" s="51"/>
      <c r="K136" s="79" t="str">
        <f t="shared" si="1"/>
        <v/>
      </c>
      <c r="L136" s="51"/>
    </row>
    <row r="137" spans="2:12" x14ac:dyDescent="0.3">
      <c r="B137" s="51"/>
      <c r="C137" s="51"/>
      <c r="D137" s="51"/>
      <c r="E137" s="132"/>
      <c r="F137" s="140"/>
      <c r="G137" s="140"/>
      <c r="H137" s="51"/>
      <c r="I137" s="51"/>
      <c r="J137" s="51"/>
      <c r="K137" s="79" t="str">
        <f t="shared" si="1"/>
        <v/>
      </c>
      <c r="L137" s="51"/>
    </row>
    <row r="138" spans="2:12" x14ac:dyDescent="0.3">
      <c r="B138" s="51"/>
      <c r="C138" s="51"/>
      <c r="D138" s="51"/>
      <c r="E138" s="132"/>
      <c r="F138" s="140"/>
      <c r="G138" s="140"/>
      <c r="H138" s="51"/>
      <c r="I138" s="51"/>
      <c r="J138" s="51"/>
      <c r="K138" s="79" t="str">
        <f t="shared" si="1"/>
        <v/>
      </c>
      <c r="L138" s="51"/>
    </row>
    <row r="139" spans="2:12" x14ac:dyDescent="0.3">
      <c r="B139" s="51"/>
      <c r="C139" s="51"/>
      <c r="D139" s="51"/>
      <c r="E139" s="132"/>
      <c r="F139" s="140"/>
      <c r="G139" s="140"/>
      <c r="H139" s="51"/>
      <c r="I139" s="51"/>
      <c r="J139" s="51"/>
      <c r="K139" s="79" t="str">
        <f t="shared" si="1"/>
        <v/>
      </c>
      <c r="L139" s="51"/>
    </row>
    <row r="140" spans="2:12" x14ac:dyDescent="0.3">
      <c r="B140" s="51"/>
      <c r="C140" s="51"/>
      <c r="D140" s="51"/>
      <c r="E140" s="132"/>
      <c r="F140" s="140"/>
      <c r="G140" s="140"/>
      <c r="H140" s="51"/>
      <c r="I140" s="51"/>
      <c r="J140" s="51"/>
      <c r="K140" s="79" t="str">
        <f t="shared" si="1"/>
        <v/>
      </c>
      <c r="L140" s="51"/>
    </row>
    <row r="141" spans="2:12" x14ac:dyDescent="0.3">
      <c r="B141" s="51"/>
      <c r="C141" s="51"/>
      <c r="D141" s="51"/>
      <c r="E141" s="132"/>
      <c r="F141" s="140"/>
      <c r="G141" s="140"/>
      <c r="H141" s="51"/>
      <c r="I141" s="51"/>
      <c r="J141" s="51"/>
      <c r="K141" s="79" t="str">
        <f t="shared" si="1"/>
        <v/>
      </c>
      <c r="L141" s="51"/>
    </row>
    <row r="142" spans="2:12" x14ac:dyDescent="0.3">
      <c r="B142" s="51"/>
      <c r="C142" s="51"/>
      <c r="D142" s="51"/>
      <c r="E142" s="132"/>
      <c r="F142" s="140"/>
      <c r="G142" s="140"/>
      <c r="H142" s="51"/>
      <c r="I142" s="51"/>
      <c r="J142" s="51"/>
      <c r="K142" s="79" t="str">
        <f t="shared" si="1"/>
        <v/>
      </c>
      <c r="L142" s="51"/>
    </row>
    <row r="143" spans="2:12" x14ac:dyDescent="0.3">
      <c r="B143" s="51"/>
      <c r="C143" s="51"/>
      <c r="D143" s="51"/>
      <c r="E143" s="132"/>
      <c r="F143" s="140"/>
      <c r="G143" s="140"/>
      <c r="H143" s="51"/>
      <c r="I143" s="51"/>
      <c r="J143" s="51"/>
      <c r="K143" s="79" t="str">
        <f t="shared" si="1"/>
        <v/>
      </c>
      <c r="L143" s="51"/>
    </row>
    <row r="144" spans="2:12" x14ac:dyDescent="0.3">
      <c r="B144" s="51"/>
      <c r="C144" s="51"/>
      <c r="D144" s="51"/>
      <c r="E144" s="132"/>
      <c r="F144" s="140"/>
      <c r="G144" s="140"/>
      <c r="H144" s="51"/>
      <c r="I144" s="51"/>
      <c r="J144" s="51"/>
      <c r="K144" s="79" t="str">
        <f t="shared" si="1"/>
        <v/>
      </c>
      <c r="L144" s="51"/>
    </row>
    <row r="145" spans="2:12" x14ac:dyDescent="0.3">
      <c r="B145" s="51"/>
      <c r="C145" s="51"/>
      <c r="D145" s="51"/>
      <c r="E145" s="132"/>
      <c r="F145" s="140"/>
      <c r="G145" s="140"/>
      <c r="H145" s="51"/>
      <c r="I145" s="51"/>
      <c r="J145" s="51"/>
      <c r="K145" s="79" t="str">
        <f t="shared" si="1"/>
        <v/>
      </c>
      <c r="L145" s="51"/>
    </row>
    <row r="146" spans="2:12" x14ac:dyDescent="0.3">
      <c r="B146" s="51"/>
      <c r="C146" s="51"/>
      <c r="D146" s="51"/>
      <c r="E146" s="132"/>
      <c r="F146" s="140"/>
      <c r="G146" s="140"/>
      <c r="H146" s="51"/>
      <c r="I146" s="51"/>
      <c r="J146" s="51"/>
      <c r="K146" s="79" t="str">
        <f t="shared" si="1"/>
        <v/>
      </c>
      <c r="L146" s="51"/>
    </row>
    <row r="147" spans="2:12" x14ac:dyDescent="0.3">
      <c r="B147" s="51"/>
      <c r="C147" s="51"/>
      <c r="D147" s="51"/>
      <c r="E147" s="132"/>
      <c r="F147" s="140"/>
      <c r="G147" s="140"/>
      <c r="H147" s="51"/>
      <c r="I147" s="51"/>
      <c r="J147" s="51"/>
      <c r="K147" s="79" t="str">
        <f t="shared" si="1"/>
        <v/>
      </c>
      <c r="L147" s="51"/>
    </row>
    <row r="148" spans="2:12" x14ac:dyDescent="0.3">
      <c r="B148" s="51"/>
      <c r="C148" s="51"/>
      <c r="D148" s="51"/>
      <c r="E148" s="132"/>
      <c r="F148" s="140"/>
      <c r="G148" s="140"/>
      <c r="H148" s="51"/>
      <c r="I148" s="51"/>
      <c r="J148" s="51"/>
      <c r="K148" s="79" t="str">
        <f t="shared" si="1"/>
        <v/>
      </c>
      <c r="L148" s="51"/>
    </row>
    <row r="149" spans="2:12" x14ac:dyDescent="0.3">
      <c r="B149" s="51"/>
      <c r="C149" s="51"/>
      <c r="D149" s="51"/>
      <c r="E149" s="132"/>
      <c r="F149" s="140"/>
      <c r="G149" s="140"/>
      <c r="H149" s="51"/>
      <c r="I149" s="51"/>
      <c r="J149" s="51"/>
      <c r="K149" s="79" t="str">
        <f t="shared" si="1"/>
        <v/>
      </c>
      <c r="L149" s="51"/>
    </row>
    <row r="150" spans="2:12" x14ac:dyDescent="0.3">
      <c r="B150" s="51"/>
      <c r="C150" s="51"/>
      <c r="D150" s="51"/>
      <c r="E150" s="132"/>
      <c r="F150" s="140"/>
      <c r="G150" s="140"/>
      <c r="H150" s="51"/>
      <c r="I150" s="51"/>
      <c r="J150" s="51"/>
      <c r="K150" s="79" t="str">
        <f t="shared" si="1"/>
        <v/>
      </c>
      <c r="L150" s="51"/>
    </row>
    <row r="151" spans="2:12" x14ac:dyDescent="0.3">
      <c r="B151" s="51"/>
      <c r="C151" s="51"/>
      <c r="D151" s="51"/>
      <c r="E151" s="132"/>
      <c r="F151" s="140"/>
      <c r="G151" s="140"/>
      <c r="H151" s="51"/>
      <c r="I151" s="51"/>
      <c r="J151" s="51"/>
      <c r="K151" s="79" t="str">
        <f t="shared" si="1"/>
        <v/>
      </c>
      <c r="L151" s="51"/>
    </row>
    <row r="152" spans="2:12" x14ac:dyDescent="0.3">
      <c r="B152" s="51"/>
      <c r="C152" s="51"/>
      <c r="D152" s="51"/>
      <c r="E152" s="132"/>
      <c r="F152" s="140"/>
      <c r="G152" s="140"/>
      <c r="H152" s="51"/>
      <c r="I152" s="51"/>
      <c r="J152" s="51"/>
      <c r="K152" s="79" t="str">
        <f t="shared" ref="K152:K215" si="2">IF(I152="","",IF(I152="vtip","ft/s",IF(I152="NHVcz","Btu/scf","Btu/sq ft")))</f>
        <v/>
      </c>
      <c r="L152" s="51"/>
    </row>
    <row r="153" spans="2:12" x14ac:dyDescent="0.3">
      <c r="B153" s="51"/>
      <c r="C153" s="51"/>
      <c r="D153" s="51"/>
      <c r="E153" s="132"/>
      <c r="F153" s="140"/>
      <c r="G153" s="140"/>
      <c r="H153" s="51"/>
      <c r="I153" s="51"/>
      <c r="J153" s="51"/>
      <c r="K153" s="79" t="str">
        <f t="shared" si="2"/>
        <v/>
      </c>
      <c r="L153" s="51"/>
    </row>
    <row r="154" spans="2:12" x14ac:dyDescent="0.3">
      <c r="B154" s="51"/>
      <c r="C154" s="51"/>
      <c r="D154" s="51"/>
      <c r="E154" s="132"/>
      <c r="F154" s="140"/>
      <c r="G154" s="140"/>
      <c r="H154" s="51"/>
      <c r="I154" s="51"/>
      <c r="J154" s="51"/>
      <c r="K154" s="79" t="str">
        <f t="shared" si="2"/>
        <v/>
      </c>
      <c r="L154" s="51"/>
    </row>
    <row r="155" spans="2:12" x14ac:dyDescent="0.3">
      <c r="B155" s="51"/>
      <c r="C155" s="51"/>
      <c r="D155" s="51"/>
      <c r="E155" s="132"/>
      <c r="F155" s="140"/>
      <c r="G155" s="140"/>
      <c r="H155" s="51"/>
      <c r="I155" s="51"/>
      <c r="J155" s="51"/>
      <c r="K155" s="79" t="str">
        <f t="shared" si="2"/>
        <v/>
      </c>
      <c r="L155" s="51"/>
    </row>
    <row r="156" spans="2:12" x14ac:dyDescent="0.3">
      <c r="B156" s="51"/>
      <c r="C156" s="51"/>
      <c r="D156" s="51"/>
      <c r="E156" s="132"/>
      <c r="F156" s="140"/>
      <c r="G156" s="140"/>
      <c r="H156" s="51"/>
      <c r="I156" s="51"/>
      <c r="J156" s="51"/>
      <c r="K156" s="79" t="str">
        <f t="shared" si="2"/>
        <v/>
      </c>
      <c r="L156" s="51"/>
    </row>
    <row r="157" spans="2:12" x14ac:dyDescent="0.3">
      <c r="B157" s="51"/>
      <c r="C157" s="51"/>
      <c r="D157" s="51"/>
      <c r="E157" s="132"/>
      <c r="F157" s="140"/>
      <c r="G157" s="140"/>
      <c r="H157" s="51"/>
      <c r="I157" s="51"/>
      <c r="J157" s="51"/>
      <c r="K157" s="79" t="str">
        <f t="shared" si="2"/>
        <v/>
      </c>
      <c r="L157" s="51"/>
    </row>
    <row r="158" spans="2:12" x14ac:dyDescent="0.3">
      <c r="B158" s="51"/>
      <c r="C158" s="51"/>
      <c r="D158" s="51"/>
      <c r="E158" s="132"/>
      <c r="F158" s="140"/>
      <c r="G158" s="140"/>
      <c r="H158" s="51"/>
      <c r="I158" s="51"/>
      <c r="J158" s="51"/>
      <c r="K158" s="79" t="str">
        <f t="shared" si="2"/>
        <v/>
      </c>
      <c r="L158" s="51"/>
    </row>
    <row r="159" spans="2:12" x14ac:dyDescent="0.3">
      <c r="B159" s="51"/>
      <c r="C159" s="51"/>
      <c r="D159" s="51"/>
      <c r="E159" s="132"/>
      <c r="F159" s="140"/>
      <c r="G159" s="140"/>
      <c r="H159" s="51"/>
      <c r="I159" s="51"/>
      <c r="J159" s="51"/>
      <c r="K159" s="79" t="str">
        <f t="shared" si="2"/>
        <v/>
      </c>
      <c r="L159" s="51"/>
    </row>
    <row r="160" spans="2:12" x14ac:dyDescent="0.3">
      <c r="B160" s="51"/>
      <c r="C160" s="51"/>
      <c r="D160" s="51"/>
      <c r="E160" s="132"/>
      <c r="F160" s="140"/>
      <c r="G160" s="140"/>
      <c r="H160" s="51"/>
      <c r="I160" s="51"/>
      <c r="J160" s="51"/>
      <c r="K160" s="79" t="str">
        <f t="shared" si="2"/>
        <v/>
      </c>
      <c r="L160" s="51"/>
    </row>
    <row r="161" spans="2:12" x14ac:dyDescent="0.3">
      <c r="B161" s="51"/>
      <c r="C161" s="51"/>
      <c r="D161" s="51"/>
      <c r="E161" s="132"/>
      <c r="F161" s="140"/>
      <c r="G161" s="140"/>
      <c r="H161" s="51"/>
      <c r="I161" s="51"/>
      <c r="J161" s="51"/>
      <c r="K161" s="79" t="str">
        <f t="shared" si="2"/>
        <v/>
      </c>
      <c r="L161" s="51"/>
    </row>
    <row r="162" spans="2:12" x14ac:dyDescent="0.3">
      <c r="B162" s="51"/>
      <c r="C162" s="51"/>
      <c r="D162" s="51"/>
      <c r="E162" s="132"/>
      <c r="F162" s="140"/>
      <c r="G162" s="140"/>
      <c r="H162" s="51"/>
      <c r="I162" s="51"/>
      <c r="J162" s="51"/>
      <c r="K162" s="79" t="str">
        <f t="shared" si="2"/>
        <v/>
      </c>
      <c r="L162" s="51"/>
    </row>
    <row r="163" spans="2:12" x14ac:dyDescent="0.3">
      <c r="B163" s="51"/>
      <c r="C163" s="51"/>
      <c r="D163" s="51"/>
      <c r="E163" s="132"/>
      <c r="F163" s="140"/>
      <c r="G163" s="140"/>
      <c r="H163" s="51"/>
      <c r="I163" s="51"/>
      <c r="J163" s="51"/>
      <c r="K163" s="79" t="str">
        <f t="shared" si="2"/>
        <v/>
      </c>
      <c r="L163" s="51"/>
    </row>
    <row r="164" spans="2:12" x14ac:dyDescent="0.3">
      <c r="B164" s="51"/>
      <c r="C164" s="51"/>
      <c r="D164" s="51"/>
      <c r="E164" s="132"/>
      <c r="F164" s="140"/>
      <c r="G164" s="140"/>
      <c r="H164" s="51"/>
      <c r="I164" s="51"/>
      <c r="J164" s="51"/>
      <c r="K164" s="79" t="str">
        <f t="shared" si="2"/>
        <v/>
      </c>
      <c r="L164" s="51"/>
    </row>
    <row r="165" spans="2:12" x14ac:dyDescent="0.3">
      <c r="B165" s="51"/>
      <c r="C165" s="51"/>
      <c r="D165" s="51"/>
      <c r="E165" s="132"/>
      <c r="F165" s="140"/>
      <c r="G165" s="140"/>
      <c r="H165" s="51"/>
      <c r="I165" s="51"/>
      <c r="J165" s="51"/>
      <c r="K165" s="79" t="str">
        <f t="shared" si="2"/>
        <v/>
      </c>
      <c r="L165" s="51"/>
    </row>
    <row r="166" spans="2:12" x14ac:dyDescent="0.3">
      <c r="B166" s="51"/>
      <c r="C166" s="51"/>
      <c r="D166" s="51"/>
      <c r="E166" s="132"/>
      <c r="F166" s="140"/>
      <c r="G166" s="140"/>
      <c r="H166" s="51"/>
      <c r="I166" s="51"/>
      <c r="J166" s="51"/>
      <c r="K166" s="79" t="str">
        <f t="shared" si="2"/>
        <v/>
      </c>
      <c r="L166" s="51"/>
    </row>
    <row r="167" spans="2:12" x14ac:dyDescent="0.3">
      <c r="B167" s="51"/>
      <c r="C167" s="51"/>
      <c r="D167" s="51"/>
      <c r="E167" s="132"/>
      <c r="F167" s="140"/>
      <c r="G167" s="140"/>
      <c r="H167" s="51"/>
      <c r="I167" s="51"/>
      <c r="J167" s="51"/>
      <c r="K167" s="79" t="str">
        <f t="shared" si="2"/>
        <v/>
      </c>
      <c r="L167" s="51"/>
    </row>
    <row r="168" spans="2:12" x14ac:dyDescent="0.3">
      <c r="B168" s="51"/>
      <c r="C168" s="51"/>
      <c r="D168" s="51"/>
      <c r="E168" s="132"/>
      <c r="F168" s="140"/>
      <c r="G168" s="140"/>
      <c r="H168" s="51"/>
      <c r="I168" s="51"/>
      <c r="J168" s="51"/>
      <c r="K168" s="79" t="str">
        <f t="shared" si="2"/>
        <v/>
      </c>
      <c r="L168" s="51"/>
    </row>
    <row r="169" spans="2:12" x14ac:dyDescent="0.3">
      <c r="B169" s="51"/>
      <c r="C169" s="51"/>
      <c r="D169" s="51"/>
      <c r="E169" s="132"/>
      <c r="F169" s="140"/>
      <c r="G169" s="140"/>
      <c r="H169" s="51"/>
      <c r="I169" s="51"/>
      <c r="J169" s="51"/>
      <c r="K169" s="79" t="str">
        <f t="shared" si="2"/>
        <v/>
      </c>
      <c r="L169" s="51"/>
    </row>
    <row r="170" spans="2:12" x14ac:dyDescent="0.3">
      <c r="B170" s="51"/>
      <c r="C170" s="51"/>
      <c r="D170" s="51"/>
      <c r="E170" s="132"/>
      <c r="F170" s="140"/>
      <c r="G170" s="140"/>
      <c r="H170" s="51"/>
      <c r="I170" s="51"/>
      <c r="J170" s="51"/>
      <c r="K170" s="79" t="str">
        <f t="shared" si="2"/>
        <v/>
      </c>
      <c r="L170" s="51"/>
    </row>
    <row r="171" spans="2:12" x14ac:dyDescent="0.3">
      <c r="B171" s="51"/>
      <c r="C171" s="51"/>
      <c r="D171" s="51"/>
      <c r="E171" s="132"/>
      <c r="F171" s="140"/>
      <c r="G171" s="140"/>
      <c r="H171" s="51"/>
      <c r="I171" s="51"/>
      <c r="J171" s="51"/>
      <c r="K171" s="79" t="str">
        <f t="shared" si="2"/>
        <v/>
      </c>
      <c r="L171" s="51"/>
    </row>
    <row r="172" spans="2:12" x14ac:dyDescent="0.3">
      <c r="B172" s="51"/>
      <c r="C172" s="51"/>
      <c r="D172" s="51"/>
      <c r="E172" s="132"/>
      <c r="F172" s="140"/>
      <c r="G172" s="140"/>
      <c r="H172" s="51"/>
      <c r="I172" s="51"/>
      <c r="J172" s="51"/>
      <c r="K172" s="79" t="str">
        <f t="shared" si="2"/>
        <v/>
      </c>
      <c r="L172" s="51"/>
    </row>
    <row r="173" spans="2:12" x14ac:dyDescent="0.3">
      <c r="B173" s="51"/>
      <c r="C173" s="51"/>
      <c r="D173" s="51"/>
      <c r="E173" s="132"/>
      <c r="F173" s="140"/>
      <c r="G173" s="140"/>
      <c r="H173" s="51"/>
      <c r="I173" s="51"/>
      <c r="J173" s="51"/>
      <c r="K173" s="79" t="str">
        <f t="shared" si="2"/>
        <v/>
      </c>
      <c r="L173" s="51"/>
    </row>
    <row r="174" spans="2:12" x14ac:dyDescent="0.3">
      <c r="B174" s="51"/>
      <c r="C174" s="51"/>
      <c r="D174" s="51"/>
      <c r="E174" s="132"/>
      <c r="F174" s="140"/>
      <c r="G174" s="140"/>
      <c r="H174" s="51"/>
      <c r="I174" s="51"/>
      <c r="J174" s="51"/>
      <c r="K174" s="79" t="str">
        <f t="shared" si="2"/>
        <v/>
      </c>
      <c r="L174" s="51"/>
    </row>
    <row r="175" spans="2:12" x14ac:dyDescent="0.3">
      <c r="B175" s="51"/>
      <c r="C175" s="51"/>
      <c r="D175" s="51"/>
      <c r="E175" s="132"/>
      <c r="F175" s="140"/>
      <c r="G175" s="140"/>
      <c r="H175" s="51"/>
      <c r="I175" s="51"/>
      <c r="J175" s="51"/>
      <c r="K175" s="79" t="str">
        <f t="shared" si="2"/>
        <v/>
      </c>
      <c r="L175" s="51"/>
    </row>
    <row r="176" spans="2:12" x14ac:dyDescent="0.3">
      <c r="B176" s="51"/>
      <c r="C176" s="51"/>
      <c r="D176" s="51"/>
      <c r="E176" s="132"/>
      <c r="F176" s="140"/>
      <c r="G176" s="140"/>
      <c r="H176" s="51"/>
      <c r="I176" s="51"/>
      <c r="J176" s="51"/>
      <c r="K176" s="79" t="str">
        <f t="shared" si="2"/>
        <v/>
      </c>
      <c r="L176" s="51"/>
    </row>
    <row r="177" spans="2:12" x14ac:dyDescent="0.3">
      <c r="B177" s="51"/>
      <c r="C177" s="51"/>
      <c r="D177" s="51"/>
      <c r="E177" s="132"/>
      <c r="F177" s="140"/>
      <c r="G177" s="140"/>
      <c r="H177" s="51"/>
      <c r="I177" s="51"/>
      <c r="J177" s="51"/>
      <c r="K177" s="79" t="str">
        <f t="shared" si="2"/>
        <v/>
      </c>
      <c r="L177" s="51"/>
    </row>
    <row r="178" spans="2:12" x14ac:dyDescent="0.3">
      <c r="B178" s="51"/>
      <c r="C178" s="51"/>
      <c r="D178" s="51"/>
      <c r="E178" s="132"/>
      <c r="F178" s="140"/>
      <c r="G178" s="140"/>
      <c r="H178" s="51"/>
      <c r="I178" s="51"/>
      <c r="J178" s="51"/>
      <c r="K178" s="79" t="str">
        <f t="shared" si="2"/>
        <v/>
      </c>
      <c r="L178" s="51"/>
    </row>
    <row r="179" spans="2:12" x14ac:dyDescent="0.3">
      <c r="B179" s="51"/>
      <c r="C179" s="51"/>
      <c r="D179" s="51"/>
      <c r="E179" s="132"/>
      <c r="F179" s="140"/>
      <c r="G179" s="140"/>
      <c r="H179" s="51"/>
      <c r="I179" s="51"/>
      <c r="J179" s="51"/>
      <c r="K179" s="79" t="str">
        <f t="shared" si="2"/>
        <v/>
      </c>
      <c r="L179" s="51"/>
    </row>
    <row r="180" spans="2:12" x14ac:dyDescent="0.3">
      <c r="B180" s="51"/>
      <c r="C180" s="51"/>
      <c r="D180" s="51"/>
      <c r="E180" s="132"/>
      <c r="F180" s="140"/>
      <c r="G180" s="140"/>
      <c r="H180" s="51"/>
      <c r="I180" s="51"/>
      <c r="J180" s="51"/>
      <c r="K180" s="79" t="str">
        <f t="shared" si="2"/>
        <v/>
      </c>
      <c r="L180" s="51"/>
    </row>
    <row r="181" spans="2:12" x14ac:dyDescent="0.3">
      <c r="B181" s="51"/>
      <c r="C181" s="51"/>
      <c r="D181" s="51"/>
      <c r="E181" s="132"/>
      <c r="F181" s="140"/>
      <c r="G181" s="140"/>
      <c r="H181" s="51"/>
      <c r="I181" s="51"/>
      <c r="J181" s="51"/>
      <c r="K181" s="79" t="str">
        <f t="shared" si="2"/>
        <v/>
      </c>
      <c r="L181" s="51"/>
    </row>
    <row r="182" spans="2:12" x14ac:dyDescent="0.3">
      <c r="B182" s="51"/>
      <c r="C182" s="51"/>
      <c r="D182" s="51"/>
      <c r="E182" s="132"/>
      <c r="F182" s="140"/>
      <c r="G182" s="140"/>
      <c r="H182" s="51"/>
      <c r="I182" s="51"/>
      <c r="J182" s="51"/>
      <c r="K182" s="79" t="str">
        <f t="shared" si="2"/>
        <v/>
      </c>
      <c r="L182" s="51"/>
    </row>
    <row r="183" spans="2:12" x14ac:dyDescent="0.3">
      <c r="B183" s="51"/>
      <c r="C183" s="51"/>
      <c r="D183" s="51"/>
      <c r="E183" s="132"/>
      <c r="F183" s="140"/>
      <c r="G183" s="140"/>
      <c r="H183" s="51"/>
      <c r="I183" s="51"/>
      <c r="J183" s="51"/>
      <c r="K183" s="79" t="str">
        <f t="shared" si="2"/>
        <v/>
      </c>
      <c r="L183" s="51"/>
    </row>
    <row r="184" spans="2:12" x14ac:dyDescent="0.3">
      <c r="B184" s="51"/>
      <c r="C184" s="51"/>
      <c r="D184" s="51"/>
      <c r="E184" s="132"/>
      <c r="F184" s="140"/>
      <c r="G184" s="140"/>
      <c r="H184" s="51"/>
      <c r="I184" s="51"/>
      <c r="J184" s="51"/>
      <c r="K184" s="79" t="str">
        <f t="shared" si="2"/>
        <v/>
      </c>
      <c r="L184" s="51"/>
    </row>
    <row r="185" spans="2:12" x14ac:dyDescent="0.3">
      <c r="B185" s="51"/>
      <c r="C185" s="51"/>
      <c r="D185" s="51"/>
      <c r="E185" s="132"/>
      <c r="F185" s="140"/>
      <c r="G185" s="140"/>
      <c r="H185" s="51"/>
      <c r="I185" s="51"/>
      <c r="J185" s="51"/>
      <c r="K185" s="79" t="str">
        <f t="shared" si="2"/>
        <v/>
      </c>
      <c r="L185" s="51"/>
    </row>
    <row r="186" spans="2:12" x14ac:dyDescent="0.3">
      <c r="B186" s="51"/>
      <c r="C186" s="51"/>
      <c r="D186" s="51"/>
      <c r="E186" s="132"/>
      <c r="F186" s="140"/>
      <c r="G186" s="140"/>
      <c r="H186" s="51"/>
      <c r="I186" s="51"/>
      <c r="J186" s="51"/>
      <c r="K186" s="79" t="str">
        <f t="shared" si="2"/>
        <v/>
      </c>
      <c r="L186" s="51"/>
    </row>
    <row r="187" spans="2:12" x14ac:dyDescent="0.3">
      <c r="B187" s="51"/>
      <c r="C187" s="51"/>
      <c r="D187" s="51"/>
      <c r="E187" s="132"/>
      <c r="F187" s="140"/>
      <c r="G187" s="140"/>
      <c r="H187" s="51"/>
      <c r="I187" s="51"/>
      <c r="J187" s="51"/>
      <c r="K187" s="79" t="str">
        <f t="shared" si="2"/>
        <v/>
      </c>
      <c r="L187" s="51"/>
    </row>
    <row r="188" spans="2:12" x14ac:dyDescent="0.3">
      <c r="B188" s="51"/>
      <c r="C188" s="51"/>
      <c r="D188" s="51"/>
      <c r="E188" s="132"/>
      <c r="F188" s="140"/>
      <c r="G188" s="140"/>
      <c r="H188" s="51"/>
      <c r="I188" s="51"/>
      <c r="J188" s="51"/>
      <c r="K188" s="79" t="str">
        <f t="shared" si="2"/>
        <v/>
      </c>
      <c r="L188" s="51"/>
    </row>
    <row r="189" spans="2:12" x14ac:dyDescent="0.3">
      <c r="B189" s="51"/>
      <c r="C189" s="51"/>
      <c r="D189" s="51"/>
      <c r="E189" s="132"/>
      <c r="F189" s="140"/>
      <c r="G189" s="140"/>
      <c r="H189" s="51"/>
      <c r="I189" s="51"/>
      <c r="J189" s="51"/>
      <c r="K189" s="79" t="str">
        <f t="shared" si="2"/>
        <v/>
      </c>
      <c r="L189" s="51"/>
    </row>
    <row r="190" spans="2:12" x14ac:dyDescent="0.3">
      <c r="B190" s="51"/>
      <c r="C190" s="51"/>
      <c r="D190" s="51"/>
      <c r="E190" s="132"/>
      <c r="F190" s="140"/>
      <c r="G190" s="140"/>
      <c r="H190" s="51"/>
      <c r="I190" s="51"/>
      <c r="J190" s="51"/>
      <c r="K190" s="79" t="str">
        <f t="shared" si="2"/>
        <v/>
      </c>
      <c r="L190" s="51"/>
    </row>
    <row r="191" spans="2:12" x14ac:dyDescent="0.3">
      <c r="B191" s="51"/>
      <c r="C191" s="51"/>
      <c r="D191" s="51"/>
      <c r="E191" s="132"/>
      <c r="F191" s="140"/>
      <c r="G191" s="140"/>
      <c r="H191" s="51"/>
      <c r="I191" s="51"/>
      <c r="J191" s="51"/>
      <c r="K191" s="79" t="str">
        <f t="shared" si="2"/>
        <v/>
      </c>
      <c r="L191" s="51"/>
    </row>
    <row r="192" spans="2:12" x14ac:dyDescent="0.3">
      <c r="B192" s="51"/>
      <c r="C192" s="51"/>
      <c r="D192" s="51"/>
      <c r="E192" s="132"/>
      <c r="F192" s="140"/>
      <c r="G192" s="140"/>
      <c r="H192" s="51"/>
      <c r="I192" s="51"/>
      <c r="J192" s="51"/>
      <c r="K192" s="79" t="str">
        <f t="shared" si="2"/>
        <v/>
      </c>
      <c r="L192" s="51"/>
    </row>
    <row r="193" spans="2:12" x14ac:dyDescent="0.3">
      <c r="B193" s="51"/>
      <c r="C193" s="51"/>
      <c r="D193" s="51"/>
      <c r="E193" s="132"/>
      <c r="F193" s="140"/>
      <c r="G193" s="140"/>
      <c r="H193" s="51"/>
      <c r="I193" s="51"/>
      <c r="J193" s="51"/>
      <c r="K193" s="79" t="str">
        <f t="shared" si="2"/>
        <v/>
      </c>
      <c r="L193" s="51"/>
    </row>
    <row r="194" spans="2:12" x14ac:dyDescent="0.3">
      <c r="B194" s="51"/>
      <c r="C194" s="51"/>
      <c r="D194" s="51"/>
      <c r="E194" s="132"/>
      <c r="F194" s="140"/>
      <c r="G194" s="140"/>
      <c r="H194" s="51"/>
      <c r="I194" s="51"/>
      <c r="J194" s="51"/>
      <c r="K194" s="79" t="str">
        <f t="shared" si="2"/>
        <v/>
      </c>
      <c r="L194" s="51"/>
    </row>
    <row r="195" spans="2:12" x14ac:dyDescent="0.3">
      <c r="B195" s="51"/>
      <c r="C195" s="51"/>
      <c r="D195" s="51"/>
      <c r="E195" s="132"/>
      <c r="F195" s="140"/>
      <c r="G195" s="140"/>
      <c r="H195" s="51"/>
      <c r="I195" s="51"/>
      <c r="J195" s="51"/>
      <c r="K195" s="79" t="str">
        <f t="shared" si="2"/>
        <v/>
      </c>
      <c r="L195" s="51"/>
    </row>
    <row r="196" spans="2:12" x14ac:dyDescent="0.3">
      <c r="B196" s="51"/>
      <c r="C196" s="51"/>
      <c r="D196" s="51"/>
      <c r="E196" s="132"/>
      <c r="F196" s="140"/>
      <c r="G196" s="140"/>
      <c r="H196" s="51"/>
      <c r="I196" s="51"/>
      <c r="J196" s="51"/>
      <c r="K196" s="79" t="str">
        <f t="shared" si="2"/>
        <v/>
      </c>
      <c r="L196" s="51"/>
    </row>
    <row r="197" spans="2:12" x14ac:dyDescent="0.3">
      <c r="B197" s="51"/>
      <c r="C197" s="51"/>
      <c r="D197" s="51"/>
      <c r="E197" s="132"/>
      <c r="F197" s="140"/>
      <c r="G197" s="140"/>
      <c r="H197" s="51"/>
      <c r="I197" s="51"/>
      <c r="J197" s="51"/>
      <c r="K197" s="79" t="str">
        <f t="shared" si="2"/>
        <v/>
      </c>
      <c r="L197" s="51"/>
    </row>
    <row r="198" spans="2:12" x14ac:dyDescent="0.3">
      <c r="B198" s="51"/>
      <c r="C198" s="51"/>
      <c r="D198" s="51"/>
      <c r="E198" s="132"/>
      <c r="F198" s="140"/>
      <c r="G198" s="140"/>
      <c r="H198" s="51"/>
      <c r="I198" s="51"/>
      <c r="J198" s="51"/>
      <c r="K198" s="79" t="str">
        <f t="shared" si="2"/>
        <v/>
      </c>
      <c r="L198" s="51"/>
    </row>
    <row r="199" spans="2:12" x14ac:dyDescent="0.3">
      <c r="B199" s="51"/>
      <c r="C199" s="51"/>
      <c r="D199" s="51"/>
      <c r="E199" s="132"/>
      <c r="F199" s="140"/>
      <c r="G199" s="140"/>
      <c r="H199" s="51"/>
      <c r="I199" s="51"/>
      <c r="J199" s="51"/>
      <c r="K199" s="79" t="str">
        <f t="shared" si="2"/>
        <v/>
      </c>
      <c r="L199" s="51"/>
    </row>
    <row r="200" spans="2:12" x14ac:dyDescent="0.3">
      <c r="B200" s="51"/>
      <c r="C200" s="51"/>
      <c r="D200" s="51"/>
      <c r="E200" s="132"/>
      <c r="F200" s="140"/>
      <c r="G200" s="140"/>
      <c r="H200" s="51"/>
      <c r="I200" s="51"/>
      <c r="J200" s="51"/>
      <c r="K200" s="79" t="str">
        <f t="shared" si="2"/>
        <v/>
      </c>
      <c r="L200" s="51"/>
    </row>
    <row r="201" spans="2:12" x14ac:dyDescent="0.3">
      <c r="B201" s="51"/>
      <c r="C201" s="51"/>
      <c r="D201" s="51"/>
      <c r="E201" s="132"/>
      <c r="F201" s="140"/>
      <c r="G201" s="140"/>
      <c r="H201" s="51"/>
      <c r="I201" s="51"/>
      <c r="J201" s="51"/>
      <c r="K201" s="79" t="str">
        <f t="shared" si="2"/>
        <v/>
      </c>
      <c r="L201" s="51"/>
    </row>
    <row r="202" spans="2:12" x14ac:dyDescent="0.3">
      <c r="B202" s="51"/>
      <c r="C202" s="51"/>
      <c r="D202" s="51"/>
      <c r="E202" s="132"/>
      <c r="F202" s="140"/>
      <c r="G202" s="140"/>
      <c r="H202" s="51"/>
      <c r="I202" s="51"/>
      <c r="J202" s="51"/>
      <c r="K202" s="79" t="str">
        <f t="shared" si="2"/>
        <v/>
      </c>
      <c r="L202" s="51"/>
    </row>
    <row r="203" spans="2:12" x14ac:dyDescent="0.3">
      <c r="B203" s="51"/>
      <c r="C203" s="51"/>
      <c r="D203" s="51"/>
      <c r="E203" s="132"/>
      <c r="F203" s="140"/>
      <c r="G203" s="140"/>
      <c r="H203" s="51"/>
      <c r="I203" s="51"/>
      <c r="J203" s="51"/>
      <c r="K203" s="79" t="str">
        <f t="shared" si="2"/>
        <v/>
      </c>
      <c r="L203" s="51"/>
    </row>
    <row r="204" spans="2:12" x14ac:dyDescent="0.3">
      <c r="B204" s="51"/>
      <c r="C204" s="51"/>
      <c r="D204" s="51"/>
      <c r="E204" s="132"/>
      <c r="F204" s="140"/>
      <c r="G204" s="140"/>
      <c r="H204" s="51"/>
      <c r="I204" s="51"/>
      <c r="J204" s="51"/>
      <c r="K204" s="79" t="str">
        <f t="shared" si="2"/>
        <v/>
      </c>
      <c r="L204" s="51"/>
    </row>
    <row r="205" spans="2:12" x14ac:dyDescent="0.3">
      <c r="B205" s="51"/>
      <c r="C205" s="51"/>
      <c r="D205" s="51"/>
      <c r="E205" s="132"/>
      <c r="F205" s="140"/>
      <c r="G205" s="140"/>
      <c r="H205" s="51"/>
      <c r="I205" s="51"/>
      <c r="J205" s="51"/>
      <c r="K205" s="79" t="str">
        <f t="shared" si="2"/>
        <v/>
      </c>
      <c r="L205" s="51"/>
    </row>
    <row r="206" spans="2:12" x14ac:dyDescent="0.3">
      <c r="B206" s="51"/>
      <c r="C206" s="51"/>
      <c r="D206" s="51"/>
      <c r="E206" s="132"/>
      <c r="F206" s="140"/>
      <c r="G206" s="140"/>
      <c r="H206" s="51"/>
      <c r="I206" s="51"/>
      <c r="J206" s="51"/>
      <c r="K206" s="79" t="str">
        <f t="shared" si="2"/>
        <v/>
      </c>
      <c r="L206" s="51"/>
    </row>
    <row r="207" spans="2:12" x14ac:dyDescent="0.3">
      <c r="B207" s="51"/>
      <c r="C207" s="51"/>
      <c r="D207" s="51"/>
      <c r="E207" s="132"/>
      <c r="F207" s="140"/>
      <c r="G207" s="140"/>
      <c r="H207" s="51"/>
      <c r="I207" s="51"/>
      <c r="J207" s="51"/>
      <c r="K207" s="79" t="str">
        <f t="shared" si="2"/>
        <v/>
      </c>
      <c r="L207" s="51"/>
    </row>
    <row r="208" spans="2:12" x14ac:dyDescent="0.3">
      <c r="B208" s="51"/>
      <c r="C208" s="51"/>
      <c r="D208" s="51"/>
      <c r="E208" s="132"/>
      <c r="F208" s="140"/>
      <c r="G208" s="140"/>
      <c r="H208" s="51"/>
      <c r="I208" s="51"/>
      <c r="J208" s="51"/>
      <c r="K208" s="79" t="str">
        <f t="shared" si="2"/>
        <v/>
      </c>
      <c r="L208" s="51"/>
    </row>
    <row r="209" spans="2:12" x14ac:dyDescent="0.3">
      <c r="B209" s="51"/>
      <c r="C209" s="51"/>
      <c r="D209" s="51"/>
      <c r="E209" s="132"/>
      <c r="F209" s="140"/>
      <c r="G209" s="140"/>
      <c r="H209" s="51"/>
      <c r="I209" s="51"/>
      <c r="J209" s="51"/>
      <c r="K209" s="79" t="str">
        <f t="shared" si="2"/>
        <v/>
      </c>
      <c r="L209" s="51"/>
    </row>
    <row r="210" spans="2:12" x14ac:dyDescent="0.3">
      <c r="B210" s="51"/>
      <c r="C210" s="51"/>
      <c r="D210" s="51"/>
      <c r="E210" s="132"/>
      <c r="F210" s="140"/>
      <c r="G210" s="140"/>
      <c r="H210" s="51"/>
      <c r="I210" s="51"/>
      <c r="J210" s="51"/>
      <c r="K210" s="79" t="str">
        <f t="shared" si="2"/>
        <v/>
      </c>
      <c r="L210" s="51"/>
    </row>
    <row r="211" spans="2:12" x14ac:dyDescent="0.3">
      <c r="B211" s="51"/>
      <c r="C211" s="51"/>
      <c r="D211" s="51"/>
      <c r="E211" s="132"/>
      <c r="F211" s="140"/>
      <c r="G211" s="140"/>
      <c r="H211" s="51"/>
      <c r="I211" s="51"/>
      <c r="J211" s="51"/>
      <c r="K211" s="79" t="str">
        <f t="shared" si="2"/>
        <v/>
      </c>
      <c r="L211" s="51"/>
    </row>
    <row r="212" spans="2:12" x14ac:dyDescent="0.3">
      <c r="B212" s="51"/>
      <c r="C212" s="51"/>
      <c r="D212" s="51"/>
      <c r="E212" s="132"/>
      <c r="F212" s="140"/>
      <c r="G212" s="140"/>
      <c r="H212" s="51"/>
      <c r="I212" s="51"/>
      <c r="J212" s="51"/>
      <c r="K212" s="79" t="str">
        <f t="shared" si="2"/>
        <v/>
      </c>
      <c r="L212" s="51"/>
    </row>
    <row r="213" spans="2:12" x14ac:dyDescent="0.3">
      <c r="B213" s="51"/>
      <c r="C213" s="51"/>
      <c r="D213" s="51"/>
      <c r="E213" s="132"/>
      <c r="F213" s="140"/>
      <c r="G213" s="140"/>
      <c r="H213" s="51"/>
      <c r="I213" s="51"/>
      <c r="J213" s="51"/>
      <c r="K213" s="79" t="str">
        <f t="shared" si="2"/>
        <v/>
      </c>
      <c r="L213" s="51"/>
    </row>
    <row r="214" spans="2:12" x14ac:dyDescent="0.3">
      <c r="B214" s="51"/>
      <c r="C214" s="51"/>
      <c r="D214" s="51"/>
      <c r="E214" s="132"/>
      <c r="F214" s="140"/>
      <c r="G214" s="140"/>
      <c r="H214" s="51"/>
      <c r="I214" s="51"/>
      <c r="J214" s="51"/>
      <c r="K214" s="79" t="str">
        <f t="shared" si="2"/>
        <v/>
      </c>
      <c r="L214" s="51"/>
    </row>
    <row r="215" spans="2:12" x14ac:dyDescent="0.3">
      <c r="B215" s="51"/>
      <c r="C215" s="51"/>
      <c r="D215" s="51"/>
      <c r="E215" s="132"/>
      <c r="F215" s="140"/>
      <c r="G215" s="140"/>
      <c r="H215" s="51"/>
      <c r="I215" s="51"/>
      <c r="J215" s="51"/>
      <c r="K215" s="79" t="str">
        <f t="shared" si="2"/>
        <v/>
      </c>
      <c r="L215" s="51"/>
    </row>
    <row r="216" spans="2:12" x14ac:dyDescent="0.3">
      <c r="B216" s="51"/>
      <c r="C216" s="51"/>
      <c r="D216" s="51"/>
      <c r="E216" s="132"/>
      <c r="F216" s="140"/>
      <c r="G216" s="140"/>
      <c r="H216" s="51"/>
      <c r="I216" s="51"/>
      <c r="J216" s="51"/>
      <c r="K216" s="79" t="str">
        <f t="shared" ref="K216:K279" si="3">IF(I216="","",IF(I216="vtip","ft/s",IF(I216="NHVcz","Btu/scf","Btu/sq ft")))</f>
        <v/>
      </c>
      <c r="L216" s="51"/>
    </row>
    <row r="217" spans="2:12" x14ac:dyDescent="0.3">
      <c r="B217" s="51"/>
      <c r="C217" s="51"/>
      <c r="D217" s="51"/>
      <c r="E217" s="132"/>
      <c r="F217" s="140"/>
      <c r="G217" s="140"/>
      <c r="H217" s="51"/>
      <c r="I217" s="51"/>
      <c r="J217" s="51"/>
      <c r="K217" s="79" t="str">
        <f t="shared" si="3"/>
        <v/>
      </c>
      <c r="L217" s="51"/>
    </row>
    <row r="218" spans="2:12" x14ac:dyDescent="0.3">
      <c r="B218" s="51"/>
      <c r="C218" s="51"/>
      <c r="D218" s="51"/>
      <c r="E218" s="132"/>
      <c r="F218" s="140"/>
      <c r="G218" s="140"/>
      <c r="H218" s="51"/>
      <c r="I218" s="51"/>
      <c r="J218" s="51"/>
      <c r="K218" s="79" t="str">
        <f t="shared" si="3"/>
        <v/>
      </c>
      <c r="L218" s="51"/>
    </row>
    <row r="219" spans="2:12" x14ac:dyDescent="0.3">
      <c r="B219" s="51"/>
      <c r="C219" s="51"/>
      <c r="D219" s="51"/>
      <c r="E219" s="132"/>
      <c r="F219" s="140"/>
      <c r="G219" s="140"/>
      <c r="H219" s="51"/>
      <c r="I219" s="51"/>
      <c r="J219" s="51"/>
      <c r="K219" s="79" t="str">
        <f t="shared" si="3"/>
        <v/>
      </c>
      <c r="L219" s="51"/>
    </row>
    <row r="220" spans="2:12" x14ac:dyDescent="0.3">
      <c r="B220" s="51"/>
      <c r="C220" s="51"/>
      <c r="D220" s="51"/>
      <c r="E220" s="132"/>
      <c r="F220" s="140"/>
      <c r="G220" s="140"/>
      <c r="H220" s="51"/>
      <c r="I220" s="51"/>
      <c r="J220" s="51"/>
      <c r="K220" s="79" t="str">
        <f t="shared" si="3"/>
        <v/>
      </c>
      <c r="L220" s="51"/>
    </row>
    <row r="221" spans="2:12" x14ac:dyDescent="0.3">
      <c r="B221" s="51"/>
      <c r="C221" s="51"/>
      <c r="D221" s="51"/>
      <c r="E221" s="132"/>
      <c r="F221" s="140"/>
      <c r="G221" s="140"/>
      <c r="H221" s="51"/>
      <c r="I221" s="51"/>
      <c r="J221" s="51"/>
      <c r="K221" s="79" t="str">
        <f t="shared" si="3"/>
        <v/>
      </c>
      <c r="L221" s="51"/>
    </row>
    <row r="222" spans="2:12" x14ac:dyDescent="0.3">
      <c r="B222" s="51"/>
      <c r="C222" s="51"/>
      <c r="D222" s="51"/>
      <c r="E222" s="132"/>
      <c r="F222" s="140"/>
      <c r="G222" s="140"/>
      <c r="H222" s="51"/>
      <c r="I222" s="51"/>
      <c r="J222" s="51"/>
      <c r="K222" s="79" t="str">
        <f t="shared" si="3"/>
        <v/>
      </c>
      <c r="L222" s="51"/>
    </row>
    <row r="223" spans="2:12" x14ac:dyDescent="0.3">
      <c r="B223" s="51"/>
      <c r="C223" s="51"/>
      <c r="D223" s="51"/>
      <c r="E223" s="132"/>
      <c r="F223" s="140"/>
      <c r="G223" s="140"/>
      <c r="H223" s="51"/>
      <c r="I223" s="51"/>
      <c r="J223" s="51"/>
      <c r="K223" s="79" t="str">
        <f t="shared" si="3"/>
        <v/>
      </c>
      <c r="L223" s="51"/>
    </row>
    <row r="224" spans="2:12" x14ac:dyDescent="0.3">
      <c r="B224" s="51"/>
      <c r="C224" s="51"/>
      <c r="D224" s="51"/>
      <c r="E224" s="132"/>
      <c r="F224" s="140"/>
      <c r="G224" s="140"/>
      <c r="H224" s="51"/>
      <c r="I224" s="51"/>
      <c r="J224" s="51"/>
      <c r="K224" s="79" t="str">
        <f t="shared" si="3"/>
        <v/>
      </c>
      <c r="L224" s="51"/>
    </row>
    <row r="225" spans="2:12" x14ac:dyDescent="0.3">
      <c r="B225" s="51"/>
      <c r="C225" s="51"/>
      <c r="D225" s="51"/>
      <c r="E225" s="132"/>
      <c r="F225" s="140"/>
      <c r="G225" s="140"/>
      <c r="H225" s="51"/>
      <c r="I225" s="51"/>
      <c r="J225" s="51"/>
      <c r="K225" s="79" t="str">
        <f t="shared" si="3"/>
        <v/>
      </c>
      <c r="L225" s="51"/>
    </row>
    <row r="226" spans="2:12" x14ac:dyDescent="0.3">
      <c r="B226" s="51"/>
      <c r="C226" s="51"/>
      <c r="D226" s="51"/>
      <c r="E226" s="132"/>
      <c r="F226" s="140"/>
      <c r="G226" s="140"/>
      <c r="H226" s="51"/>
      <c r="I226" s="51"/>
      <c r="J226" s="51"/>
      <c r="K226" s="79" t="str">
        <f t="shared" si="3"/>
        <v/>
      </c>
      <c r="L226" s="51"/>
    </row>
    <row r="227" spans="2:12" x14ac:dyDescent="0.3">
      <c r="B227" s="51"/>
      <c r="C227" s="51"/>
      <c r="D227" s="51"/>
      <c r="E227" s="132"/>
      <c r="F227" s="140"/>
      <c r="G227" s="140"/>
      <c r="H227" s="51"/>
      <c r="I227" s="51"/>
      <c r="J227" s="51"/>
      <c r="K227" s="79" t="str">
        <f t="shared" si="3"/>
        <v/>
      </c>
      <c r="L227" s="51"/>
    </row>
    <row r="228" spans="2:12" x14ac:dyDescent="0.3">
      <c r="B228" s="51"/>
      <c r="C228" s="51"/>
      <c r="D228" s="51"/>
      <c r="E228" s="132"/>
      <c r="F228" s="140"/>
      <c r="G228" s="140"/>
      <c r="H228" s="51"/>
      <c r="I228" s="51"/>
      <c r="J228" s="51"/>
      <c r="K228" s="79" t="str">
        <f t="shared" si="3"/>
        <v/>
      </c>
      <c r="L228" s="51"/>
    </row>
    <row r="229" spans="2:12" x14ac:dyDescent="0.3">
      <c r="B229" s="51"/>
      <c r="C229" s="51"/>
      <c r="D229" s="51"/>
      <c r="E229" s="132"/>
      <c r="F229" s="140"/>
      <c r="G229" s="140"/>
      <c r="H229" s="51"/>
      <c r="I229" s="51"/>
      <c r="J229" s="51"/>
      <c r="K229" s="79" t="str">
        <f t="shared" si="3"/>
        <v/>
      </c>
      <c r="L229" s="51"/>
    </row>
    <row r="230" spans="2:12" x14ac:dyDescent="0.3">
      <c r="B230" s="51"/>
      <c r="C230" s="51"/>
      <c r="D230" s="51"/>
      <c r="E230" s="132"/>
      <c r="F230" s="140"/>
      <c r="G230" s="140"/>
      <c r="H230" s="51"/>
      <c r="I230" s="51"/>
      <c r="J230" s="51"/>
      <c r="K230" s="79" t="str">
        <f t="shared" si="3"/>
        <v/>
      </c>
      <c r="L230" s="51"/>
    </row>
    <row r="231" spans="2:12" x14ac:dyDescent="0.3">
      <c r="B231" s="51"/>
      <c r="C231" s="51"/>
      <c r="D231" s="51"/>
      <c r="E231" s="132"/>
      <c r="F231" s="140"/>
      <c r="G231" s="140"/>
      <c r="H231" s="51"/>
      <c r="I231" s="51"/>
      <c r="J231" s="51"/>
      <c r="K231" s="79" t="str">
        <f t="shared" si="3"/>
        <v/>
      </c>
      <c r="L231" s="51"/>
    </row>
    <row r="232" spans="2:12" x14ac:dyDescent="0.3">
      <c r="B232" s="51"/>
      <c r="C232" s="51"/>
      <c r="D232" s="51"/>
      <c r="E232" s="132"/>
      <c r="F232" s="140"/>
      <c r="G232" s="140"/>
      <c r="H232" s="51"/>
      <c r="I232" s="51"/>
      <c r="J232" s="51"/>
      <c r="K232" s="79" t="str">
        <f t="shared" si="3"/>
        <v/>
      </c>
      <c r="L232" s="51"/>
    </row>
    <row r="233" spans="2:12" x14ac:dyDescent="0.3">
      <c r="B233" s="51"/>
      <c r="C233" s="51"/>
      <c r="D233" s="51"/>
      <c r="E233" s="132"/>
      <c r="F233" s="140"/>
      <c r="G233" s="140"/>
      <c r="H233" s="51"/>
      <c r="I233" s="51"/>
      <c r="J233" s="51"/>
      <c r="K233" s="79" t="str">
        <f t="shared" si="3"/>
        <v/>
      </c>
      <c r="L233" s="51"/>
    </row>
    <row r="234" spans="2:12" x14ac:dyDescent="0.3">
      <c r="B234" s="51"/>
      <c r="C234" s="51"/>
      <c r="D234" s="51"/>
      <c r="E234" s="132"/>
      <c r="F234" s="140"/>
      <c r="G234" s="140"/>
      <c r="H234" s="51"/>
      <c r="I234" s="51"/>
      <c r="J234" s="51"/>
      <c r="K234" s="79" t="str">
        <f t="shared" si="3"/>
        <v/>
      </c>
      <c r="L234" s="51"/>
    </row>
    <row r="235" spans="2:12" x14ac:dyDescent="0.3">
      <c r="B235" s="51"/>
      <c r="C235" s="51"/>
      <c r="D235" s="51"/>
      <c r="E235" s="132"/>
      <c r="F235" s="140"/>
      <c r="G235" s="140"/>
      <c r="H235" s="51"/>
      <c r="I235" s="51"/>
      <c r="J235" s="51"/>
      <c r="K235" s="79" t="str">
        <f t="shared" si="3"/>
        <v/>
      </c>
      <c r="L235" s="51"/>
    </row>
    <row r="236" spans="2:12" x14ac:dyDescent="0.3">
      <c r="B236" s="51"/>
      <c r="C236" s="51"/>
      <c r="D236" s="51"/>
      <c r="E236" s="132"/>
      <c r="F236" s="140"/>
      <c r="G236" s="140"/>
      <c r="H236" s="51"/>
      <c r="I236" s="51"/>
      <c r="J236" s="51"/>
      <c r="K236" s="79" t="str">
        <f t="shared" si="3"/>
        <v/>
      </c>
      <c r="L236" s="51"/>
    </row>
    <row r="237" spans="2:12" x14ac:dyDescent="0.3">
      <c r="B237" s="51"/>
      <c r="C237" s="51"/>
      <c r="D237" s="51"/>
      <c r="E237" s="132"/>
      <c r="F237" s="140"/>
      <c r="G237" s="140"/>
      <c r="H237" s="51"/>
      <c r="I237" s="51"/>
      <c r="J237" s="51"/>
      <c r="K237" s="79" t="str">
        <f t="shared" si="3"/>
        <v/>
      </c>
      <c r="L237" s="51"/>
    </row>
    <row r="238" spans="2:12" x14ac:dyDescent="0.3">
      <c r="B238" s="51"/>
      <c r="C238" s="51"/>
      <c r="D238" s="51"/>
      <c r="E238" s="132"/>
      <c r="F238" s="140"/>
      <c r="G238" s="140"/>
      <c r="H238" s="51"/>
      <c r="I238" s="51"/>
      <c r="J238" s="51"/>
      <c r="K238" s="79" t="str">
        <f t="shared" si="3"/>
        <v/>
      </c>
      <c r="L238" s="51"/>
    </row>
    <row r="239" spans="2:12" x14ac:dyDescent="0.3">
      <c r="B239" s="51"/>
      <c r="C239" s="51"/>
      <c r="D239" s="51"/>
      <c r="E239" s="132"/>
      <c r="F239" s="140"/>
      <c r="G239" s="140"/>
      <c r="H239" s="51"/>
      <c r="I239" s="51"/>
      <c r="J239" s="51"/>
      <c r="K239" s="79" t="str">
        <f t="shared" si="3"/>
        <v/>
      </c>
      <c r="L239" s="51"/>
    </row>
    <row r="240" spans="2:12" x14ac:dyDescent="0.3">
      <c r="B240" s="51"/>
      <c r="C240" s="51"/>
      <c r="D240" s="51"/>
      <c r="E240" s="132"/>
      <c r="F240" s="140"/>
      <c r="G240" s="140"/>
      <c r="H240" s="51"/>
      <c r="I240" s="51"/>
      <c r="J240" s="51"/>
      <c r="K240" s="79" t="str">
        <f t="shared" si="3"/>
        <v/>
      </c>
      <c r="L240" s="51"/>
    </row>
    <row r="241" spans="2:12" x14ac:dyDescent="0.3">
      <c r="B241" s="51"/>
      <c r="C241" s="51"/>
      <c r="D241" s="51"/>
      <c r="E241" s="132"/>
      <c r="F241" s="140"/>
      <c r="G241" s="140"/>
      <c r="H241" s="51"/>
      <c r="I241" s="51"/>
      <c r="J241" s="51"/>
      <c r="K241" s="79" t="str">
        <f t="shared" si="3"/>
        <v/>
      </c>
      <c r="L241" s="51"/>
    </row>
    <row r="242" spans="2:12" x14ac:dyDescent="0.3">
      <c r="B242" s="51"/>
      <c r="C242" s="51"/>
      <c r="D242" s="51"/>
      <c r="E242" s="132"/>
      <c r="F242" s="140"/>
      <c r="G242" s="140"/>
      <c r="H242" s="51"/>
      <c r="I242" s="51"/>
      <c r="J242" s="51"/>
      <c r="K242" s="79" t="str">
        <f t="shared" si="3"/>
        <v/>
      </c>
      <c r="L242" s="51"/>
    </row>
    <row r="243" spans="2:12" x14ac:dyDescent="0.3">
      <c r="B243" s="51"/>
      <c r="C243" s="51"/>
      <c r="D243" s="51"/>
      <c r="E243" s="132"/>
      <c r="F243" s="140"/>
      <c r="G243" s="140"/>
      <c r="H243" s="51"/>
      <c r="I243" s="51"/>
      <c r="J243" s="51"/>
      <c r="K243" s="79" t="str">
        <f t="shared" si="3"/>
        <v/>
      </c>
      <c r="L243" s="51"/>
    </row>
    <row r="244" spans="2:12" x14ac:dyDescent="0.3">
      <c r="B244" s="51"/>
      <c r="C244" s="51"/>
      <c r="D244" s="51"/>
      <c r="E244" s="132"/>
      <c r="F244" s="140"/>
      <c r="G244" s="140"/>
      <c r="H244" s="51"/>
      <c r="I244" s="51"/>
      <c r="J244" s="51"/>
      <c r="K244" s="79" t="str">
        <f t="shared" si="3"/>
        <v/>
      </c>
      <c r="L244" s="51"/>
    </row>
    <row r="245" spans="2:12" x14ac:dyDescent="0.3">
      <c r="B245" s="51"/>
      <c r="C245" s="51"/>
      <c r="D245" s="51"/>
      <c r="E245" s="132"/>
      <c r="F245" s="140"/>
      <c r="G245" s="140"/>
      <c r="H245" s="51"/>
      <c r="I245" s="51"/>
      <c r="J245" s="51"/>
      <c r="K245" s="79" t="str">
        <f t="shared" si="3"/>
        <v/>
      </c>
      <c r="L245" s="51"/>
    </row>
    <row r="246" spans="2:12" x14ac:dyDescent="0.3">
      <c r="B246" s="51"/>
      <c r="C246" s="51"/>
      <c r="D246" s="51"/>
      <c r="E246" s="132"/>
      <c r="F246" s="140"/>
      <c r="G246" s="140"/>
      <c r="H246" s="51"/>
      <c r="I246" s="51"/>
      <c r="J246" s="51"/>
      <c r="K246" s="79" t="str">
        <f t="shared" si="3"/>
        <v/>
      </c>
      <c r="L246" s="51"/>
    </row>
    <row r="247" spans="2:12" x14ac:dyDescent="0.3">
      <c r="B247" s="51"/>
      <c r="C247" s="51"/>
      <c r="D247" s="51"/>
      <c r="E247" s="132"/>
      <c r="F247" s="140"/>
      <c r="G247" s="140"/>
      <c r="H247" s="51"/>
      <c r="I247" s="51"/>
      <c r="J247" s="51"/>
      <c r="K247" s="79" t="str">
        <f t="shared" si="3"/>
        <v/>
      </c>
      <c r="L247" s="51"/>
    </row>
    <row r="248" spans="2:12" x14ac:dyDescent="0.3">
      <c r="B248" s="51"/>
      <c r="C248" s="51"/>
      <c r="D248" s="51"/>
      <c r="E248" s="132"/>
      <c r="F248" s="140"/>
      <c r="G248" s="140"/>
      <c r="H248" s="51"/>
      <c r="I248" s="51"/>
      <c r="J248" s="51"/>
      <c r="K248" s="79" t="str">
        <f t="shared" si="3"/>
        <v/>
      </c>
      <c r="L248" s="51"/>
    </row>
    <row r="249" spans="2:12" x14ac:dyDescent="0.3">
      <c r="B249" s="51"/>
      <c r="C249" s="51"/>
      <c r="D249" s="51"/>
      <c r="E249" s="132"/>
      <c r="F249" s="140"/>
      <c r="G249" s="140"/>
      <c r="H249" s="51"/>
      <c r="I249" s="51"/>
      <c r="J249" s="51"/>
      <c r="K249" s="79" t="str">
        <f t="shared" si="3"/>
        <v/>
      </c>
      <c r="L249" s="51"/>
    </row>
    <row r="250" spans="2:12" x14ac:dyDescent="0.3">
      <c r="B250" s="51"/>
      <c r="C250" s="51"/>
      <c r="D250" s="51"/>
      <c r="E250" s="132"/>
      <c r="F250" s="140"/>
      <c r="G250" s="140"/>
      <c r="H250" s="51"/>
      <c r="I250" s="51"/>
      <c r="J250" s="51"/>
      <c r="K250" s="79" t="str">
        <f t="shared" si="3"/>
        <v/>
      </c>
      <c r="L250" s="51"/>
    </row>
    <row r="251" spans="2:12" x14ac:dyDescent="0.3">
      <c r="B251" s="51"/>
      <c r="C251" s="51"/>
      <c r="D251" s="51"/>
      <c r="E251" s="132"/>
      <c r="F251" s="140"/>
      <c r="G251" s="140"/>
      <c r="H251" s="51"/>
      <c r="I251" s="51"/>
      <c r="J251" s="51"/>
      <c r="K251" s="79" t="str">
        <f t="shared" si="3"/>
        <v/>
      </c>
      <c r="L251" s="51"/>
    </row>
    <row r="252" spans="2:12" x14ac:dyDescent="0.3">
      <c r="B252" s="51"/>
      <c r="C252" s="51"/>
      <c r="D252" s="51"/>
      <c r="E252" s="132"/>
      <c r="F252" s="140"/>
      <c r="G252" s="140"/>
      <c r="H252" s="51"/>
      <c r="I252" s="51"/>
      <c r="J252" s="51"/>
      <c r="K252" s="79" t="str">
        <f t="shared" si="3"/>
        <v/>
      </c>
      <c r="L252" s="51"/>
    </row>
    <row r="253" spans="2:12" x14ac:dyDescent="0.3">
      <c r="B253" s="51"/>
      <c r="C253" s="51"/>
      <c r="D253" s="51"/>
      <c r="E253" s="132"/>
      <c r="F253" s="140"/>
      <c r="G253" s="140"/>
      <c r="H253" s="51"/>
      <c r="I253" s="51"/>
      <c r="J253" s="51"/>
      <c r="K253" s="79" t="str">
        <f t="shared" si="3"/>
        <v/>
      </c>
      <c r="L253" s="51"/>
    </row>
    <row r="254" spans="2:12" x14ac:dyDescent="0.3">
      <c r="B254" s="51"/>
      <c r="C254" s="51"/>
      <c r="D254" s="51"/>
      <c r="E254" s="132"/>
      <c r="F254" s="140"/>
      <c r="G254" s="140"/>
      <c r="H254" s="51"/>
      <c r="I254" s="51"/>
      <c r="J254" s="51"/>
      <c r="K254" s="79" t="str">
        <f t="shared" si="3"/>
        <v/>
      </c>
      <c r="L254" s="51"/>
    </row>
    <row r="255" spans="2:12" x14ac:dyDescent="0.3">
      <c r="B255" s="51"/>
      <c r="C255" s="51"/>
      <c r="D255" s="51"/>
      <c r="E255" s="132"/>
      <c r="F255" s="140"/>
      <c r="G255" s="140"/>
      <c r="H255" s="51"/>
      <c r="I255" s="51"/>
      <c r="J255" s="51"/>
      <c r="K255" s="79" t="str">
        <f t="shared" si="3"/>
        <v/>
      </c>
      <c r="L255" s="51"/>
    </row>
    <row r="256" spans="2:12" x14ac:dyDescent="0.3">
      <c r="B256" s="51"/>
      <c r="C256" s="51"/>
      <c r="D256" s="51"/>
      <c r="E256" s="132"/>
      <c r="F256" s="140"/>
      <c r="G256" s="140"/>
      <c r="H256" s="51"/>
      <c r="I256" s="51"/>
      <c r="J256" s="51"/>
      <c r="K256" s="79" t="str">
        <f t="shared" si="3"/>
        <v/>
      </c>
      <c r="L256" s="51"/>
    </row>
    <row r="257" spans="2:12" x14ac:dyDescent="0.3">
      <c r="B257" s="51"/>
      <c r="C257" s="51"/>
      <c r="D257" s="51"/>
      <c r="E257" s="132"/>
      <c r="F257" s="140"/>
      <c r="G257" s="140"/>
      <c r="H257" s="51"/>
      <c r="I257" s="51"/>
      <c r="J257" s="51"/>
      <c r="K257" s="79" t="str">
        <f t="shared" si="3"/>
        <v/>
      </c>
      <c r="L257" s="51"/>
    </row>
    <row r="258" spans="2:12" x14ac:dyDescent="0.3">
      <c r="B258" s="51"/>
      <c r="C258" s="51"/>
      <c r="D258" s="51"/>
      <c r="E258" s="132"/>
      <c r="F258" s="140"/>
      <c r="G258" s="140"/>
      <c r="H258" s="51"/>
      <c r="I258" s="51"/>
      <c r="J258" s="51"/>
      <c r="K258" s="79" t="str">
        <f t="shared" si="3"/>
        <v/>
      </c>
      <c r="L258" s="51"/>
    </row>
    <row r="259" spans="2:12" x14ac:dyDescent="0.3">
      <c r="B259" s="51"/>
      <c r="C259" s="51"/>
      <c r="D259" s="51"/>
      <c r="E259" s="132"/>
      <c r="F259" s="140"/>
      <c r="G259" s="140"/>
      <c r="H259" s="51"/>
      <c r="I259" s="51"/>
      <c r="J259" s="51"/>
      <c r="K259" s="79" t="str">
        <f t="shared" si="3"/>
        <v/>
      </c>
      <c r="L259" s="51"/>
    </row>
    <row r="260" spans="2:12" x14ac:dyDescent="0.3">
      <c r="B260" s="51"/>
      <c r="C260" s="51"/>
      <c r="D260" s="51"/>
      <c r="E260" s="132"/>
      <c r="F260" s="140"/>
      <c r="G260" s="140"/>
      <c r="H260" s="51"/>
      <c r="I260" s="51"/>
      <c r="J260" s="51"/>
      <c r="K260" s="79" t="str">
        <f t="shared" si="3"/>
        <v/>
      </c>
      <c r="L260" s="51"/>
    </row>
    <row r="261" spans="2:12" x14ac:dyDescent="0.3">
      <c r="B261" s="51"/>
      <c r="C261" s="51"/>
      <c r="D261" s="51"/>
      <c r="E261" s="132"/>
      <c r="F261" s="140"/>
      <c r="G261" s="140"/>
      <c r="H261" s="51"/>
      <c r="I261" s="51"/>
      <c r="J261" s="51"/>
      <c r="K261" s="79" t="str">
        <f t="shared" si="3"/>
        <v/>
      </c>
      <c r="L261" s="51"/>
    </row>
    <row r="262" spans="2:12" x14ac:dyDescent="0.3">
      <c r="B262" s="51"/>
      <c r="C262" s="51"/>
      <c r="D262" s="51"/>
      <c r="E262" s="132"/>
      <c r="F262" s="140"/>
      <c r="G262" s="140"/>
      <c r="H262" s="51"/>
      <c r="I262" s="51"/>
      <c r="J262" s="51"/>
      <c r="K262" s="79" t="str">
        <f t="shared" si="3"/>
        <v/>
      </c>
      <c r="L262" s="51"/>
    </row>
    <row r="263" spans="2:12" x14ac:dyDescent="0.3">
      <c r="B263" s="51"/>
      <c r="C263" s="51"/>
      <c r="D263" s="51"/>
      <c r="E263" s="132"/>
      <c r="F263" s="140"/>
      <c r="G263" s="140"/>
      <c r="H263" s="51"/>
      <c r="I263" s="51"/>
      <c r="J263" s="51"/>
      <c r="K263" s="79" t="str">
        <f t="shared" si="3"/>
        <v/>
      </c>
      <c r="L263" s="51"/>
    </row>
    <row r="264" spans="2:12" x14ac:dyDescent="0.3">
      <c r="B264" s="51"/>
      <c r="C264" s="51"/>
      <c r="D264" s="51"/>
      <c r="E264" s="132"/>
      <c r="F264" s="140"/>
      <c r="G264" s="140"/>
      <c r="H264" s="51"/>
      <c r="I264" s="51"/>
      <c r="J264" s="51"/>
      <c r="K264" s="79" t="str">
        <f t="shared" si="3"/>
        <v/>
      </c>
      <c r="L264" s="51"/>
    </row>
    <row r="265" spans="2:12" x14ac:dyDescent="0.3">
      <c r="B265" s="51"/>
      <c r="C265" s="51"/>
      <c r="D265" s="51"/>
      <c r="E265" s="132"/>
      <c r="F265" s="140"/>
      <c r="G265" s="140"/>
      <c r="H265" s="51"/>
      <c r="I265" s="51"/>
      <c r="J265" s="51"/>
      <c r="K265" s="79" t="str">
        <f t="shared" si="3"/>
        <v/>
      </c>
      <c r="L265" s="51"/>
    </row>
    <row r="266" spans="2:12" x14ac:dyDescent="0.3">
      <c r="B266" s="51"/>
      <c r="C266" s="51"/>
      <c r="D266" s="51"/>
      <c r="E266" s="132"/>
      <c r="F266" s="140"/>
      <c r="G266" s="140"/>
      <c r="H266" s="51"/>
      <c r="I266" s="51"/>
      <c r="J266" s="51"/>
      <c r="K266" s="79" t="str">
        <f t="shared" si="3"/>
        <v/>
      </c>
      <c r="L266" s="51"/>
    </row>
    <row r="267" spans="2:12" x14ac:dyDescent="0.3">
      <c r="B267" s="51"/>
      <c r="C267" s="51"/>
      <c r="D267" s="51"/>
      <c r="E267" s="132"/>
      <c r="F267" s="140"/>
      <c r="G267" s="140"/>
      <c r="H267" s="51"/>
      <c r="I267" s="51"/>
      <c r="J267" s="51"/>
      <c r="K267" s="79" t="str">
        <f t="shared" si="3"/>
        <v/>
      </c>
      <c r="L267" s="51"/>
    </row>
    <row r="268" spans="2:12" x14ac:dyDescent="0.3">
      <c r="B268" s="51"/>
      <c r="C268" s="51"/>
      <c r="D268" s="51"/>
      <c r="E268" s="132"/>
      <c r="F268" s="140"/>
      <c r="G268" s="140"/>
      <c r="H268" s="51"/>
      <c r="I268" s="51"/>
      <c r="J268" s="51"/>
      <c r="K268" s="79" t="str">
        <f t="shared" si="3"/>
        <v/>
      </c>
      <c r="L268" s="51"/>
    </row>
    <row r="269" spans="2:12" x14ac:dyDescent="0.3">
      <c r="B269" s="51"/>
      <c r="C269" s="51"/>
      <c r="D269" s="51"/>
      <c r="E269" s="132"/>
      <c r="F269" s="140"/>
      <c r="G269" s="140"/>
      <c r="H269" s="51"/>
      <c r="I269" s="51"/>
      <c r="J269" s="51"/>
      <c r="K269" s="79" t="str">
        <f t="shared" si="3"/>
        <v/>
      </c>
      <c r="L269" s="51"/>
    </row>
    <row r="270" spans="2:12" x14ac:dyDescent="0.3">
      <c r="B270" s="51"/>
      <c r="C270" s="51"/>
      <c r="D270" s="51"/>
      <c r="E270" s="132"/>
      <c r="F270" s="140"/>
      <c r="G270" s="140"/>
      <c r="H270" s="51"/>
      <c r="I270" s="51"/>
      <c r="J270" s="51"/>
      <c r="K270" s="79" t="str">
        <f t="shared" si="3"/>
        <v/>
      </c>
      <c r="L270" s="51"/>
    </row>
    <row r="271" spans="2:12" x14ac:dyDescent="0.3">
      <c r="B271" s="51"/>
      <c r="C271" s="51"/>
      <c r="D271" s="51"/>
      <c r="E271" s="132"/>
      <c r="F271" s="140"/>
      <c r="G271" s="140"/>
      <c r="H271" s="51"/>
      <c r="I271" s="51"/>
      <c r="J271" s="51"/>
      <c r="K271" s="79" t="str">
        <f t="shared" si="3"/>
        <v/>
      </c>
      <c r="L271" s="51"/>
    </row>
    <row r="272" spans="2:12" x14ac:dyDescent="0.3">
      <c r="B272" s="51"/>
      <c r="C272" s="51"/>
      <c r="D272" s="51"/>
      <c r="E272" s="132"/>
      <c r="F272" s="140"/>
      <c r="G272" s="140"/>
      <c r="H272" s="51"/>
      <c r="I272" s="51"/>
      <c r="J272" s="51"/>
      <c r="K272" s="79" t="str">
        <f t="shared" si="3"/>
        <v/>
      </c>
      <c r="L272" s="51"/>
    </row>
    <row r="273" spans="2:12" x14ac:dyDescent="0.3">
      <c r="B273" s="51"/>
      <c r="C273" s="51"/>
      <c r="D273" s="51"/>
      <c r="E273" s="132"/>
      <c r="F273" s="140"/>
      <c r="G273" s="140"/>
      <c r="H273" s="51"/>
      <c r="I273" s="51"/>
      <c r="J273" s="51"/>
      <c r="K273" s="79" t="str">
        <f t="shared" si="3"/>
        <v/>
      </c>
      <c r="L273" s="51"/>
    </row>
    <row r="274" spans="2:12" x14ac:dyDescent="0.3">
      <c r="B274" s="51"/>
      <c r="C274" s="51"/>
      <c r="D274" s="51"/>
      <c r="E274" s="132"/>
      <c r="F274" s="140"/>
      <c r="G274" s="140"/>
      <c r="H274" s="51"/>
      <c r="I274" s="51"/>
      <c r="J274" s="51"/>
      <c r="K274" s="79" t="str">
        <f t="shared" si="3"/>
        <v/>
      </c>
      <c r="L274" s="51"/>
    </row>
    <row r="275" spans="2:12" x14ac:dyDescent="0.3">
      <c r="B275" s="51"/>
      <c r="C275" s="51"/>
      <c r="D275" s="51"/>
      <c r="E275" s="132"/>
      <c r="F275" s="140"/>
      <c r="G275" s="140"/>
      <c r="H275" s="51"/>
      <c r="I275" s="51"/>
      <c r="J275" s="51"/>
      <c r="K275" s="79" t="str">
        <f t="shared" si="3"/>
        <v/>
      </c>
      <c r="L275" s="51"/>
    </row>
    <row r="276" spans="2:12" x14ac:dyDescent="0.3">
      <c r="B276" s="51"/>
      <c r="C276" s="51"/>
      <c r="D276" s="51"/>
      <c r="E276" s="132"/>
      <c r="F276" s="140"/>
      <c r="G276" s="140"/>
      <c r="H276" s="51"/>
      <c r="I276" s="51"/>
      <c r="J276" s="51"/>
      <c r="K276" s="79" t="str">
        <f t="shared" si="3"/>
        <v/>
      </c>
      <c r="L276" s="51"/>
    </row>
    <row r="277" spans="2:12" x14ac:dyDescent="0.3">
      <c r="B277" s="51"/>
      <c r="C277" s="51"/>
      <c r="D277" s="51"/>
      <c r="E277" s="132"/>
      <c r="F277" s="140"/>
      <c r="G277" s="140"/>
      <c r="H277" s="51"/>
      <c r="I277" s="51"/>
      <c r="J277" s="51"/>
      <c r="K277" s="79" t="str">
        <f t="shared" si="3"/>
        <v/>
      </c>
      <c r="L277" s="51"/>
    </row>
    <row r="278" spans="2:12" x14ac:dyDescent="0.3">
      <c r="B278" s="51"/>
      <c r="C278" s="51"/>
      <c r="D278" s="51"/>
      <c r="E278" s="132"/>
      <c r="F278" s="140"/>
      <c r="G278" s="140"/>
      <c r="H278" s="51"/>
      <c r="I278" s="51"/>
      <c r="J278" s="51"/>
      <c r="K278" s="79" t="str">
        <f t="shared" si="3"/>
        <v/>
      </c>
      <c r="L278" s="51"/>
    </row>
    <row r="279" spans="2:12" x14ac:dyDescent="0.3">
      <c r="B279" s="51"/>
      <c r="C279" s="51"/>
      <c r="D279" s="51"/>
      <c r="E279" s="132"/>
      <c r="F279" s="140"/>
      <c r="G279" s="140"/>
      <c r="H279" s="51"/>
      <c r="I279" s="51"/>
      <c r="J279" s="51"/>
      <c r="K279" s="79" t="str">
        <f t="shared" si="3"/>
        <v/>
      </c>
      <c r="L279" s="51"/>
    </row>
    <row r="280" spans="2:12" x14ac:dyDescent="0.3">
      <c r="B280" s="51"/>
      <c r="C280" s="51"/>
      <c r="D280" s="51"/>
      <c r="E280" s="132"/>
      <c r="F280" s="140"/>
      <c r="G280" s="140"/>
      <c r="H280" s="51"/>
      <c r="I280" s="51"/>
      <c r="J280" s="51"/>
      <c r="K280" s="79" t="str">
        <f t="shared" ref="K280:K343" si="4">IF(I280="","",IF(I280="vtip","ft/s",IF(I280="NHVcz","Btu/scf","Btu/sq ft")))</f>
        <v/>
      </c>
      <c r="L280" s="51"/>
    </row>
    <row r="281" spans="2:12" x14ac:dyDescent="0.3">
      <c r="B281" s="51"/>
      <c r="C281" s="51"/>
      <c r="D281" s="51"/>
      <c r="E281" s="132"/>
      <c r="F281" s="140"/>
      <c r="G281" s="140"/>
      <c r="H281" s="51"/>
      <c r="I281" s="51"/>
      <c r="J281" s="51"/>
      <c r="K281" s="79" t="str">
        <f t="shared" si="4"/>
        <v/>
      </c>
      <c r="L281" s="51"/>
    </row>
    <row r="282" spans="2:12" x14ac:dyDescent="0.3">
      <c r="B282" s="51"/>
      <c r="C282" s="51"/>
      <c r="D282" s="51"/>
      <c r="E282" s="132"/>
      <c r="F282" s="140"/>
      <c r="G282" s="140"/>
      <c r="H282" s="51"/>
      <c r="I282" s="51"/>
      <c r="J282" s="51"/>
      <c r="K282" s="79" t="str">
        <f t="shared" si="4"/>
        <v/>
      </c>
      <c r="L282" s="51"/>
    </row>
    <row r="283" spans="2:12" x14ac:dyDescent="0.3">
      <c r="B283" s="51"/>
      <c r="C283" s="51"/>
      <c r="D283" s="51"/>
      <c r="E283" s="132"/>
      <c r="F283" s="140"/>
      <c r="G283" s="140"/>
      <c r="H283" s="51"/>
      <c r="I283" s="51"/>
      <c r="J283" s="51"/>
      <c r="K283" s="79" t="str">
        <f t="shared" si="4"/>
        <v/>
      </c>
      <c r="L283" s="51"/>
    </row>
    <row r="284" spans="2:12" x14ac:dyDescent="0.3">
      <c r="B284" s="51"/>
      <c r="C284" s="51"/>
      <c r="D284" s="51"/>
      <c r="E284" s="132"/>
      <c r="F284" s="140"/>
      <c r="G284" s="140"/>
      <c r="H284" s="51"/>
      <c r="I284" s="51"/>
      <c r="J284" s="51"/>
      <c r="K284" s="79" t="str">
        <f t="shared" si="4"/>
        <v/>
      </c>
      <c r="L284" s="51"/>
    </row>
    <row r="285" spans="2:12" x14ac:dyDescent="0.3">
      <c r="B285" s="51"/>
      <c r="C285" s="51"/>
      <c r="D285" s="51"/>
      <c r="E285" s="132"/>
      <c r="F285" s="140"/>
      <c r="G285" s="140"/>
      <c r="H285" s="51"/>
      <c r="I285" s="51"/>
      <c r="J285" s="51"/>
      <c r="K285" s="79" t="str">
        <f t="shared" si="4"/>
        <v/>
      </c>
      <c r="L285" s="51"/>
    </row>
    <row r="286" spans="2:12" x14ac:dyDescent="0.3">
      <c r="B286" s="51"/>
      <c r="C286" s="51"/>
      <c r="D286" s="51"/>
      <c r="E286" s="132"/>
      <c r="F286" s="140"/>
      <c r="G286" s="140"/>
      <c r="H286" s="51"/>
      <c r="I286" s="51"/>
      <c r="J286" s="51"/>
      <c r="K286" s="79" t="str">
        <f t="shared" si="4"/>
        <v/>
      </c>
      <c r="L286" s="51"/>
    </row>
    <row r="287" spans="2:12" x14ac:dyDescent="0.3">
      <c r="B287" s="51"/>
      <c r="C287" s="51"/>
      <c r="D287" s="51"/>
      <c r="E287" s="132"/>
      <c r="F287" s="140"/>
      <c r="G287" s="140"/>
      <c r="H287" s="51"/>
      <c r="I287" s="51"/>
      <c r="J287" s="51"/>
      <c r="K287" s="79" t="str">
        <f t="shared" si="4"/>
        <v/>
      </c>
      <c r="L287" s="51"/>
    </row>
    <row r="288" spans="2:12" x14ac:dyDescent="0.3">
      <c r="B288" s="51"/>
      <c r="C288" s="51"/>
      <c r="D288" s="51"/>
      <c r="E288" s="132"/>
      <c r="F288" s="140"/>
      <c r="G288" s="140"/>
      <c r="H288" s="51"/>
      <c r="I288" s="51"/>
      <c r="J288" s="51"/>
      <c r="K288" s="79" t="str">
        <f t="shared" si="4"/>
        <v/>
      </c>
      <c r="L288" s="51"/>
    </row>
    <row r="289" spans="2:12" x14ac:dyDescent="0.3">
      <c r="B289" s="51"/>
      <c r="C289" s="51"/>
      <c r="D289" s="51"/>
      <c r="E289" s="132"/>
      <c r="F289" s="140"/>
      <c r="G289" s="140"/>
      <c r="H289" s="51"/>
      <c r="I289" s="51"/>
      <c r="J289" s="51"/>
      <c r="K289" s="79" t="str">
        <f t="shared" si="4"/>
        <v/>
      </c>
      <c r="L289" s="51"/>
    </row>
    <row r="290" spans="2:12" x14ac:dyDescent="0.3">
      <c r="B290" s="51"/>
      <c r="C290" s="51"/>
      <c r="D290" s="51"/>
      <c r="E290" s="132"/>
      <c r="F290" s="140"/>
      <c r="G290" s="140"/>
      <c r="H290" s="51"/>
      <c r="I290" s="51"/>
      <c r="J290" s="51"/>
      <c r="K290" s="79" t="str">
        <f t="shared" si="4"/>
        <v/>
      </c>
      <c r="L290" s="51"/>
    </row>
    <row r="291" spans="2:12" x14ac:dyDescent="0.3">
      <c r="B291" s="51"/>
      <c r="C291" s="51"/>
      <c r="D291" s="51"/>
      <c r="E291" s="132"/>
      <c r="F291" s="140"/>
      <c r="G291" s="140"/>
      <c r="H291" s="51"/>
      <c r="I291" s="51"/>
      <c r="J291" s="51"/>
      <c r="K291" s="79" t="str">
        <f t="shared" si="4"/>
        <v/>
      </c>
      <c r="L291" s="51"/>
    </row>
    <row r="292" spans="2:12" x14ac:dyDescent="0.3">
      <c r="B292" s="51"/>
      <c r="C292" s="51"/>
      <c r="D292" s="51"/>
      <c r="E292" s="132"/>
      <c r="F292" s="140"/>
      <c r="G292" s="140"/>
      <c r="H292" s="51"/>
      <c r="I292" s="51"/>
      <c r="J292" s="51"/>
      <c r="K292" s="79" t="str">
        <f t="shared" si="4"/>
        <v/>
      </c>
      <c r="L292" s="51"/>
    </row>
    <row r="293" spans="2:12" x14ac:dyDescent="0.3">
      <c r="B293" s="51"/>
      <c r="C293" s="51"/>
      <c r="D293" s="51"/>
      <c r="E293" s="132"/>
      <c r="F293" s="140"/>
      <c r="G293" s="140"/>
      <c r="H293" s="51"/>
      <c r="I293" s="51"/>
      <c r="J293" s="51"/>
      <c r="K293" s="79" t="str">
        <f t="shared" si="4"/>
        <v/>
      </c>
      <c r="L293" s="51"/>
    </row>
    <row r="294" spans="2:12" x14ac:dyDescent="0.3">
      <c r="B294" s="51"/>
      <c r="C294" s="51"/>
      <c r="D294" s="51"/>
      <c r="E294" s="132"/>
      <c r="F294" s="140"/>
      <c r="G294" s="140"/>
      <c r="H294" s="51"/>
      <c r="I294" s="51"/>
      <c r="J294" s="51"/>
      <c r="K294" s="79" t="str">
        <f t="shared" si="4"/>
        <v/>
      </c>
      <c r="L294" s="51"/>
    </row>
    <row r="295" spans="2:12" x14ac:dyDescent="0.3">
      <c r="B295" s="51"/>
      <c r="C295" s="51"/>
      <c r="D295" s="51"/>
      <c r="E295" s="132"/>
      <c r="F295" s="140"/>
      <c r="G295" s="140"/>
      <c r="H295" s="51"/>
      <c r="I295" s="51"/>
      <c r="J295" s="51"/>
      <c r="K295" s="79" t="str">
        <f t="shared" si="4"/>
        <v/>
      </c>
      <c r="L295" s="51"/>
    </row>
    <row r="296" spans="2:12" x14ac:dyDescent="0.3">
      <c r="B296" s="51"/>
      <c r="C296" s="51"/>
      <c r="D296" s="51"/>
      <c r="E296" s="132"/>
      <c r="F296" s="140"/>
      <c r="G296" s="140"/>
      <c r="H296" s="51"/>
      <c r="I296" s="51"/>
      <c r="J296" s="51"/>
      <c r="K296" s="79" t="str">
        <f t="shared" si="4"/>
        <v/>
      </c>
      <c r="L296" s="51"/>
    </row>
    <row r="297" spans="2:12" x14ac:dyDescent="0.3">
      <c r="B297" s="51"/>
      <c r="C297" s="51"/>
      <c r="D297" s="51"/>
      <c r="E297" s="132"/>
      <c r="F297" s="140"/>
      <c r="G297" s="140"/>
      <c r="H297" s="51"/>
      <c r="I297" s="51"/>
      <c r="J297" s="51"/>
      <c r="K297" s="79" t="str">
        <f t="shared" si="4"/>
        <v/>
      </c>
      <c r="L297" s="51"/>
    </row>
    <row r="298" spans="2:12" x14ac:dyDescent="0.3">
      <c r="B298" s="51"/>
      <c r="C298" s="51"/>
      <c r="D298" s="51"/>
      <c r="E298" s="132"/>
      <c r="F298" s="140"/>
      <c r="G298" s="140"/>
      <c r="H298" s="51"/>
      <c r="I298" s="51"/>
      <c r="J298" s="51"/>
      <c r="K298" s="79" t="str">
        <f t="shared" si="4"/>
        <v/>
      </c>
      <c r="L298" s="51"/>
    </row>
    <row r="299" spans="2:12" x14ac:dyDescent="0.3">
      <c r="B299" s="51"/>
      <c r="C299" s="51"/>
      <c r="D299" s="51"/>
      <c r="E299" s="132"/>
      <c r="F299" s="140"/>
      <c r="G299" s="140"/>
      <c r="H299" s="51"/>
      <c r="I299" s="51"/>
      <c r="J299" s="51"/>
      <c r="K299" s="79" t="str">
        <f t="shared" si="4"/>
        <v/>
      </c>
      <c r="L299" s="51"/>
    </row>
    <row r="300" spans="2:12" x14ac:dyDescent="0.3">
      <c r="B300" s="51"/>
      <c r="C300" s="51"/>
      <c r="D300" s="51"/>
      <c r="E300" s="132"/>
      <c r="F300" s="140"/>
      <c r="G300" s="140"/>
      <c r="H300" s="51"/>
      <c r="I300" s="51"/>
      <c r="J300" s="51"/>
      <c r="K300" s="79" t="str">
        <f t="shared" si="4"/>
        <v/>
      </c>
      <c r="L300" s="51"/>
    </row>
    <row r="301" spans="2:12" x14ac:dyDescent="0.3">
      <c r="B301" s="51"/>
      <c r="C301" s="51"/>
      <c r="D301" s="51"/>
      <c r="E301" s="132"/>
      <c r="F301" s="140"/>
      <c r="G301" s="140"/>
      <c r="H301" s="51"/>
      <c r="I301" s="51"/>
      <c r="J301" s="51"/>
      <c r="K301" s="79" t="str">
        <f t="shared" si="4"/>
        <v/>
      </c>
      <c r="L301" s="51"/>
    </row>
    <row r="302" spans="2:12" x14ac:dyDescent="0.3">
      <c r="B302" s="51"/>
      <c r="C302" s="51"/>
      <c r="D302" s="51"/>
      <c r="E302" s="132"/>
      <c r="F302" s="140"/>
      <c r="G302" s="140"/>
      <c r="H302" s="51"/>
      <c r="I302" s="51"/>
      <c r="J302" s="51"/>
      <c r="K302" s="79" t="str">
        <f t="shared" si="4"/>
        <v/>
      </c>
      <c r="L302" s="51"/>
    </row>
    <row r="303" spans="2:12" x14ac:dyDescent="0.3">
      <c r="B303" s="51"/>
      <c r="C303" s="51"/>
      <c r="D303" s="51"/>
      <c r="E303" s="132"/>
      <c r="F303" s="140"/>
      <c r="G303" s="140"/>
      <c r="H303" s="51"/>
      <c r="I303" s="51"/>
      <c r="J303" s="51"/>
      <c r="K303" s="79" t="str">
        <f t="shared" si="4"/>
        <v/>
      </c>
      <c r="L303" s="51"/>
    </row>
    <row r="304" spans="2:12" x14ac:dyDescent="0.3">
      <c r="B304" s="51"/>
      <c r="C304" s="51"/>
      <c r="D304" s="51"/>
      <c r="E304" s="132"/>
      <c r="F304" s="140"/>
      <c r="G304" s="140"/>
      <c r="H304" s="51"/>
      <c r="I304" s="51"/>
      <c r="J304" s="51"/>
      <c r="K304" s="79" t="str">
        <f t="shared" si="4"/>
        <v/>
      </c>
      <c r="L304" s="51"/>
    </row>
    <row r="305" spans="2:12" x14ac:dyDescent="0.3">
      <c r="B305" s="51"/>
      <c r="C305" s="51"/>
      <c r="D305" s="51"/>
      <c r="E305" s="132"/>
      <c r="F305" s="140"/>
      <c r="G305" s="140"/>
      <c r="H305" s="51"/>
      <c r="I305" s="51"/>
      <c r="J305" s="51"/>
      <c r="K305" s="79" t="str">
        <f t="shared" si="4"/>
        <v/>
      </c>
      <c r="L305" s="51"/>
    </row>
    <row r="306" spans="2:12" x14ac:dyDescent="0.3">
      <c r="B306" s="51"/>
      <c r="C306" s="51"/>
      <c r="D306" s="51"/>
      <c r="E306" s="132"/>
      <c r="F306" s="140"/>
      <c r="G306" s="140"/>
      <c r="H306" s="51"/>
      <c r="I306" s="51"/>
      <c r="J306" s="51"/>
      <c r="K306" s="79" t="str">
        <f t="shared" si="4"/>
        <v/>
      </c>
      <c r="L306" s="51"/>
    </row>
    <row r="307" spans="2:12" x14ac:dyDescent="0.3">
      <c r="B307" s="51"/>
      <c r="C307" s="51"/>
      <c r="D307" s="51"/>
      <c r="E307" s="132"/>
      <c r="F307" s="140"/>
      <c r="G307" s="140"/>
      <c r="H307" s="51"/>
      <c r="I307" s="51"/>
      <c r="J307" s="51"/>
      <c r="K307" s="79" t="str">
        <f t="shared" si="4"/>
        <v/>
      </c>
      <c r="L307" s="51"/>
    </row>
    <row r="308" spans="2:12" x14ac:dyDescent="0.3">
      <c r="B308" s="51"/>
      <c r="C308" s="51"/>
      <c r="D308" s="51"/>
      <c r="E308" s="132"/>
      <c r="F308" s="140"/>
      <c r="G308" s="140"/>
      <c r="H308" s="51"/>
      <c r="I308" s="51"/>
      <c r="J308" s="51"/>
      <c r="K308" s="79" t="str">
        <f t="shared" si="4"/>
        <v/>
      </c>
      <c r="L308" s="51"/>
    </row>
    <row r="309" spans="2:12" x14ac:dyDescent="0.3">
      <c r="B309" s="51"/>
      <c r="C309" s="51"/>
      <c r="D309" s="51"/>
      <c r="E309" s="132"/>
      <c r="F309" s="140"/>
      <c r="G309" s="140"/>
      <c r="H309" s="51"/>
      <c r="I309" s="51"/>
      <c r="J309" s="51"/>
      <c r="K309" s="79" t="str">
        <f t="shared" si="4"/>
        <v/>
      </c>
      <c r="L309" s="51"/>
    </row>
    <row r="310" spans="2:12" x14ac:dyDescent="0.3">
      <c r="B310" s="51"/>
      <c r="C310" s="51"/>
      <c r="D310" s="51"/>
      <c r="E310" s="132"/>
      <c r="F310" s="140"/>
      <c r="G310" s="140"/>
      <c r="H310" s="51"/>
      <c r="I310" s="51"/>
      <c r="J310" s="51"/>
      <c r="K310" s="79" t="str">
        <f t="shared" si="4"/>
        <v/>
      </c>
      <c r="L310" s="51"/>
    </row>
    <row r="311" spans="2:12" x14ac:dyDescent="0.3">
      <c r="B311" s="51"/>
      <c r="C311" s="51"/>
      <c r="D311" s="51"/>
      <c r="E311" s="132"/>
      <c r="F311" s="140"/>
      <c r="G311" s="140"/>
      <c r="H311" s="51"/>
      <c r="I311" s="51"/>
      <c r="J311" s="51"/>
      <c r="K311" s="79" t="str">
        <f t="shared" si="4"/>
        <v/>
      </c>
      <c r="L311" s="51"/>
    </row>
    <row r="312" spans="2:12" x14ac:dyDescent="0.3">
      <c r="B312" s="51"/>
      <c r="C312" s="51"/>
      <c r="D312" s="51"/>
      <c r="E312" s="132"/>
      <c r="F312" s="140"/>
      <c r="G312" s="140"/>
      <c r="H312" s="51"/>
      <c r="I312" s="51"/>
      <c r="J312" s="51"/>
      <c r="K312" s="79" t="str">
        <f t="shared" si="4"/>
        <v/>
      </c>
      <c r="L312" s="51"/>
    </row>
    <row r="313" spans="2:12" x14ac:dyDescent="0.3">
      <c r="B313" s="51"/>
      <c r="C313" s="51"/>
      <c r="D313" s="51"/>
      <c r="E313" s="132"/>
      <c r="F313" s="140"/>
      <c r="G313" s="140"/>
      <c r="H313" s="51"/>
      <c r="I313" s="51"/>
      <c r="J313" s="51"/>
      <c r="K313" s="79" t="str">
        <f t="shared" si="4"/>
        <v/>
      </c>
      <c r="L313" s="51"/>
    </row>
    <row r="314" spans="2:12" x14ac:dyDescent="0.3">
      <c r="B314" s="51"/>
      <c r="C314" s="51"/>
      <c r="D314" s="51"/>
      <c r="E314" s="132"/>
      <c r="F314" s="140"/>
      <c r="G314" s="140"/>
      <c r="H314" s="51"/>
      <c r="I314" s="51"/>
      <c r="J314" s="51"/>
      <c r="K314" s="79" t="str">
        <f t="shared" si="4"/>
        <v/>
      </c>
      <c r="L314" s="51"/>
    </row>
    <row r="315" spans="2:12" x14ac:dyDescent="0.3">
      <c r="B315" s="51"/>
      <c r="C315" s="51"/>
      <c r="D315" s="51"/>
      <c r="E315" s="132"/>
      <c r="F315" s="140"/>
      <c r="G315" s="140"/>
      <c r="H315" s="51"/>
      <c r="I315" s="51"/>
      <c r="J315" s="51"/>
      <c r="K315" s="79" t="str">
        <f t="shared" si="4"/>
        <v/>
      </c>
      <c r="L315" s="51"/>
    </row>
    <row r="316" spans="2:12" x14ac:dyDescent="0.3">
      <c r="B316" s="51"/>
      <c r="C316" s="51"/>
      <c r="D316" s="51"/>
      <c r="E316" s="132"/>
      <c r="F316" s="140"/>
      <c r="G316" s="140"/>
      <c r="H316" s="51"/>
      <c r="I316" s="51"/>
      <c r="J316" s="51"/>
      <c r="K316" s="79" t="str">
        <f t="shared" si="4"/>
        <v/>
      </c>
      <c r="L316" s="51"/>
    </row>
    <row r="317" spans="2:12" x14ac:dyDescent="0.3">
      <c r="B317" s="51"/>
      <c r="C317" s="51"/>
      <c r="D317" s="51"/>
      <c r="E317" s="132"/>
      <c r="F317" s="140"/>
      <c r="G317" s="140"/>
      <c r="H317" s="51"/>
      <c r="I317" s="51"/>
      <c r="J317" s="51"/>
      <c r="K317" s="79" t="str">
        <f t="shared" si="4"/>
        <v/>
      </c>
      <c r="L317" s="51"/>
    </row>
    <row r="318" spans="2:12" x14ac:dyDescent="0.3">
      <c r="B318" s="51"/>
      <c r="C318" s="51"/>
      <c r="D318" s="51"/>
      <c r="E318" s="132"/>
      <c r="F318" s="140"/>
      <c r="G318" s="140"/>
      <c r="H318" s="51"/>
      <c r="I318" s="51"/>
      <c r="J318" s="51"/>
      <c r="K318" s="79" t="str">
        <f t="shared" si="4"/>
        <v/>
      </c>
      <c r="L318" s="51"/>
    </row>
    <row r="319" spans="2:12" x14ac:dyDescent="0.3">
      <c r="B319" s="51"/>
      <c r="C319" s="51"/>
      <c r="D319" s="51"/>
      <c r="E319" s="132"/>
      <c r="F319" s="140"/>
      <c r="G319" s="140"/>
      <c r="H319" s="51"/>
      <c r="I319" s="51"/>
      <c r="J319" s="51"/>
      <c r="K319" s="79" t="str">
        <f t="shared" si="4"/>
        <v/>
      </c>
      <c r="L319" s="51"/>
    </row>
    <row r="320" spans="2:12" x14ac:dyDescent="0.3">
      <c r="B320" s="51"/>
      <c r="C320" s="51"/>
      <c r="D320" s="51"/>
      <c r="E320" s="132"/>
      <c r="F320" s="140"/>
      <c r="G320" s="140"/>
      <c r="H320" s="51"/>
      <c r="I320" s="51"/>
      <c r="J320" s="51"/>
      <c r="K320" s="79" t="str">
        <f t="shared" si="4"/>
        <v/>
      </c>
      <c r="L320" s="51"/>
    </row>
    <row r="321" spans="2:12" x14ac:dyDescent="0.3">
      <c r="B321" s="51"/>
      <c r="C321" s="51"/>
      <c r="D321" s="51"/>
      <c r="E321" s="132"/>
      <c r="F321" s="140"/>
      <c r="G321" s="140"/>
      <c r="H321" s="51"/>
      <c r="I321" s="51"/>
      <c r="J321" s="51"/>
      <c r="K321" s="79" t="str">
        <f t="shared" si="4"/>
        <v/>
      </c>
      <c r="L321" s="51"/>
    </row>
    <row r="322" spans="2:12" x14ac:dyDescent="0.3">
      <c r="B322" s="51"/>
      <c r="C322" s="51"/>
      <c r="D322" s="51"/>
      <c r="E322" s="132"/>
      <c r="F322" s="140"/>
      <c r="G322" s="140"/>
      <c r="H322" s="51"/>
      <c r="I322" s="51"/>
      <c r="J322" s="51"/>
      <c r="K322" s="79" t="str">
        <f t="shared" si="4"/>
        <v/>
      </c>
      <c r="L322" s="51"/>
    </row>
    <row r="323" spans="2:12" x14ac:dyDescent="0.3">
      <c r="B323" s="51"/>
      <c r="C323" s="51"/>
      <c r="D323" s="51"/>
      <c r="E323" s="132"/>
      <c r="F323" s="140"/>
      <c r="G323" s="140"/>
      <c r="H323" s="51"/>
      <c r="I323" s="51"/>
      <c r="J323" s="51"/>
      <c r="K323" s="79" t="str">
        <f t="shared" si="4"/>
        <v/>
      </c>
      <c r="L323" s="51"/>
    </row>
    <row r="324" spans="2:12" x14ac:dyDescent="0.3">
      <c r="B324" s="51"/>
      <c r="C324" s="51"/>
      <c r="D324" s="51"/>
      <c r="E324" s="132"/>
      <c r="F324" s="140"/>
      <c r="G324" s="140"/>
      <c r="H324" s="51"/>
      <c r="I324" s="51"/>
      <c r="J324" s="51"/>
      <c r="K324" s="79" t="str">
        <f t="shared" si="4"/>
        <v/>
      </c>
      <c r="L324" s="51"/>
    </row>
    <row r="325" spans="2:12" x14ac:dyDescent="0.3">
      <c r="B325" s="51"/>
      <c r="C325" s="51"/>
      <c r="D325" s="51"/>
      <c r="E325" s="132"/>
      <c r="F325" s="140"/>
      <c r="G325" s="140"/>
      <c r="H325" s="51"/>
      <c r="I325" s="51"/>
      <c r="J325" s="51"/>
      <c r="K325" s="79" t="str">
        <f t="shared" si="4"/>
        <v/>
      </c>
      <c r="L325" s="51"/>
    </row>
    <row r="326" spans="2:12" x14ac:dyDescent="0.3">
      <c r="B326" s="51"/>
      <c r="C326" s="51"/>
      <c r="D326" s="51"/>
      <c r="E326" s="132"/>
      <c r="F326" s="140"/>
      <c r="G326" s="140"/>
      <c r="H326" s="51"/>
      <c r="I326" s="51"/>
      <c r="J326" s="51"/>
      <c r="K326" s="79" t="str">
        <f t="shared" si="4"/>
        <v/>
      </c>
      <c r="L326" s="51"/>
    </row>
    <row r="327" spans="2:12" x14ac:dyDescent="0.3">
      <c r="B327" s="51"/>
      <c r="C327" s="51"/>
      <c r="D327" s="51"/>
      <c r="E327" s="132"/>
      <c r="F327" s="140"/>
      <c r="G327" s="140"/>
      <c r="H327" s="51"/>
      <c r="I327" s="51"/>
      <c r="J327" s="51"/>
      <c r="K327" s="79" t="str">
        <f t="shared" si="4"/>
        <v/>
      </c>
      <c r="L327" s="51"/>
    </row>
    <row r="328" spans="2:12" x14ac:dyDescent="0.3">
      <c r="B328" s="51"/>
      <c r="C328" s="51"/>
      <c r="D328" s="51"/>
      <c r="E328" s="132"/>
      <c r="F328" s="140"/>
      <c r="G328" s="140"/>
      <c r="H328" s="51"/>
      <c r="I328" s="51"/>
      <c r="J328" s="51"/>
      <c r="K328" s="79" t="str">
        <f t="shared" si="4"/>
        <v/>
      </c>
      <c r="L328" s="51"/>
    </row>
    <row r="329" spans="2:12" x14ac:dyDescent="0.3">
      <c r="B329" s="51"/>
      <c r="C329" s="51"/>
      <c r="D329" s="51"/>
      <c r="E329" s="132"/>
      <c r="F329" s="140"/>
      <c r="G329" s="140"/>
      <c r="H329" s="51"/>
      <c r="I329" s="51"/>
      <c r="J329" s="51"/>
      <c r="K329" s="79" t="str">
        <f t="shared" si="4"/>
        <v/>
      </c>
      <c r="L329" s="51"/>
    </row>
    <row r="330" spans="2:12" x14ac:dyDescent="0.3">
      <c r="B330" s="51"/>
      <c r="C330" s="51"/>
      <c r="D330" s="51"/>
      <c r="E330" s="132"/>
      <c r="F330" s="140"/>
      <c r="G330" s="140"/>
      <c r="H330" s="51"/>
      <c r="I330" s="51"/>
      <c r="J330" s="51"/>
      <c r="K330" s="79" t="str">
        <f t="shared" si="4"/>
        <v/>
      </c>
      <c r="L330" s="51"/>
    </row>
    <row r="331" spans="2:12" x14ac:dyDescent="0.3">
      <c r="B331" s="51"/>
      <c r="C331" s="51"/>
      <c r="D331" s="51"/>
      <c r="E331" s="132"/>
      <c r="F331" s="140"/>
      <c r="G331" s="140"/>
      <c r="H331" s="51"/>
      <c r="I331" s="51"/>
      <c r="J331" s="51"/>
      <c r="K331" s="79" t="str">
        <f t="shared" si="4"/>
        <v/>
      </c>
      <c r="L331" s="51"/>
    </row>
    <row r="332" spans="2:12" x14ac:dyDescent="0.3">
      <c r="B332" s="51"/>
      <c r="C332" s="51"/>
      <c r="D332" s="51"/>
      <c r="E332" s="132"/>
      <c r="F332" s="140"/>
      <c r="G332" s="140"/>
      <c r="H332" s="51"/>
      <c r="I332" s="51"/>
      <c r="J332" s="51"/>
      <c r="K332" s="79" t="str">
        <f t="shared" si="4"/>
        <v/>
      </c>
      <c r="L332" s="51"/>
    </row>
    <row r="333" spans="2:12" x14ac:dyDescent="0.3">
      <c r="B333" s="51"/>
      <c r="C333" s="51"/>
      <c r="D333" s="51"/>
      <c r="E333" s="132"/>
      <c r="F333" s="140"/>
      <c r="G333" s="140"/>
      <c r="H333" s="51"/>
      <c r="I333" s="51"/>
      <c r="J333" s="51"/>
      <c r="K333" s="79" t="str">
        <f t="shared" si="4"/>
        <v/>
      </c>
      <c r="L333" s="51"/>
    </row>
    <row r="334" spans="2:12" x14ac:dyDescent="0.3">
      <c r="B334" s="51"/>
      <c r="C334" s="51"/>
      <c r="D334" s="51"/>
      <c r="E334" s="132"/>
      <c r="F334" s="140"/>
      <c r="G334" s="140"/>
      <c r="H334" s="51"/>
      <c r="I334" s="51"/>
      <c r="J334" s="51"/>
      <c r="K334" s="79" t="str">
        <f t="shared" si="4"/>
        <v/>
      </c>
      <c r="L334" s="51"/>
    </row>
    <row r="335" spans="2:12" x14ac:dyDescent="0.3">
      <c r="B335" s="51"/>
      <c r="C335" s="51"/>
      <c r="D335" s="51"/>
      <c r="E335" s="132"/>
      <c r="F335" s="140"/>
      <c r="G335" s="140"/>
      <c r="H335" s="51"/>
      <c r="I335" s="51"/>
      <c r="J335" s="51"/>
      <c r="K335" s="79" t="str">
        <f t="shared" si="4"/>
        <v/>
      </c>
      <c r="L335" s="51"/>
    </row>
    <row r="336" spans="2:12" x14ac:dyDescent="0.3">
      <c r="B336" s="51"/>
      <c r="C336" s="51"/>
      <c r="D336" s="51"/>
      <c r="E336" s="132"/>
      <c r="F336" s="140"/>
      <c r="G336" s="140"/>
      <c r="H336" s="51"/>
      <c r="I336" s="51"/>
      <c r="J336" s="51"/>
      <c r="K336" s="79" t="str">
        <f t="shared" si="4"/>
        <v/>
      </c>
      <c r="L336" s="51"/>
    </row>
    <row r="337" spans="2:12" x14ac:dyDescent="0.3">
      <c r="B337" s="51"/>
      <c r="C337" s="51"/>
      <c r="D337" s="51"/>
      <c r="E337" s="132"/>
      <c r="F337" s="140"/>
      <c r="G337" s="140"/>
      <c r="H337" s="51"/>
      <c r="I337" s="51"/>
      <c r="J337" s="51"/>
      <c r="K337" s="79" t="str">
        <f t="shared" si="4"/>
        <v/>
      </c>
      <c r="L337" s="51"/>
    </row>
    <row r="338" spans="2:12" x14ac:dyDescent="0.3">
      <c r="B338" s="51"/>
      <c r="C338" s="51"/>
      <c r="D338" s="51"/>
      <c r="E338" s="132"/>
      <c r="F338" s="140"/>
      <c r="G338" s="140"/>
      <c r="H338" s="51"/>
      <c r="I338" s="51"/>
      <c r="J338" s="51"/>
      <c r="K338" s="79" t="str">
        <f t="shared" si="4"/>
        <v/>
      </c>
      <c r="L338" s="51"/>
    </row>
    <row r="339" spans="2:12" x14ac:dyDescent="0.3">
      <c r="B339" s="51"/>
      <c r="C339" s="51"/>
      <c r="D339" s="51"/>
      <c r="E339" s="132"/>
      <c r="F339" s="140"/>
      <c r="G339" s="140"/>
      <c r="H339" s="51"/>
      <c r="I339" s="51"/>
      <c r="J339" s="51"/>
      <c r="K339" s="79" t="str">
        <f t="shared" si="4"/>
        <v/>
      </c>
      <c r="L339" s="51"/>
    </row>
    <row r="340" spans="2:12" x14ac:dyDescent="0.3">
      <c r="B340" s="51"/>
      <c r="C340" s="51"/>
      <c r="D340" s="51"/>
      <c r="E340" s="132"/>
      <c r="F340" s="140"/>
      <c r="G340" s="140"/>
      <c r="H340" s="51"/>
      <c r="I340" s="51"/>
      <c r="J340" s="51"/>
      <c r="K340" s="79" t="str">
        <f t="shared" si="4"/>
        <v/>
      </c>
      <c r="L340" s="51"/>
    </row>
    <row r="341" spans="2:12" x14ac:dyDescent="0.3">
      <c r="B341" s="51"/>
      <c r="C341" s="51"/>
      <c r="D341" s="51"/>
      <c r="E341" s="132"/>
      <c r="F341" s="140"/>
      <c r="G341" s="140"/>
      <c r="H341" s="51"/>
      <c r="I341" s="51"/>
      <c r="J341" s="51"/>
      <c r="K341" s="79" t="str">
        <f t="shared" si="4"/>
        <v/>
      </c>
      <c r="L341" s="51"/>
    </row>
    <row r="342" spans="2:12" x14ac:dyDescent="0.3">
      <c r="B342" s="51"/>
      <c r="C342" s="51"/>
      <c r="D342" s="51"/>
      <c r="E342" s="132"/>
      <c r="F342" s="140"/>
      <c r="G342" s="140"/>
      <c r="H342" s="51"/>
      <c r="I342" s="51"/>
      <c r="J342" s="51"/>
      <c r="K342" s="79" t="str">
        <f t="shared" si="4"/>
        <v/>
      </c>
      <c r="L342" s="51"/>
    </row>
    <row r="343" spans="2:12" x14ac:dyDescent="0.3">
      <c r="B343" s="51"/>
      <c r="C343" s="51"/>
      <c r="D343" s="51"/>
      <c r="E343" s="132"/>
      <c r="F343" s="140"/>
      <c r="G343" s="140"/>
      <c r="H343" s="51"/>
      <c r="I343" s="51"/>
      <c r="J343" s="51"/>
      <c r="K343" s="79" t="str">
        <f t="shared" si="4"/>
        <v/>
      </c>
      <c r="L343" s="51"/>
    </row>
    <row r="344" spans="2:12" x14ac:dyDescent="0.3">
      <c r="B344" s="51"/>
      <c r="C344" s="51"/>
      <c r="D344" s="51"/>
      <c r="E344" s="132"/>
      <c r="F344" s="140"/>
      <c r="G344" s="140"/>
      <c r="H344" s="51"/>
      <c r="I344" s="51"/>
      <c r="J344" s="51"/>
      <c r="K344" s="79" t="str">
        <f t="shared" ref="K344:K407" si="5">IF(I344="","",IF(I344="vtip","ft/s",IF(I344="NHVcz","Btu/scf","Btu/sq ft")))</f>
        <v/>
      </c>
      <c r="L344" s="51"/>
    </row>
    <row r="345" spans="2:12" x14ac:dyDescent="0.3">
      <c r="B345" s="51"/>
      <c r="C345" s="51"/>
      <c r="D345" s="51"/>
      <c r="E345" s="132"/>
      <c r="F345" s="140"/>
      <c r="G345" s="140"/>
      <c r="H345" s="51"/>
      <c r="I345" s="51"/>
      <c r="J345" s="51"/>
      <c r="K345" s="79" t="str">
        <f t="shared" si="5"/>
        <v/>
      </c>
      <c r="L345" s="51"/>
    </row>
    <row r="346" spans="2:12" x14ac:dyDescent="0.3">
      <c r="B346" s="51"/>
      <c r="C346" s="51"/>
      <c r="D346" s="51"/>
      <c r="E346" s="132"/>
      <c r="F346" s="140"/>
      <c r="G346" s="140"/>
      <c r="H346" s="51"/>
      <c r="I346" s="51"/>
      <c r="J346" s="51"/>
      <c r="K346" s="79" t="str">
        <f t="shared" si="5"/>
        <v/>
      </c>
      <c r="L346" s="51"/>
    </row>
    <row r="347" spans="2:12" x14ac:dyDescent="0.3">
      <c r="B347" s="51"/>
      <c r="C347" s="51"/>
      <c r="D347" s="51"/>
      <c r="E347" s="132"/>
      <c r="F347" s="140"/>
      <c r="G347" s="140"/>
      <c r="H347" s="51"/>
      <c r="I347" s="51"/>
      <c r="J347" s="51"/>
      <c r="K347" s="79" t="str">
        <f t="shared" si="5"/>
        <v/>
      </c>
      <c r="L347" s="51"/>
    </row>
    <row r="348" spans="2:12" x14ac:dyDescent="0.3">
      <c r="B348" s="51"/>
      <c r="C348" s="51"/>
      <c r="D348" s="51"/>
      <c r="E348" s="132"/>
      <c r="F348" s="140"/>
      <c r="G348" s="140"/>
      <c r="H348" s="51"/>
      <c r="I348" s="51"/>
      <c r="J348" s="51"/>
      <c r="K348" s="79" t="str">
        <f t="shared" si="5"/>
        <v/>
      </c>
      <c r="L348" s="51"/>
    </row>
    <row r="349" spans="2:12" x14ac:dyDescent="0.3">
      <c r="B349" s="51"/>
      <c r="C349" s="51"/>
      <c r="D349" s="51"/>
      <c r="E349" s="132"/>
      <c r="F349" s="140"/>
      <c r="G349" s="140"/>
      <c r="H349" s="51"/>
      <c r="I349" s="51"/>
      <c r="J349" s="51"/>
      <c r="K349" s="79" t="str">
        <f t="shared" si="5"/>
        <v/>
      </c>
      <c r="L349" s="51"/>
    </row>
    <row r="350" spans="2:12" x14ac:dyDescent="0.3">
      <c r="B350" s="51"/>
      <c r="C350" s="51"/>
      <c r="D350" s="51"/>
      <c r="E350" s="132"/>
      <c r="F350" s="140"/>
      <c r="G350" s="140"/>
      <c r="H350" s="51"/>
      <c r="I350" s="51"/>
      <c r="J350" s="51"/>
      <c r="K350" s="79" t="str">
        <f t="shared" si="5"/>
        <v/>
      </c>
      <c r="L350" s="51"/>
    </row>
    <row r="351" spans="2:12" x14ac:dyDescent="0.3">
      <c r="B351" s="51"/>
      <c r="C351" s="51"/>
      <c r="D351" s="51"/>
      <c r="E351" s="132"/>
      <c r="F351" s="140"/>
      <c r="G351" s="140"/>
      <c r="H351" s="51"/>
      <c r="I351" s="51"/>
      <c r="J351" s="51"/>
      <c r="K351" s="79" t="str">
        <f t="shared" si="5"/>
        <v/>
      </c>
      <c r="L351" s="51"/>
    </row>
    <row r="352" spans="2:12" x14ac:dyDescent="0.3">
      <c r="B352" s="51"/>
      <c r="C352" s="51"/>
      <c r="D352" s="51"/>
      <c r="E352" s="132"/>
      <c r="F352" s="140"/>
      <c r="G352" s="140"/>
      <c r="H352" s="51"/>
      <c r="I352" s="51"/>
      <c r="J352" s="51"/>
      <c r="K352" s="79" t="str">
        <f t="shared" si="5"/>
        <v/>
      </c>
      <c r="L352" s="51"/>
    </row>
    <row r="353" spans="2:12" x14ac:dyDescent="0.3">
      <c r="B353" s="51"/>
      <c r="C353" s="51"/>
      <c r="D353" s="51"/>
      <c r="E353" s="132"/>
      <c r="F353" s="140"/>
      <c r="G353" s="140"/>
      <c r="H353" s="51"/>
      <c r="I353" s="51"/>
      <c r="J353" s="51"/>
      <c r="K353" s="79" t="str">
        <f t="shared" si="5"/>
        <v/>
      </c>
      <c r="L353" s="51"/>
    </row>
    <row r="354" spans="2:12" x14ac:dyDescent="0.3">
      <c r="B354" s="51"/>
      <c r="C354" s="51"/>
      <c r="D354" s="51"/>
      <c r="E354" s="132"/>
      <c r="F354" s="140"/>
      <c r="G354" s="140"/>
      <c r="H354" s="51"/>
      <c r="I354" s="51"/>
      <c r="J354" s="51"/>
      <c r="K354" s="79" t="str">
        <f t="shared" si="5"/>
        <v/>
      </c>
      <c r="L354" s="51"/>
    </row>
    <row r="355" spans="2:12" x14ac:dyDescent="0.3">
      <c r="B355" s="51"/>
      <c r="C355" s="51"/>
      <c r="D355" s="51"/>
      <c r="E355" s="132"/>
      <c r="F355" s="140"/>
      <c r="G355" s="140"/>
      <c r="H355" s="51"/>
      <c r="I355" s="51"/>
      <c r="J355" s="51"/>
      <c r="K355" s="79" t="str">
        <f t="shared" si="5"/>
        <v/>
      </c>
      <c r="L355" s="51"/>
    </row>
    <row r="356" spans="2:12" x14ac:dyDescent="0.3">
      <c r="B356" s="51"/>
      <c r="C356" s="51"/>
      <c r="D356" s="51"/>
      <c r="E356" s="132"/>
      <c r="F356" s="140"/>
      <c r="G356" s="140"/>
      <c r="H356" s="51"/>
      <c r="I356" s="51"/>
      <c r="J356" s="51"/>
      <c r="K356" s="79" t="str">
        <f t="shared" si="5"/>
        <v/>
      </c>
      <c r="L356" s="51"/>
    </row>
    <row r="357" spans="2:12" x14ac:dyDescent="0.3">
      <c r="B357" s="51"/>
      <c r="C357" s="51"/>
      <c r="D357" s="51"/>
      <c r="E357" s="132"/>
      <c r="F357" s="140"/>
      <c r="G357" s="140"/>
      <c r="H357" s="51"/>
      <c r="I357" s="51"/>
      <c r="J357" s="51"/>
      <c r="K357" s="79" t="str">
        <f t="shared" si="5"/>
        <v/>
      </c>
      <c r="L357" s="51"/>
    </row>
    <row r="358" spans="2:12" x14ac:dyDescent="0.3">
      <c r="B358" s="51"/>
      <c r="C358" s="51"/>
      <c r="D358" s="51"/>
      <c r="E358" s="132"/>
      <c r="F358" s="140"/>
      <c r="G358" s="140"/>
      <c r="H358" s="51"/>
      <c r="I358" s="51"/>
      <c r="J358" s="51"/>
      <c r="K358" s="79" t="str">
        <f t="shared" si="5"/>
        <v/>
      </c>
      <c r="L358" s="51"/>
    </row>
    <row r="359" spans="2:12" x14ac:dyDescent="0.3">
      <c r="B359" s="51"/>
      <c r="C359" s="51"/>
      <c r="D359" s="51"/>
      <c r="E359" s="132"/>
      <c r="F359" s="140"/>
      <c r="G359" s="140"/>
      <c r="H359" s="51"/>
      <c r="I359" s="51"/>
      <c r="J359" s="51"/>
      <c r="K359" s="79" t="str">
        <f t="shared" si="5"/>
        <v/>
      </c>
      <c r="L359" s="51"/>
    </row>
    <row r="360" spans="2:12" x14ac:dyDescent="0.3">
      <c r="B360" s="51"/>
      <c r="C360" s="51"/>
      <c r="D360" s="51"/>
      <c r="E360" s="132"/>
      <c r="F360" s="140"/>
      <c r="G360" s="140"/>
      <c r="H360" s="51"/>
      <c r="I360" s="51"/>
      <c r="J360" s="51"/>
      <c r="K360" s="79" t="str">
        <f t="shared" si="5"/>
        <v/>
      </c>
      <c r="L360" s="51"/>
    </row>
    <row r="361" spans="2:12" x14ac:dyDescent="0.3">
      <c r="B361" s="51"/>
      <c r="C361" s="51"/>
      <c r="D361" s="51"/>
      <c r="E361" s="132"/>
      <c r="F361" s="140"/>
      <c r="G361" s="140"/>
      <c r="H361" s="51"/>
      <c r="I361" s="51"/>
      <c r="J361" s="51"/>
      <c r="K361" s="79" t="str">
        <f t="shared" si="5"/>
        <v/>
      </c>
      <c r="L361" s="51"/>
    </row>
    <row r="362" spans="2:12" x14ac:dyDescent="0.3">
      <c r="B362" s="51"/>
      <c r="C362" s="51"/>
      <c r="D362" s="51"/>
      <c r="E362" s="132"/>
      <c r="F362" s="140"/>
      <c r="G362" s="140"/>
      <c r="H362" s="51"/>
      <c r="I362" s="51"/>
      <c r="J362" s="51"/>
      <c r="K362" s="79" t="str">
        <f t="shared" si="5"/>
        <v/>
      </c>
      <c r="L362" s="51"/>
    </row>
    <row r="363" spans="2:12" x14ac:dyDescent="0.3">
      <c r="B363" s="51"/>
      <c r="C363" s="51"/>
      <c r="D363" s="51"/>
      <c r="E363" s="132"/>
      <c r="F363" s="140"/>
      <c r="G363" s="140"/>
      <c r="H363" s="51"/>
      <c r="I363" s="51"/>
      <c r="J363" s="51"/>
      <c r="K363" s="79" t="str">
        <f t="shared" si="5"/>
        <v/>
      </c>
      <c r="L363" s="51"/>
    </row>
    <row r="364" spans="2:12" x14ac:dyDescent="0.3">
      <c r="B364" s="51"/>
      <c r="C364" s="51"/>
      <c r="D364" s="51"/>
      <c r="E364" s="132"/>
      <c r="F364" s="140"/>
      <c r="G364" s="140"/>
      <c r="H364" s="51"/>
      <c r="I364" s="51"/>
      <c r="J364" s="51"/>
      <c r="K364" s="79" t="str">
        <f t="shared" si="5"/>
        <v/>
      </c>
      <c r="L364" s="51"/>
    </row>
    <row r="365" spans="2:12" x14ac:dyDescent="0.3">
      <c r="B365" s="51"/>
      <c r="C365" s="51"/>
      <c r="D365" s="51"/>
      <c r="E365" s="132"/>
      <c r="F365" s="140"/>
      <c r="G365" s="140"/>
      <c r="H365" s="51"/>
      <c r="I365" s="51"/>
      <c r="J365" s="51"/>
      <c r="K365" s="79" t="str">
        <f t="shared" si="5"/>
        <v/>
      </c>
      <c r="L365" s="51"/>
    </row>
    <row r="366" spans="2:12" x14ac:dyDescent="0.3">
      <c r="B366" s="51"/>
      <c r="C366" s="51"/>
      <c r="D366" s="51"/>
      <c r="E366" s="132"/>
      <c r="F366" s="140"/>
      <c r="G366" s="140"/>
      <c r="H366" s="51"/>
      <c r="I366" s="51"/>
      <c r="J366" s="51"/>
      <c r="K366" s="79" t="str">
        <f t="shared" si="5"/>
        <v/>
      </c>
      <c r="L366" s="51"/>
    </row>
    <row r="367" spans="2:12" x14ac:dyDescent="0.3">
      <c r="B367" s="51"/>
      <c r="C367" s="51"/>
      <c r="D367" s="51"/>
      <c r="E367" s="132"/>
      <c r="F367" s="140"/>
      <c r="G367" s="140"/>
      <c r="H367" s="51"/>
      <c r="I367" s="51"/>
      <c r="J367" s="51"/>
      <c r="K367" s="79" t="str">
        <f t="shared" si="5"/>
        <v/>
      </c>
      <c r="L367" s="51"/>
    </row>
    <row r="368" spans="2:12" x14ac:dyDescent="0.3">
      <c r="B368" s="51"/>
      <c r="C368" s="51"/>
      <c r="D368" s="51"/>
      <c r="E368" s="132"/>
      <c r="F368" s="140"/>
      <c r="G368" s="140"/>
      <c r="H368" s="51"/>
      <c r="I368" s="51"/>
      <c r="J368" s="51"/>
      <c r="K368" s="79" t="str">
        <f t="shared" si="5"/>
        <v/>
      </c>
      <c r="L368" s="51"/>
    </row>
    <row r="369" spans="2:12" x14ac:dyDescent="0.3">
      <c r="B369" s="51"/>
      <c r="C369" s="51"/>
      <c r="D369" s="51"/>
      <c r="E369" s="132"/>
      <c r="F369" s="140"/>
      <c r="G369" s="140"/>
      <c r="H369" s="51"/>
      <c r="I369" s="51"/>
      <c r="J369" s="51"/>
      <c r="K369" s="79" t="str">
        <f t="shared" si="5"/>
        <v/>
      </c>
      <c r="L369" s="51"/>
    </row>
    <row r="370" spans="2:12" x14ac:dyDescent="0.3">
      <c r="B370" s="51"/>
      <c r="C370" s="51"/>
      <c r="D370" s="51"/>
      <c r="E370" s="132"/>
      <c r="F370" s="140"/>
      <c r="G370" s="140"/>
      <c r="H370" s="51"/>
      <c r="I370" s="51"/>
      <c r="J370" s="51"/>
      <c r="K370" s="79" t="str">
        <f t="shared" si="5"/>
        <v/>
      </c>
      <c r="L370" s="51"/>
    </row>
    <row r="371" spans="2:12" x14ac:dyDescent="0.3">
      <c r="B371" s="51"/>
      <c r="C371" s="51"/>
      <c r="D371" s="51"/>
      <c r="E371" s="132"/>
      <c r="F371" s="140"/>
      <c r="G371" s="140"/>
      <c r="H371" s="51"/>
      <c r="I371" s="51"/>
      <c r="J371" s="51"/>
      <c r="K371" s="79" t="str">
        <f t="shared" si="5"/>
        <v/>
      </c>
      <c r="L371" s="51"/>
    </row>
    <row r="372" spans="2:12" x14ac:dyDescent="0.3">
      <c r="B372" s="51"/>
      <c r="C372" s="51"/>
      <c r="D372" s="51"/>
      <c r="E372" s="132"/>
      <c r="F372" s="140"/>
      <c r="G372" s="140"/>
      <c r="H372" s="51"/>
      <c r="I372" s="51"/>
      <c r="J372" s="51"/>
      <c r="K372" s="79" t="str">
        <f t="shared" si="5"/>
        <v/>
      </c>
      <c r="L372" s="51"/>
    </row>
    <row r="373" spans="2:12" x14ac:dyDescent="0.3">
      <c r="B373" s="51"/>
      <c r="C373" s="51"/>
      <c r="D373" s="51"/>
      <c r="E373" s="132"/>
      <c r="F373" s="140"/>
      <c r="G373" s="140"/>
      <c r="H373" s="51"/>
      <c r="I373" s="51"/>
      <c r="J373" s="51"/>
      <c r="K373" s="79" t="str">
        <f t="shared" si="5"/>
        <v/>
      </c>
      <c r="L373" s="51"/>
    </row>
    <row r="374" spans="2:12" x14ac:dyDescent="0.3">
      <c r="B374" s="51"/>
      <c r="C374" s="51"/>
      <c r="D374" s="51"/>
      <c r="E374" s="132"/>
      <c r="F374" s="140"/>
      <c r="G374" s="140"/>
      <c r="H374" s="51"/>
      <c r="I374" s="51"/>
      <c r="J374" s="51"/>
      <c r="K374" s="79" t="str">
        <f t="shared" si="5"/>
        <v/>
      </c>
      <c r="L374" s="51"/>
    </row>
    <row r="375" spans="2:12" x14ac:dyDescent="0.3">
      <c r="B375" s="51"/>
      <c r="C375" s="51"/>
      <c r="D375" s="51"/>
      <c r="E375" s="132"/>
      <c r="F375" s="140"/>
      <c r="G375" s="140"/>
      <c r="H375" s="51"/>
      <c r="I375" s="51"/>
      <c r="J375" s="51"/>
      <c r="K375" s="79" t="str">
        <f t="shared" si="5"/>
        <v/>
      </c>
      <c r="L375" s="51"/>
    </row>
    <row r="376" spans="2:12" x14ac:dyDescent="0.3">
      <c r="B376" s="51"/>
      <c r="C376" s="51"/>
      <c r="D376" s="51"/>
      <c r="E376" s="132"/>
      <c r="F376" s="140"/>
      <c r="G376" s="140"/>
      <c r="H376" s="51"/>
      <c r="I376" s="51"/>
      <c r="J376" s="51"/>
      <c r="K376" s="79" t="str">
        <f t="shared" si="5"/>
        <v/>
      </c>
      <c r="L376" s="51"/>
    </row>
    <row r="377" spans="2:12" x14ac:dyDescent="0.3">
      <c r="B377" s="51"/>
      <c r="C377" s="51"/>
      <c r="D377" s="51"/>
      <c r="E377" s="132"/>
      <c r="F377" s="140"/>
      <c r="G377" s="140"/>
      <c r="H377" s="51"/>
      <c r="I377" s="51"/>
      <c r="J377" s="51"/>
      <c r="K377" s="79" t="str">
        <f t="shared" si="5"/>
        <v/>
      </c>
      <c r="L377" s="51"/>
    </row>
    <row r="378" spans="2:12" x14ac:dyDescent="0.3">
      <c r="B378" s="51"/>
      <c r="C378" s="51"/>
      <c r="D378" s="51"/>
      <c r="E378" s="132"/>
      <c r="F378" s="140"/>
      <c r="G378" s="140"/>
      <c r="H378" s="51"/>
      <c r="I378" s="51"/>
      <c r="J378" s="51"/>
      <c r="K378" s="79" t="str">
        <f t="shared" si="5"/>
        <v/>
      </c>
      <c r="L378" s="51"/>
    </row>
    <row r="379" spans="2:12" x14ac:dyDescent="0.3">
      <c r="B379" s="51"/>
      <c r="C379" s="51"/>
      <c r="D379" s="51"/>
      <c r="E379" s="132"/>
      <c r="F379" s="140"/>
      <c r="G379" s="140"/>
      <c r="H379" s="51"/>
      <c r="I379" s="51"/>
      <c r="J379" s="51"/>
      <c r="K379" s="79" t="str">
        <f t="shared" si="5"/>
        <v/>
      </c>
      <c r="L379" s="51"/>
    </row>
    <row r="380" spans="2:12" x14ac:dyDescent="0.3">
      <c r="B380" s="51"/>
      <c r="C380" s="51"/>
      <c r="D380" s="51"/>
      <c r="E380" s="132"/>
      <c r="F380" s="140"/>
      <c r="G380" s="140"/>
      <c r="H380" s="51"/>
      <c r="I380" s="51"/>
      <c r="J380" s="51"/>
      <c r="K380" s="79" t="str">
        <f t="shared" si="5"/>
        <v/>
      </c>
      <c r="L380" s="51"/>
    </row>
    <row r="381" spans="2:12" x14ac:dyDescent="0.3">
      <c r="B381" s="51"/>
      <c r="C381" s="51"/>
      <c r="D381" s="51"/>
      <c r="E381" s="132"/>
      <c r="F381" s="140"/>
      <c r="G381" s="140"/>
      <c r="H381" s="51"/>
      <c r="I381" s="51"/>
      <c r="J381" s="51"/>
      <c r="K381" s="79" t="str">
        <f t="shared" si="5"/>
        <v/>
      </c>
      <c r="L381" s="51"/>
    </row>
    <row r="382" spans="2:12" x14ac:dyDescent="0.3">
      <c r="B382" s="51"/>
      <c r="C382" s="51"/>
      <c r="D382" s="51"/>
      <c r="E382" s="132"/>
      <c r="F382" s="140"/>
      <c r="G382" s="140"/>
      <c r="H382" s="51"/>
      <c r="I382" s="51"/>
      <c r="J382" s="51"/>
      <c r="K382" s="79" t="str">
        <f t="shared" si="5"/>
        <v/>
      </c>
      <c r="L382" s="51"/>
    </row>
    <row r="383" spans="2:12" x14ac:dyDescent="0.3">
      <c r="B383" s="51"/>
      <c r="C383" s="51"/>
      <c r="D383" s="51"/>
      <c r="E383" s="132"/>
      <c r="F383" s="140"/>
      <c r="G383" s="140"/>
      <c r="H383" s="51"/>
      <c r="I383" s="51"/>
      <c r="J383" s="51"/>
      <c r="K383" s="79" t="str">
        <f t="shared" si="5"/>
        <v/>
      </c>
      <c r="L383" s="51"/>
    </row>
    <row r="384" spans="2:12" x14ac:dyDescent="0.3">
      <c r="B384" s="51"/>
      <c r="C384" s="51"/>
      <c r="D384" s="51"/>
      <c r="E384" s="132"/>
      <c r="F384" s="140"/>
      <c r="G384" s="140"/>
      <c r="H384" s="51"/>
      <c r="I384" s="51"/>
      <c r="J384" s="51"/>
      <c r="K384" s="79" t="str">
        <f t="shared" si="5"/>
        <v/>
      </c>
      <c r="L384" s="51"/>
    </row>
    <row r="385" spans="2:12" x14ac:dyDescent="0.3">
      <c r="B385" s="51"/>
      <c r="C385" s="51"/>
      <c r="D385" s="51"/>
      <c r="E385" s="132"/>
      <c r="F385" s="140"/>
      <c r="G385" s="140"/>
      <c r="H385" s="51"/>
      <c r="I385" s="51"/>
      <c r="J385" s="51"/>
      <c r="K385" s="79" t="str">
        <f t="shared" si="5"/>
        <v/>
      </c>
      <c r="L385" s="51"/>
    </row>
    <row r="386" spans="2:12" x14ac:dyDescent="0.3">
      <c r="B386" s="51"/>
      <c r="C386" s="51"/>
      <c r="D386" s="51"/>
      <c r="E386" s="132"/>
      <c r="F386" s="140"/>
      <c r="G386" s="140"/>
      <c r="H386" s="51"/>
      <c r="I386" s="51"/>
      <c r="J386" s="51"/>
      <c r="K386" s="79" t="str">
        <f t="shared" si="5"/>
        <v/>
      </c>
      <c r="L386" s="51"/>
    </row>
    <row r="387" spans="2:12" x14ac:dyDescent="0.3">
      <c r="B387" s="51"/>
      <c r="C387" s="51"/>
      <c r="D387" s="51"/>
      <c r="E387" s="132"/>
      <c r="F387" s="140"/>
      <c r="G387" s="140"/>
      <c r="H387" s="51"/>
      <c r="I387" s="51"/>
      <c r="J387" s="51"/>
      <c r="K387" s="79" t="str">
        <f t="shared" si="5"/>
        <v/>
      </c>
      <c r="L387" s="51"/>
    </row>
    <row r="388" spans="2:12" x14ac:dyDescent="0.3">
      <c r="B388" s="51"/>
      <c r="C388" s="51"/>
      <c r="D388" s="51"/>
      <c r="E388" s="132"/>
      <c r="F388" s="140"/>
      <c r="G388" s="140"/>
      <c r="H388" s="51"/>
      <c r="I388" s="51"/>
      <c r="J388" s="51"/>
      <c r="K388" s="79" t="str">
        <f t="shared" si="5"/>
        <v/>
      </c>
      <c r="L388" s="51"/>
    </row>
    <row r="389" spans="2:12" x14ac:dyDescent="0.3">
      <c r="B389" s="51"/>
      <c r="C389" s="51"/>
      <c r="D389" s="51"/>
      <c r="E389" s="132"/>
      <c r="F389" s="140"/>
      <c r="G389" s="140"/>
      <c r="H389" s="51"/>
      <c r="I389" s="51"/>
      <c r="J389" s="51"/>
      <c r="K389" s="79" t="str">
        <f t="shared" si="5"/>
        <v/>
      </c>
      <c r="L389" s="51"/>
    </row>
    <row r="390" spans="2:12" x14ac:dyDescent="0.3">
      <c r="B390" s="51"/>
      <c r="C390" s="51"/>
      <c r="D390" s="51"/>
      <c r="E390" s="132"/>
      <c r="F390" s="140"/>
      <c r="G390" s="140"/>
      <c r="H390" s="51"/>
      <c r="I390" s="51"/>
      <c r="J390" s="51"/>
      <c r="K390" s="79" t="str">
        <f t="shared" si="5"/>
        <v/>
      </c>
      <c r="L390" s="51"/>
    </row>
    <row r="391" spans="2:12" x14ac:dyDescent="0.3">
      <c r="B391" s="51"/>
      <c r="C391" s="51"/>
      <c r="D391" s="51"/>
      <c r="E391" s="132"/>
      <c r="F391" s="140"/>
      <c r="G391" s="140"/>
      <c r="H391" s="51"/>
      <c r="I391" s="51"/>
      <c r="J391" s="51"/>
      <c r="K391" s="79" t="str">
        <f t="shared" si="5"/>
        <v/>
      </c>
      <c r="L391" s="51"/>
    </row>
    <row r="392" spans="2:12" x14ac:dyDescent="0.3">
      <c r="B392" s="51"/>
      <c r="C392" s="51"/>
      <c r="D392" s="51"/>
      <c r="E392" s="132"/>
      <c r="F392" s="140"/>
      <c r="G392" s="140"/>
      <c r="H392" s="51"/>
      <c r="I392" s="51"/>
      <c r="J392" s="51"/>
      <c r="K392" s="79" t="str">
        <f t="shared" si="5"/>
        <v/>
      </c>
      <c r="L392" s="51"/>
    </row>
    <row r="393" spans="2:12" x14ac:dyDescent="0.3">
      <c r="B393" s="51"/>
      <c r="C393" s="51"/>
      <c r="D393" s="51"/>
      <c r="E393" s="132"/>
      <c r="F393" s="140"/>
      <c r="G393" s="140"/>
      <c r="H393" s="51"/>
      <c r="I393" s="51"/>
      <c r="J393" s="51"/>
      <c r="K393" s="79" t="str">
        <f t="shared" si="5"/>
        <v/>
      </c>
      <c r="L393" s="51"/>
    </row>
    <row r="394" spans="2:12" x14ac:dyDescent="0.3">
      <c r="B394" s="51"/>
      <c r="C394" s="51"/>
      <c r="D394" s="51"/>
      <c r="E394" s="132"/>
      <c r="F394" s="140"/>
      <c r="G394" s="140"/>
      <c r="H394" s="51"/>
      <c r="I394" s="51"/>
      <c r="J394" s="51"/>
      <c r="K394" s="79" t="str">
        <f t="shared" si="5"/>
        <v/>
      </c>
      <c r="L394" s="51"/>
    </row>
    <row r="395" spans="2:12" x14ac:dyDescent="0.3">
      <c r="B395" s="51"/>
      <c r="C395" s="51"/>
      <c r="D395" s="51"/>
      <c r="E395" s="132"/>
      <c r="F395" s="140"/>
      <c r="G395" s="140"/>
      <c r="H395" s="51"/>
      <c r="I395" s="51"/>
      <c r="J395" s="51"/>
      <c r="K395" s="79" t="str">
        <f t="shared" si="5"/>
        <v/>
      </c>
      <c r="L395" s="51"/>
    </row>
    <row r="396" spans="2:12" x14ac:dyDescent="0.3">
      <c r="B396" s="51"/>
      <c r="C396" s="51"/>
      <c r="D396" s="51"/>
      <c r="E396" s="132"/>
      <c r="F396" s="140"/>
      <c r="G396" s="140"/>
      <c r="H396" s="51"/>
      <c r="I396" s="51"/>
      <c r="J396" s="51"/>
      <c r="K396" s="79" t="str">
        <f t="shared" si="5"/>
        <v/>
      </c>
      <c r="L396" s="51"/>
    </row>
    <row r="397" spans="2:12" x14ac:dyDescent="0.3">
      <c r="B397" s="51"/>
      <c r="C397" s="51"/>
      <c r="D397" s="51"/>
      <c r="E397" s="132"/>
      <c r="F397" s="140"/>
      <c r="G397" s="140"/>
      <c r="H397" s="51"/>
      <c r="I397" s="51"/>
      <c r="J397" s="51"/>
      <c r="K397" s="79" t="str">
        <f t="shared" si="5"/>
        <v/>
      </c>
      <c r="L397" s="51"/>
    </row>
    <row r="398" spans="2:12" x14ac:dyDescent="0.3">
      <c r="B398" s="51"/>
      <c r="C398" s="51"/>
      <c r="D398" s="51"/>
      <c r="E398" s="132"/>
      <c r="F398" s="140"/>
      <c r="G398" s="140"/>
      <c r="H398" s="51"/>
      <c r="I398" s="51"/>
      <c r="J398" s="51"/>
      <c r="K398" s="79" t="str">
        <f t="shared" si="5"/>
        <v/>
      </c>
      <c r="L398" s="51"/>
    </row>
    <row r="399" spans="2:12" x14ac:dyDescent="0.3">
      <c r="B399" s="51"/>
      <c r="C399" s="51"/>
      <c r="D399" s="51"/>
      <c r="E399" s="132"/>
      <c r="F399" s="140"/>
      <c r="G399" s="140"/>
      <c r="H399" s="51"/>
      <c r="I399" s="51"/>
      <c r="J399" s="51"/>
      <c r="K399" s="79" t="str">
        <f t="shared" si="5"/>
        <v/>
      </c>
      <c r="L399" s="51"/>
    </row>
    <row r="400" spans="2:12" x14ac:dyDescent="0.3">
      <c r="B400" s="51"/>
      <c r="C400" s="51"/>
      <c r="D400" s="51"/>
      <c r="E400" s="132"/>
      <c r="F400" s="140"/>
      <c r="G400" s="140"/>
      <c r="H400" s="51"/>
      <c r="I400" s="51"/>
      <c r="J400" s="51"/>
      <c r="K400" s="79" t="str">
        <f t="shared" si="5"/>
        <v/>
      </c>
      <c r="L400" s="51"/>
    </row>
    <row r="401" spans="2:12" x14ac:dyDescent="0.3">
      <c r="B401" s="51"/>
      <c r="C401" s="51"/>
      <c r="D401" s="51"/>
      <c r="E401" s="132"/>
      <c r="F401" s="140"/>
      <c r="G401" s="140"/>
      <c r="H401" s="51"/>
      <c r="I401" s="51"/>
      <c r="J401" s="51"/>
      <c r="K401" s="79" t="str">
        <f t="shared" si="5"/>
        <v/>
      </c>
      <c r="L401" s="51"/>
    </row>
    <row r="402" spans="2:12" x14ac:dyDescent="0.3">
      <c r="B402" s="51"/>
      <c r="C402" s="51"/>
      <c r="D402" s="51"/>
      <c r="E402" s="132"/>
      <c r="F402" s="140"/>
      <c r="G402" s="140"/>
      <c r="H402" s="51"/>
      <c r="I402" s="51"/>
      <c r="J402" s="51"/>
      <c r="K402" s="79" t="str">
        <f t="shared" si="5"/>
        <v/>
      </c>
      <c r="L402" s="51"/>
    </row>
    <row r="403" spans="2:12" x14ac:dyDescent="0.3">
      <c r="B403" s="51"/>
      <c r="C403" s="51"/>
      <c r="D403" s="51"/>
      <c r="E403" s="132"/>
      <c r="F403" s="140"/>
      <c r="G403" s="140"/>
      <c r="H403" s="51"/>
      <c r="I403" s="51"/>
      <c r="J403" s="51"/>
      <c r="K403" s="79" t="str">
        <f t="shared" si="5"/>
        <v/>
      </c>
      <c r="L403" s="51"/>
    </row>
    <row r="404" spans="2:12" x14ac:dyDescent="0.3">
      <c r="B404" s="51"/>
      <c r="C404" s="51"/>
      <c r="D404" s="51"/>
      <c r="E404" s="132"/>
      <c r="F404" s="140"/>
      <c r="G404" s="140"/>
      <c r="H404" s="51"/>
      <c r="I404" s="51"/>
      <c r="J404" s="51"/>
      <c r="K404" s="79" t="str">
        <f t="shared" si="5"/>
        <v/>
      </c>
      <c r="L404" s="51"/>
    </row>
    <row r="405" spans="2:12" x14ac:dyDescent="0.3">
      <c r="B405" s="51"/>
      <c r="C405" s="51"/>
      <c r="D405" s="51"/>
      <c r="E405" s="132"/>
      <c r="F405" s="140"/>
      <c r="G405" s="140"/>
      <c r="H405" s="51"/>
      <c r="I405" s="51"/>
      <c r="J405" s="51"/>
      <c r="K405" s="79" t="str">
        <f t="shared" si="5"/>
        <v/>
      </c>
      <c r="L405" s="51"/>
    </row>
    <row r="406" spans="2:12" x14ac:dyDescent="0.3">
      <c r="B406" s="51"/>
      <c r="C406" s="51"/>
      <c r="D406" s="51"/>
      <c r="E406" s="132"/>
      <c r="F406" s="140"/>
      <c r="G406" s="140"/>
      <c r="H406" s="51"/>
      <c r="I406" s="51"/>
      <c r="J406" s="51"/>
      <c r="K406" s="79" t="str">
        <f t="shared" si="5"/>
        <v/>
      </c>
      <c r="L406" s="51"/>
    </row>
    <row r="407" spans="2:12" x14ac:dyDescent="0.3">
      <c r="B407" s="51"/>
      <c r="C407" s="51"/>
      <c r="D407" s="51"/>
      <c r="E407" s="132"/>
      <c r="F407" s="140"/>
      <c r="G407" s="140"/>
      <c r="H407" s="51"/>
      <c r="I407" s="51"/>
      <c r="J407" s="51"/>
      <c r="K407" s="79" t="str">
        <f t="shared" si="5"/>
        <v/>
      </c>
      <c r="L407" s="51"/>
    </row>
    <row r="408" spans="2:12" x14ac:dyDescent="0.3">
      <c r="B408" s="51"/>
      <c r="C408" s="51"/>
      <c r="D408" s="51"/>
      <c r="E408" s="132"/>
      <c r="F408" s="140"/>
      <c r="G408" s="140"/>
      <c r="H408" s="51"/>
      <c r="I408" s="51"/>
      <c r="J408" s="51"/>
      <c r="K408" s="79" t="str">
        <f t="shared" ref="K408:K471" si="6">IF(I408="","",IF(I408="vtip","ft/s",IF(I408="NHVcz","Btu/scf","Btu/sq ft")))</f>
        <v/>
      </c>
      <c r="L408" s="51"/>
    </row>
    <row r="409" spans="2:12" x14ac:dyDescent="0.3">
      <c r="B409" s="51"/>
      <c r="C409" s="51"/>
      <c r="D409" s="51"/>
      <c r="E409" s="132"/>
      <c r="F409" s="140"/>
      <c r="G409" s="140"/>
      <c r="H409" s="51"/>
      <c r="I409" s="51"/>
      <c r="J409" s="51"/>
      <c r="K409" s="79" t="str">
        <f t="shared" si="6"/>
        <v/>
      </c>
      <c r="L409" s="51"/>
    </row>
    <row r="410" spans="2:12" x14ac:dyDescent="0.3">
      <c r="B410" s="51"/>
      <c r="C410" s="51"/>
      <c r="D410" s="51"/>
      <c r="E410" s="132"/>
      <c r="F410" s="140"/>
      <c r="G410" s="140"/>
      <c r="H410" s="51"/>
      <c r="I410" s="51"/>
      <c r="J410" s="51"/>
      <c r="K410" s="79" t="str">
        <f t="shared" si="6"/>
        <v/>
      </c>
      <c r="L410" s="51"/>
    </row>
    <row r="411" spans="2:12" x14ac:dyDescent="0.3">
      <c r="B411" s="51"/>
      <c r="C411" s="51"/>
      <c r="D411" s="51"/>
      <c r="E411" s="132"/>
      <c r="F411" s="140"/>
      <c r="G411" s="140"/>
      <c r="H411" s="51"/>
      <c r="I411" s="51"/>
      <c r="J411" s="51"/>
      <c r="K411" s="79" t="str">
        <f t="shared" si="6"/>
        <v/>
      </c>
      <c r="L411" s="51"/>
    </row>
    <row r="412" spans="2:12" x14ac:dyDescent="0.3">
      <c r="B412" s="51"/>
      <c r="C412" s="51"/>
      <c r="D412" s="51"/>
      <c r="E412" s="132"/>
      <c r="F412" s="140"/>
      <c r="G412" s="140"/>
      <c r="H412" s="51"/>
      <c r="I412" s="51"/>
      <c r="J412" s="51"/>
      <c r="K412" s="79" t="str">
        <f t="shared" si="6"/>
        <v/>
      </c>
      <c r="L412" s="51"/>
    </row>
    <row r="413" spans="2:12" x14ac:dyDescent="0.3">
      <c r="B413" s="51"/>
      <c r="C413" s="51"/>
      <c r="D413" s="51"/>
      <c r="E413" s="132"/>
      <c r="F413" s="140"/>
      <c r="G413" s="140"/>
      <c r="H413" s="51"/>
      <c r="I413" s="51"/>
      <c r="J413" s="51"/>
      <c r="K413" s="79" t="str">
        <f t="shared" si="6"/>
        <v/>
      </c>
      <c r="L413" s="51"/>
    </row>
    <row r="414" spans="2:12" x14ac:dyDescent="0.3">
      <c r="B414" s="51"/>
      <c r="C414" s="51"/>
      <c r="D414" s="51"/>
      <c r="E414" s="132"/>
      <c r="F414" s="140"/>
      <c r="G414" s="140"/>
      <c r="H414" s="51"/>
      <c r="I414" s="51"/>
      <c r="J414" s="51"/>
      <c r="K414" s="79" t="str">
        <f t="shared" si="6"/>
        <v/>
      </c>
      <c r="L414" s="51"/>
    </row>
    <row r="415" spans="2:12" x14ac:dyDescent="0.3">
      <c r="B415" s="51"/>
      <c r="C415" s="51"/>
      <c r="D415" s="51"/>
      <c r="E415" s="132"/>
      <c r="F415" s="140"/>
      <c r="G415" s="140"/>
      <c r="H415" s="51"/>
      <c r="I415" s="51"/>
      <c r="J415" s="51"/>
      <c r="K415" s="79" t="str">
        <f t="shared" si="6"/>
        <v/>
      </c>
      <c r="L415" s="51"/>
    </row>
    <row r="416" spans="2:12" x14ac:dyDescent="0.3">
      <c r="B416" s="51"/>
      <c r="C416" s="51"/>
      <c r="D416" s="51"/>
      <c r="E416" s="132"/>
      <c r="F416" s="140"/>
      <c r="G416" s="140"/>
      <c r="H416" s="51"/>
      <c r="I416" s="51"/>
      <c r="J416" s="51"/>
      <c r="K416" s="79" t="str">
        <f t="shared" si="6"/>
        <v/>
      </c>
      <c r="L416" s="51"/>
    </row>
    <row r="417" spans="2:12" x14ac:dyDescent="0.3">
      <c r="B417" s="51"/>
      <c r="C417" s="51"/>
      <c r="D417" s="51"/>
      <c r="E417" s="132"/>
      <c r="F417" s="140"/>
      <c r="G417" s="140"/>
      <c r="H417" s="51"/>
      <c r="I417" s="51"/>
      <c r="J417" s="51"/>
      <c r="K417" s="79" t="str">
        <f t="shared" si="6"/>
        <v/>
      </c>
      <c r="L417" s="51"/>
    </row>
    <row r="418" spans="2:12" x14ac:dyDescent="0.3">
      <c r="B418" s="51"/>
      <c r="C418" s="51"/>
      <c r="D418" s="51"/>
      <c r="E418" s="132"/>
      <c r="F418" s="140"/>
      <c r="G418" s="140"/>
      <c r="H418" s="51"/>
      <c r="I418" s="51"/>
      <c r="J418" s="51"/>
      <c r="K418" s="79" t="str">
        <f t="shared" si="6"/>
        <v/>
      </c>
      <c r="L418" s="51"/>
    </row>
    <row r="419" spans="2:12" x14ac:dyDescent="0.3">
      <c r="B419" s="51"/>
      <c r="C419" s="51"/>
      <c r="D419" s="51"/>
      <c r="E419" s="132"/>
      <c r="F419" s="140"/>
      <c r="G419" s="140"/>
      <c r="H419" s="51"/>
      <c r="I419" s="51"/>
      <c r="J419" s="51"/>
      <c r="K419" s="79" t="str">
        <f t="shared" si="6"/>
        <v/>
      </c>
      <c r="L419" s="51"/>
    </row>
    <row r="420" spans="2:12" x14ac:dyDescent="0.3">
      <c r="B420" s="51"/>
      <c r="C420" s="51"/>
      <c r="D420" s="51"/>
      <c r="E420" s="132"/>
      <c r="F420" s="140"/>
      <c r="G420" s="140"/>
      <c r="H420" s="51"/>
      <c r="I420" s="51"/>
      <c r="J420" s="51"/>
      <c r="K420" s="79" t="str">
        <f t="shared" si="6"/>
        <v/>
      </c>
      <c r="L420" s="51"/>
    </row>
    <row r="421" spans="2:12" x14ac:dyDescent="0.3">
      <c r="B421" s="51"/>
      <c r="C421" s="51"/>
      <c r="D421" s="51"/>
      <c r="E421" s="132"/>
      <c r="F421" s="140"/>
      <c r="G421" s="140"/>
      <c r="H421" s="51"/>
      <c r="I421" s="51"/>
      <c r="J421" s="51"/>
      <c r="K421" s="79" t="str">
        <f t="shared" si="6"/>
        <v/>
      </c>
      <c r="L421" s="51"/>
    </row>
    <row r="422" spans="2:12" x14ac:dyDescent="0.3">
      <c r="B422" s="51"/>
      <c r="C422" s="51"/>
      <c r="D422" s="51"/>
      <c r="E422" s="132"/>
      <c r="F422" s="140"/>
      <c r="G422" s="140"/>
      <c r="H422" s="51"/>
      <c r="I422" s="51"/>
      <c r="J422" s="51"/>
      <c r="K422" s="79" t="str">
        <f t="shared" si="6"/>
        <v/>
      </c>
      <c r="L422" s="51"/>
    </row>
    <row r="423" spans="2:12" x14ac:dyDescent="0.3">
      <c r="B423" s="51"/>
      <c r="C423" s="51"/>
      <c r="D423" s="51"/>
      <c r="E423" s="132"/>
      <c r="F423" s="140"/>
      <c r="G423" s="140"/>
      <c r="H423" s="51"/>
      <c r="I423" s="51"/>
      <c r="J423" s="51"/>
      <c r="K423" s="79" t="str">
        <f t="shared" si="6"/>
        <v/>
      </c>
      <c r="L423" s="51"/>
    </row>
    <row r="424" spans="2:12" x14ac:dyDescent="0.3">
      <c r="B424" s="51"/>
      <c r="C424" s="51"/>
      <c r="D424" s="51"/>
      <c r="E424" s="132"/>
      <c r="F424" s="140"/>
      <c r="G424" s="140"/>
      <c r="H424" s="51"/>
      <c r="I424" s="51"/>
      <c r="J424" s="51"/>
      <c r="K424" s="79" t="str">
        <f t="shared" si="6"/>
        <v/>
      </c>
      <c r="L424" s="51"/>
    </row>
    <row r="425" spans="2:12" x14ac:dyDescent="0.3">
      <c r="B425" s="51"/>
      <c r="C425" s="51"/>
      <c r="D425" s="51"/>
      <c r="E425" s="132"/>
      <c r="F425" s="140"/>
      <c r="G425" s="140"/>
      <c r="H425" s="51"/>
      <c r="I425" s="51"/>
      <c r="J425" s="51"/>
      <c r="K425" s="79" t="str">
        <f t="shared" si="6"/>
        <v/>
      </c>
      <c r="L425" s="51"/>
    </row>
    <row r="426" spans="2:12" x14ac:dyDescent="0.3">
      <c r="B426" s="51"/>
      <c r="C426" s="51"/>
      <c r="D426" s="51"/>
      <c r="E426" s="132"/>
      <c r="F426" s="140"/>
      <c r="G426" s="140"/>
      <c r="H426" s="51"/>
      <c r="I426" s="51"/>
      <c r="J426" s="51"/>
      <c r="K426" s="79" t="str">
        <f t="shared" si="6"/>
        <v/>
      </c>
      <c r="L426" s="51"/>
    </row>
    <row r="427" spans="2:12" x14ac:dyDescent="0.3">
      <c r="B427" s="51"/>
      <c r="C427" s="51"/>
      <c r="D427" s="51"/>
      <c r="E427" s="132"/>
      <c r="F427" s="140"/>
      <c r="G427" s="140"/>
      <c r="H427" s="51"/>
      <c r="I427" s="51"/>
      <c r="J427" s="51"/>
      <c r="K427" s="79" t="str">
        <f t="shared" si="6"/>
        <v/>
      </c>
      <c r="L427" s="51"/>
    </row>
    <row r="428" spans="2:12" x14ac:dyDescent="0.3">
      <c r="B428" s="51"/>
      <c r="C428" s="51"/>
      <c r="D428" s="51"/>
      <c r="E428" s="132"/>
      <c r="F428" s="140"/>
      <c r="G428" s="140"/>
      <c r="H428" s="51"/>
      <c r="I428" s="51"/>
      <c r="J428" s="51"/>
      <c r="K428" s="79" t="str">
        <f t="shared" si="6"/>
        <v/>
      </c>
      <c r="L428" s="51"/>
    </row>
    <row r="429" spans="2:12" x14ac:dyDescent="0.3">
      <c r="B429" s="51"/>
      <c r="C429" s="51"/>
      <c r="D429" s="51"/>
      <c r="E429" s="132"/>
      <c r="F429" s="140"/>
      <c r="G429" s="140"/>
      <c r="H429" s="51"/>
      <c r="I429" s="51"/>
      <c r="J429" s="51"/>
      <c r="K429" s="79" t="str">
        <f t="shared" si="6"/>
        <v/>
      </c>
      <c r="L429" s="51"/>
    </row>
    <row r="430" spans="2:12" x14ac:dyDescent="0.3">
      <c r="B430" s="51"/>
      <c r="C430" s="51"/>
      <c r="D430" s="51"/>
      <c r="E430" s="132"/>
      <c r="F430" s="140"/>
      <c r="G430" s="140"/>
      <c r="H430" s="51"/>
      <c r="I430" s="51"/>
      <c r="J430" s="51"/>
      <c r="K430" s="79" t="str">
        <f t="shared" si="6"/>
        <v/>
      </c>
      <c r="L430" s="51"/>
    </row>
    <row r="431" spans="2:12" x14ac:dyDescent="0.3">
      <c r="B431" s="51"/>
      <c r="C431" s="51"/>
      <c r="D431" s="51"/>
      <c r="E431" s="132"/>
      <c r="F431" s="140"/>
      <c r="G431" s="140"/>
      <c r="H431" s="51"/>
      <c r="I431" s="51"/>
      <c r="J431" s="51"/>
      <c r="K431" s="79" t="str">
        <f t="shared" si="6"/>
        <v/>
      </c>
      <c r="L431" s="51"/>
    </row>
    <row r="432" spans="2:12" x14ac:dyDescent="0.3">
      <c r="B432" s="51"/>
      <c r="C432" s="51"/>
      <c r="D432" s="51"/>
      <c r="E432" s="132"/>
      <c r="F432" s="140"/>
      <c r="G432" s="140"/>
      <c r="H432" s="51"/>
      <c r="I432" s="51"/>
      <c r="J432" s="51"/>
      <c r="K432" s="79" t="str">
        <f t="shared" si="6"/>
        <v/>
      </c>
      <c r="L432" s="51"/>
    </row>
    <row r="433" spans="2:12" x14ac:dyDescent="0.3">
      <c r="B433" s="51"/>
      <c r="C433" s="51"/>
      <c r="D433" s="51"/>
      <c r="E433" s="132"/>
      <c r="F433" s="140"/>
      <c r="G433" s="140"/>
      <c r="H433" s="51"/>
      <c r="I433" s="51"/>
      <c r="J433" s="51"/>
      <c r="K433" s="79" t="str">
        <f t="shared" si="6"/>
        <v/>
      </c>
      <c r="L433" s="51"/>
    </row>
    <row r="434" spans="2:12" x14ac:dyDescent="0.3">
      <c r="B434" s="51"/>
      <c r="C434" s="51"/>
      <c r="D434" s="51"/>
      <c r="E434" s="132"/>
      <c r="F434" s="140"/>
      <c r="G434" s="140"/>
      <c r="H434" s="51"/>
      <c r="I434" s="51"/>
      <c r="J434" s="51"/>
      <c r="K434" s="79" t="str">
        <f t="shared" si="6"/>
        <v/>
      </c>
      <c r="L434" s="51"/>
    </row>
    <row r="435" spans="2:12" x14ac:dyDescent="0.3">
      <c r="B435" s="51"/>
      <c r="C435" s="51"/>
      <c r="D435" s="51"/>
      <c r="E435" s="132"/>
      <c r="F435" s="140"/>
      <c r="G435" s="140"/>
      <c r="H435" s="51"/>
      <c r="I435" s="51"/>
      <c r="J435" s="51"/>
      <c r="K435" s="79" t="str">
        <f t="shared" si="6"/>
        <v/>
      </c>
      <c r="L435" s="51"/>
    </row>
    <row r="436" spans="2:12" x14ac:dyDescent="0.3">
      <c r="B436" s="51"/>
      <c r="C436" s="51"/>
      <c r="D436" s="51"/>
      <c r="E436" s="132"/>
      <c r="F436" s="140"/>
      <c r="G436" s="140"/>
      <c r="H436" s="51"/>
      <c r="I436" s="51"/>
      <c r="J436" s="51"/>
      <c r="K436" s="79" t="str">
        <f t="shared" si="6"/>
        <v/>
      </c>
      <c r="L436" s="51"/>
    </row>
    <row r="437" spans="2:12" x14ac:dyDescent="0.3">
      <c r="B437" s="51"/>
      <c r="C437" s="51"/>
      <c r="D437" s="51"/>
      <c r="E437" s="132"/>
      <c r="F437" s="140"/>
      <c r="G437" s="140"/>
      <c r="H437" s="51"/>
      <c r="I437" s="51"/>
      <c r="J437" s="51"/>
      <c r="K437" s="79" t="str">
        <f t="shared" si="6"/>
        <v/>
      </c>
      <c r="L437" s="51"/>
    </row>
    <row r="438" spans="2:12" x14ac:dyDescent="0.3">
      <c r="B438" s="51"/>
      <c r="C438" s="51"/>
      <c r="D438" s="51"/>
      <c r="E438" s="132"/>
      <c r="F438" s="140"/>
      <c r="G438" s="140"/>
      <c r="H438" s="51"/>
      <c r="I438" s="51"/>
      <c r="J438" s="51"/>
      <c r="K438" s="79" t="str">
        <f t="shared" si="6"/>
        <v/>
      </c>
      <c r="L438" s="51"/>
    </row>
    <row r="439" spans="2:12" x14ac:dyDescent="0.3">
      <c r="B439" s="51"/>
      <c r="C439" s="51"/>
      <c r="D439" s="51"/>
      <c r="E439" s="132"/>
      <c r="F439" s="140"/>
      <c r="G439" s="140"/>
      <c r="H439" s="51"/>
      <c r="I439" s="51"/>
      <c r="J439" s="51"/>
      <c r="K439" s="79" t="str">
        <f t="shared" si="6"/>
        <v/>
      </c>
      <c r="L439" s="51"/>
    </row>
    <row r="440" spans="2:12" x14ac:dyDescent="0.3">
      <c r="B440" s="51"/>
      <c r="C440" s="51"/>
      <c r="D440" s="51"/>
      <c r="E440" s="132"/>
      <c r="F440" s="140"/>
      <c r="G440" s="140"/>
      <c r="H440" s="51"/>
      <c r="I440" s="51"/>
      <c r="J440" s="51"/>
      <c r="K440" s="79" t="str">
        <f t="shared" si="6"/>
        <v/>
      </c>
      <c r="L440" s="51"/>
    </row>
    <row r="441" spans="2:12" x14ac:dyDescent="0.3">
      <c r="B441" s="51"/>
      <c r="C441" s="51"/>
      <c r="D441" s="51"/>
      <c r="E441" s="132"/>
      <c r="F441" s="140"/>
      <c r="G441" s="140"/>
      <c r="H441" s="51"/>
      <c r="I441" s="51"/>
      <c r="J441" s="51"/>
      <c r="K441" s="79" t="str">
        <f t="shared" si="6"/>
        <v/>
      </c>
      <c r="L441" s="51"/>
    </row>
    <row r="442" spans="2:12" x14ac:dyDescent="0.3">
      <c r="B442" s="51"/>
      <c r="C442" s="51"/>
      <c r="D442" s="51"/>
      <c r="E442" s="132"/>
      <c r="F442" s="140"/>
      <c r="G442" s="140"/>
      <c r="H442" s="51"/>
      <c r="I442" s="51"/>
      <c r="J442" s="51"/>
      <c r="K442" s="79" t="str">
        <f t="shared" si="6"/>
        <v/>
      </c>
      <c r="L442" s="51"/>
    </row>
    <row r="443" spans="2:12" x14ac:dyDescent="0.3">
      <c r="B443" s="51"/>
      <c r="C443" s="51"/>
      <c r="D443" s="51"/>
      <c r="E443" s="132"/>
      <c r="F443" s="140"/>
      <c r="G443" s="140"/>
      <c r="H443" s="51"/>
      <c r="I443" s="51"/>
      <c r="J443" s="51"/>
      <c r="K443" s="79" t="str">
        <f t="shared" si="6"/>
        <v/>
      </c>
      <c r="L443" s="51"/>
    </row>
    <row r="444" spans="2:12" x14ac:dyDescent="0.3">
      <c r="B444" s="51"/>
      <c r="C444" s="51"/>
      <c r="D444" s="51"/>
      <c r="E444" s="132"/>
      <c r="F444" s="140"/>
      <c r="G444" s="140"/>
      <c r="H444" s="51"/>
      <c r="I444" s="51"/>
      <c r="J444" s="51"/>
      <c r="K444" s="79" t="str">
        <f t="shared" si="6"/>
        <v/>
      </c>
      <c r="L444" s="51"/>
    </row>
    <row r="445" spans="2:12" x14ac:dyDescent="0.3">
      <c r="B445" s="51"/>
      <c r="C445" s="51"/>
      <c r="D445" s="51"/>
      <c r="E445" s="132"/>
      <c r="F445" s="140"/>
      <c r="G445" s="140"/>
      <c r="H445" s="51"/>
      <c r="I445" s="51"/>
      <c r="J445" s="51"/>
      <c r="K445" s="79" t="str">
        <f t="shared" si="6"/>
        <v/>
      </c>
      <c r="L445" s="51"/>
    </row>
    <row r="446" spans="2:12" x14ac:dyDescent="0.3">
      <c r="B446" s="51"/>
      <c r="C446" s="51"/>
      <c r="D446" s="51"/>
      <c r="E446" s="132"/>
      <c r="F446" s="140"/>
      <c r="G446" s="140"/>
      <c r="H446" s="51"/>
      <c r="I446" s="51"/>
      <c r="J446" s="51"/>
      <c r="K446" s="79" t="str">
        <f t="shared" si="6"/>
        <v/>
      </c>
      <c r="L446" s="51"/>
    </row>
    <row r="447" spans="2:12" x14ac:dyDescent="0.3">
      <c r="B447" s="51"/>
      <c r="C447" s="51"/>
      <c r="D447" s="51"/>
      <c r="E447" s="132"/>
      <c r="F447" s="140"/>
      <c r="G447" s="140"/>
      <c r="H447" s="51"/>
      <c r="I447" s="51"/>
      <c r="J447" s="51"/>
      <c r="K447" s="79" t="str">
        <f t="shared" si="6"/>
        <v/>
      </c>
      <c r="L447" s="51"/>
    </row>
    <row r="448" spans="2:12" x14ac:dyDescent="0.3">
      <c r="B448" s="51"/>
      <c r="C448" s="51"/>
      <c r="D448" s="51"/>
      <c r="E448" s="132"/>
      <c r="F448" s="140"/>
      <c r="G448" s="140"/>
      <c r="H448" s="51"/>
      <c r="I448" s="51"/>
      <c r="J448" s="51"/>
      <c r="K448" s="79" t="str">
        <f t="shared" si="6"/>
        <v/>
      </c>
      <c r="L448" s="51"/>
    </row>
    <row r="449" spans="2:12" x14ac:dyDescent="0.3">
      <c r="B449" s="51"/>
      <c r="C449" s="51"/>
      <c r="D449" s="51"/>
      <c r="E449" s="132"/>
      <c r="F449" s="140"/>
      <c r="G449" s="140"/>
      <c r="H449" s="51"/>
      <c r="I449" s="51"/>
      <c r="J449" s="51"/>
      <c r="K449" s="79" t="str">
        <f t="shared" si="6"/>
        <v/>
      </c>
      <c r="L449" s="51"/>
    </row>
    <row r="450" spans="2:12" x14ac:dyDescent="0.3">
      <c r="B450" s="51"/>
      <c r="C450" s="51"/>
      <c r="D450" s="51"/>
      <c r="E450" s="132"/>
      <c r="F450" s="140"/>
      <c r="G450" s="140"/>
      <c r="H450" s="51"/>
      <c r="I450" s="51"/>
      <c r="J450" s="51"/>
      <c r="K450" s="79" t="str">
        <f t="shared" si="6"/>
        <v/>
      </c>
      <c r="L450" s="51"/>
    </row>
    <row r="451" spans="2:12" x14ac:dyDescent="0.3">
      <c r="B451" s="51"/>
      <c r="C451" s="51"/>
      <c r="D451" s="51"/>
      <c r="E451" s="132"/>
      <c r="F451" s="140"/>
      <c r="G451" s="140"/>
      <c r="H451" s="51"/>
      <c r="I451" s="51"/>
      <c r="J451" s="51"/>
      <c r="K451" s="79" t="str">
        <f t="shared" si="6"/>
        <v/>
      </c>
      <c r="L451" s="51"/>
    </row>
    <row r="452" spans="2:12" x14ac:dyDescent="0.3">
      <c r="B452" s="51"/>
      <c r="C452" s="51"/>
      <c r="D452" s="51"/>
      <c r="E452" s="132"/>
      <c r="F452" s="140"/>
      <c r="G452" s="140"/>
      <c r="H452" s="51"/>
      <c r="I452" s="51"/>
      <c r="J452" s="51"/>
      <c r="K452" s="79" t="str">
        <f t="shared" si="6"/>
        <v/>
      </c>
      <c r="L452" s="51"/>
    </row>
    <row r="453" spans="2:12" x14ac:dyDescent="0.3">
      <c r="B453" s="51"/>
      <c r="C453" s="51"/>
      <c r="D453" s="51"/>
      <c r="E453" s="132"/>
      <c r="F453" s="140"/>
      <c r="G453" s="140"/>
      <c r="H453" s="51"/>
      <c r="I453" s="51"/>
      <c r="J453" s="51"/>
      <c r="K453" s="79" t="str">
        <f t="shared" si="6"/>
        <v/>
      </c>
      <c r="L453" s="51"/>
    </row>
    <row r="454" spans="2:12" x14ac:dyDescent="0.3">
      <c r="B454" s="51"/>
      <c r="C454" s="51"/>
      <c r="D454" s="51"/>
      <c r="E454" s="132"/>
      <c r="F454" s="140"/>
      <c r="G454" s="140"/>
      <c r="H454" s="51"/>
      <c r="I454" s="51"/>
      <c r="J454" s="51"/>
      <c r="K454" s="79" t="str">
        <f t="shared" si="6"/>
        <v/>
      </c>
      <c r="L454" s="51"/>
    </row>
    <row r="455" spans="2:12" x14ac:dyDescent="0.3">
      <c r="B455" s="51"/>
      <c r="C455" s="51"/>
      <c r="D455" s="51"/>
      <c r="E455" s="132"/>
      <c r="F455" s="140"/>
      <c r="G455" s="140"/>
      <c r="H455" s="51"/>
      <c r="I455" s="51"/>
      <c r="J455" s="51"/>
      <c r="K455" s="79" t="str">
        <f t="shared" si="6"/>
        <v/>
      </c>
      <c r="L455" s="51"/>
    </row>
    <row r="456" spans="2:12" x14ac:dyDescent="0.3">
      <c r="B456" s="51"/>
      <c r="C456" s="51"/>
      <c r="D456" s="51"/>
      <c r="E456" s="132"/>
      <c r="F456" s="140"/>
      <c r="G456" s="140"/>
      <c r="H456" s="51"/>
      <c r="I456" s="51"/>
      <c r="J456" s="51"/>
      <c r="K456" s="79" t="str">
        <f t="shared" si="6"/>
        <v/>
      </c>
      <c r="L456" s="51"/>
    </row>
    <row r="457" spans="2:12" x14ac:dyDescent="0.3">
      <c r="B457" s="51"/>
      <c r="C457" s="51"/>
      <c r="D457" s="51"/>
      <c r="E457" s="132"/>
      <c r="F457" s="140"/>
      <c r="G457" s="140"/>
      <c r="H457" s="51"/>
      <c r="I457" s="51"/>
      <c r="J457" s="51"/>
      <c r="K457" s="79" t="str">
        <f t="shared" si="6"/>
        <v/>
      </c>
      <c r="L457" s="51"/>
    </row>
    <row r="458" spans="2:12" x14ac:dyDescent="0.3">
      <c r="B458" s="51"/>
      <c r="C458" s="51"/>
      <c r="D458" s="51"/>
      <c r="E458" s="132"/>
      <c r="F458" s="140"/>
      <c r="G458" s="140"/>
      <c r="H458" s="51"/>
      <c r="I458" s="51"/>
      <c r="J458" s="51"/>
      <c r="K458" s="79" t="str">
        <f t="shared" si="6"/>
        <v/>
      </c>
      <c r="L458" s="51"/>
    </row>
    <row r="459" spans="2:12" x14ac:dyDescent="0.3">
      <c r="B459" s="51"/>
      <c r="C459" s="51"/>
      <c r="D459" s="51"/>
      <c r="E459" s="132"/>
      <c r="F459" s="140"/>
      <c r="G459" s="140"/>
      <c r="H459" s="51"/>
      <c r="I459" s="51"/>
      <c r="J459" s="51"/>
      <c r="K459" s="79" t="str">
        <f t="shared" si="6"/>
        <v/>
      </c>
      <c r="L459" s="51"/>
    </row>
    <row r="460" spans="2:12" x14ac:dyDescent="0.3">
      <c r="B460" s="51"/>
      <c r="C460" s="51"/>
      <c r="D460" s="51"/>
      <c r="E460" s="132"/>
      <c r="F460" s="140"/>
      <c r="G460" s="140"/>
      <c r="H460" s="51"/>
      <c r="I460" s="51"/>
      <c r="J460" s="51"/>
      <c r="K460" s="79" t="str">
        <f t="shared" si="6"/>
        <v/>
      </c>
      <c r="L460" s="51"/>
    </row>
    <row r="461" spans="2:12" x14ac:dyDescent="0.3">
      <c r="B461" s="51"/>
      <c r="C461" s="51"/>
      <c r="D461" s="51"/>
      <c r="E461" s="132"/>
      <c r="F461" s="140"/>
      <c r="G461" s="140"/>
      <c r="H461" s="51"/>
      <c r="I461" s="51"/>
      <c r="J461" s="51"/>
      <c r="K461" s="79" t="str">
        <f t="shared" si="6"/>
        <v/>
      </c>
      <c r="L461" s="51"/>
    </row>
    <row r="462" spans="2:12" x14ac:dyDescent="0.3">
      <c r="B462" s="51"/>
      <c r="C462" s="51"/>
      <c r="D462" s="51"/>
      <c r="E462" s="132"/>
      <c r="F462" s="140"/>
      <c r="G462" s="140"/>
      <c r="H462" s="51"/>
      <c r="I462" s="51"/>
      <c r="J462" s="51"/>
      <c r="K462" s="79" t="str">
        <f t="shared" si="6"/>
        <v/>
      </c>
      <c r="L462" s="51"/>
    </row>
    <row r="463" spans="2:12" x14ac:dyDescent="0.3">
      <c r="B463" s="51"/>
      <c r="C463" s="51"/>
      <c r="D463" s="51"/>
      <c r="E463" s="132"/>
      <c r="F463" s="140"/>
      <c r="G463" s="140"/>
      <c r="H463" s="51"/>
      <c r="I463" s="51"/>
      <c r="J463" s="51"/>
      <c r="K463" s="79" t="str">
        <f t="shared" si="6"/>
        <v/>
      </c>
      <c r="L463" s="51"/>
    </row>
    <row r="464" spans="2:12" x14ac:dyDescent="0.3">
      <c r="B464" s="51"/>
      <c r="C464" s="51"/>
      <c r="D464" s="51"/>
      <c r="E464" s="132"/>
      <c r="F464" s="140"/>
      <c r="G464" s="140"/>
      <c r="H464" s="51"/>
      <c r="I464" s="51"/>
      <c r="J464" s="51"/>
      <c r="K464" s="79" t="str">
        <f t="shared" si="6"/>
        <v/>
      </c>
      <c r="L464" s="51"/>
    </row>
    <row r="465" spans="2:12" x14ac:dyDescent="0.3">
      <c r="B465" s="51"/>
      <c r="C465" s="51"/>
      <c r="D465" s="51"/>
      <c r="E465" s="132"/>
      <c r="F465" s="140"/>
      <c r="G465" s="140"/>
      <c r="H465" s="51"/>
      <c r="I465" s="51"/>
      <c r="J465" s="51"/>
      <c r="K465" s="79" t="str">
        <f t="shared" si="6"/>
        <v/>
      </c>
      <c r="L465" s="51"/>
    </row>
    <row r="466" spans="2:12" x14ac:dyDescent="0.3">
      <c r="B466" s="51"/>
      <c r="C466" s="51"/>
      <c r="D466" s="51"/>
      <c r="E466" s="132"/>
      <c r="F466" s="140"/>
      <c r="G466" s="140"/>
      <c r="H466" s="51"/>
      <c r="I466" s="51"/>
      <c r="J466" s="51"/>
      <c r="K466" s="79" t="str">
        <f t="shared" si="6"/>
        <v/>
      </c>
      <c r="L466" s="51"/>
    </row>
    <row r="467" spans="2:12" x14ac:dyDescent="0.3">
      <c r="B467" s="51"/>
      <c r="C467" s="51"/>
      <c r="D467" s="51"/>
      <c r="E467" s="132"/>
      <c r="F467" s="140"/>
      <c r="G467" s="140"/>
      <c r="H467" s="51"/>
      <c r="I467" s="51"/>
      <c r="J467" s="51"/>
      <c r="K467" s="79" t="str">
        <f t="shared" si="6"/>
        <v/>
      </c>
      <c r="L467" s="51"/>
    </row>
    <row r="468" spans="2:12" x14ac:dyDescent="0.3">
      <c r="B468" s="51"/>
      <c r="C468" s="51"/>
      <c r="D468" s="51"/>
      <c r="E468" s="132"/>
      <c r="F468" s="140"/>
      <c r="G468" s="140"/>
      <c r="H468" s="51"/>
      <c r="I468" s="51"/>
      <c r="J468" s="51"/>
      <c r="K468" s="79" t="str">
        <f t="shared" si="6"/>
        <v/>
      </c>
      <c r="L468" s="51"/>
    </row>
    <row r="469" spans="2:12" x14ac:dyDescent="0.3">
      <c r="B469" s="51"/>
      <c r="C469" s="51"/>
      <c r="D469" s="51"/>
      <c r="E469" s="132"/>
      <c r="F469" s="140"/>
      <c r="G469" s="140"/>
      <c r="H469" s="51"/>
      <c r="I469" s="51"/>
      <c r="J469" s="51"/>
      <c r="K469" s="79" t="str">
        <f t="shared" si="6"/>
        <v/>
      </c>
      <c r="L469" s="51"/>
    </row>
    <row r="470" spans="2:12" x14ac:dyDescent="0.3">
      <c r="B470" s="51"/>
      <c r="C470" s="51"/>
      <c r="D470" s="51"/>
      <c r="E470" s="132"/>
      <c r="F470" s="140"/>
      <c r="G470" s="140"/>
      <c r="H470" s="51"/>
      <c r="I470" s="51"/>
      <c r="J470" s="51"/>
      <c r="K470" s="79" t="str">
        <f t="shared" si="6"/>
        <v/>
      </c>
      <c r="L470" s="51"/>
    </row>
    <row r="471" spans="2:12" x14ac:dyDescent="0.3">
      <c r="B471" s="51"/>
      <c r="C471" s="51"/>
      <c r="D471" s="51"/>
      <c r="E471" s="132"/>
      <c r="F471" s="140"/>
      <c r="G471" s="140"/>
      <c r="H471" s="51"/>
      <c r="I471" s="51"/>
      <c r="J471" s="51"/>
      <c r="K471" s="79" t="str">
        <f t="shared" si="6"/>
        <v/>
      </c>
      <c r="L471" s="51"/>
    </row>
    <row r="472" spans="2:12" x14ac:dyDescent="0.3">
      <c r="B472" s="51"/>
      <c r="C472" s="51"/>
      <c r="D472" s="51"/>
      <c r="E472" s="132"/>
      <c r="F472" s="140"/>
      <c r="G472" s="140"/>
      <c r="H472" s="51"/>
      <c r="I472" s="51"/>
      <c r="J472" s="51"/>
      <c r="K472" s="79" t="str">
        <f t="shared" ref="K472:K523" si="7">IF(I472="","",IF(I472="vtip","ft/s",IF(I472="NHVcz","Btu/scf","Btu/sq ft")))</f>
        <v/>
      </c>
      <c r="L472" s="51"/>
    </row>
    <row r="473" spans="2:12" x14ac:dyDescent="0.3">
      <c r="B473" s="51"/>
      <c r="C473" s="51"/>
      <c r="D473" s="51"/>
      <c r="E473" s="132"/>
      <c r="F473" s="140"/>
      <c r="G473" s="140"/>
      <c r="H473" s="51"/>
      <c r="I473" s="51"/>
      <c r="J473" s="51"/>
      <c r="K473" s="79" t="str">
        <f t="shared" si="7"/>
        <v/>
      </c>
      <c r="L473" s="51"/>
    </row>
    <row r="474" spans="2:12" x14ac:dyDescent="0.3">
      <c r="B474" s="51"/>
      <c r="C474" s="51"/>
      <c r="D474" s="51"/>
      <c r="E474" s="132"/>
      <c r="F474" s="140"/>
      <c r="G474" s="140"/>
      <c r="H474" s="51"/>
      <c r="I474" s="51"/>
      <c r="J474" s="51"/>
      <c r="K474" s="79" t="str">
        <f t="shared" si="7"/>
        <v/>
      </c>
      <c r="L474" s="51"/>
    </row>
    <row r="475" spans="2:12" x14ac:dyDescent="0.3">
      <c r="B475" s="51"/>
      <c r="C475" s="51"/>
      <c r="D475" s="51"/>
      <c r="E475" s="132"/>
      <c r="F475" s="140"/>
      <c r="G475" s="140"/>
      <c r="H475" s="51"/>
      <c r="I475" s="51"/>
      <c r="J475" s="51"/>
      <c r="K475" s="79" t="str">
        <f t="shared" si="7"/>
        <v/>
      </c>
      <c r="L475" s="51"/>
    </row>
    <row r="476" spans="2:12" x14ac:dyDescent="0.3">
      <c r="B476" s="51"/>
      <c r="C476" s="51"/>
      <c r="D476" s="51"/>
      <c r="E476" s="132"/>
      <c r="F476" s="140"/>
      <c r="G476" s="140"/>
      <c r="H476" s="51"/>
      <c r="I476" s="51"/>
      <c r="J476" s="51"/>
      <c r="K476" s="79" t="str">
        <f t="shared" si="7"/>
        <v/>
      </c>
      <c r="L476" s="51"/>
    </row>
    <row r="477" spans="2:12" x14ac:dyDescent="0.3">
      <c r="B477" s="51"/>
      <c r="C477" s="51"/>
      <c r="D477" s="51"/>
      <c r="E477" s="132"/>
      <c r="F477" s="140"/>
      <c r="G477" s="140"/>
      <c r="H477" s="51"/>
      <c r="I477" s="51"/>
      <c r="J477" s="51"/>
      <c r="K477" s="79" t="str">
        <f t="shared" si="7"/>
        <v/>
      </c>
      <c r="L477" s="51"/>
    </row>
    <row r="478" spans="2:12" x14ac:dyDescent="0.3">
      <c r="B478" s="51"/>
      <c r="C478" s="51"/>
      <c r="D478" s="51"/>
      <c r="E478" s="132"/>
      <c r="F478" s="140"/>
      <c r="G478" s="140"/>
      <c r="H478" s="51"/>
      <c r="I478" s="51"/>
      <c r="J478" s="51"/>
      <c r="K478" s="79" t="str">
        <f t="shared" si="7"/>
        <v/>
      </c>
      <c r="L478" s="51"/>
    </row>
    <row r="479" spans="2:12" x14ac:dyDescent="0.3">
      <c r="B479" s="51"/>
      <c r="C479" s="51"/>
      <c r="D479" s="51"/>
      <c r="E479" s="132"/>
      <c r="F479" s="140"/>
      <c r="G479" s="140"/>
      <c r="H479" s="51"/>
      <c r="I479" s="51"/>
      <c r="J479" s="51"/>
      <c r="K479" s="79" t="str">
        <f t="shared" si="7"/>
        <v/>
      </c>
      <c r="L479" s="51"/>
    </row>
    <row r="480" spans="2:12" x14ac:dyDescent="0.3">
      <c r="B480" s="51"/>
      <c r="C480" s="51"/>
      <c r="D480" s="51"/>
      <c r="E480" s="132"/>
      <c r="F480" s="140"/>
      <c r="G480" s="140"/>
      <c r="H480" s="51"/>
      <c r="I480" s="51"/>
      <c r="J480" s="51"/>
      <c r="K480" s="79" t="str">
        <f t="shared" si="7"/>
        <v/>
      </c>
      <c r="L480" s="51"/>
    </row>
    <row r="481" spans="2:12" x14ac:dyDescent="0.3">
      <c r="B481" s="51"/>
      <c r="C481" s="51"/>
      <c r="D481" s="51"/>
      <c r="E481" s="132"/>
      <c r="F481" s="140"/>
      <c r="G481" s="140"/>
      <c r="H481" s="51"/>
      <c r="I481" s="51"/>
      <c r="J481" s="51"/>
      <c r="K481" s="79" t="str">
        <f t="shared" si="7"/>
        <v/>
      </c>
      <c r="L481" s="51"/>
    </row>
    <row r="482" spans="2:12" x14ac:dyDescent="0.3">
      <c r="B482" s="51"/>
      <c r="C482" s="51"/>
      <c r="D482" s="51"/>
      <c r="E482" s="132"/>
      <c r="F482" s="140"/>
      <c r="G482" s="140"/>
      <c r="H482" s="51"/>
      <c r="I482" s="51"/>
      <c r="J482" s="51"/>
      <c r="K482" s="79" t="str">
        <f t="shared" si="7"/>
        <v/>
      </c>
      <c r="L482" s="51"/>
    </row>
    <row r="483" spans="2:12" x14ac:dyDescent="0.3">
      <c r="B483" s="51"/>
      <c r="C483" s="51"/>
      <c r="D483" s="51"/>
      <c r="E483" s="132"/>
      <c r="F483" s="140"/>
      <c r="G483" s="140"/>
      <c r="H483" s="51"/>
      <c r="I483" s="51"/>
      <c r="J483" s="51"/>
      <c r="K483" s="79" t="str">
        <f t="shared" si="7"/>
        <v/>
      </c>
      <c r="L483" s="51"/>
    </row>
    <row r="484" spans="2:12" x14ac:dyDescent="0.3">
      <c r="B484" s="51"/>
      <c r="C484" s="51"/>
      <c r="D484" s="51"/>
      <c r="E484" s="132"/>
      <c r="F484" s="140"/>
      <c r="G484" s="140"/>
      <c r="H484" s="51"/>
      <c r="I484" s="51"/>
      <c r="J484" s="51"/>
      <c r="K484" s="79" t="str">
        <f t="shared" si="7"/>
        <v/>
      </c>
      <c r="L484" s="51"/>
    </row>
    <row r="485" spans="2:12" x14ac:dyDescent="0.3">
      <c r="B485" s="51"/>
      <c r="C485" s="51"/>
      <c r="D485" s="51"/>
      <c r="E485" s="132"/>
      <c r="F485" s="140"/>
      <c r="G485" s="140"/>
      <c r="H485" s="51"/>
      <c r="I485" s="51"/>
      <c r="J485" s="51"/>
      <c r="K485" s="79" t="str">
        <f t="shared" si="7"/>
        <v/>
      </c>
      <c r="L485" s="51"/>
    </row>
    <row r="486" spans="2:12" x14ac:dyDescent="0.3">
      <c r="B486" s="51"/>
      <c r="C486" s="51"/>
      <c r="D486" s="51"/>
      <c r="E486" s="132"/>
      <c r="F486" s="140"/>
      <c r="G486" s="140"/>
      <c r="H486" s="51"/>
      <c r="I486" s="51"/>
      <c r="J486" s="51"/>
      <c r="K486" s="79" t="str">
        <f t="shared" si="7"/>
        <v/>
      </c>
      <c r="L486" s="51"/>
    </row>
    <row r="487" spans="2:12" x14ac:dyDescent="0.3">
      <c r="B487" s="51"/>
      <c r="C487" s="51"/>
      <c r="D487" s="51"/>
      <c r="E487" s="132"/>
      <c r="F487" s="140"/>
      <c r="G487" s="140"/>
      <c r="H487" s="51"/>
      <c r="I487" s="51"/>
      <c r="J487" s="51"/>
      <c r="K487" s="79" t="str">
        <f t="shared" si="7"/>
        <v/>
      </c>
      <c r="L487" s="51"/>
    </row>
    <row r="488" spans="2:12" x14ac:dyDescent="0.3">
      <c r="B488" s="51"/>
      <c r="C488" s="51"/>
      <c r="D488" s="51"/>
      <c r="E488" s="132"/>
      <c r="F488" s="140"/>
      <c r="G488" s="140"/>
      <c r="H488" s="51"/>
      <c r="I488" s="51"/>
      <c r="J488" s="51"/>
      <c r="K488" s="79" t="str">
        <f t="shared" si="7"/>
        <v/>
      </c>
      <c r="L488" s="51"/>
    </row>
    <row r="489" spans="2:12" x14ac:dyDescent="0.3">
      <c r="B489" s="51"/>
      <c r="C489" s="51"/>
      <c r="D489" s="51"/>
      <c r="E489" s="132"/>
      <c r="F489" s="140"/>
      <c r="G489" s="140"/>
      <c r="H489" s="51"/>
      <c r="I489" s="51"/>
      <c r="J489" s="51"/>
      <c r="K489" s="79" t="str">
        <f t="shared" si="7"/>
        <v/>
      </c>
      <c r="L489" s="51"/>
    </row>
    <row r="490" spans="2:12" x14ac:dyDescent="0.3">
      <c r="B490" s="51"/>
      <c r="C490" s="51"/>
      <c r="D490" s="51"/>
      <c r="E490" s="132"/>
      <c r="F490" s="140"/>
      <c r="G490" s="140"/>
      <c r="H490" s="51"/>
      <c r="I490" s="51"/>
      <c r="J490" s="51"/>
      <c r="K490" s="79" t="str">
        <f t="shared" si="7"/>
        <v/>
      </c>
      <c r="L490" s="51"/>
    </row>
    <row r="491" spans="2:12" x14ac:dyDescent="0.3">
      <c r="B491" s="51"/>
      <c r="C491" s="51"/>
      <c r="D491" s="51"/>
      <c r="E491" s="132"/>
      <c r="F491" s="140"/>
      <c r="G491" s="140"/>
      <c r="H491" s="51"/>
      <c r="I491" s="51"/>
      <c r="J491" s="51"/>
      <c r="K491" s="79" t="str">
        <f t="shared" si="7"/>
        <v/>
      </c>
      <c r="L491" s="51"/>
    </row>
    <row r="492" spans="2:12" x14ac:dyDescent="0.3">
      <c r="B492" s="51"/>
      <c r="C492" s="51"/>
      <c r="D492" s="51"/>
      <c r="E492" s="132"/>
      <c r="F492" s="140"/>
      <c r="G492" s="140"/>
      <c r="H492" s="51"/>
      <c r="I492" s="51"/>
      <c r="J492" s="51"/>
      <c r="K492" s="79" t="str">
        <f t="shared" si="7"/>
        <v/>
      </c>
      <c r="L492" s="51"/>
    </row>
    <row r="493" spans="2:12" x14ac:dyDescent="0.3">
      <c r="B493" s="51"/>
      <c r="C493" s="51"/>
      <c r="D493" s="51"/>
      <c r="E493" s="132"/>
      <c r="F493" s="140"/>
      <c r="G493" s="140"/>
      <c r="H493" s="51"/>
      <c r="I493" s="51"/>
      <c r="J493" s="51"/>
      <c r="K493" s="79" t="str">
        <f t="shared" si="7"/>
        <v/>
      </c>
      <c r="L493" s="51"/>
    </row>
    <row r="494" spans="2:12" x14ac:dyDescent="0.3">
      <c r="B494" s="51"/>
      <c r="C494" s="51"/>
      <c r="D494" s="51"/>
      <c r="E494" s="132"/>
      <c r="F494" s="140"/>
      <c r="G494" s="140"/>
      <c r="H494" s="51"/>
      <c r="I494" s="51"/>
      <c r="J494" s="51"/>
      <c r="K494" s="79" t="str">
        <f t="shared" si="7"/>
        <v/>
      </c>
      <c r="L494" s="51"/>
    </row>
    <row r="495" spans="2:12" x14ac:dyDescent="0.3">
      <c r="B495" s="51"/>
      <c r="C495" s="51"/>
      <c r="D495" s="51"/>
      <c r="E495" s="132"/>
      <c r="F495" s="140"/>
      <c r="G495" s="140"/>
      <c r="H495" s="51"/>
      <c r="I495" s="51"/>
      <c r="J495" s="51"/>
      <c r="K495" s="79" t="str">
        <f t="shared" si="7"/>
        <v/>
      </c>
      <c r="L495" s="51"/>
    </row>
    <row r="496" spans="2:12" x14ac:dyDescent="0.3">
      <c r="B496" s="51"/>
      <c r="C496" s="51"/>
      <c r="D496" s="51"/>
      <c r="E496" s="132"/>
      <c r="F496" s="140"/>
      <c r="G496" s="140"/>
      <c r="H496" s="51"/>
      <c r="I496" s="51"/>
      <c r="J496" s="51"/>
      <c r="K496" s="79" t="str">
        <f t="shared" si="7"/>
        <v/>
      </c>
      <c r="L496" s="51"/>
    </row>
    <row r="497" spans="2:12" x14ac:dyDescent="0.3">
      <c r="B497" s="51"/>
      <c r="C497" s="51"/>
      <c r="D497" s="51"/>
      <c r="E497" s="132"/>
      <c r="F497" s="140"/>
      <c r="G497" s="140"/>
      <c r="H497" s="51"/>
      <c r="I497" s="51"/>
      <c r="J497" s="51"/>
      <c r="K497" s="79" t="str">
        <f t="shared" si="7"/>
        <v/>
      </c>
      <c r="L497" s="51"/>
    </row>
    <row r="498" spans="2:12" x14ac:dyDescent="0.3">
      <c r="B498" s="51"/>
      <c r="C498" s="51"/>
      <c r="D498" s="51"/>
      <c r="E498" s="132"/>
      <c r="F498" s="140"/>
      <c r="G498" s="140"/>
      <c r="H498" s="51"/>
      <c r="I498" s="51"/>
      <c r="J498" s="51"/>
      <c r="K498" s="79" t="str">
        <f t="shared" si="7"/>
        <v/>
      </c>
      <c r="L498" s="51"/>
    </row>
    <row r="499" spans="2:12" x14ac:dyDescent="0.3">
      <c r="B499" s="51"/>
      <c r="C499" s="51"/>
      <c r="D499" s="51"/>
      <c r="E499" s="132"/>
      <c r="F499" s="140"/>
      <c r="G499" s="140"/>
      <c r="H499" s="51"/>
      <c r="I499" s="51"/>
      <c r="J499" s="51"/>
      <c r="K499" s="79" t="str">
        <f t="shared" si="7"/>
        <v/>
      </c>
      <c r="L499" s="51"/>
    </row>
    <row r="500" spans="2:12" x14ac:dyDescent="0.3">
      <c r="B500" s="51"/>
      <c r="C500" s="51"/>
      <c r="D500" s="51"/>
      <c r="E500" s="132"/>
      <c r="F500" s="140"/>
      <c r="G500" s="140"/>
      <c r="H500" s="51"/>
      <c r="I500" s="51"/>
      <c r="J500" s="51"/>
      <c r="K500" s="79" t="str">
        <f t="shared" si="7"/>
        <v/>
      </c>
      <c r="L500" s="51"/>
    </row>
    <row r="501" spans="2:12" x14ac:dyDescent="0.3">
      <c r="B501" s="51"/>
      <c r="C501" s="51"/>
      <c r="D501" s="51"/>
      <c r="E501" s="132"/>
      <c r="F501" s="140"/>
      <c r="G501" s="140"/>
      <c r="H501" s="51"/>
      <c r="I501" s="51"/>
      <c r="J501" s="51"/>
      <c r="K501" s="79" t="str">
        <f t="shared" si="7"/>
        <v/>
      </c>
      <c r="L501" s="51"/>
    </row>
    <row r="502" spans="2:12" x14ac:dyDescent="0.3">
      <c r="B502" s="51"/>
      <c r="C502" s="51"/>
      <c r="D502" s="51"/>
      <c r="E502" s="132"/>
      <c r="F502" s="140"/>
      <c r="G502" s="140"/>
      <c r="H502" s="51"/>
      <c r="I502" s="51"/>
      <c r="J502" s="51"/>
      <c r="K502" s="79" t="str">
        <f t="shared" si="7"/>
        <v/>
      </c>
      <c r="L502" s="51"/>
    </row>
    <row r="503" spans="2:12" x14ac:dyDescent="0.3">
      <c r="B503" s="51"/>
      <c r="C503" s="51"/>
      <c r="D503" s="51"/>
      <c r="E503" s="132"/>
      <c r="F503" s="140"/>
      <c r="G503" s="140"/>
      <c r="H503" s="51"/>
      <c r="I503" s="51"/>
      <c r="J503" s="51"/>
      <c r="K503" s="79" t="str">
        <f t="shared" si="7"/>
        <v/>
      </c>
      <c r="L503" s="51"/>
    </row>
    <row r="504" spans="2:12" x14ac:dyDescent="0.3">
      <c r="B504" s="51"/>
      <c r="C504" s="51"/>
      <c r="D504" s="51"/>
      <c r="E504" s="132"/>
      <c r="F504" s="140"/>
      <c r="G504" s="140"/>
      <c r="H504" s="51"/>
      <c r="I504" s="51"/>
      <c r="J504" s="51"/>
      <c r="K504" s="79" t="str">
        <f t="shared" si="7"/>
        <v/>
      </c>
      <c r="L504" s="51"/>
    </row>
    <row r="505" spans="2:12" x14ac:dyDescent="0.3">
      <c r="B505" s="51"/>
      <c r="C505" s="51"/>
      <c r="D505" s="51"/>
      <c r="E505" s="132"/>
      <c r="F505" s="140"/>
      <c r="G505" s="140"/>
      <c r="H505" s="51"/>
      <c r="I505" s="51"/>
      <c r="J505" s="51"/>
      <c r="K505" s="79" t="str">
        <f t="shared" si="7"/>
        <v/>
      </c>
      <c r="L505" s="51"/>
    </row>
    <row r="506" spans="2:12" x14ac:dyDescent="0.3">
      <c r="B506" s="51"/>
      <c r="C506" s="51"/>
      <c r="D506" s="51"/>
      <c r="E506" s="132"/>
      <c r="F506" s="140"/>
      <c r="G506" s="140"/>
      <c r="H506" s="51"/>
      <c r="I506" s="51"/>
      <c r="J506" s="51"/>
      <c r="K506" s="79" t="str">
        <f t="shared" si="7"/>
        <v/>
      </c>
      <c r="L506" s="51"/>
    </row>
    <row r="507" spans="2:12" x14ac:dyDescent="0.3">
      <c r="B507" s="51"/>
      <c r="C507" s="51"/>
      <c r="D507" s="51"/>
      <c r="E507" s="132"/>
      <c r="F507" s="140"/>
      <c r="G507" s="140"/>
      <c r="H507" s="51"/>
      <c r="I507" s="51"/>
      <c r="J507" s="51"/>
      <c r="K507" s="79" t="str">
        <f t="shared" si="7"/>
        <v/>
      </c>
      <c r="L507" s="51"/>
    </row>
    <row r="508" spans="2:12" x14ac:dyDescent="0.3">
      <c r="B508" s="51"/>
      <c r="C508" s="51"/>
      <c r="D508" s="51"/>
      <c r="E508" s="132"/>
      <c r="F508" s="140"/>
      <c r="G508" s="140"/>
      <c r="H508" s="51"/>
      <c r="I508" s="51"/>
      <c r="J508" s="51"/>
      <c r="K508" s="79" t="str">
        <f t="shared" si="7"/>
        <v/>
      </c>
      <c r="L508" s="51"/>
    </row>
    <row r="509" spans="2:12" x14ac:dyDescent="0.3">
      <c r="B509" s="51"/>
      <c r="C509" s="51"/>
      <c r="D509" s="51"/>
      <c r="E509" s="132"/>
      <c r="F509" s="140"/>
      <c r="G509" s="140"/>
      <c r="H509" s="51"/>
      <c r="I509" s="51"/>
      <c r="J509" s="51"/>
      <c r="K509" s="79" t="str">
        <f t="shared" si="7"/>
        <v/>
      </c>
      <c r="L509" s="51"/>
    </row>
    <row r="510" spans="2:12" x14ac:dyDescent="0.3">
      <c r="B510" s="51"/>
      <c r="C510" s="51"/>
      <c r="D510" s="51"/>
      <c r="E510" s="132"/>
      <c r="F510" s="140"/>
      <c r="G510" s="140"/>
      <c r="H510" s="51"/>
      <c r="I510" s="51"/>
      <c r="J510" s="51"/>
      <c r="K510" s="79" t="str">
        <f t="shared" si="7"/>
        <v/>
      </c>
      <c r="L510" s="51"/>
    </row>
    <row r="511" spans="2:12" x14ac:dyDescent="0.3">
      <c r="B511" s="51"/>
      <c r="C511" s="51"/>
      <c r="D511" s="51"/>
      <c r="E511" s="132"/>
      <c r="F511" s="140"/>
      <c r="G511" s="140"/>
      <c r="H511" s="51"/>
      <c r="I511" s="51"/>
      <c r="J511" s="51"/>
      <c r="K511" s="79" t="str">
        <f t="shared" si="7"/>
        <v/>
      </c>
      <c r="L511" s="51"/>
    </row>
    <row r="512" spans="2:12" x14ac:dyDescent="0.3">
      <c r="B512" s="51"/>
      <c r="C512" s="51"/>
      <c r="D512" s="51"/>
      <c r="E512" s="132"/>
      <c r="F512" s="140"/>
      <c r="G512" s="140"/>
      <c r="H512" s="51"/>
      <c r="I512" s="51"/>
      <c r="J512" s="51"/>
      <c r="K512" s="79" t="str">
        <f t="shared" si="7"/>
        <v/>
      </c>
      <c r="L512" s="51"/>
    </row>
    <row r="513" spans="2:12" x14ac:dyDescent="0.3">
      <c r="B513" s="51"/>
      <c r="C513" s="51"/>
      <c r="D513" s="51"/>
      <c r="E513" s="132"/>
      <c r="F513" s="140"/>
      <c r="G513" s="140"/>
      <c r="H513" s="51"/>
      <c r="I513" s="51"/>
      <c r="J513" s="51"/>
      <c r="K513" s="79" t="str">
        <f t="shared" si="7"/>
        <v/>
      </c>
      <c r="L513" s="51"/>
    </row>
    <row r="514" spans="2:12" x14ac:dyDescent="0.3">
      <c r="B514" s="51"/>
      <c r="C514" s="51"/>
      <c r="D514" s="51"/>
      <c r="E514" s="132"/>
      <c r="F514" s="140"/>
      <c r="G514" s="140"/>
      <c r="H514" s="51"/>
      <c r="I514" s="51"/>
      <c r="J514" s="51"/>
      <c r="K514" s="79" t="str">
        <f t="shared" si="7"/>
        <v/>
      </c>
      <c r="L514" s="51"/>
    </row>
    <row r="515" spans="2:12" x14ac:dyDescent="0.3">
      <c r="B515" s="51"/>
      <c r="C515" s="51"/>
      <c r="D515" s="51"/>
      <c r="E515" s="132"/>
      <c r="F515" s="140"/>
      <c r="G515" s="140"/>
      <c r="H515" s="51"/>
      <c r="I515" s="51"/>
      <c r="J515" s="51"/>
      <c r="K515" s="79" t="str">
        <f t="shared" si="7"/>
        <v/>
      </c>
      <c r="L515" s="51"/>
    </row>
    <row r="516" spans="2:12" x14ac:dyDescent="0.3">
      <c r="B516" s="51"/>
      <c r="C516" s="51"/>
      <c r="D516" s="51"/>
      <c r="E516" s="132"/>
      <c r="F516" s="140"/>
      <c r="G516" s="140"/>
      <c r="H516" s="51"/>
      <c r="I516" s="51"/>
      <c r="J516" s="51"/>
      <c r="K516" s="79" t="str">
        <f t="shared" si="7"/>
        <v/>
      </c>
      <c r="L516" s="51"/>
    </row>
    <row r="517" spans="2:12" x14ac:dyDescent="0.3">
      <c r="B517" s="51"/>
      <c r="C517" s="51"/>
      <c r="D517" s="51"/>
      <c r="E517" s="132"/>
      <c r="F517" s="140"/>
      <c r="G517" s="140"/>
      <c r="H517" s="51"/>
      <c r="I517" s="51"/>
      <c r="J517" s="51"/>
      <c r="K517" s="79" t="str">
        <f t="shared" si="7"/>
        <v/>
      </c>
      <c r="L517" s="51"/>
    </row>
    <row r="518" spans="2:12" x14ac:dyDescent="0.3">
      <c r="B518" s="51"/>
      <c r="C518" s="51"/>
      <c r="D518" s="51"/>
      <c r="E518" s="132"/>
      <c r="F518" s="140"/>
      <c r="G518" s="140"/>
      <c r="H518" s="51"/>
      <c r="I518" s="51"/>
      <c r="J518" s="51"/>
      <c r="K518" s="79" t="str">
        <f t="shared" si="7"/>
        <v/>
      </c>
      <c r="L518" s="51"/>
    </row>
    <row r="519" spans="2:12" x14ac:dyDescent="0.3">
      <c r="B519" s="51"/>
      <c r="C519" s="51"/>
      <c r="D519" s="51"/>
      <c r="E519" s="132"/>
      <c r="F519" s="140"/>
      <c r="G519" s="140"/>
      <c r="H519" s="51"/>
      <c r="I519" s="51"/>
      <c r="J519" s="51"/>
      <c r="K519" s="79" t="str">
        <f t="shared" si="7"/>
        <v/>
      </c>
      <c r="L519" s="51"/>
    </row>
    <row r="520" spans="2:12" x14ac:dyDescent="0.3">
      <c r="B520" s="51"/>
      <c r="C520" s="51"/>
      <c r="D520" s="51"/>
      <c r="E520" s="132"/>
      <c r="F520" s="140"/>
      <c r="G520" s="140"/>
      <c r="H520" s="51"/>
      <c r="I520" s="51"/>
      <c r="J520" s="51"/>
      <c r="K520" s="79" t="str">
        <f t="shared" si="7"/>
        <v/>
      </c>
      <c r="L520" s="51"/>
    </row>
    <row r="521" spans="2:12" x14ac:dyDescent="0.3">
      <c r="B521" s="51"/>
      <c r="C521" s="51"/>
      <c r="D521" s="51"/>
      <c r="E521" s="132"/>
      <c r="F521" s="140"/>
      <c r="G521" s="140"/>
      <c r="H521" s="51"/>
      <c r="I521" s="51"/>
      <c r="J521" s="51"/>
      <c r="K521" s="79" t="str">
        <f t="shared" si="7"/>
        <v/>
      </c>
      <c r="L521" s="51"/>
    </row>
    <row r="522" spans="2:12" x14ac:dyDescent="0.3">
      <c r="B522" s="51"/>
      <c r="C522" s="51"/>
      <c r="D522" s="51"/>
      <c r="E522" s="132"/>
      <c r="F522" s="140"/>
      <c r="G522" s="140"/>
      <c r="H522" s="51"/>
      <c r="I522" s="51"/>
      <c r="J522" s="51"/>
      <c r="K522" s="79" t="str">
        <f t="shared" si="7"/>
        <v/>
      </c>
      <c r="L522" s="51"/>
    </row>
    <row r="523" spans="2:12" x14ac:dyDescent="0.3">
      <c r="B523" s="51"/>
      <c r="C523" s="51"/>
      <c r="D523" s="51"/>
      <c r="E523" s="132"/>
      <c r="F523" s="140"/>
      <c r="G523" s="140"/>
      <c r="H523" s="51"/>
      <c r="I523" s="51"/>
      <c r="J523" s="51"/>
      <c r="K523" s="79" t="str">
        <f t="shared" si="7"/>
        <v/>
      </c>
      <c r="L523" s="51"/>
    </row>
  </sheetData>
  <sheetProtection sort="0" autoFilter="0"/>
  <dataValidations count="3">
    <dataValidation type="decimal" operator="greaterThanOrEqual" allowBlank="1" showInputMessage="1" showErrorMessage="1" sqref="J24:J1048576 H24:H1048576" xr:uid="{5D8AC6C6-5F7D-4BA4-8225-5DBECE072E3A}">
      <formula1>0</formula1>
    </dataValidation>
    <dataValidation type="date" operator="greaterThan" allowBlank="1" showInputMessage="1" showErrorMessage="1" sqref="E24:E523" xr:uid="{E8688A3B-701D-465B-9FB4-91B9FBC065A3}">
      <formula1>43831</formula1>
    </dataValidation>
    <dataValidation type="list" allowBlank="1" showInputMessage="1" showErrorMessage="1" sqref="B24:B523" xr:uid="{2FF3C4F9-D816-4C09-A35E-8C36DE9AB1AD}">
      <formula1>Sites</formula1>
    </dataValidation>
  </dataValidations>
  <pageMargins left="0.25" right="0.25" top="0.75" bottom="0.75" header="0.3" footer="0.3"/>
  <pageSetup scale="55" fitToHeight="0" orientation="landscape" r:id="rId1"/>
  <headerFooter>
    <oddHeader>&amp;C&amp;10 40 CFR Part 63, Subpart EEEE National Emission Standards for Hazardous Air Pollutants: Organic Liquids Distribution (Non-Gasoline) - Compliance Report</oddHeader>
    <oddFooter>&amp;L&amp;10&amp;A&amp;R&amp;10Page &amp;P</oddFooter>
  </headerFooter>
  <legacy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errorTitle="Invalid Entry!" error="Please select an event type from the dropdown list." promptTitle="FlareEventType" prompt="Select an event type from the dropdown list." xr:uid="{C60A2C0D-8956-4AD2-BCD6-372E106D90A7}">
          <x14:formula1>
            <xm:f>Lists!$B$51:$B$53</xm:f>
          </x14:formula1>
          <xm:sqref>D24:D523</xm:sqref>
        </x14:dataValidation>
        <x14:dataValidation type="list" allowBlank="1" showInputMessage="1" showErrorMessage="1" errorTitle="Invalid Entry!" error="Please select an operating limit from the dropdown list." promptTitle="FlareOpLimitExceeded" prompt="Select an operating limit from the dropdown list." xr:uid="{884F8C94-5F40-4FDB-AA1A-3D42BFFE9DA0}">
          <x14:formula1>
            <xm:f>Lists!$B$56:$B$58</xm:f>
          </x14:formula1>
          <xm:sqref>I24:I523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A86BB-0946-416D-946F-C826CE587AAE}">
  <sheetPr>
    <tabColor rgb="FFFF66CC"/>
    <pageSetUpPr fitToPage="1"/>
  </sheetPr>
  <dimension ref="A1:J1508"/>
  <sheetViews>
    <sheetView showGridLines="0" topLeftCell="B7" zoomScaleNormal="100" workbookViewId="0">
      <selection activeCell="B24" sqref="B24"/>
    </sheetView>
  </sheetViews>
  <sheetFormatPr defaultColWidth="9.109375" defaultRowHeight="14.4" zeroHeight="1" x14ac:dyDescent="0.3"/>
  <cols>
    <col min="1" max="1" width="9.109375" style="79" hidden="1" customWidth="1"/>
    <col min="2" max="2" width="15" style="79" customWidth="1"/>
    <col min="3" max="4" width="18.6640625" style="79" bestFit="1" customWidth="1"/>
    <col min="5" max="5" width="22.5546875" style="82" bestFit="1" customWidth="1"/>
    <col min="6" max="6" width="56.109375" style="82" bestFit="1" customWidth="1"/>
    <col min="7" max="7" width="37" style="79" bestFit="1" customWidth="1"/>
    <col min="8" max="25" width="13" style="79" customWidth="1"/>
    <col min="26" max="16384" width="9.109375" style="79"/>
  </cols>
  <sheetData>
    <row r="1" spans="1:10" s="94" customFormat="1" ht="24.75" hidden="1" customHeight="1" x14ac:dyDescent="0.3">
      <c r="A1" s="88"/>
      <c r="B1" s="2"/>
      <c r="C1" s="2"/>
      <c r="D1" s="2"/>
      <c r="E1" s="93"/>
      <c r="F1" s="93"/>
    </row>
    <row r="2" spans="1:10" s="88" customFormat="1" ht="13.8" hidden="1" x14ac:dyDescent="0.3">
      <c r="B2" s="3"/>
      <c r="C2" s="3"/>
      <c r="D2" s="3"/>
      <c r="E2" s="16"/>
      <c r="F2" s="16"/>
    </row>
    <row r="3" spans="1:10" s="88" customFormat="1" ht="13.8" hidden="1" x14ac:dyDescent="0.3">
      <c r="B3" s="16"/>
      <c r="C3" s="16"/>
      <c r="D3" s="16"/>
      <c r="E3" s="16"/>
      <c r="F3" s="16"/>
    </row>
    <row r="4" spans="1:10" s="88" customFormat="1" ht="13.8" hidden="1" x14ac:dyDescent="0.3">
      <c r="B4" s="54"/>
      <c r="C4" s="54"/>
      <c r="D4" s="54"/>
      <c r="E4" s="16"/>
      <c r="F4" s="16"/>
    </row>
    <row r="5" spans="1:10" s="88" customFormat="1" ht="13.8" hidden="1" x14ac:dyDescent="0.3">
      <c r="B5" s="55"/>
      <c r="C5" s="55"/>
      <c r="D5" s="55"/>
      <c r="E5" s="16"/>
      <c r="F5" s="16"/>
    </row>
    <row r="6" spans="1:10" s="56" customFormat="1" hidden="1" x14ac:dyDescent="0.3"/>
    <row r="7" spans="1:10" s="56" customFormat="1" x14ac:dyDescent="0.3">
      <c r="B7" s="10" t="str">
        <f>Company_Information!B7</f>
        <v>40 CFR Part 63, Subpart Y National Emission Standards for Hazardous Air Pollutants: Marine Tank Vessel Loading Operations</v>
      </c>
      <c r="D7" s="10"/>
      <c r="E7" s="57"/>
      <c r="F7" s="57"/>
      <c r="G7" s="57"/>
      <c r="H7" s="57"/>
      <c r="I7" s="57"/>
      <c r="J7" s="57"/>
    </row>
    <row r="8" spans="1:10" s="56" customFormat="1" x14ac:dyDescent="0.3">
      <c r="B8" s="10" t="str">
        <f>Company_Information!B8</f>
        <v>§63.567(o) Periodic Report Spreadsheet Template</v>
      </c>
      <c r="D8" s="10"/>
      <c r="E8" s="57"/>
      <c r="F8" s="57"/>
      <c r="G8" s="57"/>
      <c r="H8" s="57"/>
      <c r="I8" s="57"/>
      <c r="J8" s="57"/>
    </row>
    <row r="9" spans="1:10" s="56" customFormat="1" ht="32.25" customHeight="1" x14ac:dyDescent="0.3">
      <c r="B9" s="59" t="s">
        <v>391</v>
      </c>
      <c r="D9" s="59"/>
      <c r="E9" s="58"/>
      <c r="F9" s="58"/>
      <c r="G9" s="58"/>
      <c r="H9" s="58"/>
      <c r="I9" s="58"/>
      <c r="J9" s="58"/>
    </row>
    <row r="10" spans="1:10" s="56" customFormat="1" x14ac:dyDescent="0.3">
      <c r="B10" s="89" t="s">
        <v>162</v>
      </c>
      <c r="D10" s="89"/>
      <c r="E10" s="59"/>
      <c r="F10" s="59"/>
      <c r="G10" s="59"/>
      <c r="H10" s="59"/>
      <c r="I10" s="59"/>
      <c r="J10" s="59"/>
    </row>
    <row r="11" spans="1:10" s="56" customFormat="1" ht="15" thickBot="1" x14ac:dyDescent="0.35">
      <c r="B11" s="57"/>
      <c r="D11" s="57"/>
    </row>
    <row r="12" spans="1:10" s="92" customFormat="1" ht="58.2" thickBot="1" x14ac:dyDescent="0.35">
      <c r="B12" s="17" t="s">
        <v>136</v>
      </c>
      <c r="C12" s="21" t="s">
        <v>392</v>
      </c>
      <c r="D12" s="212" t="s">
        <v>393</v>
      </c>
      <c r="E12" s="27" t="s">
        <v>394</v>
      </c>
      <c r="F12" s="64" t="s">
        <v>407</v>
      </c>
      <c r="G12" s="215" t="s">
        <v>250</v>
      </c>
    </row>
    <row r="13" spans="1:10" s="46" customFormat="1" x14ac:dyDescent="0.3">
      <c r="B13" s="69" t="s">
        <v>190</v>
      </c>
      <c r="C13" s="108" t="s">
        <v>398</v>
      </c>
      <c r="D13" s="108" t="s">
        <v>397</v>
      </c>
      <c r="E13" s="76" t="s">
        <v>396</v>
      </c>
      <c r="F13" s="213" t="s">
        <v>395</v>
      </c>
      <c r="G13" s="95" t="s">
        <v>408</v>
      </c>
    </row>
    <row r="14" spans="1:10" s="44" customFormat="1" x14ac:dyDescent="0.3">
      <c r="B14" s="71" t="s">
        <v>5</v>
      </c>
      <c r="C14" s="136" t="s">
        <v>399</v>
      </c>
      <c r="D14" s="136" t="s">
        <v>400</v>
      </c>
      <c r="E14" s="78" t="s">
        <v>401</v>
      </c>
      <c r="F14" s="214" t="s">
        <v>402</v>
      </c>
      <c r="G14" s="72"/>
    </row>
    <row r="15" spans="1:10" hidden="1" x14ac:dyDescent="0.3">
      <c r="B15" s="71" t="s">
        <v>188</v>
      </c>
      <c r="C15" s="72"/>
      <c r="D15" s="72"/>
      <c r="E15" s="72" t="s">
        <v>188</v>
      </c>
      <c r="F15" s="72"/>
      <c r="G15" s="72" t="s">
        <v>188</v>
      </c>
    </row>
    <row r="16" spans="1:10" hidden="1" x14ac:dyDescent="0.3">
      <c r="B16" s="71" t="s">
        <v>188</v>
      </c>
      <c r="C16" s="72"/>
      <c r="D16" s="72"/>
      <c r="E16" s="72" t="s">
        <v>188</v>
      </c>
      <c r="F16" s="72"/>
      <c r="G16" s="72" t="s">
        <v>188</v>
      </c>
    </row>
    <row r="17" spans="2:7" hidden="1" x14ac:dyDescent="0.3">
      <c r="B17" s="71" t="s">
        <v>188</v>
      </c>
      <c r="C17" s="72"/>
      <c r="D17" s="72"/>
      <c r="E17" s="72" t="s">
        <v>188</v>
      </c>
      <c r="F17" s="72"/>
      <c r="G17" s="72" t="s">
        <v>188</v>
      </c>
    </row>
    <row r="18" spans="2:7" hidden="1" x14ac:dyDescent="0.3">
      <c r="B18" s="71" t="s">
        <v>188</v>
      </c>
      <c r="C18" s="72"/>
      <c r="D18" s="72"/>
      <c r="E18" s="72" t="s">
        <v>188</v>
      </c>
      <c r="F18" s="72"/>
      <c r="G18" s="72" t="s">
        <v>188</v>
      </c>
    </row>
    <row r="19" spans="2:7" hidden="1" x14ac:dyDescent="0.3">
      <c r="B19" s="71" t="s">
        <v>188</v>
      </c>
      <c r="C19" s="72"/>
      <c r="D19" s="72"/>
      <c r="E19" s="72" t="s">
        <v>188</v>
      </c>
      <c r="F19" s="72"/>
      <c r="G19" s="72" t="s">
        <v>188</v>
      </c>
    </row>
    <row r="20" spans="2:7" hidden="1" x14ac:dyDescent="0.3">
      <c r="B20" s="71" t="s">
        <v>188</v>
      </c>
      <c r="C20" s="72"/>
      <c r="D20" s="72"/>
      <c r="E20" s="72" t="s">
        <v>188</v>
      </c>
      <c r="F20" s="72"/>
      <c r="G20" s="72" t="s">
        <v>188</v>
      </c>
    </row>
    <row r="21" spans="2:7" hidden="1" x14ac:dyDescent="0.3">
      <c r="B21" s="71" t="s">
        <v>188</v>
      </c>
      <c r="C21" s="72"/>
      <c r="D21" s="72"/>
      <c r="E21" s="72" t="s">
        <v>188</v>
      </c>
      <c r="F21" s="72"/>
      <c r="G21" s="72" t="s">
        <v>188</v>
      </c>
    </row>
    <row r="22" spans="2:7" hidden="1" x14ac:dyDescent="0.3">
      <c r="B22" s="71" t="s">
        <v>188</v>
      </c>
      <c r="C22" s="72"/>
      <c r="D22" s="72"/>
      <c r="E22" s="72" t="s">
        <v>188</v>
      </c>
      <c r="F22" s="72"/>
      <c r="G22" s="72" t="s">
        <v>188</v>
      </c>
    </row>
    <row r="23" spans="2:7" hidden="1" x14ac:dyDescent="0.3">
      <c r="B23" s="71" t="s">
        <v>188</v>
      </c>
      <c r="C23" s="72"/>
      <c r="D23" s="72"/>
      <c r="E23" s="72" t="s">
        <v>188</v>
      </c>
      <c r="F23" s="72"/>
      <c r="G23" s="129"/>
    </row>
    <row r="24" spans="2:7" s="80" customFormat="1" x14ac:dyDescent="0.3">
      <c r="B24" s="129"/>
      <c r="C24" s="129"/>
      <c r="D24" s="129"/>
      <c r="E24" s="129"/>
      <c r="F24" s="129"/>
      <c r="G24" s="129"/>
    </row>
    <row r="25" spans="2:7" s="80" customFormat="1" x14ac:dyDescent="0.3">
      <c r="B25" s="129"/>
      <c r="C25" s="129"/>
      <c r="D25" s="129"/>
      <c r="E25" s="129"/>
      <c r="F25" s="129"/>
      <c r="G25" s="129"/>
    </row>
    <row r="26" spans="2:7" s="80" customFormat="1" x14ac:dyDescent="0.3">
      <c r="B26" s="129"/>
      <c r="C26" s="129"/>
      <c r="D26" s="129"/>
      <c r="E26" s="129"/>
      <c r="F26" s="129"/>
      <c r="G26" s="129"/>
    </row>
    <row r="27" spans="2:7" s="80" customFormat="1" x14ac:dyDescent="0.3">
      <c r="B27" s="129"/>
      <c r="C27" s="129"/>
      <c r="D27" s="129"/>
      <c r="E27" s="129"/>
      <c r="F27" s="129"/>
      <c r="G27" s="129"/>
    </row>
    <row r="28" spans="2:7" s="80" customFormat="1" x14ac:dyDescent="0.3">
      <c r="B28" s="129"/>
      <c r="C28" s="129"/>
      <c r="D28" s="129"/>
      <c r="E28" s="129"/>
      <c r="F28" s="129"/>
      <c r="G28" s="129"/>
    </row>
    <row r="29" spans="2:7" s="80" customFormat="1" x14ac:dyDescent="0.3">
      <c r="B29" s="129"/>
      <c r="C29" s="129"/>
      <c r="D29" s="129"/>
      <c r="E29" s="129"/>
      <c r="F29" s="129"/>
      <c r="G29" s="129"/>
    </row>
    <row r="30" spans="2:7" s="80" customFormat="1" x14ac:dyDescent="0.3">
      <c r="B30" s="129"/>
      <c r="C30" s="129"/>
      <c r="D30" s="129"/>
      <c r="E30" s="129"/>
      <c r="F30" s="129"/>
      <c r="G30" s="129"/>
    </row>
    <row r="31" spans="2:7" s="80" customFormat="1" x14ac:dyDescent="0.3">
      <c r="B31" s="129"/>
      <c r="C31" s="129"/>
      <c r="D31" s="129"/>
      <c r="E31" s="129"/>
      <c r="F31" s="129"/>
      <c r="G31" s="129"/>
    </row>
    <row r="32" spans="2:7" s="80" customFormat="1" x14ac:dyDescent="0.3">
      <c r="B32" s="129"/>
      <c r="C32" s="129"/>
      <c r="D32" s="129"/>
      <c r="E32" s="129"/>
      <c r="F32" s="129"/>
      <c r="G32" s="129"/>
    </row>
    <row r="33" spans="2:7" s="80" customFormat="1" x14ac:dyDescent="0.3">
      <c r="B33" s="129"/>
      <c r="C33" s="129"/>
      <c r="D33" s="129"/>
      <c r="E33" s="129"/>
      <c r="F33" s="129"/>
      <c r="G33" s="129"/>
    </row>
    <row r="34" spans="2:7" s="80" customFormat="1" x14ac:dyDescent="0.3">
      <c r="B34" s="129"/>
      <c r="C34" s="129"/>
      <c r="D34" s="129"/>
      <c r="E34" s="129"/>
      <c r="F34" s="129"/>
      <c r="G34" s="129"/>
    </row>
    <row r="35" spans="2:7" s="80" customFormat="1" x14ac:dyDescent="0.3">
      <c r="B35" s="129"/>
      <c r="C35" s="129"/>
      <c r="D35" s="129"/>
      <c r="E35" s="129"/>
      <c r="F35" s="129"/>
      <c r="G35" s="129"/>
    </row>
    <row r="36" spans="2:7" s="80" customFormat="1" x14ac:dyDescent="0.3">
      <c r="B36" s="129"/>
      <c r="C36" s="129"/>
      <c r="D36" s="129"/>
      <c r="E36" s="129"/>
      <c r="F36" s="129"/>
      <c r="G36" s="129"/>
    </row>
    <row r="37" spans="2:7" s="80" customFormat="1" x14ac:dyDescent="0.3">
      <c r="B37" s="129"/>
      <c r="C37" s="129"/>
      <c r="D37" s="129"/>
      <c r="E37" s="129"/>
      <c r="F37" s="129"/>
      <c r="G37" s="129"/>
    </row>
    <row r="38" spans="2:7" s="80" customFormat="1" x14ac:dyDescent="0.3">
      <c r="B38" s="129"/>
      <c r="C38" s="129"/>
      <c r="D38" s="129"/>
      <c r="E38" s="129"/>
      <c r="F38" s="129"/>
      <c r="G38" s="129"/>
    </row>
    <row r="39" spans="2:7" s="80" customFormat="1" x14ac:dyDescent="0.3">
      <c r="B39" s="129"/>
      <c r="C39" s="129"/>
      <c r="D39" s="129"/>
      <c r="E39" s="129"/>
      <c r="F39" s="129"/>
      <c r="G39" s="129"/>
    </row>
    <row r="40" spans="2:7" s="80" customFormat="1" x14ac:dyDescent="0.3">
      <c r="B40" s="129"/>
      <c r="C40" s="129"/>
      <c r="D40" s="129"/>
      <c r="E40" s="129"/>
      <c r="F40" s="129"/>
      <c r="G40" s="129"/>
    </row>
    <row r="41" spans="2:7" s="80" customFormat="1" x14ac:dyDescent="0.3">
      <c r="B41" s="129"/>
      <c r="C41" s="129"/>
      <c r="D41" s="129"/>
      <c r="E41" s="129"/>
      <c r="F41" s="129"/>
      <c r="G41" s="129"/>
    </row>
    <row r="42" spans="2:7" s="80" customFormat="1" x14ac:dyDescent="0.3">
      <c r="B42" s="129"/>
      <c r="C42" s="129"/>
      <c r="D42" s="129"/>
      <c r="E42" s="129"/>
      <c r="F42" s="129"/>
      <c r="G42" s="129"/>
    </row>
    <row r="43" spans="2:7" s="80" customFormat="1" x14ac:dyDescent="0.3">
      <c r="B43" s="129"/>
      <c r="C43" s="129"/>
      <c r="D43" s="129"/>
      <c r="E43" s="129"/>
      <c r="F43" s="129"/>
      <c r="G43" s="129"/>
    </row>
    <row r="44" spans="2:7" s="80" customFormat="1" x14ac:dyDescent="0.3">
      <c r="B44" s="129"/>
      <c r="C44" s="129"/>
      <c r="D44" s="129"/>
      <c r="E44" s="129"/>
      <c r="F44" s="129"/>
      <c r="G44" s="129"/>
    </row>
    <row r="45" spans="2:7" s="80" customFormat="1" x14ac:dyDescent="0.3">
      <c r="B45" s="129"/>
      <c r="C45" s="129"/>
      <c r="D45" s="129"/>
      <c r="E45" s="129"/>
      <c r="F45" s="129"/>
      <c r="G45" s="129"/>
    </row>
    <row r="46" spans="2:7" s="80" customFormat="1" x14ac:dyDescent="0.3">
      <c r="B46" s="129"/>
      <c r="C46" s="129"/>
      <c r="D46" s="129"/>
      <c r="E46" s="129"/>
      <c r="F46" s="129"/>
      <c r="G46" s="129"/>
    </row>
    <row r="47" spans="2:7" s="80" customFormat="1" x14ac:dyDescent="0.3">
      <c r="B47" s="129"/>
      <c r="C47" s="129"/>
      <c r="D47" s="129"/>
      <c r="E47" s="129"/>
      <c r="F47" s="129"/>
      <c r="G47" s="129"/>
    </row>
    <row r="48" spans="2:7" s="80" customFormat="1" x14ac:dyDescent="0.3">
      <c r="B48" s="129"/>
      <c r="C48" s="129"/>
      <c r="D48" s="129"/>
      <c r="E48" s="129"/>
      <c r="F48" s="129"/>
      <c r="G48" s="129"/>
    </row>
    <row r="49" spans="2:7" s="80" customFormat="1" x14ac:dyDescent="0.3">
      <c r="B49" s="129"/>
      <c r="C49" s="129"/>
      <c r="D49" s="129"/>
      <c r="E49" s="129"/>
      <c r="F49" s="129"/>
      <c r="G49" s="129"/>
    </row>
    <row r="50" spans="2:7" s="80" customFormat="1" x14ac:dyDescent="0.3">
      <c r="B50" s="129"/>
      <c r="C50" s="129"/>
      <c r="D50" s="129"/>
      <c r="E50" s="129"/>
      <c r="F50" s="129"/>
      <c r="G50" s="129"/>
    </row>
    <row r="51" spans="2:7" s="80" customFormat="1" x14ac:dyDescent="0.3">
      <c r="B51" s="129"/>
      <c r="C51" s="129"/>
      <c r="D51" s="129"/>
      <c r="E51" s="129"/>
      <c r="F51" s="129"/>
      <c r="G51" s="129"/>
    </row>
    <row r="52" spans="2:7" s="80" customFormat="1" x14ac:dyDescent="0.3">
      <c r="B52" s="129"/>
      <c r="C52" s="129"/>
      <c r="D52" s="129"/>
      <c r="E52" s="129"/>
      <c r="F52" s="129"/>
      <c r="G52" s="129"/>
    </row>
    <row r="53" spans="2:7" s="80" customFormat="1" x14ac:dyDescent="0.3">
      <c r="B53" s="129"/>
      <c r="C53" s="129"/>
      <c r="D53" s="129"/>
      <c r="E53" s="129"/>
      <c r="F53" s="129"/>
      <c r="G53" s="129"/>
    </row>
    <row r="54" spans="2:7" s="80" customFormat="1" x14ac:dyDescent="0.3">
      <c r="B54" s="129"/>
      <c r="C54" s="129"/>
      <c r="D54" s="129"/>
      <c r="E54" s="129"/>
      <c r="F54" s="129"/>
      <c r="G54" s="129"/>
    </row>
    <row r="55" spans="2:7" s="80" customFormat="1" x14ac:dyDescent="0.3">
      <c r="B55" s="129"/>
      <c r="C55" s="129"/>
      <c r="D55" s="129"/>
      <c r="E55" s="129"/>
      <c r="F55" s="129"/>
      <c r="G55" s="129"/>
    </row>
    <row r="56" spans="2:7" s="80" customFormat="1" x14ac:dyDescent="0.3">
      <c r="B56" s="129"/>
      <c r="C56" s="129"/>
      <c r="D56" s="129"/>
      <c r="E56" s="129"/>
      <c r="F56" s="129"/>
      <c r="G56" s="129"/>
    </row>
    <row r="57" spans="2:7" s="80" customFormat="1" x14ac:dyDescent="0.3">
      <c r="B57" s="129"/>
      <c r="C57" s="129"/>
      <c r="D57" s="129"/>
      <c r="E57" s="129"/>
      <c r="F57" s="129"/>
      <c r="G57" s="129"/>
    </row>
    <row r="58" spans="2:7" s="80" customFormat="1" x14ac:dyDescent="0.3">
      <c r="B58" s="129"/>
      <c r="C58" s="129"/>
      <c r="D58" s="129"/>
      <c r="E58" s="129"/>
      <c r="F58" s="129"/>
      <c r="G58" s="129"/>
    </row>
    <row r="59" spans="2:7" s="80" customFormat="1" x14ac:dyDescent="0.3">
      <c r="B59" s="129"/>
      <c r="C59" s="129"/>
      <c r="D59" s="129"/>
      <c r="E59" s="129"/>
      <c r="F59" s="129"/>
      <c r="G59" s="129"/>
    </row>
    <row r="60" spans="2:7" s="80" customFormat="1" x14ac:dyDescent="0.3">
      <c r="B60" s="129"/>
      <c r="C60" s="129"/>
      <c r="D60" s="129"/>
      <c r="E60" s="129"/>
      <c r="F60" s="129"/>
      <c r="G60" s="129"/>
    </row>
    <row r="61" spans="2:7" s="80" customFormat="1" x14ac:dyDescent="0.3">
      <c r="B61" s="129"/>
      <c r="C61" s="129"/>
      <c r="D61" s="129"/>
      <c r="E61" s="129"/>
      <c r="F61" s="129"/>
      <c r="G61" s="129"/>
    </row>
    <row r="62" spans="2:7" s="80" customFormat="1" x14ac:dyDescent="0.3">
      <c r="B62" s="129"/>
      <c r="C62" s="129"/>
      <c r="D62" s="129"/>
      <c r="E62" s="129"/>
      <c r="F62" s="129"/>
      <c r="G62" s="129"/>
    </row>
    <row r="63" spans="2:7" s="80" customFormat="1" x14ac:dyDescent="0.3">
      <c r="B63" s="129"/>
      <c r="C63" s="129"/>
      <c r="D63" s="129"/>
      <c r="E63" s="129"/>
      <c r="F63" s="129"/>
      <c r="G63" s="129"/>
    </row>
    <row r="64" spans="2:7" s="80" customFormat="1" x14ac:dyDescent="0.3">
      <c r="B64" s="129"/>
      <c r="C64" s="129"/>
      <c r="D64" s="129"/>
      <c r="E64" s="129"/>
      <c r="F64" s="129"/>
      <c r="G64" s="129"/>
    </row>
    <row r="65" spans="2:7" s="80" customFormat="1" x14ac:dyDescent="0.3">
      <c r="B65" s="129"/>
      <c r="C65" s="129"/>
      <c r="D65" s="129"/>
      <c r="E65" s="129"/>
      <c r="F65" s="129"/>
      <c r="G65" s="129"/>
    </row>
    <row r="66" spans="2:7" s="80" customFormat="1" x14ac:dyDescent="0.3">
      <c r="B66" s="129"/>
      <c r="C66" s="129"/>
      <c r="D66" s="129"/>
      <c r="E66" s="129"/>
      <c r="F66" s="129"/>
      <c r="G66" s="129"/>
    </row>
    <row r="67" spans="2:7" s="80" customFormat="1" x14ac:dyDescent="0.3">
      <c r="B67" s="129"/>
      <c r="C67" s="129"/>
      <c r="D67" s="129"/>
      <c r="E67" s="129"/>
      <c r="F67" s="129"/>
      <c r="G67" s="129"/>
    </row>
    <row r="68" spans="2:7" s="80" customFormat="1" x14ac:dyDescent="0.3">
      <c r="B68" s="129"/>
      <c r="C68" s="129"/>
      <c r="D68" s="129"/>
      <c r="E68" s="129"/>
      <c r="F68" s="129"/>
      <c r="G68" s="129"/>
    </row>
    <row r="69" spans="2:7" s="80" customFormat="1" x14ac:dyDescent="0.3">
      <c r="B69" s="129"/>
      <c r="C69" s="129"/>
      <c r="D69" s="129"/>
      <c r="E69" s="129"/>
      <c r="F69" s="129"/>
      <c r="G69" s="129"/>
    </row>
    <row r="70" spans="2:7" s="80" customFormat="1" x14ac:dyDescent="0.3">
      <c r="B70" s="129"/>
      <c r="C70" s="129"/>
      <c r="D70" s="129"/>
      <c r="E70" s="129"/>
      <c r="F70" s="129"/>
      <c r="G70" s="129"/>
    </row>
    <row r="71" spans="2:7" s="80" customFormat="1" x14ac:dyDescent="0.3">
      <c r="B71" s="129"/>
      <c r="C71" s="129"/>
      <c r="D71" s="129"/>
      <c r="E71" s="129"/>
      <c r="F71" s="129"/>
      <c r="G71" s="129"/>
    </row>
    <row r="72" spans="2:7" s="80" customFormat="1" x14ac:dyDescent="0.3">
      <c r="B72" s="129"/>
      <c r="C72" s="129"/>
      <c r="D72" s="129"/>
      <c r="E72" s="129"/>
      <c r="F72" s="129"/>
      <c r="G72" s="129"/>
    </row>
    <row r="73" spans="2:7" s="80" customFormat="1" x14ac:dyDescent="0.3">
      <c r="B73" s="129"/>
      <c r="C73" s="129"/>
      <c r="D73" s="129"/>
      <c r="E73" s="129"/>
      <c r="F73" s="129"/>
      <c r="G73" s="129"/>
    </row>
    <row r="74" spans="2:7" s="80" customFormat="1" x14ac:dyDescent="0.3">
      <c r="B74" s="129"/>
      <c r="C74" s="129"/>
      <c r="D74" s="129"/>
      <c r="E74" s="129"/>
      <c r="F74" s="129"/>
      <c r="G74" s="129"/>
    </row>
    <row r="75" spans="2:7" s="80" customFormat="1" x14ac:dyDescent="0.3">
      <c r="B75" s="129"/>
      <c r="C75" s="129"/>
      <c r="D75" s="129"/>
      <c r="E75" s="129"/>
      <c r="F75" s="129"/>
      <c r="G75" s="129"/>
    </row>
    <row r="76" spans="2:7" s="80" customFormat="1" x14ac:dyDescent="0.3">
      <c r="B76" s="129"/>
      <c r="C76" s="129"/>
      <c r="D76" s="129"/>
      <c r="E76" s="129"/>
      <c r="F76" s="129"/>
      <c r="G76" s="129"/>
    </row>
    <row r="77" spans="2:7" s="80" customFormat="1" x14ac:dyDescent="0.3">
      <c r="B77" s="129"/>
      <c r="C77" s="129"/>
      <c r="D77" s="129"/>
      <c r="E77" s="129"/>
      <c r="F77" s="129"/>
      <c r="G77" s="129"/>
    </row>
    <row r="78" spans="2:7" s="80" customFormat="1" x14ac:dyDescent="0.3">
      <c r="B78" s="129"/>
      <c r="C78" s="129"/>
      <c r="D78" s="129"/>
      <c r="E78" s="129"/>
      <c r="F78" s="129"/>
      <c r="G78" s="129"/>
    </row>
    <row r="79" spans="2:7" s="80" customFormat="1" x14ac:dyDescent="0.3">
      <c r="B79" s="129"/>
      <c r="C79" s="129"/>
      <c r="D79" s="129"/>
      <c r="E79" s="129"/>
      <c r="F79" s="129"/>
      <c r="G79" s="129"/>
    </row>
    <row r="80" spans="2:7" s="80" customFormat="1" x14ac:dyDescent="0.3">
      <c r="B80" s="129"/>
      <c r="C80" s="129"/>
      <c r="D80" s="129"/>
      <c r="E80" s="129"/>
      <c r="F80" s="129"/>
      <c r="G80" s="129"/>
    </row>
    <row r="81" spans="2:7" s="80" customFormat="1" x14ac:dyDescent="0.3">
      <c r="B81" s="129"/>
      <c r="C81" s="129"/>
      <c r="D81" s="129"/>
      <c r="E81" s="129"/>
      <c r="F81" s="129"/>
      <c r="G81" s="129"/>
    </row>
    <row r="82" spans="2:7" s="80" customFormat="1" x14ac:dyDescent="0.3">
      <c r="B82" s="129"/>
      <c r="C82" s="129"/>
      <c r="D82" s="129"/>
      <c r="E82" s="129"/>
      <c r="F82" s="129"/>
      <c r="G82" s="129"/>
    </row>
    <row r="83" spans="2:7" s="80" customFormat="1" x14ac:dyDescent="0.3">
      <c r="B83" s="129"/>
      <c r="C83" s="129"/>
      <c r="D83" s="129"/>
      <c r="E83" s="129"/>
      <c r="F83" s="129"/>
      <c r="G83" s="129"/>
    </row>
    <row r="84" spans="2:7" s="80" customFormat="1" x14ac:dyDescent="0.3">
      <c r="B84" s="129"/>
      <c r="C84" s="129"/>
      <c r="D84" s="129"/>
      <c r="E84" s="129"/>
      <c r="F84" s="129"/>
      <c r="G84" s="129"/>
    </row>
    <row r="85" spans="2:7" s="80" customFormat="1" x14ac:dyDescent="0.3">
      <c r="B85" s="129"/>
      <c r="C85" s="129"/>
      <c r="D85" s="129"/>
      <c r="E85" s="129"/>
      <c r="F85" s="129"/>
      <c r="G85" s="129"/>
    </row>
    <row r="86" spans="2:7" s="80" customFormat="1" x14ac:dyDescent="0.3">
      <c r="B86" s="129"/>
      <c r="C86" s="129"/>
      <c r="D86" s="129"/>
      <c r="E86" s="129"/>
      <c r="F86" s="129"/>
      <c r="G86" s="129"/>
    </row>
    <row r="87" spans="2:7" s="80" customFormat="1" x14ac:dyDescent="0.3">
      <c r="B87" s="129"/>
      <c r="C87" s="129"/>
      <c r="D87" s="129"/>
      <c r="E87" s="129"/>
      <c r="F87" s="129"/>
      <c r="G87" s="129"/>
    </row>
    <row r="88" spans="2:7" s="80" customFormat="1" x14ac:dyDescent="0.3">
      <c r="B88" s="129"/>
      <c r="C88" s="129"/>
      <c r="D88" s="129"/>
      <c r="E88" s="129"/>
      <c r="F88" s="129"/>
      <c r="G88" s="129"/>
    </row>
    <row r="89" spans="2:7" s="80" customFormat="1" x14ac:dyDescent="0.3">
      <c r="B89" s="129"/>
      <c r="C89" s="129"/>
      <c r="D89" s="129"/>
      <c r="E89" s="129"/>
      <c r="F89" s="129"/>
      <c r="G89" s="129"/>
    </row>
    <row r="90" spans="2:7" s="80" customFormat="1" x14ac:dyDescent="0.3">
      <c r="B90" s="129"/>
      <c r="C90" s="129"/>
      <c r="D90" s="129"/>
      <c r="E90" s="129"/>
      <c r="F90" s="129"/>
      <c r="G90" s="129"/>
    </row>
    <row r="91" spans="2:7" s="80" customFormat="1" x14ac:dyDescent="0.3">
      <c r="B91" s="129"/>
      <c r="C91" s="129"/>
      <c r="D91" s="129"/>
      <c r="E91" s="129"/>
      <c r="F91" s="129"/>
      <c r="G91" s="129"/>
    </row>
    <row r="92" spans="2:7" s="80" customFormat="1" x14ac:dyDescent="0.3">
      <c r="B92" s="129"/>
      <c r="C92" s="129"/>
      <c r="D92" s="129"/>
      <c r="E92" s="129"/>
      <c r="F92" s="129"/>
      <c r="G92" s="129"/>
    </row>
    <row r="93" spans="2:7" s="80" customFormat="1" x14ac:dyDescent="0.3">
      <c r="B93" s="129"/>
      <c r="C93" s="129"/>
      <c r="D93" s="129"/>
      <c r="E93" s="129"/>
      <c r="F93" s="129"/>
      <c r="G93" s="129"/>
    </row>
    <row r="94" spans="2:7" s="80" customFormat="1" x14ac:dyDescent="0.3">
      <c r="B94" s="129"/>
      <c r="C94" s="129"/>
      <c r="D94" s="129"/>
      <c r="E94" s="129"/>
      <c r="F94" s="129"/>
      <c r="G94" s="129"/>
    </row>
    <row r="95" spans="2:7" s="80" customFormat="1" x14ac:dyDescent="0.3">
      <c r="B95" s="129"/>
      <c r="C95" s="129"/>
      <c r="D95" s="129"/>
      <c r="E95" s="129"/>
      <c r="F95" s="129"/>
      <c r="G95" s="129"/>
    </row>
    <row r="96" spans="2:7" s="80" customFormat="1" x14ac:dyDescent="0.3">
      <c r="B96" s="129"/>
      <c r="C96" s="129"/>
      <c r="D96" s="129"/>
      <c r="E96" s="129"/>
      <c r="F96" s="129"/>
      <c r="G96" s="129"/>
    </row>
    <row r="97" spans="2:7" s="80" customFormat="1" x14ac:dyDescent="0.3">
      <c r="B97" s="129"/>
      <c r="C97" s="129"/>
      <c r="D97" s="129"/>
      <c r="E97" s="129"/>
      <c r="F97" s="129"/>
      <c r="G97" s="129"/>
    </row>
    <row r="98" spans="2:7" s="80" customFormat="1" x14ac:dyDescent="0.3">
      <c r="B98" s="129"/>
      <c r="C98" s="129"/>
      <c r="D98" s="129"/>
      <c r="E98" s="129"/>
      <c r="F98" s="129"/>
      <c r="G98" s="129"/>
    </row>
    <row r="99" spans="2:7" s="80" customFormat="1" x14ac:dyDescent="0.3">
      <c r="B99" s="129"/>
      <c r="C99" s="129"/>
      <c r="D99" s="129"/>
      <c r="E99" s="129"/>
      <c r="F99" s="129"/>
      <c r="G99" s="129"/>
    </row>
    <row r="100" spans="2:7" s="80" customFormat="1" x14ac:dyDescent="0.3">
      <c r="B100" s="129"/>
      <c r="C100" s="129"/>
      <c r="D100" s="129"/>
      <c r="E100" s="129"/>
      <c r="F100" s="129"/>
      <c r="G100" s="130"/>
    </row>
    <row r="101" spans="2:7" x14ac:dyDescent="0.3">
      <c r="B101" s="51"/>
      <c r="C101" s="86"/>
      <c r="D101" s="86"/>
      <c r="E101" s="133"/>
      <c r="F101" s="133"/>
      <c r="G101" s="130"/>
    </row>
    <row r="102" spans="2:7" x14ac:dyDescent="0.3">
      <c r="B102" s="51"/>
      <c r="C102" s="86"/>
      <c r="D102" s="86"/>
      <c r="E102" s="133"/>
      <c r="F102" s="133"/>
      <c r="G102" s="130"/>
    </row>
    <row r="103" spans="2:7" x14ac:dyDescent="0.3">
      <c r="B103" s="51"/>
      <c r="C103" s="86"/>
      <c r="D103" s="86"/>
      <c r="E103" s="133"/>
      <c r="F103" s="133"/>
      <c r="G103" s="130"/>
    </row>
    <row r="104" spans="2:7" x14ac:dyDescent="0.3">
      <c r="B104" s="51"/>
      <c r="C104" s="86"/>
      <c r="D104" s="86"/>
      <c r="E104" s="133"/>
      <c r="F104" s="133"/>
      <c r="G104" s="130"/>
    </row>
    <row r="105" spans="2:7" x14ac:dyDescent="0.3">
      <c r="B105" s="51"/>
      <c r="C105" s="86"/>
      <c r="D105" s="86"/>
      <c r="E105" s="133"/>
      <c r="F105" s="133"/>
      <c r="G105" s="130"/>
    </row>
    <row r="106" spans="2:7" x14ac:dyDescent="0.3">
      <c r="B106" s="51"/>
      <c r="C106" s="86"/>
      <c r="D106" s="86"/>
      <c r="E106" s="133"/>
      <c r="F106" s="133"/>
      <c r="G106" s="130"/>
    </row>
    <row r="107" spans="2:7" x14ac:dyDescent="0.3">
      <c r="B107" s="51"/>
      <c r="C107" s="86"/>
      <c r="D107" s="86"/>
      <c r="E107" s="133"/>
      <c r="F107" s="133"/>
      <c r="G107" s="130"/>
    </row>
    <row r="108" spans="2:7" x14ac:dyDescent="0.3">
      <c r="B108" s="51"/>
      <c r="C108" s="86"/>
      <c r="D108" s="86"/>
      <c r="E108" s="133"/>
      <c r="F108" s="133"/>
      <c r="G108" s="130"/>
    </row>
    <row r="109" spans="2:7" x14ac:dyDescent="0.3">
      <c r="B109" s="51"/>
      <c r="C109" s="86"/>
      <c r="D109" s="86"/>
      <c r="E109" s="133"/>
      <c r="F109" s="133"/>
      <c r="G109" s="130"/>
    </row>
    <row r="110" spans="2:7" x14ac:dyDescent="0.3">
      <c r="B110" s="51"/>
      <c r="C110" s="86"/>
      <c r="D110" s="86"/>
      <c r="E110" s="133"/>
      <c r="F110" s="133"/>
      <c r="G110" s="130"/>
    </row>
    <row r="111" spans="2:7" x14ac:dyDescent="0.3">
      <c r="B111" s="51"/>
      <c r="C111" s="86"/>
      <c r="D111" s="86"/>
      <c r="E111" s="133"/>
      <c r="F111" s="133"/>
      <c r="G111" s="130"/>
    </row>
    <row r="112" spans="2:7" x14ac:dyDescent="0.3">
      <c r="B112" s="51"/>
      <c r="C112" s="86"/>
      <c r="D112" s="86"/>
      <c r="E112" s="133"/>
      <c r="F112" s="133"/>
      <c r="G112" s="130"/>
    </row>
    <row r="113" spans="2:7" x14ac:dyDescent="0.3">
      <c r="B113" s="51"/>
      <c r="C113" s="86"/>
      <c r="D113" s="86"/>
      <c r="E113" s="133"/>
      <c r="F113" s="133"/>
      <c r="G113" s="130"/>
    </row>
    <row r="114" spans="2:7" x14ac:dyDescent="0.3">
      <c r="B114" s="51"/>
      <c r="C114" s="86"/>
      <c r="D114" s="86"/>
      <c r="E114" s="133"/>
      <c r="F114" s="133"/>
      <c r="G114" s="130"/>
    </row>
    <row r="115" spans="2:7" x14ac:dyDescent="0.3">
      <c r="B115" s="51"/>
      <c r="C115" s="86"/>
      <c r="D115" s="86"/>
      <c r="E115" s="133"/>
      <c r="F115" s="133"/>
      <c r="G115" s="130"/>
    </row>
    <row r="116" spans="2:7" x14ac:dyDescent="0.3">
      <c r="B116" s="51"/>
      <c r="C116" s="86"/>
      <c r="D116" s="86"/>
      <c r="E116" s="133"/>
      <c r="F116" s="133"/>
      <c r="G116" s="130"/>
    </row>
    <row r="117" spans="2:7" x14ac:dyDescent="0.3">
      <c r="B117" s="51"/>
      <c r="C117" s="86"/>
      <c r="D117" s="86"/>
      <c r="E117" s="133"/>
      <c r="F117" s="133"/>
      <c r="G117" s="130"/>
    </row>
    <row r="118" spans="2:7" x14ac:dyDescent="0.3">
      <c r="B118" s="51"/>
      <c r="C118" s="86"/>
      <c r="D118" s="86"/>
      <c r="E118" s="133"/>
      <c r="F118" s="133"/>
      <c r="G118" s="130"/>
    </row>
    <row r="119" spans="2:7" x14ac:dyDescent="0.3">
      <c r="B119" s="51"/>
      <c r="C119" s="86"/>
      <c r="D119" s="86"/>
      <c r="E119" s="133"/>
      <c r="F119" s="133"/>
      <c r="G119" s="130"/>
    </row>
    <row r="120" spans="2:7" x14ac:dyDescent="0.3">
      <c r="B120" s="51"/>
      <c r="C120" s="86"/>
      <c r="D120" s="86"/>
      <c r="E120" s="133"/>
      <c r="F120" s="133"/>
      <c r="G120" s="130"/>
    </row>
    <row r="121" spans="2:7" x14ac:dyDescent="0.3">
      <c r="B121" s="51"/>
      <c r="C121" s="86"/>
      <c r="D121" s="86"/>
      <c r="E121" s="133"/>
      <c r="F121" s="133"/>
      <c r="G121" s="130"/>
    </row>
    <row r="122" spans="2:7" x14ac:dyDescent="0.3">
      <c r="B122" s="51"/>
      <c r="C122" s="86"/>
      <c r="D122" s="86"/>
      <c r="E122" s="133"/>
      <c r="F122" s="133"/>
      <c r="G122" s="130"/>
    </row>
    <row r="123" spans="2:7" x14ac:dyDescent="0.3">
      <c r="B123" s="51"/>
      <c r="C123" s="86"/>
      <c r="D123" s="86"/>
      <c r="E123" s="133"/>
      <c r="F123" s="133"/>
      <c r="G123" s="130"/>
    </row>
    <row r="124" spans="2:7" x14ac:dyDescent="0.3">
      <c r="B124" s="51"/>
      <c r="C124" s="86"/>
      <c r="D124" s="86"/>
      <c r="E124" s="133"/>
      <c r="F124" s="133"/>
      <c r="G124" s="130"/>
    </row>
    <row r="125" spans="2:7" x14ac:dyDescent="0.3">
      <c r="B125" s="51"/>
      <c r="C125" s="86"/>
      <c r="D125" s="86"/>
      <c r="E125" s="133"/>
      <c r="F125" s="133"/>
      <c r="G125" s="130"/>
    </row>
    <row r="126" spans="2:7" x14ac:dyDescent="0.3">
      <c r="B126" s="51"/>
      <c r="C126" s="86"/>
      <c r="D126" s="86"/>
      <c r="E126" s="133"/>
      <c r="F126" s="133"/>
      <c r="G126" s="130"/>
    </row>
    <row r="127" spans="2:7" x14ac:dyDescent="0.3">
      <c r="B127" s="51"/>
      <c r="C127" s="86"/>
      <c r="D127" s="86"/>
      <c r="E127" s="133"/>
      <c r="F127" s="133"/>
      <c r="G127" s="130"/>
    </row>
    <row r="128" spans="2:7" x14ac:dyDescent="0.3">
      <c r="B128" s="51"/>
      <c r="C128" s="86"/>
      <c r="D128" s="86"/>
      <c r="E128" s="133"/>
      <c r="F128" s="133"/>
      <c r="G128" s="130"/>
    </row>
    <row r="129" spans="2:7" x14ac:dyDescent="0.3">
      <c r="B129" s="51"/>
      <c r="C129" s="86"/>
      <c r="D129" s="86"/>
      <c r="E129" s="133"/>
      <c r="F129" s="133"/>
      <c r="G129" s="130"/>
    </row>
    <row r="130" spans="2:7" x14ac:dyDescent="0.3">
      <c r="B130" s="51"/>
      <c r="C130" s="86"/>
      <c r="D130" s="86"/>
      <c r="E130" s="133"/>
      <c r="F130" s="133"/>
      <c r="G130" s="130"/>
    </row>
    <row r="131" spans="2:7" x14ac:dyDescent="0.3">
      <c r="B131" s="51"/>
      <c r="C131" s="86"/>
      <c r="D131" s="86"/>
      <c r="E131" s="133"/>
      <c r="F131" s="133"/>
      <c r="G131" s="130"/>
    </row>
    <row r="132" spans="2:7" x14ac:dyDescent="0.3">
      <c r="B132" s="51"/>
      <c r="C132" s="86"/>
      <c r="D132" s="86"/>
      <c r="E132" s="133"/>
      <c r="F132" s="133"/>
      <c r="G132" s="130"/>
    </row>
    <row r="133" spans="2:7" x14ac:dyDescent="0.3">
      <c r="B133" s="51"/>
      <c r="C133" s="86"/>
      <c r="D133" s="86"/>
      <c r="E133" s="133"/>
      <c r="F133" s="133"/>
      <c r="G133" s="130"/>
    </row>
    <row r="134" spans="2:7" x14ac:dyDescent="0.3">
      <c r="B134" s="51"/>
      <c r="C134" s="86"/>
      <c r="D134" s="86"/>
      <c r="E134" s="133"/>
      <c r="F134" s="133"/>
      <c r="G134" s="130"/>
    </row>
    <row r="135" spans="2:7" x14ac:dyDescent="0.3">
      <c r="B135" s="51"/>
      <c r="C135" s="86"/>
      <c r="D135" s="86"/>
      <c r="E135" s="133"/>
      <c r="F135" s="133"/>
      <c r="G135" s="130"/>
    </row>
    <row r="136" spans="2:7" x14ac:dyDescent="0.3">
      <c r="B136" s="51"/>
      <c r="C136" s="86"/>
      <c r="D136" s="86"/>
      <c r="E136" s="133"/>
      <c r="F136" s="133"/>
      <c r="G136" s="130"/>
    </row>
    <row r="137" spans="2:7" x14ac:dyDescent="0.3">
      <c r="B137" s="51"/>
      <c r="C137" s="86"/>
      <c r="D137" s="86"/>
      <c r="E137" s="133"/>
      <c r="F137" s="133"/>
      <c r="G137" s="130"/>
    </row>
    <row r="138" spans="2:7" x14ac:dyDescent="0.3">
      <c r="B138" s="51"/>
      <c r="C138" s="86"/>
      <c r="D138" s="86"/>
      <c r="E138" s="133"/>
      <c r="F138" s="133"/>
      <c r="G138" s="130"/>
    </row>
    <row r="139" spans="2:7" x14ac:dyDescent="0.3">
      <c r="B139" s="51"/>
      <c r="C139" s="86"/>
      <c r="D139" s="86"/>
      <c r="E139" s="133"/>
      <c r="F139" s="133"/>
      <c r="G139" s="130"/>
    </row>
    <row r="140" spans="2:7" x14ac:dyDescent="0.3">
      <c r="B140" s="51"/>
      <c r="C140" s="86"/>
      <c r="D140" s="86"/>
      <c r="E140" s="133"/>
      <c r="F140" s="133"/>
      <c r="G140" s="130"/>
    </row>
    <row r="141" spans="2:7" x14ac:dyDescent="0.3">
      <c r="B141" s="51"/>
      <c r="C141" s="86"/>
      <c r="D141" s="86"/>
      <c r="E141" s="133"/>
      <c r="F141" s="133"/>
      <c r="G141" s="130"/>
    </row>
    <row r="142" spans="2:7" x14ac:dyDescent="0.3">
      <c r="B142" s="51"/>
      <c r="C142" s="86"/>
      <c r="D142" s="86"/>
      <c r="E142" s="133"/>
      <c r="F142" s="133"/>
      <c r="G142" s="130"/>
    </row>
    <row r="143" spans="2:7" x14ac:dyDescent="0.3">
      <c r="B143" s="51"/>
      <c r="C143" s="86"/>
      <c r="D143" s="86"/>
      <c r="E143" s="133"/>
      <c r="F143" s="133"/>
      <c r="G143" s="130"/>
    </row>
    <row r="144" spans="2:7" x14ac:dyDescent="0.3">
      <c r="B144" s="51"/>
      <c r="C144" s="86"/>
      <c r="D144" s="86"/>
      <c r="E144" s="133"/>
      <c r="F144" s="133"/>
      <c r="G144" s="130"/>
    </row>
    <row r="145" spans="2:7" x14ac:dyDescent="0.3">
      <c r="B145" s="51"/>
      <c r="C145" s="86"/>
      <c r="D145" s="86"/>
      <c r="E145" s="133"/>
      <c r="F145" s="133"/>
      <c r="G145" s="130"/>
    </row>
    <row r="146" spans="2:7" x14ac:dyDescent="0.3">
      <c r="B146" s="51"/>
      <c r="C146" s="86"/>
      <c r="D146" s="86"/>
      <c r="E146" s="133"/>
      <c r="F146" s="133"/>
      <c r="G146" s="130"/>
    </row>
    <row r="147" spans="2:7" x14ac:dyDescent="0.3">
      <c r="B147" s="51"/>
      <c r="C147" s="86"/>
      <c r="D147" s="86"/>
      <c r="E147" s="133"/>
      <c r="F147" s="133"/>
      <c r="G147" s="130"/>
    </row>
    <row r="148" spans="2:7" x14ac:dyDescent="0.3">
      <c r="B148" s="51"/>
      <c r="C148" s="86"/>
      <c r="D148" s="86"/>
      <c r="E148" s="133"/>
      <c r="F148" s="133"/>
      <c r="G148" s="130"/>
    </row>
    <row r="149" spans="2:7" x14ac:dyDescent="0.3">
      <c r="B149" s="51"/>
      <c r="C149" s="86"/>
      <c r="D149" s="86"/>
      <c r="E149" s="133"/>
      <c r="F149" s="133"/>
      <c r="G149" s="130"/>
    </row>
    <row r="150" spans="2:7" x14ac:dyDescent="0.3">
      <c r="B150" s="51"/>
      <c r="C150" s="86"/>
      <c r="D150" s="86"/>
      <c r="E150" s="133"/>
      <c r="F150" s="133"/>
      <c r="G150" s="130"/>
    </row>
    <row r="151" spans="2:7" x14ac:dyDescent="0.3">
      <c r="B151" s="51"/>
      <c r="C151" s="86"/>
      <c r="D151" s="86"/>
      <c r="E151" s="133"/>
      <c r="F151" s="133"/>
      <c r="G151" s="130"/>
    </row>
    <row r="152" spans="2:7" x14ac:dyDescent="0.3">
      <c r="B152" s="51"/>
      <c r="C152" s="86"/>
      <c r="D152" s="86"/>
      <c r="E152" s="133"/>
      <c r="F152" s="133"/>
      <c r="G152" s="130"/>
    </row>
    <row r="153" spans="2:7" x14ac:dyDescent="0.3">
      <c r="B153" s="51"/>
      <c r="C153" s="86"/>
      <c r="D153" s="86"/>
      <c r="E153" s="133"/>
      <c r="F153" s="133"/>
      <c r="G153" s="130"/>
    </row>
    <row r="154" spans="2:7" x14ac:dyDescent="0.3">
      <c r="B154" s="51"/>
      <c r="C154" s="86"/>
      <c r="D154" s="86"/>
      <c r="E154" s="133"/>
      <c r="F154" s="133"/>
      <c r="G154" s="130"/>
    </row>
    <row r="155" spans="2:7" x14ac:dyDescent="0.3">
      <c r="B155" s="51"/>
      <c r="C155" s="86"/>
      <c r="D155" s="86"/>
      <c r="E155" s="133"/>
      <c r="F155" s="133"/>
      <c r="G155" s="130"/>
    </row>
    <row r="156" spans="2:7" x14ac:dyDescent="0.3">
      <c r="B156" s="51"/>
      <c r="C156" s="86"/>
      <c r="D156" s="86"/>
      <c r="E156" s="133"/>
      <c r="F156" s="133"/>
      <c r="G156" s="130"/>
    </row>
    <row r="157" spans="2:7" x14ac:dyDescent="0.3">
      <c r="B157" s="51"/>
      <c r="C157" s="86"/>
      <c r="D157" s="86"/>
      <c r="E157" s="133"/>
      <c r="F157" s="133"/>
      <c r="G157" s="130"/>
    </row>
    <row r="158" spans="2:7" x14ac:dyDescent="0.3">
      <c r="B158" s="51"/>
      <c r="C158" s="86"/>
      <c r="D158" s="86"/>
      <c r="E158" s="133"/>
      <c r="F158" s="133"/>
      <c r="G158" s="130"/>
    </row>
    <row r="159" spans="2:7" x14ac:dyDescent="0.3">
      <c r="B159" s="51"/>
      <c r="C159" s="86"/>
      <c r="D159" s="86"/>
      <c r="E159" s="133"/>
      <c r="F159" s="133"/>
      <c r="G159" s="130"/>
    </row>
    <row r="160" spans="2:7" x14ac:dyDescent="0.3">
      <c r="B160" s="51"/>
      <c r="C160" s="86"/>
      <c r="D160" s="86"/>
      <c r="E160" s="133"/>
      <c r="F160" s="133"/>
      <c r="G160" s="130"/>
    </row>
    <row r="161" spans="2:7" x14ac:dyDescent="0.3">
      <c r="B161" s="51"/>
      <c r="C161" s="86"/>
      <c r="D161" s="86"/>
      <c r="E161" s="133"/>
      <c r="F161" s="133"/>
      <c r="G161" s="130"/>
    </row>
    <row r="162" spans="2:7" x14ac:dyDescent="0.3">
      <c r="B162" s="51"/>
      <c r="C162" s="86"/>
      <c r="D162" s="86"/>
      <c r="E162" s="133"/>
      <c r="F162" s="133"/>
      <c r="G162" s="130"/>
    </row>
    <row r="163" spans="2:7" x14ac:dyDescent="0.3">
      <c r="B163" s="51"/>
      <c r="C163" s="86"/>
      <c r="D163" s="86"/>
      <c r="E163" s="133"/>
      <c r="F163" s="133"/>
      <c r="G163" s="130"/>
    </row>
    <row r="164" spans="2:7" x14ac:dyDescent="0.3">
      <c r="B164" s="51"/>
      <c r="C164" s="86"/>
      <c r="D164" s="86"/>
      <c r="E164" s="133"/>
      <c r="F164" s="133"/>
      <c r="G164" s="130"/>
    </row>
    <row r="165" spans="2:7" x14ac:dyDescent="0.3">
      <c r="B165" s="51"/>
      <c r="C165" s="86"/>
      <c r="D165" s="86"/>
      <c r="E165" s="133"/>
      <c r="F165" s="133"/>
      <c r="G165" s="130"/>
    </row>
    <row r="166" spans="2:7" x14ac:dyDescent="0.3">
      <c r="B166" s="51"/>
      <c r="C166" s="86"/>
      <c r="D166" s="86"/>
      <c r="E166" s="133"/>
      <c r="F166" s="133"/>
      <c r="G166" s="130"/>
    </row>
    <row r="167" spans="2:7" x14ac:dyDescent="0.3">
      <c r="B167" s="51"/>
      <c r="C167" s="86"/>
      <c r="D167" s="86"/>
      <c r="E167" s="133"/>
      <c r="F167" s="133"/>
      <c r="G167" s="130"/>
    </row>
    <row r="168" spans="2:7" x14ac:dyDescent="0.3">
      <c r="B168" s="51"/>
      <c r="C168" s="86"/>
      <c r="D168" s="86"/>
      <c r="E168" s="133"/>
      <c r="F168" s="133"/>
      <c r="G168" s="130"/>
    </row>
    <row r="169" spans="2:7" x14ac:dyDescent="0.3">
      <c r="B169" s="51"/>
      <c r="C169" s="86"/>
      <c r="D169" s="86"/>
      <c r="E169" s="133"/>
      <c r="F169" s="133"/>
      <c r="G169" s="130"/>
    </row>
    <row r="170" spans="2:7" x14ac:dyDescent="0.3">
      <c r="B170" s="51"/>
      <c r="C170" s="86"/>
      <c r="D170" s="86"/>
      <c r="E170" s="133"/>
      <c r="F170" s="133"/>
      <c r="G170" s="130"/>
    </row>
    <row r="171" spans="2:7" x14ac:dyDescent="0.3">
      <c r="B171" s="51"/>
      <c r="C171" s="86"/>
      <c r="D171" s="86"/>
      <c r="E171" s="133"/>
      <c r="F171" s="133"/>
      <c r="G171" s="130"/>
    </row>
    <row r="172" spans="2:7" x14ac:dyDescent="0.3">
      <c r="B172" s="51"/>
      <c r="C172" s="86"/>
      <c r="D172" s="86"/>
      <c r="E172" s="133"/>
      <c r="F172" s="133"/>
      <c r="G172" s="130"/>
    </row>
    <row r="173" spans="2:7" x14ac:dyDescent="0.3">
      <c r="B173" s="51"/>
      <c r="C173" s="86"/>
      <c r="D173" s="86"/>
      <c r="E173" s="133"/>
      <c r="F173" s="133"/>
      <c r="G173" s="130"/>
    </row>
    <row r="174" spans="2:7" x14ac:dyDescent="0.3">
      <c r="B174" s="51"/>
      <c r="C174" s="86"/>
      <c r="D174" s="86"/>
      <c r="E174" s="133"/>
      <c r="F174" s="133"/>
      <c r="G174" s="130"/>
    </row>
    <row r="175" spans="2:7" x14ac:dyDescent="0.3">
      <c r="B175" s="51"/>
      <c r="C175" s="86"/>
      <c r="D175" s="86"/>
      <c r="E175" s="133"/>
      <c r="F175" s="133"/>
      <c r="G175" s="130"/>
    </row>
    <row r="176" spans="2:7" x14ac:dyDescent="0.3">
      <c r="B176" s="51"/>
      <c r="C176" s="86"/>
      <c r="D176" s="86"/>
      <c r="E176" s="133"/>
      <c r="F176" s="133"/>
      <c r="G176" s="130"/>
    </row>
    <row r="177" spans="2:7" x14ac:dyDescent="0.3">
      <c r="B177" s="51"/>
      <c r="C177" s="86"/>
      <c r="D177" s="86"/>
      <c r="E177" s="133"/>
      <c r="F177" s="133"/>
      <c r="G177" s="130"/>
    </row>
    <row r="178" spans="2:7" x14ac:dyDescent="0.3">
      <c r="B178" s="51"/>
      <c r="C178" s="86"/>
      <c r="D178" s="86"/>
      <c r="E178" s="133"/>
      <c r="F178" s="133"/>
      <c r="G178" s="130"/>
    </row>
    <row r="179" spans="2:7" x14ac:dyDescent="0.3">
      <c r="B179" s="51"/>
      <c r="C179" s="86"/>
      <c r="D179" s="86"/>
      <c r="E179" s="133"/>
      <c r="F179" s="133"/>
      <c r="G179" s="130"/>
    </row>
    <row r="180" spans="2:7" x14ac:dyDescent="0.3">
      <c r="B180" s="51"/>
      <c r="C180" s="86"/>
      <c r="D180" s="86"/>
      <c r="E180" s="133"/>
      <c r="F180" s="133"/>
      <c r="G180" s="130"/>
    </row>
    <row r="181" spans="2:7" x14ac:dyDescent="0.3">
      <c r="B181" s="51"/>
      <c r="C181" s="86"/>
      <c r="D181" s="86"/>
      <c r="E181" s="133"/>
      <c r="F181" s="133"/>
      <c r="G181" s="130"/>
    </row>
    <row r="182" spans="2:7" x14ac:dyDescent="0.3">
      <c r="B182" s="51"/>
      <c r="C182" s="86"/>
      <c r="D182" s="86"/>
      <c r="E182" s="133"/>
      <c r="F182" s="133"/>
      <c r="G182" s="130"/>
    </row>
    <row r="183" spans="2:7" x14ac:dyDescent="0.3">
      <c r="B183" s="51"/>
      <c r="C183" s="86"/>
      <c r="D183" s="86"/>
      <c r="E183" s="133"/>
      <c r="F183" s="133"/>
      <c r="G183" s="130"/>
    </row>
    <row r="184" spans="2:7" x14ac:dyDescent="0.3">
      <c r="B184" s="51"/>
      <c r="C184" s="86"/>
      <c r="D184" s="86"/>
      <c r="E184" s="133"/>
      <c r="F184" s="133"/>
      <c r="G184" s="130"/>
    </row>
    <row r="185" spans="2:7" x14ac:dyDescent="0.3">
      <c r="B185" s="51"/>
      <c r="C185" s="86"/>
      <c r="D185" s="86"/>
      <c r="E185" s="133"/>
      <c r="F185" s="133"/>
      <c r="G185" s="130"/>
    </row>
    <row r="186" spans="2:7" x14ac:dyDescent="0.3">
      <c r="B186" s="51"/>
      <c r="C186" s="86"/>
      <c r="D186" s="86"/>
      <c r="E186" s="133"/>
      <c r="F186" s="133"/>
      <c r="G186" s="130"/>
    </row>
    <row r="187" spans="2:7" x14ac:dyDescent="0.3">
      <c r="B187" s="51"/>
      <c r="C187" s="86"/>
      <c r="D187" s="86"/>
      <c r="E187" s="133"/>
      <c r="F187" s="133"/>
      <c r="G187" s="130"/>
    </row>
    <row r="188" spans="2:7" x14ac:dyDescent="0.3">
      <c r="B188" s="51"/>
      <c r="C188" s="86"/>
      <c r="D188" s="86"/>
      <c r="E188" s="133"/>
      <c r="F188" s="133"/>
      <c r="G188" s="130"/>
    </row>
    <row r="189" spans="2:7" x14ac:dyDescent="0.3">
      <c r="B189" s="51"/>
      <c r="C189" s="86"/>
      <c r="D189" s="86"/>
      <c r="E189" s="133"/>
      <c r="F189" s="133"/>
      <c r="G189" s="130"/>
    </row>
    <row r="190" spans="2:7" x14ac:dyDescent="0.3">
      <c r="B190" s="51"/>
      <c r="C190" s="86"/>
      <c r="D190" s="86"/>
      <c r="E190" s="133"/>
      <c r="F190" s="133"/>
      <c r="G190" s="130"/>
    </row>
    <row r="191" spans="2:7" x14ac:dyDescent="0.3">
      <c r="B191" s="51"/>
      <c r="C191" s="86"/>
      <c r="D191" s="86"/>
      <c r="E191" s="133"/>
      <c r="F191" s="133"/>
      <c r="G191" s="130"/>
    </row>
    <row r="192" spans="2:7" x14ac:dyDescent="0.3">
      <c r="B192" s="51"/>
      <c r="C192" s="86"/>
      <c r="D192" s="86"/>
      <c r="E192" s="133"/>
      <c r="F192" s="133"/>
      <c r="G192" s="130"/>
    </row>
    <row r="193" spans="2:7" x14ac:dyDescent="0.3">
      <c r="B193" s="51"/>
      <c r="C193" s="86"/>
      <c r="D193" s="86"/>
      <c r="E193" s="133"/>
      <c r="F193" s="133"/>
      <c r="G193" s="130"/>
    </row>
    <row r="194" spans="2:7" x14ac:dyDescent="0.3">
      <c r="B194" s="51"/>
      <c r="C194" s="86"/>
      <c r="D194" s="86"/>
      <c r="E194" s="133"/>
      <c r="F194" s="133"/>
      <c r="G194" s="130"/>
    </row>
    <row r="195" spans="2:7" x14ac:dyDescent="0.3">
      <c r="B195" s="51"/>
      <c r="C195" s="86"/>
      <c r="D195" s="86"/>
      <c r="E195" s="133"/>
      <c r="F195" s="133"/>
      <c r="G195" s="130"/>
    </row>
    <row r="196" spans="2:7" x14ac:dyDescent="0.3">
      <c r="B196" s="51"/>
      <c r="C196" s="86"/>
      <c r="D196" s="86"/>
      <c r="E196" s="133"/>
      <c r="F196" s="133"/>
      <c r="G196" s="130"/>
    </row>
    <row r="197" spans="2:7" x14ac:dyDescent="0.3">
      <c r="B197" s="51"/>
      <c r="C197" s="86"/>
      <c r="D197" s="86"/>
      <c r="E197" s="133"/>
      <c r="F197" s="133"/>
      <c r="G197" s="130"/>
    </row>
    <row r="198" spans="2:7" x14ac:dyDescent="0.3">
      <c r="B198" s="51"/>
      <c r="C198" s="86"/>
      <c r="D198" s="86"/>
      <c r="E198" s="133"/>
      <c r="F198" s="133"/>
      <c r="G198" s="130"/>
    </row>
    <row r="199" spans="2:7" x14ac:dyDescent="0.3">
      <c r="B199" s="51"/>
      <c r="C199" s="86"/>
      <c r="D199" s="86"/>
      <c r="E199" s="133"/>
      <c r="F199" s="133"/>
      <c r="G199" s="130"/>
    </row>
    <row r="200" spans="2:7" x14ac:dyDescent="0.3">
      <c r="B200" s="51"/>
      <c r="C200" s="86"/>
      <c r="D200" s="86"/>
      <c r="E200" s="133"/>
      <c r="F200" s="133"/>
      <c r="G200" s="130"/>
    </row>
    <row r="201" spans="2:7" x14ac:dyDescent="0.3">
      <c r="B201" s="51"/>
      <c r="C201" s="86"/>
      <c r="D201" s="86"/>
      <c r="E201" s="133"/>
      <c r="F201" s="133"/>
      <c r="G201" s="130"/>
    </row>
    <row r="202" spans="2:7" x14ac:dyDescent="0.3">
      <c r="B202" s="51"/>
      <c r="C202" s="86"/>
      <c r="D202" s="86"/>
      <c r="E202" s="133"/>
      <c r="F202" s="133"/>
      <c r="G202" s="130"/>
    </row>
    <row r="203" spans="2:7" x14ac:dyDescent="0.3">
      <c r="B203" s="51"/>
      <c r="C203" s="86"/>
      <c r="D203" s="86"/>
      <c r="E203" s="133"/>
      <c r="F203" s="133"/>
      <c r="G203" s="130"/>
    </row>
    <row r="204" spans="2:7" x14ac:dyDescent="0.3">
      <c r="B204" s="51"/>
      <c r="C204" s="86"/>
      <c r="D204" s="86"/>
      <c r="E204" s="133"/>
      <c r="F204" s="133"/>
      <c r="G204" s="130"/>
    </row>
    <row r="205" spans="2:7" x14ac:dyDescent="0.3">
      <c r="B205" s="51"/>
      <c r="C205" s="86"/>
      <c r="D205" s="86"/>
      <c r="E205" s="133"/>
      <c r="F205" s="133"/>
      <c r="G205" s="130"/>
    </row>
    <row r="206" spans="2:7" x14ac:dyDescent="0.3">
      <c r="B206" s="51"/>
      <c r="C206" s="86"/>
      <c r="D206" s="86"/>
      <c r="E206" s="133"/>
      <c r="F206" s="133"/>
      <c r="G206" s="130"/>
    </row>
    <row r="207" spans="2:7" x14ac:dyDescent="0.3">
      <c r="B207" s="51"/>
      <c r="C207" s="86"/>
      <c r="D207" s="86"/>
      <c r="E207" s="133"/>
      <c r="F207" s="133"/>
      <c r="G207" s="130"/>
    </row>
    <row r="208" spans="2:7" x14ac:dyDescent="0.3">
      <c r="B208" s="51"/>
      <c r="C208" s="86"/>
      <c r="D208" s="86"/>
      <c r="E208" s="133"/>
      <c r="F208" s="133"/>
      <c r="G208" s="130"/>
    </row>
    <row r="209" spans="2:7" x14ac:dyDescent="0.3">
      <c r="B209" s="51"/>
      <c r="C209" s="86"/>
      <c r="D209" s="86"/>
      <c r="E209" s="133"/>
      <c r="F209" s="133"/>
      <c r="G209" s="130"/>
    </row>
    <row r="210" spans="2:7" x14ac:dyDescent="0.3">
      <c r="B210" s="51"/>
      <c r="C210" s="86"/>
      <c r="D210" s="86"/>
      <c r="E210" s="133"/>
      <c r="F210" s="133"/>
      <c r="G210" s="130"/>
    </row>
    <row r="211" spans="2:7" x14ac:dyDescent="0.3">
      <c r="B211" s="51"/>
      <c r="C211" s="86"/>
      <c r="D211" s="86"/>
      <c r="E211" s="133"/>
      <c r="F211" s="133"/>
      <c r="G211" s="130"/>
    </row>
    <row r="212" spans="2:7" x14ac:dyDescent="0.3">
      <c r="B212" s="51"/>
      <c r="C212" s="86"/>
      <c r="D212" s="86"/>
      <c r="E212" s="133"/>
      <c r="F212" s="133"/>
      <c r="G212" s="130"/>
    </row>
    <row r="213" spans="2:7" x14ac:dyDescent="0.3">
      <c r="B213" s="51"/>
      <c r="C213" s="86"/>
      <c r="D213" s="86"/>
      <c r="E213" s="133"/>
      <c r="F213" s="133"/>
      <c r="G213" s="130"/>
    </row>
    <row r="214" spans="2:7" x14ac:dyDescent="0.3">
      <c r="B214" s="51"/>
      <c r="C214" s="86"/>
      <c r="D214" s="86"/>
      <c r="E214" s="133"/>
      <c r="F214" s="133"/>
      <c r="G214" s="130"/>
    </row>
    <row r="215" spans="2:7" x14ac:dyDescent="0.3">
      <c r="B215" s="51"/>
      <c r="C215" s="86"/>
      <c r="D215" s="86"/>
      <c r="E215" s="133"/>
      <c r="F215" s="133"/>
      <c r="G215" s="130"/>
    </row>
    <row r="216" spans="2:7" x14ac:dyDescent="0.3">
      <c r="B216" s="51"/>
      <c r="C216" s="86"/>
      <c r="D216" s="86"/>
      <c r="E216" s="133"/>
      <c r="F216" s="133"/>
      <c r="G216" s="130"/>
    </row>
    <row r="217" spans="2:7" x14ac:dyDescent="0.3">
      <c r="B217" s="51"/>
      <c r="C217" s="86"/>
      <c r="D217" s="86"/>
      <c r="E217" s="133"/>
      <c r="F217" s="133"/>
      <c r="G217" s="130"/>
    </row>
    <row r="218" spans="2:7" x14ac:dyDescent="0.3">
      <c r="B218" s="51"/>
      <c r="C218" s="86"/>
      <c r="D218" s="86"/>
      <c r="E218" s="133"/>
      <c r="F218" s="133"/>
      <c r="G218" s="130"/>
    </row>
    <row r="219" spans="2:7" x14ac:dyDescent="0.3">
      <c r="B219" s="51"/>
      <c r="C219" s="86"/>
      <c r="D219" s="86"/>
      <c r="E219" s="133"/>
      <c r="F219" s="133"/>
      <c r="G219" s="130"/>
    </row>
    <row r="220" spans="2:7" x14ac:dyDescent="0.3">
      <c r="B220" s="51"/>
      <c r="C220" s="86"/>
      <c r="D220" s="86"/>
      <c r="E220" s="133"/>
      <c r="F220" s="133"/>
      <c r="G220" s="130"/>
    </row>
    <row r="221" spans="2:7" x14ac:dyDescent="0.3">
      <c r="B221" s="51"/>
      <c r="C221" s="86"/>
      <c r="D221" s="86"/>
      <c r="E221" s="133"/>
      <c r="F221" s="133"/>
      <c r="G221" s="130"/>
    </row>
    <row r="222" spans="2:7" x14ac:dyDescent="0.3">
      <c r="B222" s="51"/>
      <c r="C222" s="86"/>
      <c r="D222" s="86"/>
      <c r="E222" s="133"/>
      <c r="F222" s="133"/>
      <c r="G222" s="130"/>
    </row>
    <row r="223" spans="2:7" x14ac:dyDescent="0.3">
      <c r="B223" s="51"/>
      <c r="C223" s="86"/>
      <c r="D223" s="86"/>
      <c r="E223" s="133"/>
      <c r="F223" s="133"/>
      <c r="G223" s="130"/>
    </row>
    <row r="224" spans="2:7" x14ac:dyDescent="0.3">
      <c r="B224" s="51"/>
      <c r="C224" s="86"/>
      <c r="D224" s="86"/>
      <c r="E224" s="133"/>
      <c r="F224" s="133"/>
      <c r="G224" s="130"/>
    </row>
    <row r="225" spans="2:7" x14ac:dyDescent="0.3">
      <c r="B225" s="51"/>
      <c r="C225" s="86"/>
      <c r="D225" s="86"/>
      <c r="E225" s="133"/>
      <c r="F225" s="133"/>
      <c r="G225" s="130"/>
    </row>
    <row r="226" spans="2:7" x14ac:dyDescent="0.3">
      <c r="B226" s="51"/>
      <c r="C226" s="86"/>
      <c r="D226" s="86"/>
      <c r="E226" s="133"/>
      <c r="F226" s="133"/>
      <c r="G226" s="130"/>
    </row>
    <row r="227" spans="2:7" x14ac:dyDescent="0.3">
      <c r="B227" s="51"/>
      <c r="C227" s="86"/>
      <c r="D227" s="86"/>
      <c r="E227" s="133"/>
      <c r="F227" s="133"/>
      <c r="G227" s="130"/>
    </row>
    <row r="228" spans="2:7" x14ac:dyDescent="0.3">
      <c r="B228" s="51"/>
      <c r="C228" s="86"/>
      <c r="D228" s="86"/>
      <c r="E228" s="133"/>
      <c r="F228" s="133"/>
      <c r="G228" s="130"/>
    </row>
    <row r="229" spans="2:7" x14ac:dyDescent="0.3">
      <c r="B229" s="51"/>
      <c r="C229" s="86"/>
      <c r="D229" s="86"/>
      <c r="E229" s="133"/>
      <c r="F229" s="133"/>
      <c r="G229" s="130"/>
    </row>
    <row r="230" spans="2:7" x14ac:dyDescent="0.3">
      <c r="B230" s="51"/>
      <c r="C230" s="86"/>
      <c r="D230" s="86"/>
      <c r="E230" s="133"/>
      <c r="F230" s="133"/>
      <c r="G230" s="130"/>
    </row>
    <row r="231" spans="2:7" x14ac:dyDescent="0.3">
      <c r="B231" s="51"/>
      <c r="C231" s="86"/>
      <c r="D231" s="86"/>
      <c r="E231" s="133"/>
      <c r="F231" s="133"/>
      <c r="G231" s="130"/>
    </row>
    <row r="232" spans="2:7" x14ac:dyDescent="0.3">
      <c r="B232" s="51"/>
      <c r="C232" s="86"/>
      <c r="D232" s="86"/>
      <c r="E232" s="133"/>
      <c r="F232" s="133"/>
      <c r="G232" s="130"/>
    </row>
    <row r="233" spans="2:7" x14ac:dyDescent="0.3">
      <c r="B233" s="51"/>
      <c r="C233" s="86"/>
      <c r="D233" s="86"/>
      <c r="E233" s="133"/>
      <c r="F233" s="133"/>
      <c r="G233" s="130"/>
    </row>
    <row r="234" spans="2:7" x14ac:dyDescent="0.3">
      <c r="B234" s="51"/>
      <c r="C234" s="86"/>
      <c r="D234" s="86"/>
      <c r="E234" s="133"/>
      <c r="F234" s="133"/>
      <c r="G234" s="130"/>
    </row>
    <row r="235" spans="2:7" x14ac:dyDescent="0.3">
      <c r="B235" s="51"/>
      <c r="C235" s="86"/>
      <c r="D235" s="86"/>
      <c r="E235" s="133"/>
      <c r="F235" s="133"/>
      <c r="G235" s="130"/>
    </row>
    <row r="236" spans="2:7" x14ac:dyDescent="0.3">
      <c r="B236" s="51"/>
      <c r="C236" s="86"/>
      <c r="D236" s="86"/>
      <c r="E236" s="133"/>
      <c r="F236" s="133"/>
      <c r="G236" s="130"/>
    </row>
    <row r="237" spans="2:7" x14ac:dyDescent="0.3">
      <c r="B237" s="51"/>
      <c r="C237" s="86"/>
      <c r="D237" s="86"/>
      <c r="E237" s="133"/>
      <c r="F237" s="133"/>
      <c r="G237" s="130"/>
    </row>
    <row r="238" spans="2:7" x14ac:dyDescent="0.3">
      <c r="B238" s="51"/>
      <c r="C238" s="86"/>
      <c r="D238" s="86"/>
      <c r="E238" s="133"/>
      <c r="F238" s="133"/>
      <c r="G238" s="130"/>
    </row>
    <row r="239" spans="2:7" x14ac:dyDescent="0.3">
      <c r="B239" s="51"/>
      <c r="C239" s="86"/>
      <c r="D239" s="86"/>
      <c r="E239" s="133"/>
      <c r="F239" s="133"/>
      <c r="G239" s="130"/>
    </row>
    <row r="240" spans="2:7" x14ac:dyDescent="0.3">
      <c r="B240" s="51"/>
      <c r="C240" s="86"/>
      <c r="D240" s="86"/>
      <c r="E240" s="133"/>
      <c r="F240" s="133"/>
      <c r="G240" s="130"/>
    </row>
    <row r="241" spans="2:7" x14ac:dyDescent="0.3">
      <c r="B241" s="51"/>
      <c r="C241" s="86"/>
      <c r="D241" s="86"/>
      <c r="E241" s="133"/>
      <c r="F241" s="133"/>
      <c r="G241" s="130"/>
    </row>
    <row r="242" spans="2:7" x14ac:dyDescent="0.3">
      <c r="B242" s="51"/>
      <c r="C242" s="86"/>
      <c r="D242" s="86"/>
      <c r="E242" s="133"/>
      <c r="F242" s="133"/>
      <c r="G242" s="130"/>
    </row>
    <row r="243" spans="2:7" x14ac:dyDescent="0.3">
      <c r="B243" s="51"/>
      <c r="C243" s="86"/>
      <c r="D243" s="86"/>
      <c r="E243" s="133"/>
      <c r="F243" s="133"/>
      <c r="G243" s="130"/>
    </row>
    <row r="244" spans="2:7" x14ac:dyDescent="0.3">
      <c r="B244" s="51"/>
      <c r="C244" s="86"/>
      <c r="D244" s="86"/>
      <c r="E244" s="133"/>
      <c r="F244" s="133"/>
      <c r="G244" s="130"/>
    </row>
    <row r="245" spans="2:7" x14ac:dyDescent="0.3">
      <c r="B245" s="51"/>
      <c r="C245" s="86"/>
      <c r="D245" s="86"/>
      <c r="E245" s="133"/>
      <c r="F245" s="133"/>
      <c r="G245" s="130"/>
    </row>
    <row r="246" spans="2:7" x14ac:dyDescent="0.3">
      <c r="B246" s="51"/>
      <c r="C246" s="86"/>
      <c r="D246" s="86"/>
      <c r="E246" s="133"/>
      <c r="F246" s="133"/>
      <c r="G246" s="130"/>
    </row>
    <row r="247" spans="2:7" x14ac:dyDescent="0.3">
      <c r="B247" s="51"/>
      <c r="C247" s="86"/>
      <c r="D247" s="86"/>
      <c r="E247" s="133"/>
      <c r="F247" s="133"/>
      <c r="G247" s="130"/>
    </row>
    <row r="248" spans="2:7" x14ac:dyDescent="0.3">
      <c r="B248" s="51"/>
      <c r="C248" s="86"/>
      <c r="D248" s="86"/>
      <c r="E248" s="133"/>
      <c r="F248" s="133"/>
      <c r="G248" s="130"/>
    </row>
    <row r="249" spans="2:7" x14ac:dyDescent="0.3">
      <c r="B249" s="51"/>
      <c r="C249" s="86"/>
      <c r="D249" s="86"/>
      <c r="E249" s="133"/>
      <c r="F249" s="133"/>
      <c r="G249" s="130"/>
    </row>
    <row r="250" spans="2:7" x14ac:dyDescent="0.3">
      <c r="B250" s="51"/>
      <c r="C250" s="86"/>
      <c r="D250" s="86"/>
      <c r="E250" s="133"/>
      <c r="F250" s="133"/>
      <c r="G250" s="130"/>
    </row>
    <row r="251" spans="2:7" x14ac:dyDescent="0.3">
      <c r="B251" s="51"/>
      <c r="C251" s="86"/>
      <c r="D251" s="86"/>
      <c r="E251" s="133"/>
      <c r="F251" s="133"/>
      <c r="G251" s="130"/>
    </row>
    <row r="252" spans="2:7" x14ac:dyDescent="0.3">
      <c r="B252" s="51"/>
      <c r="C252" s="86"/>
      <c r="D252" s="86"/>
      <c r="E252" s="133"/>
      <c r="F252" s="133"/>
      <c r="G252" s="130"/>
    </row>
    <row r="253" spans="2:7" x14ac:dyDescent="0.3">
      <c r="B253" s="51"/>
      <c r="C253" s="86"/>
      <c r="D253" s="86"/>
      <c r="E253" s="133"/>
      <c r="F253" s="133"/>
      <c r="G253" s="130"/>
    </row>
    <row r="254" spans="2:7" x14ac:dyDescent="0.3">
      <c r="B254" s="51"/>
      <c r="C254" s="86"/>
      <c r="D254" s="86"/>
      <c r="E254" s="133"/>
      <c r="F254" s="133"/>
      <c r="G254" s="130"/>
    </row>
    <row r="255" spans="2:7" x14ac:dyDescent="0.3">
      <c r="B255" s="51"/>
      <c r="C255" s="86"/>
      <c r="D255" s="86"/>
      <c r="E255" s="133"/>
      <c r="F255" s="133"/>
      <c r="G255" s="130"/>
    </row>
    <row r="256" spans="2:7" x14ac:dyDescent="0.3">
      <c r="B256" s="51"/>
      <c r="C256" s="86"/>
      <c r="D256" s="86"/>
      <c r="E256" s="133"/>
      <c r="F256" s="133"/>
      <c r="G256" s="130"/>
    </row>
    <row r="257" spans="2:7" x14ac:dyDescent="0.3">
      <c r="B257" s="51"/>
      <c r="C257" s="86"/>
      <c r="D257" s="86"/>
      <c r="E257" s="133"/>
      <c r="F257" s="133"/>
      <c r="G257" s="130"/>
    </row>
    <row r="258" spans="2:7" x14ac:dyDescent="0.3">
      <c r="B258" s="51"/>
      <c r="C258" s="86"/>
      <c r="D258" s="86"/>
      <c r="E258" s="133"/>
      <c r="F258" s="133"/>
      <c r="G258" s="130"/>
    </row>
    <row r="259" spans="2:7" x14ac:dyDescent="0.3">
      <c r="B259" s="51"/>
      <c r="C259" s="86"/>
      <c r="D259" s="86"/>
      <c r="E259" s="133"/>
      <c r="F259" s="133"/>
      <c r="G259" s="130"/>
    </row>
    <row r="260" spans="2:7" x14ac:dyDescent="0.3">
      <c r="B260" s="51"/>
      <c r="C260" s="86"/>
      <c r="D260" s="86"/>
      <c r="E260" s="133"/>
      <c r="F260" s="133"/>
      <c r="G260" s="130"/>
    </row>
    <row r="261" spans="2:7" x14ac:dyDescent="0.3">
      <c r="B261" s="51"/>
      <c r="C261" s="86"/>
      <c r="D261" s="86"/>
      <c r="E261" s="133"/>
      <c r="F261" s="133"/>
      <c r="G261" s="130"/>
    </row>
    <row r="262" spans="2:7" x14ac:dyDescent="0.3">
      <c r="B262" s="51"/>
      <c r="C262" s="86"/>
      <c r="D262" s="86"/>
      <c r="E262" s="133"/>
      <c r="F262" s="133"/>
      <c r="G262" s="130"/>
    </row>
    <row r="263" spans="2:7" x14ac:dyDescent="0.3">
      <c r="B263" s="51"/>
      <c r="C263" s="86"/>
      <c r="D263" s="86"/>
      <c r="E263" s="133"/>
      <c r="F263" s="133"/>
      <c r="G263" s="130"/>
    </row>
    <row r="264" spans="2:7" x14ac:dyDescent="0.3">
      <c r="B264" s="51"/>
      <c r="C264" s="86"/>
      <c r="D264" s="86"/>
      <c r="E264" s="133"/>
      <c r="F264" s="133"/>
      <c r="G264" s="130"/>
    </row>
    <row r="265" spans="2:7" x14ac:dyDescent="0.3">
      <c r="B265" s="51"/>
      <c r="C265" s="86"/>
      <c r="D265" s="86"/>
      <c r="E265" s="133"/>
      <c r="F265" s="133"/>
      <c r="G265" s="130"/>
    </row>
    <row r="266" spans="2:7" x14ac:dyDescent="0.3">
      <c r="B266" s="51"/>
      <c r="C266" s="86"/>
      <c r="D266" s="86"/>
      <c r="E266" s="133"/>
      <c r="F266" s="133"/>
      <c r="G266" s="130"/>
    </row>
    <row r="267" spans="2:7" x14ac:dyDescent="0.3">
      <c r="B267" s="51"/>
      <c r="C267" s="86"/>
      <c r="D267" s="86"/>
      <c r="E267" s="133"/>
      <c r="F267" s="133"/>
      <c r="G267" s="130"/>
    </row>
    <row r="268" spans="2:7" x14ac:dyDescent="0.3">
      <c r="B268" s="51"/>
      <c r="C268" s="86"/>
      <c r="D268" s="86"/>
      <c r="E268" s="133"/>
      <c r="F268" s="133"/>
      <c r="G268" s="130"/>
    </row>
    <row r="269" spans="2:7" x14ac:dyDescent="0.3">
      <c r="B269" s="51"/>
      <c r="C269" s="86"/>
      <c r="D269" s="86"/>
      <c r="E269" s="133"/>
      <c r="F269" s="133"/>
      <c r="G269" s="130"/>
    </row>
    <row r="270" spans="2:7" x14ac:dyDescent="0.3">
      <c r="B270" s="51"/>
      <c r="C270" s="86"/>
      <c r="D270" s="86"/>
      <c r="E270" s="133"/>
      <c r="F270" s="133"/>
      <c r="G270" s="130"/>
    </row>
    <row r="271" spans="2:7" x14ac:dyDescent="0.3">
      <c r="B271" s="51"/>
      <c r="C271" s="86"/>
      <c r="D271" s="86"/>
      <c r="E271" s="133"/>
      <c r="F271" s="133"/>
      <c r="G271" s="130"/>
    </row>
    <row r="272" spans="2:7" x14ac:dyDescent="0.3">
      <c r="B272" s="51"/>
      <c r="C272" s="86"/>
      <c r="D272" s="86"/>
      <c r="E272" s="133"/>
      <c r="F272" s="133"/>
      <c r="G272" s="130"/>
    </row>
    <row r="273" spans="2:7" x14ac:dyDescent="0.3">
      <c r="B273" s="51"/>
      <c r="C273" s="86"/>
      <c r="D273" s="86"/>
      <c r="E273" s="133"/>
      <c r="F273" s="133"/>
      <c r="G273" s="130"/>
    </row>
    <row r="274" spans="2:7" x14ac:dyDescent="0.3">
      <c r="B274" s="51"/>
      <c r="C274" s="86"/>
      <c r="D274" s="86"/>
      <c r="E274" s="133"/>
      <c r="F274" s="133"/>
      <c r="G274" s="130"/>
    </row>
    <row r="275" spans="2:7" x14ac:dyDescent="0.3">
      <c r="B275" s="51"/>
      <c r="C275" s="86"/>
      <c r="D275" s="86"/>
      <c r="E275" s="133"/>
      <c r="F275" s="133"/>
      <c r="G275" s="130"/>
    </row>
    <row r="276" spans="2:7" x14ac:dyDescent="0.3">
      <c r="B276" s="51"/>
      <c r="C276" s="86"/>
      <c r="D276" s="86"/>
      <c r="E276" s="133"/>
      <c r="F276" s="133"/>
      <c r="G276" s="130"/>
    </row>
    <row r="277" spans="2:7" x14ac:dyDescent="0.3">
      <c r="B277" s="51"/>
      <c r="C277" s="86"/>
      <c r="D277" s="86"/>
      <c r="E277" s="133"/>
      <c r="F277" s="133"/>
      <c r="G277" s="130"/>
    </row>
    <row r="278" spans="2:7" x14ac:dyDescent="0.3">
      <c r="B278" s="51"/>
      <c r="C278" s="86"/>
      <c r="D278" s="86"/>
      <c r="E278" s="133"/>
      <c r="F278" s="133"/>
      <c r="G278" s="130"/>
    </row>
    <row r="279" spans="2:7" x14ac:dyDescent="0.3">
      <c r="B279" s="51"/>
      <c r="C279" s="86"/>
      <c r="D279" s="86"/>
      <c r="E279" s="133"/>
      <c r="F279" s="133"/>
      <c r="G279" s="130"/>
    </row>
    <row r="280" spans="2:7" x14ac:dyDescent="0.3">
      <c r="B280" s="51"/>
      <c r="C280" s="86"/>
      <c r="D280" s="86"/>
      <c r="E280" s="133"/>
      <c r="F280" s="133"/>
      <c r="G280" s="130"/>
    </row>
    <row r="281" spans="2:7" x14ac:dyDescent="0.3">
      <c r="B281" s="51"/>
      <c r="C281" s="86"/>
      <c r="D281" s="86"/>
      <c r="E281" s="133"/>
      <c r="F281" s="133"/>
      <c r="G281" s="130"/>
    </row>
    <row r="282" spans="2:7" x14ac:dyDescent="0.3">
      <c r="B282" s="51"/>
      <c r="C282" s="86"/>
      <c r="D282" s="86"/>
      <c r="E282" s="133"/>
      <c r="F282" s="133"/>
      <c r="G282" s="130"/>
    </row>
    <row r="283" spans="2:7" x14ac:dyDescent="0.3">
      <c r="B283" s="51"/>
      <c r="C283" s="86"/>
      <c r="D283" s="86"/>
      <c r="E283" s="133"/>
      <c r="F283" s="133"/>
      <c r="G283" s="130"/>
    </row>
    <row r="284" spans="2:7" x14ac:dyDescent="0.3">
      <c r="B284" s="51"/>
      <c r="C284" s="86"/>
      <c r="D284" s="86"/>
      <c r="E284" s="133"/>
      <c r="F284" s="133"/>
      <c r="G284" s="130"/>
    </row>
    <row r="285" spans="2:7" x14ac:dyDescent="0.3">
      <c r="B285" s="51"/>
      <c r="C285" s="86"/>
      <c r="D285" s="86"/>
      <c r="E285" s="133"/>
      <c r="F285" s="133"/>
      <c r="G285" s="130"/>
    </row>
    <row r="286" spans="2:7" x14ac:dyDescent="0.3">
      <c r="B286" s="51"/>
      <c r="C286" s="86"/>
      <c r="D286" s="86"/>
      <c r="E286" s="133"/>
      <c r="F286" s="133"/>
      <c r="G286" s="130"/>
    </row>
    <row r="287" spans="2:7" x14ac:dyDescent="0.3">
      <c r="B287" s="51"/>
      <c r="C287" s="86"/>
      <c r="D287" s="86"/>
      <c r="E287" s="133"/>
      <c r="F287" s="133"/>
      <c r="G287" s="130"/>
    </row>
    <row r="288" spans="2:7" x14ac:dyDescent="0.3">
      <c r="B288" s="51"/>
      <c r="C288" s="86"/>
      <c r="D288" s="86"/>
      <c r="E288" s="133"/>
      <c r="F288" s="133"/>
      <c r="G288" s="130"/>
    </row>
    <row r="289" spans="2:7" x14ac:dyDescent="0.3">
      <c r="B289" s="51"/>
      <c r="C289" s="86"/>
      <c r="D289" s="86"/>
      <c r="E289" s="133"/>
      <c r="F289" s="133"/>
      <c r="G289" s="130"/>
    </row>
    <row r="290" spans="2:7" x14ac:dyDescent="0.3">
      <c r="B290" s="51"/>
      <c r="C290" s="86"/>
      <c r="D290" s="86"/>
      <c r="E290" s="133"/>
      <c r="F290" s="133"/>
      <c r="G290" s="130"/>
    </row>
    <row r="291" spans="2:7" x14ac:dyDescent="0.3">
      <c r="B291" s="51"/>
      <c r="C291" s="86"/>
      <c r="D291" s="86"/>
      <c r="E291" s="133"/>
      <c r="F291" s="133"/>
      <c r="G291" s="130"/>
    </row>
    <row r="292" spans="2:7" x14ac:dyDescent="0.3">
      <c r="B292" s="51"/>
      <c r="C292" s="86"/>
      <c r="D292" s="86"/>
      <c r="E292" s="133"/>
      <c r="F292" s="133"/>
      <c r="G292" s="130"/>
    </row>
    <row r="293" spans="2:7" x14ac:dyDescent="0.3">
      <c r="B293" s="51"/>
      <c r="C293" s="86"/>
      <c r="D293" s="86"/>
      <c r="E293" s="133"/>
      <c r="F293" s="133"/>
      <c r="G293" s="130"/>
    </row>
    <row r="294" spans="2:7" x14ac:dyDescent="0.3">
      <c r="B294" s="51"/>
      <c r="C294" s="86"/>
      <c r="D294" s="86"/>
      <c r="E294" s="133"/>
      <c r="F294" s="133"/>
      <c r="G294" s="130"/>
    </row>
    <row r="295" spans="2:7" x14ac:dyDescent="0.3">
      <c r="B295" s="51"/>
      <c r="C295" s="86"/>
      <c r="D295" s="86"/>
      <c r="E295" s="133"/>
      <c r="F295" s="133"/>
      <c r="G295" s="130"/>
    </row>
    <row r="296" spans="2:7" x14ac:dyDescent="0.3">
      <c r="B296" s="51"/>
      <c r="C296" s="86"/>
      <c r="D296" s="86"/>
      <c r="E296" s="133"/>
      <c r="F296" s="133"/>
      <c r="G296" s="130"/>
    </row>
    <row r="297" spans="2:7" x14ac:dyDescent="0.3">
      <c r="B297" s="51"/>
      <c r="C297" s="86"/>
      <c r="D297" s="86"/>
      <c r="E297" s="133"/>
      <c r="F297" s="133"/>
      <c r="G297" s="130"/>
    </row>
    <row r="298" spans="2:7" x14ac:dyDescent="0.3">
      <c r="B298" s="51"/>
      <c r="C298" s="86"/>
      <c r="D298" s="86"/>
      <c r="E298" s="133"/>
      <c r="F298" s="133"/>
      <c r="G298" s="130"/>
    </row>
    <row r="299" spans="2:7" x14ac:dyDescent="0.3">
      <c r="B299" s="51"/>
      <c r="C299" s="86"/>
      <c r="D299" s="86"/>
      <c r="E299" s="133"/>
      <c r="F299" s="133"/>
      <c r="G299" s="130"/>
    </row>
    <row r="300" spans="2:7" x14ac:dyDescent="0.3">
      <c r="B300" s="51"/>
      <c r="C300" s="86"/>
      <c r="D300" s="86"/>
      <c r="E300" s="133"/>
      <c r="F300" s="133"/>
      <c r="G300" s="130"/>
    </row>
    <row r="301" spans="2:7" x14ac:dyDescent="0.3">
      <c r="B301" s="51"/>
      <c r="C301" s="86"/>
      <c r="D301" s="86"/>
      <c r="E301" s="133"/>
      <c r="F301" s="133"/>
      <c r="G301" s="130"/>
    </row>
    <row r="302" spans="2:7" x14ac:dyDescent="0.3">
      <c r="B302" s="51"/>
      <c r="C302" s="86"/>
      <c r="D302" s="86"/>
      <c r="E302" s="133"/>
      <c r="F302" s="133"/>
      <c r="G302" s="130"/>
    </row>
    <row r="303" spans="2:7" x14ac:dyDescent="0.3">
      <c r="B303" s="51"/>
      <c r="C303" s="86"/>
      <c r="D303" s="86"/>
      <c r="E303" s="133"/>
      <c r="F303" s="133"/>
      <c r="G303" s="130"/>
    </row>
    <row r="304" spans="2:7" x14ac:dyDescent="0.3">
      <c r="B304" s="51"/>
      <c r="C304" s="86"/>
      <c r="D304" s="86"/>
      <c r="E304" s="133"/>
      <c r="F304" s="133"/>
      <c r="G304" s="130"/>
    </row>
    <row r="305" spans="2:7" x14ac:dyDescent="0.3">
      <c r="B305" s="51"/>
      <c r="C305" s="86"/>
      <c r="D305" s="86"/>
      <c r="E305" s="133"/>
      <c r="F305" s="133"/>
      <c r="G305" s="130"/>
    </row>
    <row r="306" spans="2:7" x14ac:dyDescent="0.3">
      <c r="B306" s="51"/>
      <c r="C306" s="86"/>
      <c r="D306" s="86"/>
      <c r="E306" s="133"/>
      <c r="F306" s="133"/>
      <c r="G306" s="130"/>
    </row>
    <row r="307" spans="2:7" x14ac:dyDescent="0.3">
      <c r="B307" s="51"/>
      <c r="C307" s="86"/>
      <c r="D307" s="86"/>
      <c r="E307" s="133"/>
      <c r="F307" s="133"/>
      <c r="G307" s="130"/>
    </row>
    <row r="308" spans="2:7" x14ac:dyDescent="0.3">
      <c r="B308" s="51"/>
      <c r="C308" s="86"/>
      <c r="D308" s="86"/>
      <c r="E308" s="133"/>
      <c r="F308" s="133"/>
      <c r="G308" s="130"/>
    </row>
    <row r="309" spans="2:7" x14ac:dyDescent="0.3">
      <c r="B309" s="51"/>
      <c r="C309" s="86"/>
      <c r="D309" s="86"/>
      <c r="E309" s="133"/>
      <c r="F309" s="133"/>
      <c r="G309" s="130"/>
    </row>
    <row r="310" spans="2:7" x14ac:dyDescent="0.3">
      <c r="B310" s="51"/>
      <c r="C310" s="86"/>
      <c r="D310" s="86"/>
      <c r="E310" s="133"/>
      <c r="F310" s="133"/>
      <c r="G310" s="130"/>
    </row>
    <row r="311" spans="2:7" x14ac:dyDescent="0.3">
      <c r="B311" s="51"/>
      <c r="C311" s="86"/>
      <c r="D311" s="86"/>
      <c r="E311" s="133"/>
      <c r="F311" s="133"/>
      <c r="G311" s="130"/>
    </row>
    <row r="312" spans="2:7" x14ac:dyDescent="0.3">
      <c r="B312" s="51"/>
      <c r="C312" s="86"/>
      <c r="D312" s="86"/>
      <c r="E312" s="133"/>
      <c r="F312" s="133"/>
      <c r="G312" s="130"/>
    </row>
    <row r="313" spans="2:7" x14ac:dyDescent="0.3">
      <c r="B313" s="51"/>
      <c r="C313" s="86"/>
      <c r="D313" s="86"/>
      <c r="E313" s="133"/>
      <c r="F313" s="133"/>
      <c r="G313" s="130"/>
    </row>
    <row r="314" spans="2:7" x14ac:dyDescent="0.3">
      <c r="B314" s="51"/>
      <c r="C314" s="86"/>
      <c r="D314" s="86"/>
      <c r="E314" s="133"/>
      <c r="F314" s="133"/>
      <c r="G314" s="130"/>
    </row>
    <row r="315" spans="2:7" x14ac:dyDescent="0.3">
      <c r="B315" s="51"/>
      <c r="C315" s="86"/>
      <c r="D315" s="86"/>
      <c r="E315" s="133"/>
      <c r="F315" s="133"/>
      <c r="G315" s="130"/>
    </row>
    <row r="316" spans="2:7" x14ac:dyDescent="0.3">
      <c r="B316" s="51"/>
      <c r="C316" s="86"/>
      <c r="D316" s="86"/>
      <c r="E316" s="133"/>
      <c r="F316" s="133"/>
      <c r="G316" s="130"/>
    </row>
    <row r="317" spans="2:7" x14ac:dyDescent="0.3">
      <c r="B317" s="51"/>
      <c r="C317" s="86"/>
      <c r="D317" s="86"/>
      <c r="E317" s="133"/>
      <c r="F317" s="133"/>
      <c r="G317" s="130"/>
    </row>
    <row r="318" spans="2:7" x14ac:dyDescent="0.3">
      <c r="B318" s="51"/>
      <c r="C318" s="86"/>
      <c r="D318" s="86"/>
      <c r="E318" s="133"/>
      <c r="F318" s="133"/>
      <c r="G318" s="130"/>
    </row>
    <row r="319" spans="2:7" x14ac:dyDescent="0.3">
      <c r="B319" s="51"/>
      <c r="C319" s="86"/>
      <c r="D319" s="86"/>
      <c r="E319" s="133"/>
      <c r="F319" s="133"/>
      <c r="G319" s="130"/>
    </row>
    <row r="320" spans="2:7" x14ac:dyDescent="0.3">
      <c r="B320" s="51"/>
      <c r="C320" s="86"/>
      <c r="D320" s="86"/>
      <c r="E320" s="133"/>
      <c r="F320" s="133"/>
      <c r="G320" s="130"/>
    </row>
    <row r="321" spans="2:7" x14ac:dyDescent="0.3">
      <c r="B321" s="51"/>
      <c r="C321" s="86"/>
      <c r="D321" s="86"/>
      <c r="E321" s="133"/>
      <c r="F321" s="133"/>
      <c r="G321" s="130"/>
    </row>
    <row r="322" spans="2:7" x14ac:dyDescent="0.3">
      <c r="B322" s="51"/>
      <c r="C322" s="86"/>
      <c r="D322" s="86"/>
      <c r="E322" s="133"/>
      <c r="F322" s="133"/>
      <c r="G322" s="130"/>
    </row>
    <row r="323" spans="2:7" x14ac:dyDescent="0.3">
      <c r="B323" s="51"/>
      <c r="C323" s="86"/>
      <c r="D323" s="86"/>
      <c r="E323" s="133"/>
      <c r="F323" s="133"/>
      <c r="G323" s="130"/>
    </row>
    <row r="324" spans="2:7" x14ac:dyDescent="0.3">
      <c r="B324" s="51"/>
      <c r="C324" s="86"/>
      <c r="D324" s="86"/>
      <c r="E324" s="133"/>
      <c r="F324" s="133"/>
      <c r="G324" s="130"/>
    </row>
    <row r="325" spans="2:7" x14ac:dyDescent="0.3">
      <c r="B325" s="51"/>
      <c r="C325" s="86"/>
      <c r="D325" s="86"/>
      <c r="E325" s="133"/>
      <c r="F325" s="133"/>
      <c r="G325" s="130"/>
    </row>
    <row r="326" spans="2:7" x14ac:dyDescent="0.3">
      <c r="B326" s="51"/>
      <c r="C326" s="86"/>
      <c r="D326" s="86"/>
      <c r="E326" s="133"/>
      <c r="F326" s="133"/>
      <c r="G326" s="130"/>
    </row>
    <row r="327" spans="2:7" x14ac:dyDescent="0.3">
      <c r="B327" s="51"/>
      <c r="C327" s="86"/>
      <c r="D327" s="86"/>
      <c r="E327" s="133"/>
      <c r="F327" s="133"/>
      <c r="G327" s="130"/>
    </row>
    <row r="328" spans="2:7" x14ac:dyDescent="0.3">
      <c r="B328" s="51"/>
      <c r="C328" s="86"/>
      <c r="D328" s="86"/>
      <c r="E328" s="133"/>
      <c r="F328" s="133"/>
      <c r="G328" s="130"/>
    </row>
    <row r="329" spans="2:7" x14ac:dyDescent="0.3">
      <c r="B329" s="51"/>
      <c r="C329" s="86"/>
      <c r="D329" s="86"/>
      <c r="E329" s="133"/>
      <c r="F329" s="133"/>
      <c r="G329" s="130"/>
    </row>
    <row r="330" spans="2:7" x14ac:dyDescent="0.3">
      <c r="B330" s="51"/>
      <c r="C330" s="86"/>
      <c r="D330" s="86"/>
      <c r="E330" s="133"/>
      <c r="F330" s="133"/>
      <c r="G330" s="130"/>
    </row>
    <row r="331" spans="2:7" x14ac:dyDescent="0.3">
      <c r="B331" s="51"/>
      <c r="C331" s="86"/>
      <c r="D331" s="86"/>
      <c r="E331" s="133"/>
      <c r="F331" s="133"/>
      <c r="G331" s="130"/>
    </row>
    <row r="332" spans="2:7" x14ac:dyDescent="0.3">
      <c r="B332" s="51"/>
      <c r="C332" s="86"/>
      <c r="D332" s="86"/>
      <c r="E332" s="133"/>
      <c r="F332" s="133"/>
      <c r="G332" s="130"/>
    </row>
    <row r="333" spans="2:7" x14ac:dyDescent="0.3">
      <c r="B333" s="51"/>
      <c r="C333" s="86"/>
      <c r="D333" s="86"/>
      <c r="E333" s="133"/>
      <c r="F333" s="133"/>
      <c r="G333" s="130"/>
    </row>
    <row r="334" spans="2:7" x14ac:dyDescent="0.3">
      <c r="B334" s="51"/>
      <c r="C334" s="86"/>
      <c r="D334" s="86"/>
      <c r="E334" s="133"/>
      <c r="F334" s="133"/>
      <c r="G334" s="130"/>
    </row>
    <row r="335" spans="2:7" x14ac:dyDescent="0.3">
      <c r="B335" s="51"/>
      <c r="C335" s="86"/>
      <c r="D335" s="86"/>
      <c r="E335" s="133"/>
      <c r="F335" s="133"/>
      <c r="G335" s="130"/>
    </row>
    <row r="336" spans="2:7" x14ac:dyDescent="0.3">
      <c r="B336" s="51"/>
      <c r="C336" s="86"/>
      <c r="D336" s="86"/>
      <c r="E336" s="133"/>
      <c r="F336" s="133"/>
      <c r="G336" s="130"/>
    </row>
    <row r="337" spans="2:7" x14ac:dyDescent="0.3">
      <c r="B337" s="51"/>
      <c r="C337" s="86"/>
      <c r="D337" s="86"/>
      <c r="E337" s="133"/>
      <c r="F337" s="133"/>
      <c r="G337" s="130"/>
    </row>
    <row r="338" spans="2:7" x14ac:dyDescent="0.3">
      <c r="B338" s="51"/>
      <c r="C338" s="86"/>
      <c r="D338" s="86"/>
      <c r="E338" s="133"/>
      <c r="F338" s="133"/>
      <c r="G338" s="130"/>
    </row>
    <row r="339" spans="2:7" x14ac:dyDescent="0.3">
      <c r="B339" s="51"/>
      <c r="C339" s="86"/>
      <c r="D339" s="86"/>
      <c r="E339" s="133"/>
      <c r="F339" s="133"/>
      <c r="G339" s="130"/>
    </row>
    <row r="340" spans="2:7" x14ac:dyDescent="0.3">
      <c r="B340" s="51"/>
      <c r="C340" s="86"/>
      <c r="D340" s="86"/>
      <c r="E340" s="133"/>
      <c r="F340" s="133"/>
      <c r="G340" s="130"/>
    </row>
    <row r="341" spans="2:7" x14ac:dyDescent="0.3">
      <c r="B341" s="51"/>
      <c r="C341" s="86"/>
      <c r="D341" s="86"/>
      <c r="E341" s="133"/>
      <c r="F341" s="133"/>
      <c r="G341" s="130"/>
    </row>
    <row r="342" spans="2:7" x14ac:dyDescent="0.3">
      <c r="B342" s="51"/>
      <c r="C342" s="86"/>
      <c r="D342" s="86"/>
      <c r="E342" s="133"/>
      <c r="F342" s="133"/>
      <c r="G342" s="130"/>
    </row>
    <row r="343" spans="2:7" x14ac:dyDescent="0.3">
      <c r="B343" s="51"/>
      <c r="C343" s="86"/>
      <c r="D343" s="86"/>
      <c r="E343" s="133"/>
      <c r="F343" s="133"/>
      <c r="G343" s="130"/>
    </row>
    <row r="344" spans="2:7" x14ac:dyDescent="0.3">
      <c r="B344" s="51"/>
      <c r="C344" s="86"/>
      <c r="D344" s="86"/>
      <c r="E344" s="133"/>
      <c r="F344" s="133"/>
      <c r="G344" s="130"/>
    </row>
    <row r="345" spans="2:7" x14ac:dyDescent="0.3">
      <c r="B345" s="51"/>
      <c r="C345" s="86"/>
      <c r="D345" s="86"/>
      <c r="E345" s="133"/>
      <c r="F345" s="133"/>
      <c r="G345" s="130"/>
    </row>
    <row r="346" spans="2:7" x14ac:dyDescent="0.3">
      <c r="B346" s="51"/>
      <c r="C346" s="86"/>
      <c r="D346" s="86"/>
      <c r="E346" s="133"/>
      <c r="F346" s="133"/>
      <c r="G346" s="130"/>
    </row>
    <row r="347" spans="2:7" x14ac:dyDescent="0.3">
      <c r="B347" s="51"/>
      <c r="C347" s="86"/>
      <c r="D347" s="86"/>
      <c r="E347" s="133"/>
      <c r="F347" s="133"/>
      <c r="G347" s="130"/>
    </row>
    <row r="348" spans="2:7" x14ac:dyDescent="0.3">
      <c r="B348" s="51"/>
      <c r="C348" s="86"/>
      <c r="D348" s="86"/>
      <c r="E348" s="133"/>
      <c r="F348" s="133"/>
      <c r="G348" s="130"/>
    </row>
    <row r="349" spans="2:7" x14ac:dyDescent="0.3">
      <c r="B349" s="51"/>
      <c r="C349" s="86"/>
      <c r="D349" s="86"/>
      <c r="E349" s="133"/>
      <c r="F349" s="133"/>
      <c r="G349" s="130"/>
    </row>
    <row r="350" spans="2:7" x14ac:dyDescent="0.3">
      <c r="B350" s="51"/>
      <c r="C350" s="86"/>
      <c r="D350" s="86"/>
      <c r="E350" s="133"/>
      <c r="F350" s="133"/>
      <c r="G350" s="130"/>
    </row>
    <row r="351" spans="2:7" x14ac:dyDescent="0.3">
      <c r="B351" s="51"/>
      <c r="C351" s="86"/>
      <c r="D351" s="86"/>
      <c r="E351" s="133"/>
      <c r="F351" s="133"/>
      <c r="G351" s="130"/>
    </row>
    <row r="352" spans="2:7" x14ac:dyDescent="0.3">
      <c r="B352" s="51"/>
      <c r="C352" s="86"/>
      <c r="D352" s="86"/>
      <c r="E352" s="133"/>
      <c r="F352" s="133"/>
      <c r="G352" s="130"/>
    </row>
    <row r="353" spans="2:7" x14ac:dyDescent="0.3">
      <c r="B353" s="51"/>
      <c r="C353" s="86"/>
      <c r="D353" s="86"/>
      <c r="E353" s="133"/>
      <c r="F353" s="133"/>
      <c r="G353" s="130"/>
    </row>
    <row r="354" spans="2:7" x14ac:dyDescent="0.3">
      <c r="B354" s="51"/>
      <c r="C354" s="86"/>
      <c r="D354" s="86"/>
      <c r="E354" s="133"/>
      <c r="F354" s="133"/>
      <c r="G354" s="130"/>
    </row>
    <row r="355" spans="2:7" x14ac:dyDescent="0.3">
      <c r="B355" s="51"/>
      <c r="C355" s="86"/>
      <c r="D355" s="86"/>
      <c r="E355" s="133"/>
      <c r="F355" s="133"/>
      <c r="G355" s="130"/>
    </row>
    <row r="356" spans="2:7" x14ac:dyDescent="0.3">
      <c r="B356" s="51"/>
      <c r="C356" s="86"/>
      <c r="D356" s="86"/>
      <c r="E356" s="133"/>
      <c r="F356" s="133"/>
      <c r="G356" s="130"/>
    </row>
    <row r="357" spans="2:7" x14ac:dyDescent="0.3">
      <c r="B357" s="51"/>
      <c r="C357" s="86"/>
      <c r="D357" s="86"/>
      <c r="E357" s="133"/>
      <c r="F357" s="133"/>
      <c r="G357" s="130"/>
    </row>
    <row r="358" spans="2:7" x14ac:dyDescent="0.3">
      <c r="B358" s="51"/>
      <c r="C358" s="86"/>
      <c r="D358" s="86"/>
      <c r="E358" s="133"/>
      <c r="F358" s="133"/>
      <c r="G358" s="130"/>
    </row>
    <row r="359" spans="2:7" x14ac:dyDescent="0.3">
      <c r="B359" s="51"/>
      <c r="C359" s="86"/>
      <c r="D359" s="86"/>
      <c r="E359" s="133"/>
      <c r="F359" s="133"/>
      <c r="G359" s="130"/>
    </row>
    <row r="360" spans="2:7" x14ac:dyDescent="0.3">
      <c r="B360" s="51"/>
      <c r="C360" s="86"/>
      <c r="D360" s="86"/>
      <c r="E360" s="133"/>
      <c r="F360" s="133"/>
      <c r="G360" s="130"/>
    </row>
    <row r="361" spans="2:7" x14ac:dyDescent="0.3">
      <c r="B361" s="51"/>
      <c r="C361" s="86"/>
      <c r="D361" s="86"/>
      <c r="E361" s="133"/>
      <c r="F361" s="133"/>
      <c r="G361" s="130"/>
    </row>
    <row r="362" spans="2:7" x14ac:dyDescent="0.3">
      <c r="B362" s="51"/>
      <c r="C362" s="86"/>
      <c r="D362" s="86"/>
      <c r="E362" s="133"/>
      <c r="F362" s="133"/>
      <c r="G362" s="130"/>
    </row>
    <row r="363" spans="2:7" x14ac:dyDescent="0.3">
      <c r="B363" s="51"/>
      <c r="C363" s="86"/>
      <c r="D363" s="86"/>
      <c r="E363" s="133"/>
      <c r="F363" s="133"/>
      <c r="G363" s="130"/>
    </row>
    <row r="364" spans="2:7" x14ac:dyDescent="0.3">
      <c r="B364" s="51"/>
      <c r="C364" s="86"/>
      <c r="D364" s="86"/>
      <c r="E364" s="133"/>
      <c r="F364" s="133"/>
      <c r="G364" s="130"/>
    </row>
    <row r="365" spans="2:7" x14ac:dyDescent="0.3">
      <c r="B365" s="51"/>
      <c r="C365" s="86"/>
      <c r="D365" s="86"/>
      <c r="E365" s="133"/>
      <c r="F365" s="133"/>
      <c r="G365" s="130"/>
    </row>
    <row r="366" spans="2:7" x14ac:dyDescent="0.3">
      <c r="B366" s="51"/>
      <c r="C366" s="86"/>
      <c r="D366" s="86"/>
      <c r="E366" s="133"/>
      <c r="F366" s="133"/>
      <c r="G366" s="130"/>
    </row>
    <row r="367" spans="2:7" x14ac:dyDescent="0.3">
      <c r="B367" s="51"/>
      <c r="C367" s="86"/>
      <c r="D367" s="86"/>
      <c r="E367" s="133"/>
      <c r="F367" s="133"/>
      <c r="G367" s="130"/>
    </row>
    <row r="368" spans="2:7" x14ac:dyDescent="0.3">
      <c r="B368" s="51"/>
      <c r="C368" s="86"/>
      <c r="D368" s="86"/>
      <c r="E368" s="133"/>
      <c r="F368" s="133"/>
      <c r="G368" s="130"/>
    </row>
    <row r="369" spans="2:7" x14ac:dyDescent="0.3">
      <c r="B369" s="51"/>
      <c r="C369" s="86"/>
      <c r="D369" s="86"/>
      <c r="E369" s="133"/>
      <c r="F369" s="133"/>
      <c r="G369" s="130"/>
    </row>
    <row r="370" spans="2:7" x14ac:dyDescent="0.3">
      <c r="B370" s="51"/>
      <c r="C370" s="86"/>
      <c r="D370" s="86"/>
      <c r="E370" s="133"/>
      <c r="F370" s="133"/>
      <c r="G370" s="130"/>
    </row>
    <row r="371" spans="2:7" x14ac:dyDescent="0.3">
      <c r="B371" s="51"/>
      <c r="C371" s="86"/>
      <c r="D371" s="86"/>
      <c r="E371" s="133"/>
      <c r="F371" s="133"/>
      <c r="G371" s="130"/>
    </row>
    <row r="372" spans="2:7" x14ac:dyDescent="0.3">
      <c r="B372" s="51"/>
      <c r="C372" s="86"/>
      <c r="D372" s="86"/>
      <c r="E372" s="133"/>
      <c r="F372" s="133"/>
      <c r="G372" s="130"/>
    </row>
    <row r="373" spans="2:7" x14ac:dyDescent="0.3">
      <c r="B373" s="51"/>
      <c r="C373" s="86"/>
      <c r="D373" s="86"/>
      <c r="E373" s="133"/>
      <c r="F373" s="133"/>
      <c r="G373" s="130"/>
    </row>
    <row r="374" spans="2:7" x14ac:dyDescent="0.3">
      <c r="B374" s="51"/>
      <c r="C374" s="86"/>
      <c r="D374" s="86"/>
      <c r="E374" s="133"/>
      <c r="F374" s="133"/>
      <c r="G374" s="130"/>
    </row>
    <row r="375" spans="2:7" x14ac:dyDescent="0.3">
      <c r="B375" s="51"/>
      <c r="C375" s="86"/>
      <c r="D375" s="86"/>
      <c r="E375" s="133"/>
      <c r="F375" s="133"/>
      <c r="G375" s="130"/>
    </row>
    <row r="376" spans="2:7" x14ac:dyDescent="0.3">
      <c r="B376" s="51"/>
      <c r="C376" s="86"/>
      <c r="D376" s="86"/>
      <c r="E376" s="133"/>
      <c r="F376" s="133"/>
      <c r="G376" s="130"/>
    </row>
    <row r="377" spans="2:7" x14ac:dyDescent="0.3">
      <c r="B377" s="51"/>
      <c r="C377" s="86"/>
      <c r="D377" s="86"/>
      <c r="E377" s="133"/>
      <c r="F377" s="133"/>
      <c r="G377" s="130"/>
    </row>
    <row r="378" spans="2:7" x14ac:dyDescent="0.3">
      <c r="B378" s="51"/>
      <c r="C378" s="86"/>
      <c r="D378" s="86"/>
      <c r="E378" s="133"/>
      <c r="F378" s="133"/>
      <c r="G378" s="130"/>
    </row>
    <row r="379" spans="2:7" x14ac:dyDescent="0.3">
      <c r="B379" s="51"/>
      <c r="C379" s="86"/>
      <c r="D379" s="86"/>
      <c r="E379" s="133"/>
      <c r="F379" s="133"/>
      <c r="G379" s="130"/>
    </row>
    <row r="380" spans="2:7" x14ac:dyDescent="0.3">
      <c r="B380" s="51"/>
      <c r="C380" s="86"/>
      <c r="D380" s="86"/>
      <c r="E380" s="133"/>
      <c r="F380" s="133"/>
      <c r="G380" s="130"/>
    </row>
    <row r="381" spans="2:7" x14ac:dyDescent="0.3">
      <c r="B381" s="51"/>
      <c r="C381" s="86"/>
      <c r="D381" s="86"/>
      <c r="E381" s="133"/>
      <c r="F381" s="133"/>
      <c r="G381" s="130"/>
    </row>
    <row r="382" spans="2:7" x14ac:dyDescent="0.3">
      <c r="B382" s="51"/>
      <c r="C382" s="86"/>
      <c r="D382" s="86"/>
      <c r="E382" s="133"/>
      <c r="F382" s="133"/>
      <c r="G382" s="130"/>
    </row>
    <row r="383" spans="2:7" x14ac:dyDescent="0.3">
      <c r="B383" s="51"/>
      <c r="C383" s="86"/>
      <c r="D383" s="86"/>
      <c r="E383" s="133"/>
      <c r="F383" s="133"/>
      <c r="G383" s="130"/>
    </row>
    <row r="384" spans="2:7" x14ac:dyDescent="0.3">
      <c r="B384" s="51"/>
      <c r="C384" s="86"/>
      <c r="D384" s="86"/>
      <c r="E384" s="133"/>
      <c r="F384" s="133"/>
      <c r="G384" s="130"/>
    </row>
    <row r="385" spans="2:7" x14ac:dyDescent="0.3">
      <c r="B385" s="51"/>
      <c r="C385" s="86"/>
      <c r="D385" s="86"/>
      <c r="E385" s="133"/>
      <c r="F385" s="133"/>
      <c r="G385" s="130"/>
    </row>
    <row r="386" spans="2:7" x14ac:dyDescent="0.3">
      <c r="B386" s="51"/>
      <c r="C386" s="86"/>
      <c r="D386" s="86"/>
      <c r="E386" s="133"/>
      <c r="F386" s="133"/>
      <c r="G386" s="130"/>
    </row>
    <row r="387" spans="2:7" x14ac:dyDescent="0.3">
      <c r="B387" s="51"/>
      <c r="C387" s="86"/>
      <c r="D387" s="86"/>
      <c r="E387" s="133"/>
      <c r="F387" s="133"/>
      <c r="G387" s="130"/>
    </row>
    <row r="388" spans="2:7" x14ac:dyDescent="0.3">
      <c r="B388" s="51"/>
      <c r="C388" s="86"/>
      <c r="D388" s="86"/>
      <c r="E388" s="133"/>
      <c r="F388" s="133"/>
      <c r="G388" s="130"/>
    </row>
    <row r="389" spans="2:7" x14ac:dyDescent="0.3">
      <c r="B389" s="51"/>
      <c r="C389" s="86"/>
      <c r="D389" s="86"/>
      <c r="E389" s="133"/>
      <c r="F389" s="133"/>
      <c r="G389" s="130"/>
    </row>
    <row r="390" spans="2:7" x14ac:dyDescent="0.3">
      <c r="B390" s="51"/>
      <c r="C390" s="86"/>
      <c r="D390" s="86"/>
      <c r="E390" s="133"/>
      <c r="F390" s="133"/>
      <c r="G390" s="130"/>
    </row>
    <row r="391" spans="2:7" x14ac:dyDescent="0.3">
      <c r="B391" s="51"/>
      <c r="C391" s="86"/>
      <c r="D391" s="86"/>
      <c r="E391" s="133"/>
      <c r="F391" s="133"/>
      <c r="G391" s="130"/>
    </row>
    <row r="392" spans="2:7" x14ac:dyDescent="0.3">
      <c r="B392" s="51"/>
      <c r="C392" s="86"/>
      <c r="D392" s="86"/>
      <c r="E392" s="133"/>
      <c r="F392" s="133"/>
      <c r="G392" s="130"/>
    </row>
    <row r="393" spans="2:7" x14ac:dyDescent="0.3">
      <c r="B393" s="51"/>
      <c r="C393" s="86"/>
      <c r="D393" s="86"/>
      <c r="E393" s="133"/>
      <c r="F393" s="133"/>
      <c r="G393" s="130"/>
    </row>
    <row r="394" spans="2:7" x14ac:dyDescent="0.3">
      <c r="B394" s="51"/>
      <c r="C394" s="86"/>
      <c r="D394" s="86"/>
      <c r="E394" s="133"/>
      <c r="F394" s="133"/>
      <c r="G394" s="130"/>
    </row>
    <row r="395" spans="2:7" x14ac:dyDescent="0.3">
      <c r="B395" s="51"/>
      <c r="C395" s="86"/>
      <c r="D395" s="86"/>
      <c r="E395" s="133"/>
      <c r="F395" s="133"/>
      <c r="G395" s="130"/>
    </row>
    <row r="396" spans="2:7" x14ac:dyDescent="0.3">
      <c r="B396" s="51"/>
      <c r="C396" s="86"/>
      <c r="D396" s="86"/>
      <c r="E396" s="133"/>
      <c r="F396" s="133"/>
      <c r="G396" s="130"/>
    </row>
    <row r="397" spans="2:7" x14ac:dyDescent="0.3">
      <c r="B397" s="51"/>
      <c r="C397" s="86"/>
      <c r="D397" s="86"/>
      <c r="E397" s="133"/>
      <c r="F397" s="133"/>
      <c r="G397" s="130"/>
    </row>
    <row r="398" spans="2:7" x14ac:dyDescent="0.3">
      <c r="B398" s="51"/>
      <c r="C398" s="86"/>
      <c r="D398" s="86"/>
      <c r="E398" s="133"/>
      <c r="F398" s="133"/>
      <c r="G398" s="130"/>
    </row>
    <row r="399" spans="2:7" x14ac:dyDescent="0.3">
      <c r="B399" s="51"/>
      <c r="C399" s="86"/>
      <c r="D399" s="86"/>
      <c r="E399" s="133"/>
      <c r="F399" s="133"/>
      <c r="G399" s="130"/>
    </row>
    <row r="400" spans="2:7" x14ac:dyDescent="0.3">
      <c r="B400" s="51"/>
      <c r="C400" s="86"/>
      <c r="D400" s="86"/>
      <c r="E400" s="133"/>
      <c r="F400" s="133"/>
      <c r="G400" s="130"/>
    </row>
    <row r="401" spans="2:7" x14ac:dyDescent="0.3">
      <c r="B401" s="51"/>
      <c r="C401" s="86"/>
      <c r="D401" s="86"/>
      <c r="E401" s="133"/>
      <c r="F401" s="133"/>
      <c r="G401" s="130"/>
    </row>
    <row r="402" spans="2:7" x14ac:dyDescent="0.3">
      <c r="B402" s="51"/>
      <c r="C402" s="86"/>
      <c r="D402" s="86"/>
      <c r="E402" s="133"/>
      <c r="F402" s="133"/>
      <c r="G402" s="130"/>
    </row>
    <row r="403" spans="2:7" x14ac:dyDescent="0.3">
      <c r="B403" s="51"/>
      <c r="C403" s="86"/>
      <c r="D403" s="86"/>
      <c r="E403" s="133"/>
      <c r="F403" s="133"/>
      <c r="G403" s="130"/>
    </row>
    <row r="404" spans="2:7" x14ac:dyDescent="0.3">
      <c r="B404" s="51"/>
      <c r="C404" s="86"/>
      <c r="D404" s="86"/>
      <c r="E404" s="133"/>
      <c r="F404" s="133"/>
      <c r="G404" s="130"/>
    </row>
    <row r="405" spans="2:7" x14ac:dyDescent="0.3">
      <c r="B405" s="51"/>
      <c r="C405" s="86"/>
      <c r="D405" s="86"/>
      <c r="E405" s="133"/>
      <c r="F405" s="133"/>
      <c r="G405" s="130"/>
    </row>
    <row r="406" spans="2:7" x14ac:dyDescent="0.3">
      <c r="B406" s="51"/>
      <c r="C406" s="86"/>
      <c r="D406" s="86"/>
      <c r="E406" s="133"/>
      <c r="F406" s="133"/>
      <c r="G406" s="130"/>
    </row>
    <row r="407" spans="2:7" x14ac:dyDescent="0.3">
      <c r="B407" s="51"/>
      <c r="C407" s="86"/>
      <c r="D407" s="86"/>
      <c r="E407" s="133"/>
      <c r="F407" s="133"/>
      <c r="G407" s="130"/>
    </row>
    <row r="408" spans="2:7" x14ac:dyDescent="0.3">
      <c r="B408" s="51"/>
      <c r="C408" s="86"/>
      <c r="D408" s="86"/>
      <c r="E408" s="133"/>
      <c r="F408" s="133"/>
      <c r="G408" s="130"/>
    </row>
    <row r="409" spans="2:7" x14ac:dyDescent="0.3">
      <c r="B409" s="51"/>
      <c r="C409" s="86"/>
      <c r="D409" s="86"/>
      <c r="E409" s="133"/>
      <c r="F409" s="133"/>
      <c r="G409" s="130"/>
    </row>
    <row r="410" spans="2:7" x14ac:dyDescent="0.3">
      <c r="B410" s="51"/>
      <c r="C410" s="86"/>
      <c r="D410" s="86"/>
      <c r="E410" s="133"/>
      <c r="F410" s="133"/>
      <c r="G410" s="130"/>
    </row>
    <row r="411" spans="2:7" x14ac:dyDescent="0.3">
      <c r="B411" s="51"/>
      <c r="C411" s="86"/>
      <c r="D411" s="86"/>
      <c r="E411" s="133"/>
      <c r="F411" s="133"/>
      <c r="G411" s="130"/>
    </row>
    <row r="412" spans="2:7" x14ac:dyDescent="0.3">
      <c r="B412" s="51"/>
      <c r="C412" s="86"/>
      <c r="D412" s="86"/>
      <c r="E412" s="133"/>
      <c r="F412" s="133"/>
      <c r="G412" s="130"/>
    </row>
    <row r="413" spans="2:7" x14ac:dyDescent="0.3">
      <c r="B413" s="51"/>
      <c r="C413" s="86"/>
      <c r="D413" s="86"/>
      <c r="E413" s="133"/>
      <c r="F413" s="133"/>
      <c r="G413" s="130"/>
    </row>
    <row r="414" spans="2:7" x14ac:dyDescent="0.3">
      <c r="B414" s="51"/>
      <c r="C414" s="86"/>
      <c r="D414" s="86"/>
      <c r="E414" s="133"/>
      <c r="F414" s="133"/>
      <c r="G414" s="130"/>
    </row>
    <row r="415" spans="2:7" x14ac:dyDescent="0.3">
      <c r="B415" s="51"/>
      <c r="C415" s="86"/>
      <c r="D415" s="86"/>
      <c r="E415" s="133"/>
      <c r="F415" s="133"/>
      <c r="G415" s="130"/>
    </row>
    <row r="416" spans="2:7" x14ac:dyDescent="0.3">
      <c r="B416" s="51"/>
      <c r="C416" s="86"/>
      <c r="D416" s="86"/>
      <c r="E416" s="133"/>
      <c r="F416" s="133"/>
      <c r="G416" s="130"/>
    </row>
    <row r="417" spans="2:7" x14ac:dyDescent="0.3">
      <c r="B417" s="51"/>
      <c r="C417" s="86"/>
      <c r="D417" s="86"/>
      <c r="E417" s="133"/>
      <c r="F417" s="133"/>
      <c r="G417" s="130"/>
    </row>
    <row r="418" spans="2:7" x14ac:dyDescent="0.3">
      <c r="B418" s="51"/>
      <c r="C418" s="86"/>
      <c r="D418" s="86"/>
      <c r="E418" s="133"/>
      <c r="F418" s="133"/>
      <c r="G418" s="130"/>
    </row>
    <row r="419" spans="2:7" x14ac:dyDescent="0.3">
      <c r="B419" s="51"/>
      <c r="C419" s="86"/>
      <c r="D419" s="86"/>
      <c r="E419" s="133"/>
      <c r="F419" s="133"/>
      <c r="G419" s="130"/>
    </row>
    <row r="420" spans="2:7" x14ac:dyDescent="0.3">
      <c r="B420" s="51"/>
      <c r="C420" s="86"/>
      <c r="D420" s="86"/>
      <c r="E420" s="133"/>
      <c r="F420" s="133"/>
      <c r="G420" s="130"/>
    </row>
    <row r="421" spans="2:7" x14ac:dyDescent="0.3">
      <c r="B421" s="51"/>
      <c r="C421" s="86"/>
      <c r="D421" s="86"/>
      <c r="E421" s="133"/>
      <c r="F421" s="133"/>
      <c r="G421" s="130"/>
    </row>
    <row r="422" spans="2:7" x14ac:dyDescent="0.3">
      <c r="B422" s="51"/>
      <c r="C422" s="86"/>
      <c r="D422" s="86"/>
      <c r="E422" s="133"/>
      <c r="F422" s="133"/>
      <c r="G422" s="130"/>
    </row>
    <row r="423" spans="2:7" x14ac:dyDescent="0.3">
      <c r="B423" s="51"/>
      <c r="C423" s="86"/>
      <c r="D423" s="86"/>
      <c r="E423" s="133"/>
      <c r="F423" s="133"/>
      <c r="G423" s="130"/>
    </row>
    <row r="424" spans="2:7" x14ac:dyDescent="0.3">
      <c r="B424" s="51"/>
      <c r="C424" s="86"/>
      <c r="D424" s="86"/>
      <c r="E424" s="133"/>
      <c r="F424" s="133"/>
      <c r="G424" s="130"/>
    </row>
    <row r="425" spans="2:7" x14ac:dyDescent="0.3">
      <c r="B425" s="51"/>
      <c r="C425" s="86"/>
      <c r="D425" s="86"/>
      <c r="E425" s="133"/>
      <c r="F425" s="133"/>
      <c r="G425" s="130"/>
    </row>
    <row r="426" spans="2:7" x14ac:dyDescent="0.3">
      <c r="B426" s="51"/>
      <c r="C426" s="86"/>
      <c r="D426" s="86"/>
      <c r="E426" s="133"/>
      <c r="F426" s="133"/>
      <c r="G426" s="130"/>
    </row>
    <row r="427" spans="2:7" x14ac:dyDescent="0.3">
      <c r="B427" s="51"/>
      <c r="C427" s="86"/>
      <c r="D427" s="86"/>
      <c r="E427" s="133"/>
      <c r="F427" s="133"/>
      <c r="G427" s="130"/>
    </row>
    <row r="428" spans="2:7" x14ac:dyDescent="0.3">
      <c r="B428" s="51"/>
      <c r="C428" s="86"/>
      <c r="D428" s="86"/>
      <c r="E428" s="133"/>
      <c r="F428" s="133"/>
      <c r="G428" s="130"/>
    </row>
    <row r="429" spans="2:7" x14ac:dyDescent="0.3">
      <c r="B429" s="51"/>
      <c r="C429" s="86"/>
      <c r="D429" s="86"/>
      <c r="E429" s="133"/>
      <c r="F429" s="133"/>
      <c r="G429" s="130"/>
    </row>
    <row r="430" spans="2:7" x14ac:dyDescent="0.3">
      <c r="B430" s="51"/>
      <c r="C430" s="86"/>
      <c r="D430" s="86"/>
      <c r="E430" s="133"/>
      <c r="F430" s="133"/>
      <c r="G430" s="130"/>
    </row>
    <row r="431" spans="2:7" x14ac:dyDescent="0.3">
      <c r="B431" s="51"/>
      <c r="C431" s="86"/>
      <c r="D431" s="86"/>
      <c r="E431" s="133"/>
      <c r="F431" s="133"/>
      <c r="G431" s="130"/>
    </row>
    <row r="432" spans="2:7" x14ac:dyDescent="0.3">
      <c r="B432" s="51"/>
      <c r="C432" s="86"/>
      <c r="D432" s="86"/>
      <c r="E432" s="133"/>
      <c r="F432" s="133"/>
      <c r="G432" s="130"/>
    </row>
    <row r="433" spans="2:7" x14ac:dyDescent="0.3">
      <c r="B433" s="51"/>
      <c r="C433" s="86"/>
      <c r="D433" s="86"/>
      <c r="E433" s="133"/>
      <c r="F433" s="133"/>
      <c r="G433" s="130"/>
    </row>
    <row r="434" spans="2:7" x14ac:dyDescent="0.3">
      <c r="B434" s="51"/>
      <c r="C434" s="86"/>
      <c r="D434" s="86"/>
      <c r="E434" s="133"/>
      <c r="F434" s="133"/>
      <c r="G434" s="130"/>
    </row>
    <row r="435" spans="2:7" x14ac:dyDescent="0.3">
      <c r="B435" s="51"/>
      <c r="C435" s="86"/>
      <c r="D435" s="86"/>
      <c r="E435" s="133"/>
      <c r="F435" s="133"/>
      <c r="G435" s="130"/>
    </row>
    <row r="436" spans="2:7" x14ac:dyDescent="0.3">
      <c r="B436" s="51"/>
      <c r="C436" s="86"/>
      <c r="D436" s="86"/>
      <c r="E436" s="133"/>
      <c r="F436" s="133"/>
      <c r="G436" s="130"/>
    </row>
    <row r="437" spans="2:7" x14ac:dyDescent="0.3">
      <c r="B437" s="51"/>
      <c r="C437" s="86"/>
      <c r="D437" s="86"/>
      <c r="E437" s="133"/>
      <c r="F437" s="133"/>
      <c r="G437" s="130"/>
    </row>
    <row r="438" spans="2:7" x14ac:dyDescent="0.3">
      <c r="B438" s="51"/>
      <c r="C438" s="86"/>
      <c r="D438" s="86"/>
      <c r="E438" s="133"/>
      <c r="F438" s="133"/>
      <c r="G438" s="130"/>
    </row>
    <row r="439" spans="2:7" x14ac:dyDescent="0.3">
      <c r="B439" s="51"/>
      <c r="C439" s="86"/>
      <c r="D439" s="86"/>
      <c r="E439" s="133"/>
      <c r="F439" s="133"/>
      <c r="G439" s="130"/>
    </row>
    <row r="440" spans="2:7" x14ac:dyDescent="0.3">
      <c r="B440" s="51"/>
      <c r="C440" s="86"/>
      <c r="D440" s="86"/>
      <c r="E440" s="133"/>
      <c r="F440" s="133"/>
      <c r="G440" s="130"/>
    </row>
    <row r="441" spans="2:7" x14ac:dyDescent="0.3">
      <c r="B441" s="51"/>
      <c r="C441" s="86"/>
      <c r="D441" s="86"/>
      <c r="E441" s="133"/>
      <c r="F441" s="133"/>
      <c r="G441" s="130"/>
    </row>
    <row r="442" spans="2:7" x14ac:dyDescent="0.3">
      <c r="B442" s="51"/>
      <c r="C442" s="86"/>
      <c r="D442" s="86"/>
      <c r="E442" s="133"/>
      <c r="F442" s="133"/>
      <c r="G442" s="130"/>
    </row>
    <row r="443" spans="2:7" x14ac:dyDescent="0.3">
      <c r="B443" s="51"/>
      <c r="C443" s="86"/>
      <c r="D443" s="86"/>
      <c r="E443" s="133"/>
      <c r="F443" s="133"/>
      <c r="G443" s="130"/>
    </row>
    <row r="444" spans="2:7" x14ac:dyDescent="0.3">
      <c r="B444" s="51"/>
      <c r="C444" s="86"/>
      <c r="D444" s="86"/>
      <c r="E444" s="133"/>
      <c r="F444" s="133"/>
      <c r="G444" s="130"/>
    </row>
    <row r="445" spans="2:7" x14ac:dyDescent="0.3">
      <c r="B445" s="51"/>
      <c r="C445" s="86"/>
      <c r="D445" s="86"/>
      <c r="E445" s="133"/>
      <c r="F445" s="133"/>
      <c r="G445" s="130"/>
    </row>
    <row r="446" spans="2:7" x14ac:dyDescent="0.3">
      <c r="B446" s="51"/>
      <c r="C446" s="86"/>
      <c r="D446" s="86"/>
      <c r="E446" s="133"/>
      <c r="F446" s="133"/>
      <c r="G446" s="130"/>
    </row>
    <row r="447" spans="2:7" x14ac:dyDescent="0.3">
      <c r="B447" s="51"/>
      <c r="C447" s="86"/>
      <c r="D447" s="86"/>
      <c r="E447" s="133"/>
      <c r="F447" s="133"/>
      <c r="G447" s="130"/>
    </row>
    <row r="448" spans="2:7" x14ac:dyDescent="0.3">
      <c r="B448" s="51"/>
      <c r="C448" s="86"/>
      <c r="D448" s="86"/>
      <c r="E448" s="133"/>
      <c r="F448" s="133"/>
      <c r="G448" s="130"/>
    </row>
    <row r="449" spans="2:7" x14ac:dyDescent="0.3">
      <c r="B449" s="51"/>
      <c r="C449" s="86"/>
      <c r="D449" s="86"/>
      <c r="E449" s="133"/>
      <c r="F449" s="133"/>
      <c r="G449" s="130"/>
    </row>
    <row r="450" spans="2:7" x14ac:dyDescent="0.3">
      <c r="B450" s="51"/>
      <c r="C450" s="86"/>
      <c r="D450" s="86"/>
      <c r="E450" s="133"/>
      <c r="F450" s="133"/>
      <c r="G450" s="130"/>
    </row>
    <row r="451" spans="2:7" x14ac:dyDescent="0.3">
      <c r="B451" s="51"/>
      <c r="C451" s="86"/>
      <c r="D451" s="86"/>
      <c r="E451" s="133"/>
      <c r="F451" s="133"/>
      <c r="G451" s="130"/>
    </row>
    <row r="452" spans="2:7" x14ac:dyDescent="0.3">
      <c r="B452" s="51"/>
      <c r="C452" s="86"/>
      <c r="D452" s="86"/>
      <c r="E452" s="133"/>
      <c r="F452" s="133"/>
      <c r="G452" s="130"/>
    </row>
    <row r="453" spans="2:7" x14ac:dyDescent="0.3">
      <c r="B453" s="51"/>
      <c r="C453" s="86"/>
      <c r="D453" s="86"/>
      <c r="E453" s="133"/>
      <c r="F453" s="133"/>
      <c r="G453" s="130"/>
    </row>
    <row r="454" spans="2:7" x14ac:dyDescent="0.3">
      <c r="B454" s="51"/>
      <c r="C454" s="86"/>
      <c r="D454" s="86"/>
      <c r="E454" s="133"/>
      <c r="F454" s="133"/>
      <c r="G454" s="130"/>
    </row>
    <row r="455" spans="2:7" x14ac:dyDescent="0.3">
      <c r="B455" s="51"/>
      <c r="C455" s="86"/>
      <c r="D455" s="86"/>
      <c r="E455" s="133"/>
      <c r="F455" s="133"/>
      <c r="G455" s="130"/>
    </row>
    <row r="456" spans="2:7" x14ac:dyDescent="0.3">
      <c r="B456" s="51"/>
      <c r="C456" s="86"/>
      <c r="D456" s="86"/>
      <c r="E456" s="133"/>
      <c r="F456" s="133"/>
      <c r="G456" s="130"/>
    </row>
    <row r="457" spans="2:7" x14ac:dyDescent="0.3">
      <c r="B457" s="51"/>
      <c r="C457" s="86"/>
      <c r="D457" s="86"/>
      <c r="E457" s="133"/>
      <c r="F457" s="133"/>
      <c r="G457" s="130"/>
    </row>
    <row r="458" spans="2:7" x14ac:dyDescent="0.3">
      <c r="B458" s="51"/>
      <c r="C458" s="86"/>
      <c r="D458" s="86"/>
      <c r="E458" s="133"/>
      <c r="F458" s="133"/>
      <c r="G458" s="130"/>
    </row>
    <row r="459" spans="2:7" x14ac:dyDescent="0.3">
      <c r="B459" s="51"/>
      <c r="C459" s="86"/>
      <c r="D459" s="86"/>
      <c r="E459" s="133"/>
      <c r="F459" s="133"/>
      <c r="G459" s="130"/>
    </row>
    <row r="460" spans="2:7" x14ac:dyDescent="0.3">
      <c r="B460" s="51"/>
      <c r="C460" s="86"/>
      <c r="D460" s="86"/>
      <c r="E460" s="133"/>
      <c r="F460" s="133"/>
      <c r="G460" s="130"/>
    </row>
    <row r="461" spans="2:7" x14ac:dyDescent="0.3">
      <c r="B461" s="51"/>
      <c r="C461" s="86"/>
      <c r="D461" s="86"/>
      <c r="E461" s="133"/>
      <c r="F461" s="133"/>
      <c r="G461" s="130"/>
    </row>
    <row r="462" spans="2:7" x14ac:dyDescent="0.3">
      <c r="B462" s="51"/>
      <c r="C462" s="86"/>
      <c r="D462" s="86"/>
      <c r="E462" s="133"/>
      <c r="F462" s="133"/>
      <c r="G462" s="130"/>
    </row>
    <row r="463" spans="2:7" x14ac:dyDescent="0.3">
      <c r="B463" s="51"/>
      <c r="C463" s="86"/>
      <c r="D463" s="86"/>
      <c r="E463" s="133"/>
      <c r="F463" s="133"/>
      <c r="G463" s="130"/>
    </row>
    <row r="464" spans="2:7" x14ac:dyDescent="0.3">
      <c r="B464" s="51"/>
      <c r="C464" s="86"/>
      <c r="D464" s="86"/>
      <c r="E464" s="133"/>
      <c r="F464" s="133"/>
      <c r="G464" s="130"/>
    </row>
    <row r="465" spans="2:7" x14ac:dyDescent="0.3">
      <c r="B465" s="51"/>
      <c r="C465" s="86"/>
      <c r="D465" s="86"/>
      <c r="E465" s="133"/>
      <c r="F465" s="133"/>
      <c r="G465" s="130"/>
    </row>
    <row r="466" spans="2:7" x14ac:dyDescent="0.3">
      <c r="B466" s="51"/>
      <c r="C466" s="86"/>
      <c r="D466" s="86"/>
      <c r="E466" s="133"/>
      <c r="F466" s="133"/>
      <c r="G466" s="130"/>
    </row>
    <row r="467" spans="2:7" x14ac:dyDescent="0.3">
      <c r="B467" s="51"/>
      <c r="C467" s="86"/>
      <c r="D467" s="86"/>
      <c r="E467" s="133"/>
      <c r="F467" s="133"/>
      <c r="G467" s="130"/>
    </row>
    <row r="468" spans="2:7" x14ac:dyDescent="0.3">
      <c r="B468" s="51"/>
      <c r="C468" s="86"/>
      <c r="D468" s="86"/>
      <c r="E468" s="133"/>
      <c r="F468" s="133"/>
      <c r="G468" s="130"/>
    </row>
    <row r="469" spans="2:7" x14ac:dyDescent="0.3">
      <c r="B469" s="51"/>
      <c r="C469" s="86"/>
      <c r="D469" s="86"/>
      <c r="E469" s="133"/>
      <c r="F469" s="133"/>
      <c r="G469" s="130"/>
    </row>
    <row r="470" spans="2:7" x14ac:dyDescent="0.3">
      <c r="B470" s="51"/>
      <c r="C470" s="86"/>
      <c r="D470" s="86"/>
      <c r="E470" s="133"/>
      <c r="F470" s="133"/>
      <c r="G470" s="130"/>
    </row>
    <row r="471" spans="2:7" x14ac:dyDescent="0.3">
      <c r="B471" s="51"/>
      <c r="C471" s="86"/>
      <c r="D471" s="86"/>
      <c r="E471" s="133"/>
      <c r="F471" s="133"/>
      <c r="G471" s="130"/>
    </row>
    <row r="472" spans="2:7" x14ac:dyDescent="0.3">
      <c r="B472" s="51"/>
      <c r="C472" s="86"/>
      <c r="D472" s="86"/>
      <c r="E472" s="133"/>
      <c r="F472" s="133"/>
      <c r="G472" s="130"/>
    </row>
    <row r="473" spans="2:7" x14ac:dyDescent="0.3">
      <c r="B473" s="51"/>
      <c r="C473" s="86"/>
      <c r="D473" s="86"/>
      <c r="E473" s="133"/>
      <c r="F473" s="133"/>
      <c r="G473" s="130"/>
    </row>
    <row r="474" spans="2:7" x14ac:dyDescent="0.3">
      <c r="B474" s="51"/>
      <c r="C474" s="86"/>
      <c r="D474" s="86"/>
      <c r="E474" s="133"/>
      <c r="F474" s="133"/>
      <c r="G474" s="130"/>
    </row>
    <row r="475" spans="2:7" x14ac:dyDescent="0.3">
      <c r="B475" s="51"/>
      <c r="C475" s="86"/>
      <c r="D475" s="86"/>
      <c r="E475" s="133"/>
      <c r="F475" s="133"/>
      <c r="G475" s="130"/>
    </row>
    <row r="476" spans="2:7" x14ac:dyDescent="0.3">
      <c r="B476" s="51"/>
      <c r="C476" s="86"/>
      <c r="D476" s="86"/>
      <c r="E476" s="133"/>
      <c r="F476" s="133"/>
      <c r="G476" s="130"/>
    </row>
    <row r="477" spans="2:7" x14ac:dyDescent="0.3">
      <c r="B477" s="51"/>
      <c r="C477" s="86"/>
      <c r="D477" s="86"/>
      <c r="E477" s="133"/>
      <c r="F477" s="133"/>
      <c r="G477" s="130"/>
    </row>
    <row r="478" spans="2:7" x14ac:dyDescent="0.3">
      <c r="B478" s="51"/>
      <c r="C478" s="86"/>
      <c r="D478" s="86"/>
      <c r="E478" s="133"/>
      <c r="F478" s="133"/>
      <c r="G478" s="130"/>
    </row>
    <row r="479" spans="2:7" x14ac:dyDescent="0.3">
      <c r="B479" s="51"/>
      <c r="C479" s="86"/>
      <c r="D479" s="86"/>
      <c r="E479" s="133"/>
      <c r="F479" s="133"/>
      <c r="G479" s="130"/>
    </row>
    <row r="480" spans="2:7" x14ac:dyDescent="0.3">
      <c r="B480" s="51"/>
      <c r="C480" s="86"/>
      <c r="D480" s="86"/>
      <c r="E480" s="133"/>
      <c r="F480" s="133"/>
      <c r="G480" s="130"/>
    </row>
    <row r="481" spans="2:7" x14ac:dyDescent="0.3">
      <c r="B481" s="51"/>
      <c r="C481" s="86"/>
      <c r="D481" s="86"/>
      <c r="E481" s="133"/>
      <c r="F481" s="133"/>
      <c r="G481" s="130"/>
    </row>
    <row r="482" spans="2:7" x14ac:dyDescent="0.3">
      <c r="B482" s="51"/>
      <c r="C482" s="86"/>
      <c r="D482" s="86"/>
      <c r="E482" s="133"/>
      <c r="F482" s="133"/>
      <c r="G482" s="130"/>
    </row>
    <row r="483" spans="2:7" x14ac:dyDescent="0.3">
      <c r="B483" s="51"/>
      <c r="C483" s="86"/>
      <c r="D483" s="86"/>
      <c r="E483" s="133"/>
      <c r="F483" s="133"/>
      <c r="G483" s="130"/>
    </row>
    <row r="484" spans="2:7" x14ac:dyDescent="0.3">
      <c r="B484" s="51"/>
      <c r="C484" s="86"/>
      <c r="D484" s="86"/>
      <c r="E484" s="133"/>
      <c r="F484" s="133"/>
      <c r="G484" s="130"/>
    </row>
    <row r="485" spans="2:7" x14ac:dyDescent="0.3">
      <c r="B485" s="51"/>
      <c r="C485" s="86"/>
      <c r="D485" s="86"/>
      <c r="E485" s="133"/>
      <c r="F485" s="133"/>
      <c r="G485" s="130"/>
    </row>
    <row r="486" spans="2:7" x14ac:dyDescent="0.3">
      <c r="B486" s="51"/>
      <c r="C486" s="86"/>
      <c r="D486" s="86"/>
      <c r="E486" s="133"/>
      <c r="F486" s="133"/>
      <c r="G486" s="130"/>
    </row>
    <row r="487" spans="2:7" x14ac:dyDescent="0.3">
      <c r="B487" s="51"/>
      <c r="C487" s="86"/>
      <c r="D487" s="86"/>
      <c r="E487" s="133"/>
      <c r="F487" s="133"/>
      <c r="G487" s="130"/>
    </row>
    <row r="488" spans="2:7" x14ac:dyDescent="0.3">
      <c r="B488" s="51"/>
      <c r="C488" s="86"/>
      <c r="D488" s="86"/>
      <c r="E488" s="133"/>
      <c r="F488" s="133"/>
      <c r="G488" s="130"/>
    </row>
    <row r="489" spans="2:7" x14ac:dyDescent="0.3">
      <c r="B489" s="51"/>
      <c r="C489" s="86"/>
      <c r="D489" s="86"/>
      <c r="E489" s="133"/>
      <c r="F489" s="133"/>
      <c r="G489" s="130"/>
    </row>
    <row r="490" spans="2:7" x14ac:dyDescent="0.3">
      <c r="B490" s="51"/>
      <c r="C490" s="86"/>
      <c r="D490" s="86"/>
      <c r="E490" s="133"/>
      <c r="F490" s="133"/>
      <c r="G490" s="130"/>
    </row>
    <row r="491" spans="2:7" x14ac:dyDescent="0.3">
      <c r="B491" s="51"/>
      <c r="C491" s="86"/>
      <c r="D491" s="86"/>
      <c r="E491" s="133"/>
      <c r="F491" s="133"/>
      <c r="G491" s="130"/>
    </row>
    <row r="492" spans="2:7" x14ac:dyDescent="0.3">
      <c r="B492" s="51"/>
      <c r="C492" s="86"/>
      <c r="D492" s="86"/>
      <c r="E492" s="133"/>
      <c r="F492" s="133"/>
      <c r="G492" s="130"/>
    </row>
    <row r="493" spans="2:7" x14ac:dyDescent="0.3">
      <c r="B493" s="51"/>
      <c r="C493" s="86"/>
      <c r="D493" s="86"/>
      <c r="E493" s="133"/>
      <c r="F493" s="133"/>
      <c r="G493" s="130"/>
    </row>
    <row r="494" spans="2:7" x14ac:dyDescent="0.3">
      <c r="B494" s="51"/>
      <c r="C494" s="86"/>
      <c r="D494" s="86"/>
      <c r="E494" s="133"/>
      <c r="F494" s="133"/>
      <c r="G494" s="130"/>
    </row>
    <row r="495" spans="2:7" x14ac:dyDescent="0.3">
      <c r="B495" s="51"/>
      <c r="C495" s="86"/>
      <c r="D495" s="86"/>
      <c r="E495" s="133"/>
      <c r="F495" s="133"/>
      <c r="G495" s="130"/>
    </row>
    <row r="496" spans="2:7" x14ac:dyDescent="0.3">
      <c r="B496" s="51"/>
      <c r="C496" s="86"/>
      <c r="D496" s="86"/>
      <c r="E496" s="133"/>
      <c r="F496" s="133"/>
      <c r="G496" s="130"/>
    </row>
    <row r="497" spans="2:7" x14ac:dyDescent="0.3">
      <c r="B497" s="51"/>
      <c r="C497" s="86"/>
      <c r="D497" s="86"/>
      <c r="E497" s="133"/>
      <c r="F497" s="133"/>
      <c r="G497" s="130"/>
    </row>
    <row r="498" spans="2:7" x14ac:dyDescent="0.3">
      <c r="B498" s="51"/>
      <c r="C498" s="86"/>
      <c r="D498" s="86"/>
      <c r="E498" s="133"/>
      <c r="F498" s="133"/>
      <c r="G498" s="130"/>
    </row>
    <row r="499" spans="2:7" x14ac:dyDescent="0.3">
      <c r="B499" s="51"/>
      <c r="C499" s="86"/>
      <c r="D499" s="86"/>
      <c r="E499" s="133"/>
      <c r="F499" s="133"/>
      <c r="G499" s="130"/>
    </row>
    <row r="500" spans="2:7" x14ac:dyDescent="0.3">
      <c r="B500" s="51"/>
      <c r="C500" s="86"/>
      <c r="D500" s="86"/>
      <c r="E500" s="133"/>
      <c r="F500" s="133"/>
      <c r="G500" s="130"/>
    </row>
    <row r="501" spans="2:7" x14ac:dyDescent="0.3">
      <c r="B501" s="51"/>
      <c r="C501" s="86"/>
      <c r="D501" s="86"/>
      <c r="E501" s="133"/>
      <c r="F501" s="133"/>
      <c r="G501" s="130"/>
    </row>
    <row r="502" spans="2:7" x14ac:dyDescent="0.3">
      <c r="B502" s="51"/>
      <c r="C502" s="86"/>
      <c r="D502" s="86"/>
      <c r="E502" s="133"/>
      <c r="F502" s="133"/>
      <c r="G502" s="130"/>
    </row>
    <row r="503" spans="2:7" x14ac:dyDescent="0.3">
      <c r="B503" s="51"/>
      <c r="C503" s="86"/>
      <c r="D503" s="86"/>
      <c r="E503" s="133"/>
      <c r="F503" s="133"/>
      <c r="G503" s="130"/>
    </row>
    <row r="504" spans="2:7" x14ac:dyDescent="0.3">
      <c r="B504" s="51"/>
      <c r="C504" s="86"/>
      <c r="D504" s="86"/>
      <c r="E504" s="133"/>
      <c r="F504" s="133"/>
      <c r="G504" s="130"/>
    </row>
    <row r="505" spans="2:7" x14ac:dyDescent="0.3">
      <c r="B505" s="51"/>
      <c r="C505" s="86"/>
      <c r="D505" s="86"/>
      <c r="E505" s="133"/>
      <c r="F505" s="133"/>
      <c r="G505" s="130"/>
    </row>
    <row r="506" spans="2:7" x14ac:dyDescent="0.3">
      <c r="B506" s="51"/>
      <c r="C506" s="86"/>
      <c r="D506" s="86"/>
      <c r="E506" s="133"/>
      <c r="F506" s="133"/>
      <c r="G506" s="130"/>
    </row>
    <row r="507" spans="2:7" x14ac:dyDescent="0.3">
      <c r="B507" s="51"/>
      <c r="C507" s="86"/>
      <c r="D507" s="86"/>
      <c r="E507" s="133"/>
      <c r="F507" s="133"/>
      <c r="G507" s="130"/>
    </row>
    <row r="508" spans="2:7" x14ac:dyDescent="0.3">
      <c r="B508" s="51"/>
      <c r="C508" s="86"/>
      <c r="D508" s="86"/>
      <c r="E508" s="133"/>
      <c r="F508" s="133"/>
      <c r="G508" s="130"/>
    </row>
    <row r="509" spans="2:7" x14ac:dyDescent="0.3">
      <c r="B509" s="51"/>
      <c r="C509" s="86"/>
      <c r="D509" s="86"/>
      <c r="E509" s="133"/>
      <c r="F509" s="133"/>
      <c r="G509" s="130"/>
    </row>
    <row r="510" spans="2:7" x14ac:dyDescent="0.3">
      <c r="B510" s="51"/>
      <c r="C510" s="86"/>
      <c r="D510" s="86"/>
      <c r="E510" s="133"/>
      <c r="F510" s="133"/>
      <c r="G510" s="130"/>
    </row>
    <row r="511" spans="2:7" x14ac:dyDescent="0.3">
      <c r="B511" s="51"/>
      <c r="C511" s="86"/>
      <c r="D511" s="86"/>
      <c r="E511" s="133"/>
      <c r="F511" s="133"/>
      <c r="G511" s="130"/>
    </row>
    <row r="512" spans="2:7" x14ac:dyDescent="0.3">
      <c r="B512" s="51"/>
      <c r="C512" s="86"/>
      <c r="D512" s="86"/>
      <c r="E512" s="133"/>
      <c r="F512" s="133"/>
      <c r="G512" s="130"/>
    </row>
    <row r="513" spans="2:7" x14ac:dyDescent="0.3">
      <c r="B513" s="51"/>
      <c r="C513" s="86"/>
      <c r="D513" s="86"/>
      <c r="E513" s="133"/>
      <c r="F513" s="133"/>
      <c r="G513" s="130"/>
    </row>
    <row r="514" spans="2:7" x14ac:dyDescent="0.3">
      <c r="B514" s="51"/>
      <c r="C514" s="86"/>
      <c r="D514" s="86"/>
      <c r="E514" s="133"/>
      <c r="F514" s="133"/>
      <c r="G514" s="130"/>
    </row>
    <row r="515" spans="2:7" x14ac:dyDescent="0.3">
      <c r="B515" s="51"/>
      <c r="C515" s="86"/>
      <c r="D515" s="86"/>
      <c r="E515" s="133"/>
      <c r="F515" s="133"/>
      <c r="G515" s="130"/>
    </row>
    <row r="516" spans="2:7" x14ac:dyDescent="0.3">
      <c r="B516" s="51"/>
      <c r="C516" s="86"/>
      <c r="D516" s="86"/>
      <c r="E516" s="133"/>
      <c r="F516" s="133"/>
      <c r="G516" s="130"/>
    </row>
    <row r="517" spans="2:7" x14ac:dyDescent="0.3">
      <c r="B517" s="51"/>
      <c r="C517" s="86"/>
      <c r="D517" s="86"/>
      <c r="E517" s="133"/>
      <c r="F517" s="133"/>
      <c r="G517" s="130"/>
    </row>
    <row r="518" spans="2:7" x14ac:dyDescent="0.3">
      <c r="B518" s="51"/>
      <c r="C518" s="86"/>
      <c r="D518" s="86"/>
      <c r="E518" s="133"/>
      <c r="F518" s="133"/>
      <c r="G518" s="130"/>
    </row>
    <row r="519" spans="2:7" x14ac:dyDescent="0.3">
      <c r="B519" s="51"/>
      <c r="C519" s="86"/>
      <c r="D519" s="86"/>
      <c r="E519" s="133"/>
      <c r="F519" s="133"/>
      <c r="G519" s="130"/>
    </row>
    <row r="520" spans="2:7" x14ac:dyDescent="0.3">
      <c r="B520" s="51"/>
      <c r="C520" s="86"/>
      <c r="D520" s="86"/>
      <c r="E520" s="133"/>
      <c r="F520" s="133"/>
      <c r="G520" s="130"/>
    </row>
    <row r="521" spans="2:7" x14ac:dyDescent="0.3">
      <c r="B521" s="51"/>
      <c r="C521" s="86"/>
      <c r="D521" s="86"/>
      <c r="E521" s="133"/>
      <c r="F521" s="133"/>
      <c r="G521" s="130"/>
    </row>
    <row r="522" spans="2:7" x14ac:dyDescent="0.3">
      <c r="B522" s="51"/>
      <c r="C522" s="86"/>
      <c r="D522" s="86"/>
      <c r="E522" s="133"/>
      <c r="F522" s="133"/>
      <c r="G522" s="130"/>
    </row>
    <row r="523" spans="2:7" x14ac:dyDescent="0.3">
      <c r="B523" s="51"/>
      <c r="C523" s="86"/>
      <c r="D523" s="86"/>
      <c r="E523" s="133"/>
      <c r="F523" s="133"/>
    </row>
    <row r="524" spans="2:7" hidden="1" x14ac:dyDescent="0.3">
      <c r="B524" s="86"/>
      <c r="C524" s="86"/>
      <c r="D524" s="86"/>
    </row>
    <row r="525" spans="2:7" hidden="1" x14ac:dyDescent="0.3">
      <c r="B525" s="86"/>
      <c r="C525" s="86"/>
      <c r="D525" s="86"/>
    </row>
    <row r="526" spans="2:7" hidden="1" x14ac:dyDescent="0.3">
      <c r="B526" s="86"/>
      <c r="C526" s="86"/>
      <c r="D526" s="86"/>
    </row>
    <row r="527" spans="2:7" hidden="1" x14ac:dyDescent="0.3">
      <c r="B527" s="86"/>
      <c r="C527" s="86"/>
      <c r="D527" s="86"/>
    </row>
    <row r="528" spans="2:7" hidden="1" x14ac:dyDescent="0.3">
      <c r="B528" s="86"/>
      <c r="C528" s="86"/>
      <c r="D528" s="86"/>
    </row>
    <row r="529" spans="2:4" hidden="1" x14ac:dyDescent="0.3">
      <c r="B529" s="86"/>
      <c r="C529" s="86"/>
      <c r="D529" s="86"/>
    </row>
    <row r="530" spans="2:4" hidden="1" x14ac:dyDescent="0.3">
      <c r="B530" s="86"/>
      <c r="C530" s="86"/>
      <c r="D530" s="86"/>
    </row>
    <row r="531" spans="2:4" hidden="1" x14ac:dyDescent="0.3">
      <c r="B531" s="86"/>
      <c r="C531" s="86"/>
      <c r="D531" s="86"/>
    </row>
    <row r="532" spans="2:4" hidden="1" x14ac:dyDescent="0.3">
      <c r="B532" s="86"/>
      <c r="C532" s="86"/>
      <c r="D532" s="86"/>
    </row>
    <row r="533" spans="2:4" hidden="1" x14ac:dyDescent="0.3">
      <c r="B533" s="86"/>
      <c r="C533" s="86"/>
      <c r="D533" s="86"/>
    </row>
    <row r="534" spans="2:4" hidden="1" x14ac:dyDescent="0.3">
      <c r="B534" s="86"/>
      <c r="C534" s="86"/>
      <c r="D534" s="86"/>
    </row>
    <row r="535" spans="2:4" hidden="1" x14ac:dyDescent="0.3">
      <c r="B535" s="86"/>
      <c r="C535" s="86"/>
      <c r="D535" s="86"/>
    </row>
    <row r="536" spans="2:4" hidden="1" x14ac:dyDescent="0.3">
      <c r="B536" s="86"/>
      <c r="C536" s="86"/>
      <c r="D536" s="86"/>
    </row>
    <row r="537" spans="2:4" hidden="1" x14ac:dyDescent="0.3">
      <c r="B537" s="86"/>
      <c r="C537" s="86"/>
      <c r="D537" s="86"/>
    </row>
    <row r="538" spans="2:4" hidden="1" x14ac:dyDescent="0.3">
      <c r="B538" s="86"/>
      <c r="C538" s="86"/>
      <c r="D538" s="86"/>
    </row>
    <row r="539" spans="2:4" hidden="1" x14ac:dyDescent="0.3">
      <c r="B539" s="86"/>
      <c r="C539" s="86"/>
      <c r="D539" s="86"/>
    </row>
    <row r="540" spans="2:4" hidden="1" x14ac:dyDescent="0.3">
      <c r="B540" s="86"/>
      <c r="C540" s="86"/>
      <c r="D540" s="86"/>
    </row>
    <row r="541" spans="2:4" hidden="1" x14ac:dyDescent="0.3">
      <c r="B541" s="86"/>
      <c r="C541" s="86"/>
      <c r="D541" s="86"/>
    </row>
    <row r="542" spans="2:4" hidden="1" x14ac:dyDescent="0.3">
      <c r="B542" s="86"/>
      <c r="C542" s="86"/>
      <c r="D542" s="86"/>
    </row>
    <row r="543" spans="2:4" hidden="1" x14ac:dyDescent="0.3">
      <c r="B543" s="86"/>
      <c r="C543" s="86"/>
      <c r="D543" s="86"/>
    </row>
    <row r="544" spans="2:4" hidden="1" x14ac:dyDescent="0.3">
      <c r="B544" s="86"/>
      <c r="C544" s="86"/>
      <c r="D544" s="86"/>
    </row>
    <row r="545" spans="2:4" hidden="1" x14ac:dyDescent="0.3">
      <c r="B545" s="86"/>
      <c r="C545" s="86"/>
      <c r="D545" s="86"/>
    </row>
    <row r="546" spans="2:4" hidden="1" x14ac:dyDescent="0.3">
      <c r="B546" s="86"/>
      <c r="C546" s="86"/>
      <c r="D546" s="86"/>
    </row>
    <row r="547" spans="2:4" hidden="1" x14ac:dyDescent="0.3">
      <c r="B547" s="86"/>
      <c r="C547" s="86"/>
      <c r="D547" s="86"/>
    </row>
    <row r="548" spans="2:4" hidden="1" x14ac:dyDescent="0.3">
      <c r="B548" s="86"/>
      <c r="C548" s="86"/>
      <c r="D548" s="86"/>
    </row>
    <row r="549" spans="2:4" hidden="1" x14ac:dyDescent="0.3">
      <c r="B549" s="86"/>
      <c r="C549" s="86"/>
      <c r="D549" s="86"/>
    </row>
    <row r="550" spans="2:4" hidden="1" x14ac:dyDescent="0.3">
      <c r="B550" s="86"/>
      <c r="C550" s="86"/>
      <c r="D550" s="86"/>
    </row>
    <row r="551" spans="2:4" hidden="1" x14ac:dyDescent="0.3">
      <c r="B551" s="86"/>
      <c r="C551" s="86"/>
      <c r="D551" s="86"/>
    </row>
    <row r="552" spans="2:4" hidden="1" x14ac:dyDescent="0.3">
      <c r="B552" s="86"/>
      <c r="C552" s="86"/>
      <c r="D552" s="86"/>
    </row>
    <row r="553" spans="2:4" hidden="1" x14ac:dyDescent="0.3">
      <c r="B553" s="86"/>
      <c r="C553" s="86"/>
      <c r="D553" s="86"/>
    </row>
    <row r="554" spans="2:4" hidden="1" x14ac:dyDescent="0.3">
      <c r="B554" s="86"/>
      <c r="C554" s="86"/>
      <c r="D554" s="86"/>
    </row>
    <row r="555" spans="2:4" hidden="1" x14ac:dyDescent="0.3">
      <c r="B555" s="86"/>
      <c r="C555" s="86"/>
      <c r="D555" s="86"/>
    </row>
    <row r="556" spans="2:4" hidden="1" x14ac:dyDescent="0.3">
      <c r="B556" s="86"/>
      <c r="C556" s="86"/>
      <c r="D556" s="86"/>
    </row>
    <row r="557" spans="2:4" hidden="1" x14ac:dyDescent="0.3">
      <c r="B557" s="86"/>
      <c r="C557" s="86"/>
      <c r="D557" s="86"/>
    </row>
    <row r="558" spans="2:4" hidden="1" x14ac:dyDescent="0.3">
      <c r="B558" s="86"/>
      <c r="C558" s="86"/>
      <c r="D558" s="86"/>
    </row>
    <row r="559" spans="2:4" hidden="1" x14ac:dyDescent="0.3">
      <c r="B559" s="86"/>
      <c r="C559" s="86"/>
      <c r="D559" s="86"/>
    </row>
    <row r="560" spans="2:4" hidden="1" x14ac:dyDescent="0.3">
      <c r="B560" s="86"/>
      <c r="C560" s="86"/>
      <c r="D560" s="86"/>
    </row>
    <row r="561" spans="2:4" hidden="1" x14ac:dyDescent="0.3">
      <c r="B561" s="86"/>
      <c r="C561" s="86"/>
      <c r="D561" s="86"/>
    </row>
    <row r="562" spans="2:4" hidden="1" x14ac:dyDescent="0.3">
      <c r="B562" s="86"/>
      <c r="C562" s="86"/>
      <c r="D562" s="86"/>
    </row>
    <row r="563" spans="2:4" hidden="1" x14ac:dyDescent="0.3">
      <c r="B563" s="86"/>
      <c r="C563" s="86"/>
      <c r="D563" s="86"/>
    </row>
    <row r="564" spans="2:4" hidden="1" x14ac:dyDescent="0.3">
      <c r="B564" s="86"/>
      <c r="C564" s="86"/>
      <c r="D564" s="86"/>
    </row>
    <row r="565" spans="2:4" hidden="1" x14ac:dyDescent="0.3">
      <c r="B565" s="86"/>
      <c r="C565" s="86"/>
      <c r="D565" s="86"/>
    </row>
    <row r="566" spans="2:4" hidden="1" x14ac:dyDescent="0.3">
      <c r="B566" s="86"/>
      <c r="C566" s="86"/>
      <c r="D566" s="86"/>
    </row>
    <row r="567" spans="2:4" hidden="1" x14ac:dyDescent="0.3">
      <c r="B567" s="86"/>
      <c r="C567" s="86"/>
      <c r="D567" s="86"/>
    </row>
    <row r="568" spans="2:4" hidden="1" x14ac:dyDescent="0.3">
      <c r="B568" s="86"/>
      <c r="C568" s="86"/>
      <c r="D568" s="86"/>
    </row>
    <row r="569" spans="2:4" hidden="1" x14ac:dyDescent="0.3">
      <c r="B569" s="86"/>
      <c r="C569" s="86"/>
      <c r="D569" s="86"/>
    </row>
    <row r="570" spans="2:4" hidden="1" x14ac:dyDescent="0.3">
      <c r="B570" s="86"/>
      <c r="C570" s="86"/>
      <c r="D570" s="86"/>
    </row>
    <row r="571" spans="2:4" hidden="1" x14ac:dyDescent="0.3">
      <c r="B571" s="86"/>
      <c r="C571" s="86"/>
      <c r="D571" s="86"/>
    </row>
    <row r="572" spans="2:4" hidden="1" x14ac:dyDescent="0.3">
      <c r="B572" s="86"/>
      <c r="C572" s="86"/>
      <c r="D572" s="86"/>
    </row>
    <row r="573" spans="2:4" hidden="1" x14ac:dyDescent="0.3">
      <c r="B573" s="86"/>
      <c r="C573" s="86"/>
      <c r="D573" s="86"/>
    </row>
    <row r="574" spans="2:4" hidden="1" x14ac:dyDescent="0.3">
      <c r="B574" s="86"/>
      <c r="C574" s="86"/>
      <c r="D574" s="86"/>
    </row>
    <row r="575" spans="2:4" hidden="1" x14ac:dyDescent="0.3">
      <c r="B575" s="86"/>
      <c r="C575" s="86"/>
      <c r="D575" s="86"/>
    </row>
    <row r="576" spans="2:4" hidden="1" x14ac:dyDescent="0.3">
      <c r="B576" s="86"/>
      <c r="C576" s="86"/>
      <c r="D576" s="86"/>
    </row>
    <row r="577" spans="2:4" hidden="1" x14ac:dyDescent="0.3">
      <c r="B577" s="86"/>
      <c r="C577" s="86"/>
      <c r="D577" s="86"/>
    </row>
    <row r="578" spans="2:4" hidden="1" x14ac:dyDescent="0.3">
      <c r="B578" s="86"/>
      <c r="C578" s="86"/>
      <c r="D578" s="86"/>
    </row>
    <row r="579" spans="2:4" hidden="1" x14ac:dyDescent="0.3">
      <c r="B579" s="86"/>
      <c r="C579" s="86"/>
      <c r="D579" s="86"/>
    </row>
    <row r="580" spans="2:4" hidden="1" x14ac:dyDescent="0.3">
      <c r="B580" s="86"/>
      <c r="C580" s="86"/>
      <c r="D580" s="86"/>
    </row>
    <row r="581" spans="2:4" hidden="1" x14ac:dyDescent="0.3">
      <c r="B581" s="86"/>
      <c r="C581" s="86"/>
      <c r="D581" s="86"/>
    </row>
    <row r="582" spans="2:4" hidden="1" x14ac:dyDescent="0.3">
      <c r="B582" s="86"/>
      <c r="C582" s="86"/>
      <c r="D582" s="86"/>
    </row>
    <row r="583" spans="2:4" hidden="1" x14ac:dyDescent="0.3">
      <c r="B583" s="86"/>
      <c r="C583" s="86"/>
      <c r="D583" s="86"/>
    </row>
    <row r="584" spans="2:4" hidden="1" x14ac:dyDescent="0.3">
      <c r="B584" s="86"/>
      <c r="C584" s="86"/>
      <c r="D584" s="86"/>
    </row>
    <row r="585" spans="2:4" hidden="1" x14ac:dyDescent="0.3">
      <c r="B585" s="86"/>
      <c r="C585" s="86"/>
      <c r="D585" s="86"/>
    </row>
    <row r="586" spans="2:4" hidden="1" x14ac:dyDescent="0.3">
      <c r="B586" s="86"/>
      <c r="C586" s="86"/>
      <c r="D586" s="86"/>
    </row>
    <row r="587" spans="2:4" hidden="1" x14ac:dyDescent="0.3">
      <c r="B587" s="86"/>
      <c r="C587" s="86"/>
      <c r="D587" s="86"/>
    </row>
    <row r="588" spans="2:4" hidden="1" x14ac:dyDescent="0.3">
      <c r="B588" s="86"/>
      <c r="C588" s="86"/>
      <c r="D588" s="86"/>
    </row>
    <row r="589" spans="2:4" hidden="1" x14ac:dyDescent="0.3">
      <c r="B589" s="86"/>
      <c r="C589" s="86"/>
      <c r="D589" s="86"/>
    </row>
    <row r="590" spans="2:4" hidden="1" x14ac:dyDescent="0.3">
      <c r="B590" s="86"/>
      <c r="C590" s="86"/>
      <c r="D590" s="86"/>
    </row>
    <row r="591" spans="2:4" hidden="1" x14ac:dyDescent="0.3">
      <c r="B591" s="86"/>
      <c r="C591" s="86"/>
      <c r="D591" s="86"/>
    </row>
    <row r="592" spans="2:4" hidden="1" x14ac:dyDescent="0.3">
      <c r="B592" s="86"/>
      <c r="C592" s="86"/>
      <c r="D592" s="86"/>
    </row>
    <row r="593" spans="2:4" hidden="1" x14ac:dyDescent="0.3">
      <c r="B593" s="86"/>
      <c r="C593" s="86"/>
      <c r="D593" s="86"/>
    </row>
    <row r="594" spans="2:4" hidden="1" x14ac:dyDescent="0.3">
      <c r="B594" s="86"/>
      <c r="C594" s="86"/>
      <c r="D594" s="86"/>
    </row>
    <row r="595" spans="2:4" hidden="1" x14ac:dyDescent="0.3">
      <c r="B595" s="86"/>
      <c r="C595" s="86"/>
      <c r="D595" s="86"/>
    </row>
    <row r="596" spans="2:4" hidden="1" x14ac:dyDescent="0.3">
      <c r="B596" s="86"/>
      <c r="C596" s="86"/>
      <c r="D596" s="86"/>
    </row>
    <row r="597" spans="2:4" hidden="1" x14ac:dyDescent="0.3">
      <c r="B597" s="86"/>
      <c r="C597" s="86"/>
      <c r="D597" s="86"/>
    </row>
    <row r="598" spans="2:4" hidden="1" x14ac:dyDescent="0.3">
      <c r="B598" s="86"/>
      <c r="C598" s="86"/>
      <c r="D598" s="86"/>
    </row>
    <row r="599" spans="2:4" hidden="1" x14ac:dyDescent="0.3">
      <c r="B599" s="86"/>
      <c r="C599" s="86"/>
      <c r="D599" s="86"/>
    </row>
    <row r="600" spans="2:4" hidden="1" x14ac:dyDescent="0.3">
      <c r="B600" s="86"/>
      <c r="C600" s="86"/>
      <c r="D600" s="86"/>
    </row>
    <row r="601" spans="2:4" hidden="1" x14ac:dyDescent="0.3">
      <c r="B601" s="86"/>
      <c r="C601" s="86"/>
      <c r="D601" s="86"/>
    </row>
    <row r="602" spans="2:4" hidden="1" x14ac:dyDescent="0.3">
      <c r="B602" s="86"/>
      <c r="C602" s="86"/>
      <c r="D602" s="86"/>
    </row>
    <row r="603" spans="2:4" hidden="1" x14ac:dyDescent="0.3">
      <c r="B603" s="86"/>
      <c r="C603" s="86"/>
      <c r="D603" s="86"/>
    </row>
    <row r="604" spans="2:4" hidden="1" x14ac:dyDescent="0.3">
      <c r="B604" s="86"/>
      <c r="C604" s="86"/>
      <c r="D604" s="86"/>
    </row>
    <row r="605" spans="2:4" hidden="1" x14ac:dyDescent="0.3">
      <c r="B605" s="86"/>
      <c r="C605" s="86"/>
      <c r="D605" s="86"/>
    </row>
    <row r="606" spans="2:4" hidden="1" x14ac:dyDescent="0.3">
      <c r="B606" s="86"/>
      <c r="C606" s="86"/>
      <c r="D606" s="86"/>
    </row>
    <row r="607" spans="2:4" hidden="1" x14ac:dyDescent="0.3">
      <c r="B607" s="86"/>
      <c r="C607" s="86"/>
      <c r="D607" s="86"/>
    </row>
    <row r="608" spans="2:4" hidden="1" x14ac:dyDescent="0.3">
      <c r="B608" s="86"/>
      <c r="C608" s="86"/>
      <c r="D608" s="86"/>
    </row>
    <row r="609" spans="2:4" hidden="1" x14ac:dyDescent="0.3">
      <c r="B609" s="86"/>
      <c r="C609" s="86"/>
      <c r="D609" s="86"/>
    </row>
    <row r="610" spans="2:4" hidden="1" x14ac:dyDescent="0.3">
      <c r="B610" s="86"/>
      <c r="C610" s="86"/>
      <c r="D610" s="86"/>
    </row>
    <row r="611" spans="2:4" hidden="1" x14ac:dyDescent="0.3">
      <c r="B611" s="86"/>
      <c r="C611" s="86"/>
      <c r="D611" s="86"/>
    </row>
    <row r="612" spans="2:4" hidden="1" x14ac:dyDescent="0.3">
      <c r="B612" s="86"/>
      <c r="C612" s="86"/>
      <c r="D612" s="86"/>
    </row>
    <row r="613" spans="2:4" hidden="1" x14ac:dyDescent="0.3">
      <c r="B613" s="86"/>
      <c r="C613" s="86"/>
      <c r="D613" s="86"/>
    </row>
    <row r="614" spans="2:4" hidden="1" x14ac:dyDescent="0.3">
      <c r="B614" s="86"/>
      <c r="C614" s="86"/>
      <c r="D614" s="86"/>
    </row>
    <row r="615" spans="2:4" hidden="1" x14ac:dyDescent="0.3">
      <c r="B615" s="86"/>
      <c r="C615" s="86"/>
      <c r="D615" s="86"/>
    </row>
    <row r="616" spans="2:4" hidden="1" x14ac:dyDescent="0.3">
      <c r="B616" s="86"/>
      <c r="C616" s="86"/>
      <c r="D616" s="86"/>
    </row>
    <row r="617" spans="2:4" hidden="1" x14ac:dyDescent="0.3">
      <c r="B617" s="86"/>
      <c r="C617" s="86"/>
      <c r="D617" s="86"/>
    </row>
    <row r="618" spans="2:4" hidden="1" x14ac:dyDescent="0.3">
      <c r="B618" s="86"/>
      <c r="C618" s="86"/>
      <c r="D618" s="86"/>
    </row>
    <row r="619" spans="2:4" hidden="1" x14ac:dyDescent="0.3">
      <c r="B619" s="86"/>
      <c r="C619" s="86"/>
      <c r="D619" s="86"/>
    </row>
    <row r="620" spans="2:4" hidden="1" x14ac:dyDescent="0.3">
      <c r="B620" s="86"/>
      <c r="C620" s="86"/>
      <c r="D620" s="86"/>
    </row>
    <row r="621" spans="2:4" hidden="1" x14ac:dyDescent="0.3">
      <c r="B621" s="86"/>
      <c r="C621" s="86"/>
      <c r="D621" s="86"/>
    </row>
    <row r="622" spans="2:4" hidden="1" x14ac:dyDescent="0.3">
      <c r="B622" s="86"/>
      <c r="C622" s="86"/>
      <c r="D622" s="86"/>
    </row>
    <row r="623" spans="2:4" hidden="1" x14ac:dyDescent="0.3">
      <c r="B623" s="86"/>
      <c r="C623" s="86"/>
      <c r="D623" s="86"/>
    </row>
    <row r="624" spans="2:4" hidden="1" x14ac:dyDescent="0.3">
      <c r="B624" s="86"/>
      <c r="C624" s="86"/>
      <c r="D624" s="86"/>
    </row>
    <row r="625" spans="2:4" hidden="1" x14ac:dyDescent="0.3">
      <c r="B625" s="86"/>
      <c r="C625" s="86"/>
      <c r="D625" s="86"/>
    </row>
    <row r="626" spans="2:4" hidden="1" x14ac:dyDescent="0.3">
      <c r="B626" s="86"/>
      <c r="C626" s="86"/>
      <c r="D626" s="86"/>
    </row>
    <row r="627" spans="2:4" hidden="1" x14ac:dyDescent="0.3">
      <c r="B627" s="86"/>
      <c r="C627" s="86"/>
      <c r="D627" s="86"/>
    </row>
    <row r="628" spans="2:4" hidden="1" x14ac:dyDescent="0.3">
      <c r="B628" s="86"/>
      <c r="C628" s="86"/>
      <c r="D628" s="86"/>
    </row>
    <row r="629" spans="2:4" hidden="1" x14ac:dyDescent="0.3">
      <c r="B629" s="86"/>
      <c r="C629" s="86"/>
      <c r="D629" s="86"/>
    </row>
    <row r="630" spans="2:4" hidden="1" x14ac:dyDescent="0.3">
      <c r="B630" s="86"/>
      <c r="C630" s="86"/>
      <c r="D630" s="86"/>
    </row>
    <row r="631" spans="2:4" hidden="1" x14ac:dyDescent="0.3">
      <c r="B631" s="86"/>
      <c r="C631" s="86"/>
      <c r="D631" s="86"/>
    </row>
    <row r="632" spans="2:4" hidden="1" x14ac:dyDescent="0.3">
      <c r="B632" s="86"/>
      <c r="C632" s="86"/>
      <c r="D632" s="86"/>
    </row>
    <row r="633" spans="2:4" hidden="1" x14ac:dyDescent="0.3">
      <c r="B633" s="86"/>
      <c r="C633" s="86"/>
      <c r="D633" s="86"/>
    </row>
    <row r="634" spans="2:4" hidden="1" x14ac:dyDescent="0.3">
      <c r="B634" s="86"/>
      <c r="C634" s="86"/>
      <c r="D634" s="86"/>
    </row>
    <row r="635" spans="2:4" hidden="1" x14ac:dyDescent="0.3">
      <c r="B635" s="86"/>
      <c r="C635" s="86"/>
      <c r="D635" s="86"/>
    </row>
    <row r="636" spans="2:4" hidden="1" x14ac:dyDescent="0.3">
      <c r="B636" s="86"/>
      <c r="C636" s="86"/>
      <c r="D636" s="86"/>
    </row>
    <row r="637" spans="2:4" hidden="1" x14ac:dyDescent="0.3">
      <c r="B637" s="86"/>
      <c r="C637" s="86"/>
      <c r="D637" s="86"/>
    </row>
    <row r="638" spans="2:4" hidden="1" x14ac:dyDescent="0.3">
      <c r="B638" s="86"/>
      <c r="C638" s="86"/>
      <c r="D638" s="86"/>
    </row>
    <row r="639" spans="2:4" hidden="1" x14ac:dyDescent="0.3">
      <c r="B639" s="86"/>
      <c r="C639" s="86"/>
      <c r="D639" s="86"/>
    </row>
    <row r="640" spans="2:4" hidden="1" x14ac:dyDescent="0.3">
      <c r="B640" s="86"/>
      <c r="C640" s="86"/>
      <c r="D640" s="86"/>
    </row>
    <row r="641" spans="2:4" hidden="1" x14ac:dyDescent="0.3">
      <c r="B641" s="86"/>
      <c r="C641" s="86"/>
      <c r="D641" s="86"/>
    </row>
    <row r="642" spans="2:4" hidden="1" x14ac:dyDescent="0.3">
      <c r="B642" s="86"/>
      <c r="C642" s="86"/>
      <c r="D642" s="86"/>
    </row>
    <row r="643" spans="2:4" hidden="1" x14ac:dyDescent="0.3">
      <c r="B643" s="86"/>
      <c r="C643" s="86"/>
      <c r="D643" s="86"/>
    </row>
    <row r="644" spans="2:4" hidden="1" x14ac:dyDescent="0.3">
      <c r="B644" s="86"/>
      <c r="C644" s="86"/>
      <c r="D644" s="86"/>
    </row>
    <row r="645" spans="2:4" hidden="1" x14ac:dyDescent="0.3">
      <c r="B645" s="86"/>
      <c r="C645" s="86"/>
      <c r="D645" s="86"/>
    </row>
    <row r="646" spans="2:4" hidden="1" x14ac:dyDescent="0.3">
      <c r="B646" s="86"/>
      <c r="C646" s="86"/>
      <c r="D646" s="86"/>
    </row>
    <row r="647" spans="2:4" hidden="1" x14ac:dyDescent="0.3">
      <c r="B647" s="86"/>
      <c r="C647" s="86"/>
      <c r="D647" s="86"/>
    </row>
    <row r="648" spans="2:4" hidden="1" x14ac:dyDescent="0.3">
      <c r="B648" s="86"/>
      <c r="C648" s="86"/>
      <c r="D648" s="86"/>
    </row>
    <row r="649" spans="2:4" hidden="1" x14ac:dyDescent="0.3">
      <c r="B649" s="86"/>
      <c r="C649" s="86"/>
      <c r="D649" s="86"/>
    </row>
    <row r="650" spans="2:4" hidden="1" x14ac:dyDescent="0.3">
      <c r="B650" s="86"/>
      <c r="C650" s="86"/>
      <c r="D650" s="86"/>
    </row>
    <row r="651" spans="2:4" hidden="1" x14ac:dyDescent="0.3">
      <c r="B651" s="86"/>
      <c r="C651" s="86"/>
      <c r="D651" s="86"/>
    </row>
    <row r="652" spans="2:4" hidden="1" x14ac:dyDescent="0.3">
      <c r="B652" s="86"/>
      <c r="C652" s="86"/>
      <c r="D652" s="86"/>
    </row>
    <row r="653" spans="2:4" hidden="1" x14ac:dyDescent="0.3">
      <c r="B653" s="86"/>
      <c r="C653" s="86"/>
      <c r="D653" s="86"/>
    </row>
    <row r="654" spans="2:4" hidden="1" x14ac:dyDescent="0.3">
      <c r="B654" s="86"/>
      <c r="C654" s="86"/>
      <c r="D654" s="86"/>
    </row>
    <row r="655" spans="2:4" hidden="1" x14ac:dyDescent="0.3">
      <c r="B655" s="86"/>
      <c r="C655" s="86"/>
      <c r="D655" s="86"/>
    </row>
    <row r="656" spans="2:4" hidden="1" x14ac:dyDescent="0.3">
      <c r="B656" s="86"/>
      <c r="C656" s="86"/>
      <c r="D656" s="86"/>
    </row>
    <row r="657" spans="2:4" hidden="1" x14ac:dyDescent="0.3">
      <c r="B657" s="86"/>
      <c r="C657" s="86"/>
      <c r="D657" s="86"/>
    </row>
    <row r="658" spans="2:4" hidden="1" x14ac:dyDescent="0.3">
      <c r="B658" s="86"/>
      <c r="C658" s="86"/>
      <c r="D658" s="86"/>
    </row>
    <row r="659" spans="2:4" hidden="1" x14ac:dyDescent="0.3">
      <c r="B659" s="86"/>
      <c r="C659" s="86"/>
      <c r="D659" s="86"/>
    </row>
    <row r="660" spans="2:4" hidden="1" x14ac:dyDescent="0.3">
      <c r="B660" s="86"/>
      <c r="C660" s="86"/>
      <c r="D660" s="86"/>
    </row>
    <row r="661" spans="2:4" hidden="1" x14ac:dyDescent="0.3">
      <c r="B661" s="86"/>
      <c r="C661" s="86"/>
      <c r="D661" s="86"/>
    </row>
    <row r="662" spans="2:4" hidden="1" x14ac:dyDescent="0.3">
      <c r="B662" s="86"/>
      <c r="C662" s="86"/>
      <c r="D662" s="86"/>
    </row>
    <row r="663" spans="2:4" hidden="1" x14ac:dyDescent="0.3">
      <c r="B663" s="86"/>
      <c r="C663" s="86"/>
      <c r="D663" s="86"/>
    </row>
    <row r="664" spans="2:4" hidden="1" x14ac:dyDescent="0.3">
      <c r="B664" s="86"/>
      <c r="C664" s="86"/>
      <c r="D664" s="86"/>
    </row>
    <row r="665" spans="2:4" hidden="1" x14ac:dyDescent="0.3">
      <c r="B665" s="86"/>
      <c r="C665" s="86"/>
      <c r="D665" s="86"/>
    </row>
    <row r="666" spans="2:4" hidden="1" x14ac:dyDescent="0.3">
      <c r="B666" s="86"/>
      <c r="C666" s="86"/>
      <c r="D666" s="86"/>
    </row>
    <row r="667" spans="2:4" hidden="1" x14ac:dyDescent="0.3">
      <c r="B667" s="86"/>
      <c r="C667" s="86"/>
      <c r="D667" s="86"/>
    </row>
    <row r="668" spans="2:4" hidden="1" x14ac:dyDescent="0.3">
      <c r="B668" s="86"/>
      <c r="C668" s="86"/>
      <c r="D668" s="86"/>
    </row>
    <row r="669" spans="2:4" hidden="1" x14ac:dyDescent="0.3">
      <c r="B669" s="86"/>
      <c r="C669" s="86"/>
      <c r="D669" s="86"/>
    </row>
    <row r="670" spans="2:4" hidden="1" x14ac:dyDescent="0.3">
      <c r="B670" s="86"/>
      <c r="C670" s="86"/>
      <c r="D670" s="86"/>
    </row>
    <row r="671" spans="2:4" hidden="1" x14ac:dyDescent="0.3">
      <c r="B671" s="86"/>
      <c r="C671" s="86"/>
      <c r="D671" s="86"/>
    </row>
    <row r="672" spans="2:4" hidden="1" x14ac:dyDescent="0.3">
      <c r="B672" s="86"/>
      <c r="C672" s="86"/>
      <c r="D672" s="86"/>
    </row>
    <row r="673" spans="2:4" hidden="1" x14ac:dyDescent="0.3">
      <c r="B673" s="86"/>
      <c r="C673" s="86"/>
      <c r="D673" s="86"/>
    </row>
    <row r="674" spans="2:4" hidden="1" x14ac:dyDescent="0.3">
      <c r="B674" s="86"/>
      <c r="C674" s="86"/>
      <c r="D674" s="86"/>
    </row>
    <row r="675" spans="2:4" hidden="1" x14ac:dyDescent="0.3">
      <c r="B675" s="86"/>
      <c r="C675" s="86"/>
      <c r="D675" s="86"/>
    </row>
    <row r="676" spans="2:4" hidden="1" x14ac:dyDescent="0.3">
      <c r="B676" s="86"/>
      <c r="C676" s="86"/>
      <c r="D676" s="86"/>
    </row>
    <row r="677" spans="2:4" hidden="1" x14ac:dyDescent="0.3">
      <c r="B677" s="86"/>
      <c r="C677" s="86"/>
      <c r="D677" s="86"/>
    </row>
    <row r="678" spans="2:4" hidden="1" x14ac:dyDescent="0.3">
      <c r="B678" s="86"/>
      <c r="C678" s="86"/>
      <c r="D678" s="86"/>
    </row>
    <row r="679" spans="2:4" hidden="1" x14ac:dyDescent="0.3">
      <c r="B679" s="86"/>
      <c r="C679" s="86"/>
      <c r="D679" s="86"/>
    </row>
    <row r="680" spans="2:4" hidden="1" x14ac:dyDescent="0.3">
      <c r="B680" s="86"/>
      <c r="C680" s="86"/>
      <c r="D680" s="86"/>
    </row>
    <row r="681" spans="2:4" hidden="1" x14ac:dyDescent="0.3">
      <c r="B681" s="86"/>
      <c r="C681" s="86"/>
      <c r="D681" s="86"/>
    </row>
    <row r="682" spans="2:4" hidden="1" x14ac:dyDescent="0.3">
      <c r="B682" s="86"/>
      <c r="C682" s="86"/>
      <c r="D682" s="86"/>
    </row>
    <row r="683" spans="2:4" hidden="1" x14ac:dyDescent="0.3">
      <c r="B683" s="86"/>
      <c r="C683" s="86"/>
      <c r="D683" s="86"/>
    </row>
    <row r="684" spans="2:4" hidden="1" x14ac:dyDescent="0.3">
      <c r="B684" s="86"/>
      <c r="C684" s="86"/>
      <c r="D684" s="86"/>
    </row>
    <row r="685" spans="2:4" hidden="1" x14ac:dyDescent="0.3">
      <c r="B685" s="86"/>
      <c r="C685" s="86"/>
      <c r="D685" s="86"/>
    </row>
    <row r="686" spans="2:4" hidden="1" x14ac:dyDescent="0.3">
      <c r="B686" s="86"/>
      <c r="C686" s="86"/>
      <c r="D686" s="86"/>
    </row>
    <row r="687" spans="2:4" hidden="1" x14ac:dyDescent="0.3">
      <c r="B687" s="86"/>
      <c r="C687" s="86"/>
      <c r="D687" s="86"/>
    </row>
    <row r="688" spans="2:4" hidden="1" x14ac:dyDescent="0.3">
      <c r="B688" s="86"/>
      <c r="C688" s="86"/>
      <c r="D688" s="86"/>
    </row>
    <row r="689" spans="2:4" hidden="1" x14ac:dyDescent="0.3">
      <c r="B689" s="86"/>
      <c r="C689" s="86"/>
      <c r="D689" s="86"/>
    </row>
    <row r="690" spans="2:4" hidden="1" x14ac:dyDescent="0.3">
      <c r="B690" s="86"/>
      <c r="C690" s="86"/>
      <c r="D690" s="86"/>
    </row>
    <row r="691" spans="2:4" hidden="1" x14ac:dyDescent="0.3">
      <c r="B691" s="86"/>
      <c r="C691" s="86"/>
      <c r="D691" s="86"/>
    </row>
    <row r="692" spans="2:4" hidden="1" x14ac:dyDescent="0.3">
      <c r="B692" s="86"/>
      <c r="C692" s="86"/>
      <c r="D692" s="86"/>
    </row>
    <row r="693" spans="2:4" hidden="1" x14ac:dyDescent="0.3">
      <c r="B693" s="86"/>
      <c r="C693" s="86"/>
      <c r="D693" s="86"/>
    </row>
    <row r="694" spans="2:4" hidden="1" x14ac:dyDescent="0.3">
      <c r="B694" s="86"/>
      <c r="C694" s="86"/>
      <c r="D694" s="86"/>
    </row>
    <row r="695" spans="2:4" hidden="1" x14ac:dyDescent="0.3">
      <c r="B695" s="86"/>
      <c r="C695" s="86"/>
      <c r="D695" s="86"/>
    </row>
    <row r="696" spans="2:4" hidden="1" x14ac:dyDescent="0.3">
      <c r="B696" s="86"/>
      <c r="C696" s="86"/>
      <c r="D696" s="86"/>
    </row>
    <row r="697" spans="2:4" hidden="1" x14ac:dyDescent="0.3">
      <c r="B697" s="86"/>
      <c r="C697" s="86"/>
      <c r="D697" s="86"/>
    </row>
    <row r="698" spans="2:4" hidden="1" x14ac:dyDescent="0.3">
      <c r="B698" s="86"/>
      <c r="C698" s="86"/>
      <c r="D698" s="86"/>
    </row>
    <row r="699" spans="2:4" hidden="1" x14ac:dyDescent="0.3">
      <c r="B699" s="86"/>
      <c r="C699" s="86"/>
      <c r="D699" s="86"/>
    </row>
    <row r="700" spans="2:4" hidden="1" x14ac:dyDescent="0.3">
      <c r="B700" s="86"/>
      <c r="C700" s="86"/>
      <c r="D700" s="86"/>
    </row>
    <row r="701" spans="2:4" hidden="1" x14ac:dyDescent="0.3">
      <c r="B701" s="86"/>
      <c r="C701" s="86"/>
      <c r="D701" s="86"/>
    </row>
    <row r="702" spans="2:4" hidden="1" x14ac:dyDescent="0.3">
      <c r="B702" s="86"/>
      <c r="C702" s="86"/>
      <c r="D702" s="86"/>
    </row>
    <row r="703" spans="2:4" hidden="1" x14ac:dyDescent="0.3">
      <c r="B703" s="86"/>
      <c r="C703" s="86"/>
      <c r="D703" s="86"/>
    </row>
    <row r="704" spans="2:4" hidden="1" x14ac:dyDescent="0.3">
      <c r="B704" s="86"/>
      <c r="C704" s="86"/>
      <c r="D704" s="86"/>
    </row>
    <row r="705" spans="2:4" hidden="1" x14ac:dyDescent="0.3">
      <c r="B705" s="86"/>
      <c r="C705" s="86"/>
      <c r="D705" s="86"/>
    </row>
    <row r="706" spans="2:4" hidden="1" x14ac:dyDescent="0.3">
      <c r="B706" s="86"/>
      <c r="C706" s="86"/>
      <c r="D706" s="86"/>
    </row>
    <row r="707" spans="2:4" hidden="1" x14ac:dyDescent="0.3">
      <c r="B707" s="86"/>
      <c r="C707" s="86"/>
      <c r="D707" s="86"/>
    </row>
    <row r="708" spans="2:4" hidden="1" x14ac:dyDescent="0.3">
      <c r="B708" s="86"/>
      <c r="C708" s="86"/>
      <c r="D708" s="86"/>
    </row>
    <row r="709" spans="2:4" hidden="1" x14ac:dyDescent="0.3">
      <c r="B709" s="86"/>
      <c r="C709" s="86"/>
      <c r="D709" s="86"/>
    </row>
    <row r="710" spans="2:4" hidden="1" x14ac:dyDescent="0.3">
      <c r="B710" s="86"/>
      <c r="C710" s="86"/>
      <c r="D710" s="86"/>
    </row>
    <row r="711" spans="2:4" hidden="1" x14ac:dyDescent="0.3">
      <c r="B711" s="86"/>
      <c r="C711" s="86"/>
      <c r="D711" s="86"/>
    </row>
    <row r="712" spans="2:4" hidden="1" x14ac:dyDescent="0.3">
      <c r="B712" s="86"/>
      <c r="C712" s="86"/>
      <c r="D712" s="86"/>
    </row>
    <row r="713" spans="2:4" hidden="1" x14ac:dyDescent="0.3">
      <c r="B713" s="86"/>
      <c r="C713" s="86"/>
      <c r="D713" s="86"/>
    </row>
    <row r="714" spans="2:4" hidden="1" x14ac:dyDescent="0.3">
      <c r="B714" s="86"/>
      <c r="C714" s="86"/>
      <c r="D714" s="86"/>
    </row>
    <row r="715" spans="2:4" hidden="1" x14ac:dyDescent="0.3">
      <c r="B715" s="86"/>
      <c r="C715" s="86"/>
      <c r="D715" s="86"/>
    </row>
    <row r="716" spans="2:4" hidden="1" x14ac:dyDescent="0.3">
      <c r="B716" s="86"/>
      <c r="C716" s="86"/>
      <c r="D716" s="86"/>
    </row>
    <row r="717" spans="2:4" hidden="1" x14ac:dyDescent="0.3">
      <c r="B717" s="86"/>
      <c r="C717" s="86"/>
      <c r="D717" s="86"/>
    </row>
    <row r="718" spans="2:4" hidden="1" x14ac:dyDescent="0.3">
      <c r="B718" s="86"/>
      <c r="C718" s="86"/>
      <c r="D718" s="86"/>
    </row>
    <row r="719" spans="2:4" hidden="1" x14ac:dyDescent="0.3">
      <c r="B719" s="86"/>
      <c r="C719" s="86"/>
      <c r="D719" s="86"/>
    </row>
    <row r="720" spans="2:4" hidden="1" x14ac:dyDescent="0.3">
      <c r="B720" s="86"/>
      <c r="C720" s="86"/>
      <c r="D720" s="86"/>
    </row>
    <row r="721" spans="2:4" hidden="1" x14ac:dyDescent="0.3">
      <c r="B721" s="86"/>
      <c r="C721" s="86"/>
      <c r="D721" s="86"/>
    </row>
    <row r="722" spans="2:4" hidden="1" x14ac:dyDescent="0.3">
      <c r="B722" s="86"/>
      <c r="C722" s="86"/>
      <c r="D722" s="86"/>
    </row>
    <row r="723" spans="2:4" hidden="1" x14ac:dyDescent="0.3">
      <c r="B723" s="86"/>
      <c r="C723" s="86"/>
      <c r="D723" s="86"/>
    </row>
    <row r="724" spans="2:4" hidden="1" x14ac:dyDescent="0.3">
      <c r="B724" s="86"/>
      <c r="C724" s="86"/>
      <c r="D724" s="86"/>
    </row>
    <row r="725" spans="2:4" hidden="1" x14ac:dyDescent="0.3">
      <c r="B725" s="86"/>
      <c r="C725" s="86"/>
      <c r="D725" s="86"/>
    </row>
    <row r="726" spans="2:4" hidden="1" x14ac:dyDescent="0.3">
      <c r="B726" s="86"/>
      <c r="C726" s="86"/>
      <c r="D726" s="86"/>
    </row>
    <row r="727" spans="2:4" hidden="1" x14ac:dyDescent="0.3">
      <c r="B727" s="86"/>
      <c r="C727" s="86"/>
      <c r="D727" s="86"/>
    </row>
    <row r="728" spans="2:4" hidden="1" x14ac:dyDescent="0.3">
      <c r="B728" s="86"/>
      <c r="C728" s="86"/>
      <c r="D728" s="86"/>
    </row>
    <row r="729" spans="2:4" hidden="1" x14ac:dyDescent="0.3">
      <c r="B729" s="86"/>
      <c r="C729" s="86"/>
      <c r="D729" s="86"/>
    </row>
    <row r="730" spans="2:4" hidden="1" x14ac:dyDescent="0.3">
      <c r="B730" s="86"/>
      <c r="C730" s="86"/>
      <c r="D730" s="86"/>
    </row>
    <row r="731" spans="2:4" hidden="1" x14ac:dyDescent="0.3">
      <c r="B731" s="86"/>
      <c r="C731" s="86"/>
      <c r="D731" s="86"/>
    </row>
    <row r="732" spans="2:4" hidden="1" x14ac:dyDescent="0.3">
      <c r="B732" s="86"/>
      <c r="C732" s="86"/>
      <c r="D732" s="86"/>
    </row>
    <row r="733" spans="2:4" hidden="1" x14ac:dyDescent="0.3">
      <c r="B733" s="86"/>
      <c r="C733" s="86"/>
      <c r="D733" s="86"/>
    </row>
    <row r="734" spans="2:4" hidden="1" x14ac:dyDescent="0.3">
      <c r="B734" s="86"/>
      <c r="C734" s="86"/>
      <c r="D734" s="86"/>
    </row>
    <row r="735" spans="2:4" hidden="1" x14ac:dyDescent="0.3">
      <c r="B735" s="86"/>
      <c r="C735" s="86"/>
      <c r="D735" s="86"/>
    </row>
    <row r="736" spans="2:4" hidden="1" x14ac:dyDescent="0.3">
      <c r="B736" s="86"/>
      <c r="C736" s="86"/>
      <c r="D736" s="86"/>
    </row>
    <row r="737" spans="2:4" hidden="1" x14ac:dyDescent="0.3">
      <c r="B737" s="86"/>
      <c r="C737" s="86"/>
      <c r="D737" s="86"/>
    </row>
    <row r="738" spans="2:4" hidden="1" x14ac:dyDescent="0.3">
      <c r="B738" s="86"/>
      <c r="C738" s="86"/>
      <c r="D738" s="86"/>
    </row>
    <row r="739" spans="2:4" hidden="1" x14ac:dyDescent="0.3">
      <c r="B739" s="86"/>
      <c r="C739" s="86"/>
      <c r="D739" s="86"/>
    </row>
    <row r="740" spans="2:4" hidden="1" x14ac:dyDescent="0.3">
      <c r="B740" s="86"/>
      <c r="C740" s="86"/>
      <c r="D740" s="86"/>
    </row>
    <row r="741" spans="2:4" hidden="1" x14ac:dyDescent="0.3">
      <c r="B741" s="86"/>
      <c r="C741" s="86"/>
      <c r="D741" s="86"/>
    </row>
    <row r="742" spans="2:4" hidden="1" x14ac:dyDescent="0.3">
      <c r="B742" s="86"/>
      <c r="C742" s="86"/>
      <c r="D742" s="86"/>
    </row>
    <row r="743" spans="2:4" hidden="1" x14ac:dyDescent="0.3">
      <c r="B743" s="86"/>
      <c r="C743" s="86"/>
      <c r="D743" s="86"/>
    </row>
    <row r="744" spans="2:4" hidden="1" x14ac:dyDescent="0.3">
      <c r="B744" s="86"/>
      <c r="C744" s="86"/>
      <c r="D744" s="86"/>
    </row>
    <row r="745" spans="2:4" hidden="1" x14ac:dyDescent="0.3">
      <c r="B745" s="86"/>
      <c r="C745" s="86"/>
      <c r="D745" s="86"/>
    </row>
    <row r="746" spans="2:4" hidden="1" x14ac:dyDescent="0.3">
      <c r="B746" s="86"/>
      <c r="C746" s="86"/>
      <c r="D746" s="86"/>
    </row>
    <row r="747" spans="2:4" hidden="1" x14ac:dyDescent="0.3">
      <c r="B747" s="86"/>
      <c r="C747" s="86"/>
      <c r="D747" s="86"/>
    </row>
    <row r="748" spans="2:4" hidden="1" x14ac:dyDescent="0.3">
      <c r="B748" s="86"/>
      <c r="C748" s="86"/>
      <c r="D748" s="86"/>
    </row>
    <row r="749" spans="2:4" hidden="1" x14ac:dyDescent="0.3">
      <c r="B749" s="86"/>
      <c r="C749" s="86"/>
      <c r="D749" s="86"/>
    </row>
    <row r="750" spans="2:4" hidden="1" x14ac:dyDescent="0.3">
      <c r="B750" s="86"/>
      <c r="C750" s="86"/>
      <c r="D750" s="86"/>
    </row>
    <row r="751" spans="2:4" hidden="1" x14ac:dyDescent="0.3">
      <c r="B751" s="86"/>
      <c r="C751" s="86"/>
      <c r="D751" s="86"/>
    </row>
    <row r="752" spans="2:4" hidden="1" x14ac:dyDescent="0.3">
      <c r="B752" s="86"/>
      <c r="C752" s="86"/>
      <c r="D752" s="86"/>
    </row>
    <row r="753" spans="2:4" hidden="1" x14ac:dyDescent="0.3">
      <c r="B753" s="86"/>
      <c r="C753" s="86"/>
      <c r="D753" s="86"/>
    </row>
    <row r="754" spans="2:4" hidden="1" x14ac:dyDescent="0.3">
      <c r="B754" s="86"/>
      <c r="C754" s="86"/>
      <c r="D754" s="86"/>
    </row>
    <row r="755" spans="2:4" hidden="1" x14ac:dyDescent="0.3">
      <c r="B755" s="86"/>
      <c r="C755" s="86"/>
      <c r="D755" s="86"/>
    </row>
    <row r="756" spans="2:4" hidden="1" x14ac:dyDescent="0.3">
      <c r="B756" s="86"/>
      <c r="C756" s="86"/>
      <c r="D756" s="86"/>
    </row>
    <row r="757" spans="2:4" hidden="1" x14ac:dyDescent="0.3">
      <c r="B757" s="86"/>
      <c r="C757" s="86"/>
      <c r="D757" s="86"/>
    </row>
    <row r="758" spans="2:4" hidden="1" x14ac:dyDescent="0.3">
      <c r="B758" s="86"/>
      <c r="C758" s="86"/>
      <c r="D758" s="86"/>
    </row>
    <row r="759" spans="2:4" hidden="1" x14ac:dyDescent="0.3">
      <c r="B759" s="86"/>
      <c r="C759" s="86"/>
      <c r="D759" s="86"/>
    </row>
    <row r="760" spans="2:4" hidden="1" x14ac:dyDescent="0.3">
      <c r="B760" s="86"/>
      <c r="C760" s="86"/>
      <c r="D760" s="86"/>
    </row>
    <row r="761" spans="2:4" hidden="1" x14ac:dyDescent="0.3">
      <c r="B761" s="86"/>
      <c r="C761" s="86"/>
      <c r="D761" s="86"/>
    </row>
    <row r="762" spans="2:4" hidden="1" x14ac:dyDescent="0.3">
      <c r="B762" s="86"/>
      <c r="C762" s="86"/>
      <c r="D762" s="86"/>
    </row>
    <row r="763" spans="2:4" hidden="1" x14ac:dyDescent="0.3">
      <c r="B763" s="86"/>
      <c r="C763" s="86"/>
      <c r="D763" s="86"/>
    </row>
    <row r="764" spans="2:4" hidden="1" x14ac:dyDescent="0.3">
      <c r="B764" s="86"/>
      <c r="C764" s="86"/>
      <c r="D764" s="86"/>
    </row>
    <row r="765" spans="2:4" hidden="1" x14ac:dyDescent="0.3">
      <c r="B765" s="86"/>
      <c r="C765" s="86"/>
      <c r="D765" s="86"/>
    </row>
    <row r="766" spans="2:4" hidden="1" x14ac:dyDescent="0.3">
      <c r="B766" s="86"/>
      <c r="C766" s="86"/>
      <c r="D766" s="86"/>
    </row>
    <row r="767" spans="2:4" hidden="1" x14ac:dyDescent="0.3">
      <c r="B767" s="86"/>
      <c r="C767" s="86"/>
      <c r="D767" s="86"/>
    </row>
    <row r="768" spans="2:4" hidden="1" x14ac:dyDescent="0.3">
      <c r="B768" s="86"/>
      <c r="C768" s="86"/>
      <c r="D768" s="86"/>
    </row>
    <row r="769" spans="2:4" hidden="1" x14ac:dyDescent="0.3">
      <c r="B769" s="86"/>
      <c r="C769" s="86"/>
      <c r="D769" s="86"/>
    </row>
    <row r="770" spans="2:4" hidden="1" x14ac:dyDescent="0.3">
      <c r="B770" s="86"/>
      <c r="C770" s="86"/>
      <c r="D770" s="86"/>
    </row>
    <row r="771" spans="2:4" hidden="1" x14ac:dyDescent="0.3">
      <c r="B771" s="86"/>
      <c r="C771" s="86"/>
      <c r="D771" s="86"/>
    </row>
    <row r="772" spans="2:4" hidden="1" x14ac:dyDescent="0.3">
      <c r="B772" s="86"/>
      <c r="C772" s="86"/>
      <c r="D772" s="86"/>
    </row>
    <row r="773" spans="2:4" hidden="1" x14ac:dyDescent="0.3">
      <c r="B773" s="86"/>
      <c r="C773" s="86"/>
      <c r="D773" s="86"/>
    </row>
    <row r="774" spans="2:4" hidden="1" x14ac:dyDescent="0.3">
      <c r="B774" s="86"/>
      <c r="C774" s="86"/>
      <c r="D774" s="86"/>
    </row>
    <row r="775" spans="2:4" hidden="1" x14ac:dyDescent="0.3">
      <c r="B775" s="86"/>
      <c r="C775" s="86"/>
      <c r="D775" s="86"/>
    </row>
    <row r="776" spans="2:4" hidden="1" x14ac:dyDescent="0.3">
      <c r="B776" s="86"/>
      <c r="C776" s="86"/>
      <c r="D776" s="86"/>
    </row>
    <row r="777" spans="2:4" hidden="1" x14ac:dyDescent="0.3">
      <c r="B777" s="86"/>
      <c r="C777" s="86"/>
      <c r="D777" s="86"/>
    </row>
    <row r="778" spans="2:4" hidden="1" x14ac:dyDescent="0.3">
      <c r="B778" s="86"/>
      <c r="C778" s="86"/>
      <c r="D778" s="86"/>
    </row>
    <row r="779" spans="2:4" hidden="1" x14ac:dyDescent="0.3">
      <c r="B779" s="86"/>
      <c r="C779" s="86"/>
      <c r="D779" s="86"/>
    </row>
    <row r="780" spans="2:4" hidden="1" x14ac:dyDescent="0.3">
      <c r="B780" s="86"/>
      <c r="C780" s="86"/>
      <c r="D780" s="86"/>
    </row>
    <row r="781" spans="2:4" hidden="1" x14ac:dyDescent="0.3">
      <c r="B781" s="86"/>
      <c r="C781" s="86"/>
      <c r="D781" s="86"/>
    </row>
    <row r="782" spans="2:4" hidden="1" x14ac:dyDescent="0.3">
      <c r="B782" s="86"/>
      <c r="C782" s="86"/>
      <c r="D782" s="86"/>
    </row>
    <row r="783" spans="2:4" hidden="1" x14ac:dyDescent="0.3">
      <c r="B783" s="86"/>
      <c r="C783" s="86"/>
      <c r="D783" s="86"/>
    </row>
    <row r="784" spans="2:4" hidden="1" x14ac:dyDescent="0.3">
      <c r="B784" s="86"/>
      <c r="C784" s="86"/>
      <c r="D784" s="86"/>
    </row>
    <row r="785" spans="2:4" hidden="1" x14ac:dyDescent="0.3">
      <c r="B785" s="86"/>
      <c r="C785" s="86"/>
      <c r="D785" s="86"/>
    </row>
    <row r="786" spans="2:4" hidden="1" x14ac:dyDescent="0.3">
      <c r="B786" s="86"/>
      <c r="C786" s="86"/>
      <c r="D786" s="86"/>
    </row>
    <row r="787" spans="2:4" hidden="1" x14ac:dyDescent="0.3">
      <c r="B787" s="86"/>
      <c r="C787" s="86"/>
      <c r="D787" s="86"/>
    </row>
    <row r="788" spans="2:4" hidden="1" x14ac:dyDescent="0.3">
      <c r="B788" s="86"/>
      <c r="C788" s="86"/>
      <c r="D788" s="86"/>
    </row>
    <row r="789" spans="2:4" hidden="1" x14ac:dyDescent="0.3">
      <c r="B789" s="86"/>
      <c r="C789" s="86"/>
      <c r="D789" s="86"/>
    </row>
    <row r="790" spans="2:4" hidden="1" x14ac:dyDescent="0.3">
      <c r="B790" s="86"/>
      <c r="C790" s="86"/>
      <c r="D790" s="86"/>
    </row>
    <row r="791" spans="2:4" hidden="1" x14ac:dyDescent="0.3">
      <c r="B791" s="86"/>
      <c r="C791" s="86"/>
      <c r="D791" s="86"/>
    </row>
    <row r="792" spans="2:4" hidden="1" x14ac:dyDescent="0.3">
      <c r="B792" s="86"/>
      <c r="C792" s="86"/>
      <c r="D792" s="86"/>
    </row>
    <row r="793" spans="2:4" hidden="1" x14ac:dyDescent="0.3">
      <c r="B793" s="86"/>
      <c r="C793" s="86"/>
      <c r="D793" s="86"/>
    </row>
    <row r="794" spans="2:4" hidden="1" x14ac:dyDescent="0.3">
      <c r="B794" s="86"/>
      <c r="C794" s="86"/>
      <c r="D794" s="86"/>
    </row>
    <row r="795" spans="2:4" hidden="1" x14ac:dyDescent="0.3">
      <c r="B795" s="86"/>
      <c r="C795" s="86"/>
      <c r="D795" s="86"/>
    </row>
    <row r="796" spans="2:4" hidden="1" x14ac:dyDescent="0.3">
      <c r="B796" s="86"/>
      <c r="C796" s="86"/>
      <c r="D796" s="86"/>
    </row>
    <row r="797" spans="2:4" hidden="1" x14ac:dyDescent="0.3">
      <c r="B797" s="86"/>
      <c r="C797" s="86"/>
      <c r="D797" s="86"/>
    </row>
    <row r="798" spans="2:4" hidden="1" x14ac:dyDescent="0.3">
      <c r="B798" s="86"/>
      <c r="C798" s="86"/>
      <c r="D798" s="86"/>
    </row>
    <row r="799" spans="2:4" hidden="1" x14ac:dyDescent="0.3">
      <c r="B799" s="86"/>
      <c r="C799" s="86"/>
      <c r="D799" s="86"/>
    </row>
    <row r="800" spans="2:4" hidden="1" x14ac:dyDescent="0.3">
      <c r="B800" s="86"/>
      <c r="C800" s="86"/>
      <c r="D800" s="86"/>
    </row>
    <row r="801" spans="2:4" hidden="1" x14ac:dyDescent="0.3">
      <c r="B801" s="86"/>
      <c r="C801" s="86"/>
      <c r="D801" s="86"/>
    </row>
    <row r="802" spans="2:4" hidden="1" x14ac:dyDescent="0.3">
      <c r="B802" s="86"/>
      <c r="C802" s="86"/>
      <c r="D802" s="86"/>
    </row>
    <row r="803" spans="2:4" hidden="1" x14ac:dyDescent="0.3">
      <c r="B803" s="86"/>
      <c r="C803" s="86"/>
      <c r="D803" s="86"/>
    </row>
    <row r="804" spans="2:4" hidden="1" x14ac:dyDescent="0.3">
      <c r="B804" s="86"/>
      <c r="C804" s="86"/>
      <c r="D804" s="86"/>
    </row>
    <row r="805" spans="2:4" hidden="1" x14ac:dyDescent="0.3">
      <c r="B805" s="86"/>
      <c r="C805" s="86"/>
      <c r="D805" s="86"/>
    </row>
    <row r="806" spans="2:4" hidden="1" x14ac:dyDescent="0.3">
      <c r="B806" s="86"/>
      <c r="C806" s="86"/>
      <c r="D806" s="86"/>
    </row>
    <row r="807" spans="2:4" hidden="1" x14ac:dyDescent="0.3">
      <c r="B807" s="86"/>
      <c r="C807" s="86"/>
      <c r="D807" s="86"/>
    </row>
    <row r="808" spans="2:4" hidden="1" x14ac:dyDescent="0.3">
      <c r="B808" s="86"/>
      <c r="C808" s="86"/>
      <c r="D808" s="86"/>
    </row>
    <row r="809" spans="2:4" hidden="1" x14ac:dyDescent="0.3">
      <c r="B809" s="86"/>
      <c r="C809" s="86"/>
      <c r="D809" s="86"/>
    </row>
    <row r="810" spans="2:4" hidden="1" x14ac:dyDescent="0.3">
      <c r="B810" s="86"/>
      <c r="C810" s="86"/>
      <c r="D810" s="86"/>
    </row>
    <row r="811" spans="2:4" hidden="1" x14ac:dyDescent="0.3">
      <c r="B811" s="86"/>
      <c r="C811" s="86"/>
      <c r="D811" s="86"/>
    </row>
    <row r="812" spans="2:4" hidden="1" x14ac:dyDescent="0.3">
      <c r="B812" s="86"/>
      <c r="C812" s="86"/>
      <c r="D812" s="86"/>
    </row>
    <row r="813" spans="2:4" hidden="1" x14ac:dyDescent="0.3">
      <c r="B813" s="86"/>
      <c r="C813" s="86"/>
      <c r="D813" s="86"/>
    </row>
    <row r="814" spans="2:4" hidden="1" x14ac:dyDescent="0.3">
      <c r="B814" s="86"/>
      <c r="C814" s="86"/>
      <c r="D814" s="86"/>
    </row>
    <row r="815" spans="2:4" hidden="1" x14ac:dyDescent="0.3">
      <c r="B815" s="86"/>
      <c r="C815" s="86"/>
      <c r="D815" s="86"/>
    </row>
    <row r="816" spans="2:4" hidden="1" x14ac:dyDescent="0.3">
      <c r="B816" s="86"/>
      <c r="C816" s="86"/>
      <c r="D816" s="86"/>
    </row>
    <row r="817" spans="2:4" hidden="1" x14ac:dyDescent="0.3">
      <c r="B817" s="86"/>
      <c r="C817" s="86"/>
      <c r="D817" s="86"/>
    </row>
    <row r="818" spans="2:4" hidden="1" x14ac:dyDescent="0.3">
      <c r="B818" s="86"/>
      <c r="C818" s="86"/>
      <c r="D818" s="86"/>
    </row>
    <row r="819" spans="2:4" hidden="1" x14ac:dyDescent="0.3">
      <c r="B819" s="86"/>
      <c r="C819" s="86"/>
      <c r="D819" s="86"/>
    </row>
    <row r="820" spans="2:4" hidden="1" x14ac:dyDescent="0.3">
      <c r="B820" s="86"/>
      <c r="C820" s="86"/>
      <c r="D820" s="86"/>
    </row>
    <row r="821" spans="2:4" hidden="1" x14ac:dyDescent="0.3">
      <c r="B821" s="86"/>
      <c r="C821" s="86"/>
      <c r="D821" s="86"/>
    </row>
    <row r="822" spans="2:4" hidden="1" x14ac:dyDescent="0.3">
      <c r="B822" s="86"/>
      <c r="C822" s="86"/>
      <c r="D822" s="86"/>
    </row>
    <row r="823" spans="2:4" hidden="1" x14ac:dyDescent="0.3">
      <c r="B823" s="86"/>
      <c r="C823" s="86"/>
      <c r="D823" s="86"/>
    </row>
    <row r="824" spans="2:4" hidden="1" x14ac:dyDescent="0.3">
      <c r="B824" s="86"/>
      <c r="C824" s="86"/>
      <c r="D824" s="86"/>
    </row>
    <row r="825" spans="2:4" hidden="1" x14ac:dyDescent="0.3">
      <c r="B825" s="86"/>
      <c r="C825" s="86"/>
      <c r="D825" s="86"/>
    </row>
    <row r="826" spans="2:4" hidden="1" x14ac:dyDescent="0.3">
      <c r="B826" s="86"/>
      <c r="C826" s="86"/>
      <c r="D826" s="86"/>
    </row>
    <row r="827" spans="2:4" hidden="1" x14ac:dyDescent="0.3">
      <c r="B827" s="86"/>
      <c r="C827" s="86"/>
      <c r="D827" s="86"/>
    </row>
    <row r="828" spans="2:4" hidden="1" x14ac:dyDescent="0.3">
      <c r="B828" s="86"/>
      <c r="C828" s="86"/>
      <c r="D828" s="86"/>
    </row>
    <row r="829" spans="2:4" hidden="1" x14ac:dyDescent="0.3">
      <c r="B829" s="86"/>
      <c r="C829" s="86"/>
      <c r="D829" s="86"/>
    </row>
    <row r="830" spans="2:4" hidden="1" x14ac:dyDescent="0.3">
      <c r="B830" s="86"/>
      <c r="C830" s="86"/>
      <c r="D830" s="86"/>
    </row>
    <row r="831" spans="2:4" hidden="1" x14ac:dyDescent="0.3">
      <c r="B831" s="86"/>
      <c r="C831" s="86"/>
      <c r="D831" s="86"/>
    </row>
    <row r="832" spans="2:4" hidden="1" x14ac:dyDescent="0.3">
      <c r="B832" s="86"/>
      <c r="C832" s="86"/>
      <c r="D832" s="86"/>
    </row>
    <row r="833" spans="2:4" hidden="1" x14ac:dyDescent="0.3">
      <c r="B833" s="86"/>
      <c r="C833" s="86"/>
      <c r="D833" s="86"/>
    </row>
    <row r="834" spans="2:4" hidden="1" x14ac:dyDescent="0.3">
      <c r="B834" s="86"/>
      <c r="C834" s="86"/>
      <c r="D834" s="86"/>
    </row>
    <row r="835" spans="2:4" hidden="1" x14ac:dyDescent="0.3">
      <c r="B835" s="86"/>
      <c r="C835" s="86"/>
      <c r="D835" s="86"/>
    </row>
    <row r="836" spans="2:4" hidden="1" x14ac:dyDescent="0.3">
      <c r="B836" s="86"/>
      <c r="C836" s="86"/>
      <c r="D836" s="86"/>
    </row>
    <row r="837" spans="2:4" hidden="1" x14ac:dyDescent="0.3">
      <c r="B837" s="86"/>
      <c r="C837" s="86"/>
      <c r="D837" s="86"/>
    </row>
    <row r="838" spans="2:4" hidden="1" x14ac:dyDescent="0.3">
      <c r="B838" s="86"/>
      <c r="C838" s="86"/>
      <c r="D838" s="86"/>
    </row>
    <row r="839" spans="2:4" hidden="1" x14ac:dyDescent="0.3">
      <c r="B839" s="86"/>
      <c r="C839" s="86"/>
      <c r="D839" s="86"/>
    </row>
    <row r="840" spans="2:4" hidden="1" x14ac:dyDescent="0.3">
      <c r="B840" s="86"/>
      <c r="C840" s="86"/>
      <c r="D840" s="86"/>
    </row>
    <row r="841" spans="2:4" hidden="1" x14ac:dyDescent="0.3">
      <c r="B841" s="86"/>
      <c r="C841" s="86"/>
      <c r="D841" s="86"/>
    </row>
    <row r="842" spans="2:4" hidden="1" x14ac:dyDescent="0.3">
      <c r="B842" s="86"/>
      <c r="C842" s="86"/>
      <c r="D842" s="86"/>
    </row>
    <row r="843" spans="2:4" hidden="1" x14ac:dyDescent="0.3">
      <c r="B843" s="86"/>
      <c r="C843" s="86"/>
      <c r="D843" s="86"/>
    </row>
    <row r="844" spans="2:4" hidden="1" x14ac:dyDescent="0.3">
      <c r="B844" s="86"/>
      <c r="C844" s="86"/>
      <c r="D844" s="86"/>
    </row>
    <row r="845" spans="2:4" hidden="1" x14ac:dyDescent="0.3">
      <c r="B845" s="86"/>
      <c r="C845" s="86"/>
      <c r="D845" s="86"/>
    </row>
    <row r="846" spans="2:4" hidden="1" x14ac:dyDescent="0.3">
      <c r="B846" s="86"/>
      <c r="C846" s="86"/>
      <c r="D846" s="86"/>
    </row>
    <row r="847" spans="2:4" hidden="1" x14ac:dyDescent="0.3">
      <c r="B847" s="86"/>
      <c r="C847" s="86"/>
      <c r="D847" s="86"/>
    </row>
    <row r="848" spans="2:4" hidden="1" x14ac:dyDescent="0.3">
      <c r="B848" s="86"/>
      <c r="C848" s="86"/>
      <c r="D848" s="86"/>
    </row>
    <row r="849" spans="2:4" hidden="1" x14ac:dyDescent="0.3">
      <c r="B849" s="86"/>
      <c r="C849" s="86"/>
      <c r="D849" s="86"/>
    </row>
    <row r="850" spans="2:4" hidden="1" x14ac:dyDescent="0.3">
      <c r="B850" s="86"/>
      <c r="C850" s="86"/>
      <c r="D850" s="86"/>
    </row>
    <row r="851" spans="2:4" hidden="1" x14ac:dyDescent="0.3">
      <c r="B851" s="86"/>
      <c r="C851" s="86"/>
      <c r="D851" s="86"/>
    </row>
    <row r="852" spans="2:4" hidden="1" x14ac:dyDescent="0.3">
      <c r="B852" s="86"/>
      <c r="C852" s="86"/>
      <c r="D852" s="86"/>
    </row>
    <row r="853" spans="2:4" hidden="1" x14ac:dyDescent="0.3">
      <c r="B853" s="86"/>
      <c r="C853" s="86"/>
      <c r="D853" s="86"/>
    </row>
    <row r="854" spans="2:4" hidden="1" x14ac:dyDescent="0.3">
      <c r="B854" s="86"/>
      <c r="C854" s="86"/>
      <c r="D854" s="86"/>
    </row>
    <row r="855" spans="2:4" hidden="1" x14ac:dyDescent="0.3">
      <c r="B855" s="86"/>
      <c r="C855" s="86"/>
      <c r="D855" s="86"/>
    </row>
    <row r="856" spans="2:4" hidden="1" x14ac:dyDescent="0.3">
      <c r="B856" s="86"/>
      <c r="C856" s="86"/>
      <c r="D856" s="86"/>
    </row>
    <row r="857" spans="2:4" hidden="1" x14ac:dyDescent="0.3">
      <c r="B857" s="86"/>
      <c r="C857" s="86"/>
      <c r="D857" s="86"/>
    </row>
    <row r="858" spans="2:4" hidden="1" x14ac:dyDescent="0.3">
      <c r="B858" s="86"/>
      <c r="C858" s="86"/>
      <c r="D858" s="86"/>
    </row>
    <row r="859" spans="2:4" hidden="1" x14ac:dyDescent="0.3">
      <c r="B859" s="86"/>
      <c r="C859" s="86"/>
      <c r="D859" s="86"/>
    </row>
    <row r="860" spans="2:4" hidden="1" x14ac:dyDescent="0.3">
      <c r="B860" s="86"/>
      <c r="C860" s="86"/>
      <c r="D860" s="86"/>
    </row>
    <row r="861" spans="2:4" hidden="1" x14ac:dyDescent="0.3">
      <c r="B861" s="86"/>
      <c r="C861" s="86"/>
      <c r="D861" s="86"/>
    </row>
    <row r="862" spans="2:4" hidden="1" x14ac:dyDescent="0.3">
      <c r="B862" s="86"/>
      <c r="C862" s="86"/>
      <c r="D862" s="86"/>
    </row>
    <row r="863" spans="2:4" hidden="1" x14ac:dyDescent="0.3">
      <c r="B863" s="86"/>
      <c r="C863" s="86"/>
      <c r="D863" s="86"/>
    </row>
    <row r="864" spans="2:4" hidden="1" x14ac:dyDescent="0.3">
      <c r="B864" s="86"/>
      <c r="C864" s="86"/>
      <c r="D864" s="86"/>
    </row>
    <row r="865" spans="2:4" hidden="1" x14ac:dyDescent="0.3">
      <c r="B865" s="86"/>
      <c r="C865" s="86"/>
      <c r="D865" s="86"/>
    </row>
    <row r="866" spans="2:4" hidden="1" x14ac:dyDescent="0.3">
      <c r="B866" s="86"/>
      <c r="C866" s="86"/>
      <c r="D866" s="86"/>
    </row>
    <row r="867" spans="2:4" hidden="1" x14ac:dyDescent="0.3">
      <c r="B867" s="86"/>
      <c r="C867" s="86"/>
      <c r="D867" s="86"/>
    </row>
    <row r="868" spans="2:4" hidden="1" x14ac:dyDescent="0.3">
      <c r="B868" s="86"/>
      <c r="C868" s="86"/>
      <c r="D868" s="86"/>
    </row>
    <row r="869" spans="2:4" hidden="1" x14ac:dyDescent="0.3">
      <c r="B869" s="86"/>
      <c r="C869" s="86"/>
      <c r="D869" s="86"/>
    </row>
    <row r="870" spans="2:4" hidden="1" x14ac:dyDescent="0.3">
      <c r="B870" s="86"/>
      <c r="C870" s="86"/>
      <c r="D870" s="86"/>
    </row>
    <row r="871" spans="2:4" hidden="1" x14ac:dyDescent="0.3">
      <c r="B871" s="86"/>
      <c r="C871" s="86"/>
      <c r="D871" s="86"/>
    </row>
    <row r="872" spans="2:4" hidden="1" x14ac:dyDescent="0.3">
      <c r="B872" s="86"/>
      <c r="C872" s="86"/>
      <c r="D872" s="86"/>
    </row>
    <row r="873" spans="2:4" hidden="1" x14ac:dyDescent="0.3">
      <c r="B873" s="86"/>
      <c r="C873" s="86"/>
      <c r="D873" s="86"/>
    </row>
    <row r="874" spans="2:4" hidden="1" x14ac:dyDescent="0.3">
      <c r="B874" s="86"/>
      <c r="C874" s="86"/>
      <c r="D874" s="86"/>
    </row>
    <row r="875" spans="2:4" hidden="1" x14ac:dyDescent="0.3">
      <c r="B875" s="86"/>
      <c r="C875" s="86"/>
      <c r="D875" s="86"/>
    </row>
    <row r="876" spans="2:4" hidden="1" x14ac:dyDescent="0.3">
      <c r="B876" s="86"/>
      <c r="C876" s="86"/>
      <c r="D876" s="86"/>
    </row>
    <row r="877" spans="2:4" hidden="1" x14ac:dyDescent="0.3">
      <c r="B877" s="86"/>
      <c r="C877" s="86"/>
      <c r="D877" s="86"/>
    </row>
    <row r="878" spans="2:4" hidden="1" x14ac:dyDescent="0.3">
      <c r="B878" s="86"/>
      <c r="C878" s="86"/>
      <c r="D878" s="86"/>
    </row>
    <row r="879" spans="2:4" hidden="1" x14ac:dyDescent="0.3">
      <c r="B879" s="86"/>
      <c r="C879" s="86"/>
      <c r="D879" s="86"/>
    </row>
    <row r="880" spans="2:4" hidden="1" x14ac:dyDescent="0.3">
      <c r="B880" s="86"/>
      <c r="C880" s="86"/>
      <c r="D880" s="86"/>
    </row>
    <row r="881" spans="2:4" hidden="1" x14ac:dyDescent="0.3">
      <c r="B881" s="86"/>
      <c r="C881" s="86"/>
      <c r="D881" s="86"/>
    </row>
    <row r="882" spans="2:4" hidden="1" x14ac:dyDescent="0.3">
      <c r="B882" s="86"/>
      <c r="C882" s="86"/>
      <c r="D882" s="86"/>
    </row>
    <row r="883" spans="2:4" hidden="1" x14ac:dyDescent="0.3">
      <c r="B883" s="86"/>
      <c r="C883" s="86"/>
      <c r="D883" s="86"/>
    </row>
    <row r="884" spans="2:4" hidden="1" x14ac:dyDescent="0.3">
      <c r="B884" s="86"/>
      <c r="C884" s="86"/>
      <c r="D884" s="86"/>
    </row>
    <row r="885" spans="2:4" hidden="1" x14ac:dyDescent="0.3">
      <c r="B885" s="86"/>
      <c r="C885" s="86"/>
      <c r="D885" s="86"/>
    </row>
    <row r="886" spans="2:4" hidden="1" x14ac:dyDescent="0.3">
      <c r="B886" s="86"/>
      <c r="C886" s="86"/>
      <c r="D886" s="86"/>
    </row>
    <row r="887" spans="2:4" hidden="1" x14ac:dyDescent="0.3">
      <c r="B887" s="86"/>
      <c r="C887" s="86"/>
      <c r="D887" s="86"/>
    </row>
    <row r="888" spans="2:4" hidden="1" x14ac:dyDescent="0.3">
      <c r="B888" s="86"/>
      <c r="C888" s="86"/>
      <c r="D888" s="86"/>
    </row>
    <row r="889" spans="2:4" hidden="1" x14ac:dyDescent="0.3">
      <c r="B889" s="86"/>
      <c r="C889" s="86"/>
      <c r="D889" s="86"/>
    </row>
    <row r="890" spans="2:4" hidden="1" x14ac:dyDescent="0.3">
      <c r="B890" s="86"/>
      <c r="C890" s="86"/>
      <c r="D890" s="86"/>
    </row>
    <row r="891" spans="2:4" hidden="1" x14ac:dyDescent="0.3">
      <c r="B891" s="86"/>
      <c r="C891" s="86"/>
      <c r="D891" s="86"/>
    </row>
    <row r="892" spans="2:4" hidden="1" x14ac:dyDescent="0.3">
      <c r="B892" s="86"/>
      <c r="C892" s="86"/>
      <c r="D892" s="86"/>
    </row>
    <row r="893" spans="2:4" hidden="1" x14ac:dyDescent="0.3">
      <c r="B893" s="86"/>
      <c r="C893" s="86"/>
      <c r="D893" s="86"/>
    </row>
    <row r="894" spans="2:4" hidden="1" x14ac:dyDescent="0.3">
      <c r="B894" s="86"/>
      <c r="C894" s="86"/>
      <c r="D894" s="86"/>
    </row>
    <row r="895" spans="2:4" hidden="1" x14ac:dyDescent="0.3">
      <c r="B895" s="86"/>
      <c r="C895" s="86"/>
      <c r="D895" s="86"/>
    </row>
    <row r="896" spans="2:4" hidden="1" x14ac:dyDescent="0.3">
      <c r="B896" s="86"/>
      <c r="C896" s="86"/>
      <c r="D896" s="86"/>
    </row>
    <row r="897" spans="2:4" hidden="1" x14ac:dyDescent="0.3">
      <c r="B897" s="86"/>
      <c r="C897" s="86"/>
      <c r="D897" s="86"/>
    </row>
    <row r="898" spans="2:4" hidden="1" x14ac:dyDescent="0.3">
      <c r="B898" s="86"/>
      <c r="C898" s="86"/>
      <c r="D898" s="86"/>
    </row>
    <row r="899" spans="2:4" hidden="1" x14ac:dyDescent="0.3">
      <c r="B899" s="86"/>
      <c r="C899" s="86"/>
      <c r="D899" s="86"/>
    </row>
    <row r="900" spans="2:4" hidden="1" x14ac:dyDescent="0.3">
      <c r="B900" s="86"/>
      <c r="C900" s="86"/>
      <c r="D900" s="86"/>
    </row>
    <row r="901" spans="2:4" hidden="1" x14ac:dyDescent="0.3">
      <c r="B901" s="87"/>
      <c r="C901" s="87"/>
      <c r="D901" s="87"/>
    </row>
    <row r="902" spans="2:4" hidden="1" x14ac:dyDescent="0.3">
      <c r="B902" s="87"/>
      <c r="C902" s="87"/>
      <c r="D902" s="87"/>
    </row>
    <row r="903" spans="2:4" hidden="1" x14ac:dyDescent="0.3">
      <c r="B903" s="87"/>
      <c r="C903" s="87"/>
      <c r="D903" s="87"/>
    </row>
    <row r="904" spans="2:4" hidden="1" x14ac:dyDescent="0.3">
      <c r="B904" s="87"/>
      <c r="C904" s="87"/>
      <c r="D904" s="87"/>
    </row>
    <row r="905" spans="2:4" hidden="1" x14ac:dyDescent="0.3">
      <c r="B905" s="87"/>
      <c r="C905" s="87"/>
      <c r="D905" s="87"/>
    </row>
    <row r="906" spans="2:4" hidden="1" x14ac:dyDescent="0.3">
      <c r="B906" s="87"/>
      <c r="C906" s="87"/>
      <c r="D906" s="87"/>
    </row>
    <row r="907" spans="2:4" hidden="1" x14ac:dyDescent="0.3">
      <c r="B907" s="87"/>
      <c r="C907" s="87"/>
      <c r="D907" s="87"/>
    </row>
    <row r="908" spans="2:4" hidden="1" x14ac:dyDescent="0.3">
      <c r="B908" s="87"/>
      <c r="C908" s="87"/>
      <c r="D908" s="87"/>
    </row>
    <row r="909" spans="2:4" hidden="1" x14ac:dyDescent="0.3">
      <c r="B909" s="87"/>
      <c r="C909" s="87"/>
      <c r="D909" s="87"/>
    </row>
    <row r="910" spans="2:4" hidden="1" x14ac:dyDescent="0.3">
      <c r="B910" s="87"/>
      <c r="C910" s="87"/>
      <c r="D910" s="87"/>
    </row>
    <row r="911" spans="2:4" hidden="1" x14ac:dyDescent="0.3">
      <c r="B911" s="87"/>
      <c r="C911" s="87"/>
      <c r="D911" s="87"/>
    </row>
    <row r="912" spans="2:4" hidden="1" x14ac:dyDescent="0.3">
      <c r="B912" s="87"/>
      <c r="C912" s="87"/>
      <c r="D912" s="87"/>
    </row>
    <row r="913" spans="2:4" hidden="1" x14ac:dyDescent="0.3">
      <c r="B913" s="87"/>
      <c r="C913" s="87"/>
      <c r="D913" s="87"/>
    </row>
    <row r="914" spans="2:4" hidden="1" x14ac:dyDescent="0.3">
      <c r="B914" s="87"/>
      <c r="C914" s="87"/>
      <c r="D914" s="87"/>
    </row>
    <row r="915" spans="2:4" hidden="1" x14ac:dyDescent="0.3">
      <c r="B915" s="87"/>
      <c r="C915" s="87"/>
      <c r="D915" s="87"/>
    </row>
    <row r="916" spans="2:4" hidden="1" x14ac:dyDescent="0.3">
      <c r="B916" s="87"/>
      <c r="C916" s="87"/>
      <c r="D916" s="87"/>
    </row>
    <row r="917" spans="2:4" hidden="1" x14ac:dyDescent="0.3">
      <c r="B917" s="87"/>
      <c r="C917" s="87"/>
      <c r="D917" s="87"/>
    </row>
    <row r="918" spans="2:4" hidden="1" x14ac:dyDescent="0.3">
      <c r="B918" s="87"/>
      <c r="C918" s="87"/>
      <c r="D918" s="87"/>
    </row>
    <row r="919" spans="2:4" hidden="1" x14ac:dyDescent="0.3">
      <c r="B919" s="87"/>
      <c r="C919" s="87"/>
      <c r="D919" s="87"/>
    </row>
    <row r="920" spans="2:4" hidden="1" x14ac:dyDescent="0.3">
      <c r="B920" s="87"/>
      <c r="C920" s="87"/>
      <c r="D920" s="87"/>
    </row>
    <row r="921" spans="2:4" hidden="1" x14ac:dyDescent="0.3">
      <c r="B921" s="87"/>
      <c r="C921" s="87"/>
      <c r="D921" s="87"/>
    </row>
    <row r="922" spans="2:4" hidden="1" x14ac:dyDescent="0.3">
      <c r="B922" s="87"/>
      <c r="C922" s="87"/>
      <c r="D922" s="87"/>
    </row>
    <row r="923" spans="2:4" hidden="1" x14ac:dyDescent="0.3">
      <c r="B923" s="87"/>
      <c r="C923" s="87"/>
      <c r="D923" s="87"/>
    </row>
    <row r="924" spans="2:4" hidden="1" x14ac:dyDescent="0.3">
      <c r="B924" s="87"/>
      <c r="C924" s="87"/>
      <c r="D924" s="87"/>
    </row>
    <row r="925" spans="2:4" hidden="1" x14ac:dyDescent="0.3">
      <c r="B925" s="87"/>
      <c r="C925" s="87"/>
      <c r="D925" s="87"/>
    </row>
    <row r="926" spans="2:4" hidden="1" x14ac:dyDescent="0.3">
      <c r="B926" s="87"/>
      <c r="C926" s="87"/>
      <c r="D926" s="87"/>
    </row>
    <row r="927" spans="2:4" hidden="1" x14ac:dyDescent="0.3">
      <c r="B927" s="87"/>
      <c r="C927" s="87"/>
      <c r="D927" s="87"/>
    </row>
    <row r="928" spans="2:4" hidden="1" x14ac:dyDescent="0.3">
      <c r="B928" s="87"/>
      <c r="C928" s="87"/>
      <c r="D928" s="87"/>
    </row>
    <row r="929" spans="2:4" hidden="1" x14ac:dyDescent="0.3">
      <c r="B929" s="87"/>
      <c r="C929" s="87"/>
      <c r="D929" s="87"/>
    </row>
    <row r="930" spans="2:4" hidden="1" x14ac:dyDescent="0.3">
      <c r="B930" s="87"/>
      <c r="C930" s="87"/>
      <c r="D930" s="87"/>
    </row>
    <row r="931" spans="2:4" hidden="1" x14ac:dyDescent="0.3">
      <c r="B931" s="87"/>
      <c r="C931" s="87"/>
      <c r="D931" s="87"/>
    </row>
    <row r="932" spans="2:4" hidden="1" x14ac:dyDescent="0.3">
      <c r="B932" s="87"/>
      <c r="C932" s="87"/>
      <c r="D932" s="87"/>
    </row>
    <row r="933" spans="2:4" hidden="1" x14ac:dyDescent="0.3">
      <c r="B933" s="87"/>
      <c r="C933" s="87"/>
      <c r="D933" s="87"/>
    </row>
    <row r="934" spans="2:4" hidden="1" x14ac:dyDescent="0.3">
      <c r="B934" s="87"/>
      <c r="C934" s="87"/>
      <c r="D934" s="87"/>
    </row>
    <row r="935" spans="2:4" hidden="1" x14ac:dyDescent="0.3">
      <c r="B935" s="87"/>
      <c r="C935" s="87"/>
      <c r="D935" s="87"/>
    </row>
    <row r="936" spans="2:4" hidden="1" x14ac:dyDescent="0.3">
      <c r="B936" s="87"/>
      <c r="C936" s="87"/>
      <c r="D936" s="87"/>
    </row>
    <row r="937" spans="2:4" hidden="1" x14ac:dyDescent="0.3">
      <c r="B937" s="87"/>
      <c r="C937" s="87"/>
      <c r="D937" s="87"/>
    </row>
    <row r="938" spans="2:4" hidden="1" x14ac:dyDescent="0.3">
      <c r="B938" s="87"/>
      <c r="C938" s="87"/>
      <c r="D938" s="87"/>
    </row>
    <row r="939" spans="2:4" hidden="1" x14ac:dyDescent="0.3">
      <c r="B939" s="87"/>
      <c r="C939" s="87"/>
      <c r="D939" s="87"/>
    </row>
    <row r="940" spans="2:4" hidden="1" x14ac:dyDescent="0.3">
      <c r="B940" s="87"/>
      <c r="C940" s="87"/>
      <c r="D940" s="87"/>
    </row>
    <row r="941" spans="2:4" hidden="1" x14ac:dyDescent="0.3">
      <c r="B941" s="87"/>
      <c r="C941" s="87"/>
      <c r="D941" s="87"/>
    </row>
    <row r="942" spans="2:4" hidden="1" x14ac:dyDescent="0.3">
      <c r="B942" s="87"/>
      <c r="C942" s="87"/>
      <c r="D942" s="87"/>
    </row>
    <row r="943" spans="2:4" hidden="1" x14ac:dyDescent="0.3">
      <c r="B943" s="87"/>
      <c r="C943" s="87"/>
      <c r="D943" s="87"/>
    </row>
    <row r="944" spans="2:4" hidden="1" x14ac:dyDescent="0.3">
      <c r="B944" s="87"/>
      <c r="C944" s="87"/>
      <c r="D944" s="87"/>
    </row>
    <row r="945" spans="2:4" hidden="1" x14ac:dyDescent="0.3">
      <c r="B945" s="87"/>
      <c r="C945" s="87"/>
      <c r="D945" s="87"/>
    </row>
    <row r="946" spans="2:4" hidden="1" x14ac:dyDescent="0.3">
      <c r="B946" s="87"/>
      <c r="C946" s="87"/>
      <c r="D946" s="87"/>
    </row>
    <row r="947" spans="2:4" hidden="1" x14ac:dyDescent="0.3">
      <c r="B947" s="87"/>
      <c r="C947" s="87"/>
      <c r="D947" s="87"/>
    </row>
    <row r="948" spans="2:4" hidden="1" x14ac:dyDescent="0.3">
      <c r="B948" s="87"/>
      <c r="C948" s="87"/>
      <c r="D948" s="87"/>
    </row>
    <row r="949" spans="2:4" hidden="1" x14ac:dyDescent="0.3">
      <c r="B949" s="87"/>
      <c r="C949" s="87"/>
      <c r="D949" s="87"/>
    </row>
    <row r="950" spans="2:4" hidden="1" x14ac:dyDescent="0.3">
      <c r="B950" s="87"/>
      <c r="C950" s="87"/>
      <c r="D950" s="87"/>
    </row>
    <row r="951" spans="2:4" hidden="1" x14ac:dyDescent="0.3">
      <c r="B951" s="87"/>
      <c r="C951" s="87"/>
      <c r="D951" s="87"/>
    </row>
    <row r="952" spans="2:4" hidden="1" x14ac:dyDescent="0.3">
      <c r="B952" s="87"/>
      <c r="C952" s="87"/>
      <c r="D952" s="87"/>
    </row>
    <row r="953" spans="2:4" hidden="1" x14ac:dyDescent="0.3">
      <c r="B953" s="87"/>
      <c r="C953" s="87"/>
      <c r="D953" s="87"/>
    </row>
    <row r="954" spans="2:4" hidden="1" x14ac:dyDescent="0.3">
      <c r="B954" s="87"/>
      <c r="C954" s="87"/>
      <c r="D954" s="87"/>
    </row>
    <row r="955" spans="2:4" hidden="1" x14ac:dyDescent="0.3">
      <c r="B955" s="87"/>
      <c r="C955" s="87"/>
      <c r="D955" s="87"/>
    </row>
    <row r="956" spans="2:4" hidden="1" x14ac:dyDescent="0.3">
      <c r="B956" s="87"/>
      <c r="C956" s="87"/>
      <c r="D956" s="87"/>
    </row>
    <row r="957" spans="2:4" hidden="1" x14ac:dyDescent="0.3">
      <c r="B957" s="87"/>
      <c r="C957" s="87"/>
      <c r="D957" s="87"/>
    </row>
    <row r="958" spans="2:4" hidden="1" x14ac:dyDescent="0.3">
      <c r="B958" s="87"/>
      <c r="C958" s="87"/>
      <c r="D958" s="87"/>
    </row>
    <row r="959" spans="2:4" hidden="1" x14ac:dyDescent="0.3">
      <c r="B959" s="87"/>
      <c r="C959" s="87"/>
      <c r="D959" s="87"/>
    </row>
    <row r="960" spans="2:4" hidden="1" x14ac:dyDescent="0.3">
      <c r="B960" s="87"/>
      <c r="C960" s="87"/>
      <c r="D960" s="87"/>
    </row>
    <row r="961" spans="2:4" hidden="1" x14ac:dyDescent="0.3">
      <c r="B961" s="87"/>
      <c r="C961" s="87"/>
      <c r="D961" s="87"/>
    </row>
    <row r="962" spans="2:4" hidden="1" x14ac:dyDescent="0.3">
      <c r="B962" s="87"/>
      <c r="C962" s="87"/>
      <c r="D962" s="87"/>
    </row>
    <row r="963" spans="2:4" hidden="1" x14ac:dyDescent="0.3">
      <c r="B963" s="87"/>
      <c r="C963" s="87"/>
      <c r="D963" s="87"/>
    </row>
    <row r="964" spans="2:4" hidden="1" x14ac:dyDescent="0.3">
      <c r="B964" s="87"/>
      <c r="C964" s="87"/>
      <c r="D964" s="87"/>
    </row>
    <row r="965" spans="2:4" hidden="1" x14ac:dyDescent="0.3">
      <c r="B965" s="87"/>
      <c r="C965" s="87"/>
      <c r="D965" s="87"/>
    </row>
    <row r="966" spans="2:4" hidden="1" x14ac:dyDescent="0.3">
      <c r="B966" s="87"/>
      <c r="C966" s="87"/>
      <c r="D966" s="87"/>
    </row>
    <row r="967" spans="2:4" hidden="1" x14ac:dyDescent="0.3">
      <c r="B967" s="87"/>
      <c r="C967" s="87"/>
      <c r="D967" s="87"/>
    </row>
    <row r="968" spans="2:4" hidden="1" x14ac:dyDescent="0.3">
      <c r="B968" s="87"/>
      <c r="C968" s="87"/>
      <c r="D968" s="87"/>
    </row>
    <row r="969" spans="2:4" hidden="1" x14ac:dyDescent="0.3">
      <c r="B969" s="87"/>
      <c r="C969" s="87"/>
      <c r="D969" s="87"/>
    </row>
    <row r="970" spans="2:4" hidden="1" x14ac:dyDescent="0.3">
      <c r="B970" s="87"/>
      <c r="C970" s="87"/>
      <c r="D970" s="87"/>
    </row>
    <row r="971" spans="2:4" hidden="1" x14ac:dyDescent="0.3">
      <c r="B971" s="87"/>
      <c r="C971" s="87"/>
      <c r="D971" s="87"/>
    </row>
    <row r="972" spans="2:4" hidden="1" x14ac:dyDescent="0.3">
      <c r="B972" s="87"/>
      <c r="C972" s="87"/>
      <c r="D972" s="87"/>
    </row>
    <row r="973" spans="2:4" hidden="1" x14ac:dyDescent="0.3">
      <c r="B973" s="87"/>
      <c r="C973" s="87"/>
      <c r="D973" s="87"/>
    </row>
    <row r="974" spans="2:4" hidden="1" x14ac:dyDescent="0.3">
      <c r="B974" s="87"/>
      <c r="C974" s="87"/>
      <c r="D974" s="87"/>
    </row>
    <row r="975" spans="2:4" hidden="1" x14ac:dyDescent="0.3">
      <c r="B975" s="87"/>
      <c r="C975" s="87"/>
      <c r="D975" s="87"/>
    </row>
    <row r="976" spans="2:4" hidden="1" x14ac:dyDescent="0.3">
      <c r="B976" s="87"/>
      <c r="C976" s="87"/>
      <c r="D976" s="87"/>
    </row>
    <row r="977" spans="2:4" hidden="1" x14ac:dyDescent="0.3">
      <c r="B977" s="87"/>
      <c r="C977" s="87"/>
      <c r="D977" s="87"/>
    </row>
    <row r="978" spans="2:4" hidden="1" x14ac:dyDescent="0.3">
      <c r="B978" s="87"/>
      <c r="C978" s="87"/>
      <c r="D978" s="87"/>
    </row>
    <row r="979" spans="2:4" hidden="1" x14ac:dyDescent="0.3">
      <c r="B979" s="87"/>
      <c r="C979" s="87"/>
      <c r="D979" s="87"/>
    </row>
    <row r="980" spans="2:4" hidden="1" x14ac:dyDescent="0.3">
      <c r="B980" s="87"/>
      <c r="C980" s="87"/>
      <c r="D980" s="87"/>
    </row>
    <row r="981" spans="2:4" hidden="1" x14ac:dyDescent="0.3">
      <c r="B981" s="87"/>
      <c r="C981" s="87"/>
      <c r="D981" s="87"/>
    </row>
    <row r="982" spans="2:4" hidden="1" x14ac:dyDescent="0.3">
      <c r="B982" s="87"/>
      <c r="C982" s="87"/>
      <c r="D982" s="87"/>
    </row>
    <row r="983" spans="2:4" hidden="1" x14ac:dyDescent="0.3">
      <c r="B983" s="87"/>
      <c r="C983" s="87"/>
      <c r="D983" s="87"/>
    </row>
    <row r="984" spans="2:4" hidden="1" x14ac:dyDescent="0.3">
      <c r="B984" s="87"/>
      <c r="C984" s="87"/>
      <c r="D984" s="87"/>
    </row>
    <row r="985" spans="2:4" hidden="1" x14ac:dyDescent="0.3">
      <c r="B985" s="87"/>
      <c r="C985" s="87"/>
      <c r="D985" s="87"/>
    </row>
    <row r="986" spans="2:4" hidden="1" x14ac:dyDescent="0.3">
      <c r="B986" s="87"/>
      <c r="C986" s="87"/>
      <c r="D986" s="87"/>
    </row>
    <row r="987" spans="2:4" hidden="1" x14ac:dyDescent="0.3">
      <c r="B987" s="87"/>
      <c r="C987" s="87"/>
      <c r="D987" s="87"/>
    </row>
    <row r="988" spans="2:4" hidden="1" x14ac:dyDescent="0.3">
      <c r="B988" s="87"/>
      <c r="C988" s="87"/>
      <c r="D988" s="87"/>
    </row>
    <row r="989" spans="2:4" hidden="1" x14ac:dyDescent="0.3">
      <c r="B989" s="87"/>
      <c r="C989" s="87"/>
      <c r="D989" s="87"/>
    </row>
    <row r="990" spans="2:4" hidden="1" x14ac:dyDescent="0.3">
      <c r="B990" s="87"/>
      <c r="C990" s="87"/>
      <c r="D990" s="87"/>
    </row>
    <row r="991" spans="2:4" hidden="1" x14ac:dyDescent="0.3">
      <c r="B991" s="87"/>
      <c r="C991" s="87"/>
      <c r="D991" s="87"/>
    </row>
    <row r="992" spans="2:4" hidden="1" x14ac:dyDescent="0.3">
      <c r="B992" s="87"/>
      <c r="C992" s="87"/>
      <c r="D992" s="87"/>
    </row>
    <row r="993" spans="2:4" hidden="1" x14ac:dyDescent="0.3">
      <c r="B993" s="87"/>
      <c r="C993" s="87"/>
      <c r="D993" s="87"/>
    </row>
    <row r="994" spans="2:4" hidden="1" x14ac:dyDescent="0.3">
      <c r="B994" s="87"/>
      <c r="C994" s="87"/>
      <c r="D994" s="87"/>
    </row>
    <row r="995" spans="2:4" hidden="1" x14ac:dyDescent="0.3">
      <c r="B995" s="87"/>
      <c r="C995" s="87"/>
      <c r="D995" s="87"/>
    </row>
    <row r="996" spans="2:4" hidden="1" x14ac:dyDescent="0.3">
      <c r="B996" s="87"/>
      <c r="C996" s="87"/>
      <c r="D996" s="87"/>
    </row>
    <row r="997" spans="2:4" hidden="1" x14ac:dyDescent="0.3">
      <c r="B997" s="87"/>
      <c r="C997" s="87"/>
      <c r="D997" s="87"/>
    </row>
    <row r="998" spans="2:4" hidden="1" x14ac:dyDescent="0.3">
      <c r="B998" s="87"/>
      <c r="C998" s="87"/>
      <c r="D998" s="87"/>
    </row>
    <row r="999" spans="2:4" hidden="1" x14ac:dyDescent="0.3">
      <c r="B999" s="87"/>
      <c r="C999" s="87"/>
      <c r="D999" s="87"/>
    </row>
    <row r="1000" spans="2:4" hidden="1" x14ac:dyDescent="0.3">
      <c r="B1000" s="87"/>
      <c r="C1000" s="87"/>
      <c r="D1000" s="87"/>
    </row>
    <row r="1001" spans="2:4" hidden="1" x14ac:dyDescent="0.3">
      <c r="B1001" s="87"/>
      <c r="C1001" s="87"/>
      <c r="D1001" s="87"/>
    </row>
    <row r="1002" spans="2:4" hidden="1" x14ac:dyDescent="0.3">
      <c r="B1002" s="87"/>
      <c r="C1002" s="87"/>
      <c r="D1002" s="87"/>
    </row>
    <row r="1003" spans="2:4" hidden="1" x14ac:dyDescent="0.3">
      <c r="B1003" s="87"/>
      <c r="C1003" s="87"/>
      <c r="D1003" s="87"/>
    </row>
    <row r="1004" spans="2:4" hidden="1" x14ac:dyDescent="0.3">
      <c r="B1004" s="87"/>
      <c r="C1004" s="87"/>
      <c r="D1004" s="87"/>
    </row>
    <row r="1005" spans="2:4" hidden="1" x14ac:dyDescent="0.3">
      <c r="B1005" s="87"/>
      <c r="C1005" s="87"/>
      <c r="D1005" s="87"/>
    </row>
    <row r="1006" spans="2:4" hidden="1" x14ac:dyDescent="0.3">
      <c r="B1006" s="87"/>
      <c r="C1006" s="87"/>
      <c r="D1006" s="87"/>
    </row>
    <row r="1007" spans="2:4" hidden="1" x14ac:dyDescent="0.3">
      <c r="B1007" s="87"/>
      <c r="C1007" s="87"/>
      <c r="D1007" s="87"/>
    </row>
    <row r="1008" spans="2:4" hidden="1" x14ac:dyDescent="0.3">
      <c r="B1008" s="87"/>
      <c r="C1008" s="87"/>
      <c r="D1008" s="87"/>
    </row>
    <row r="1009" spans="2:4" hidden="1" x14ac:dyDescent="0.3">
      <c r="B1009" s="87"/>
      <c r="C1009" s="87"/>
      <c r="D1009" s="87"/>
    </row>
    <row r="1010" spans="2:4" hidden="1" x14ac:dyDescent="0.3">
      <c r="B1010" s="87"/>
      <c r="C1010" s="87"/>
      <c r="D1010" s="87"/>
    </row>
    <row r="1011" spans="2:4" hidden="1" x14ac:dyDescent="0.3">
      <c r="B1011" s="87"/>
      <c r="C1011" s="87"/>
      <c r="D1011" s="87"/>
    </row>
    <row r="1012" spans="2:4" hidden="1" x14ac:dyDescent="0.3">
      <c r="B1012" s="87"/>
      <c r="C1012" s="87"/>
      <c r="D1012" s="87"/>
    </row>
    <row r="1013" spans="2:4" hidden="1" x14ac:dyDescent="0.3">
      <c r="B1013" s="87"/>
      <c r="C1013" s="87"/>
      <c r="D1013" s="87"/>
    </row>
    <row r="1014" spans="2:4" hidden="1" x14ac:dyDescent="0.3">
      <c r="B1014" s="87"/>
      <c r="C1014" s="87"/>
      <c r="D1014" s="87"/>
    </row>
    <row r="1015" spans="2:4" hidden="1" x14ac:dyDescent="0.3">
      <c r="B1015" s="87"/>
      <c r="C1015" s="87"/>
      <c r="D1015" s="87"/>
    </row>
    <row r="1016" spans="2:4" hidden="1" x14ac:dyDescent="0.3">
      <c r="B1016" s="87"/>
      <c r="C1016" s="87"/>
      <c r="D1016" s="87"/>
    </row>
    <row r="1017" spans="2:4" hidden="1" x14ac:dyDescent="0.3">
      <c r="B1017" s="87"/>
      <c r="C1017" s="87"/>
      <c r="D1017" s="87"/>
    </row>
    <row r="1018" spans="2:4" hidden="1" x14ac:dyDescent="0.3">
      <c r="B1018" s="87"/>
      <c r="C1018" s="87"/>
      <c r="D1018" s="87"/>
    </row>
    <row r="1019" spans="2:4" hidden="1" x14ac:dyDescent="0.3">
      <c r="B1019" s="87"/>
      <c r="C1019" s="87"/>
      <c r="D1019" s="87"/>
    </row>
    <row r="1020" spans="2:4" hidden="1" x14ac:dyDescent="0.3">
      <c r="B1020" s="87"/>
      <c r="C1020" s="87"/>
      <c r="D1020" s="87"/>
    </row>
    <row r="1021" spans="2:4" hidden="1" x14ac:dyDescent="0.3">
      <c r="B1021" s="87"/>
      <c r="C1021" s="87"/>
      <c r="D1021" s="87"/>
    </row>
    <row r="1022" spans="2:4" hidden="1" x14ac:dyDescent="0.3">
      <c r="B1022" s="87"/>
      <c r="C1022" s="87"/>
      <c r="D1022" s="87"/>
    </row>
    <row r="1023" spans="2:4" hidden="1" x14ac:dyDescent="0.3">
      <c r="B1023" s="87"/>
      <c r="C1023" s="87"/>
      <c r="D1023" s="87"/>
    </row>
    <row r="1024" spans="2:4" hidden="1" x14ac:dyDescent="0.3">
      <c r="B1024" s="87"/>
      <c r="C1024" s="87"/>
      <c r="D1024" s="87"/>
    </row>
    <row r="1025" spans="2:4" hidden="1" x14ac:dyDescent="0.3">
      <c r="B1025" s="87"/>
      <c r="C1025" s="87"/>
      <c r="D1025" s="87"/>
    </row>
    <row r="1026" spans="2:4" hidden="1" x14ac:dyDescent="0.3">
      <c r="B1026" s="87"/>
      <c r="C1026" s="87"/>
      <c r="D1026" s="87"/>
    </row>
    <row r="1027" spans="2:4" hidden="1" x14ac:dyDescent="0.3">
      <c r="B1027" s="87"/>
      <c r="C1027" s="87"/>
      <c r="D1027" s="87"/>
    </row>
    <row r="1028" spans="2:4" hidden="1" x14ac:dyDescent="0.3">
      <c r="B1028" s="87"/>
      <c r="C1028" s="87"/>
      <c r="D1028" s="87"/>
    </row>
    <row r="1029" spans="2:4" hidden="1" x14ac:dyDescent="0.3">
      <c r="B1029" s="87"/>
      <c r="C1029" s="87"/>
      <c r="D1029" s="87"/>
    </row>
    <row r="1030" spans="2:4" hidden="1" x14ac:dyDescent="0.3">
      <c r="B1030" s="87"/>
      <c r="C1030" s="87"/>
      <c r="D1030" s="87"/>
    </row>
    <row r="1031" spans="2:4" hidden="1" x14ac:dyDescent="0.3">
      <c r="B1031" s="87"/>
      <c r="C1031" s="87"/>
      <c r="D1031" s="87"/>
    </row>
    <row r="1032" spans="2:4" hidden="1" x14ac:dyDescent="0.3">
      <c r="B1032" s="87"/>
      <c r="C1032" s="87"/>
      <c r="D1032" s="87"/>
    </row>
    <row r="1033" spans="2:4" hidden="1" x14ac:dyDescent="0.3">
      <c r="B1033" s="87"/>
      <c r="C1033" s="87"/>
      <c r="D1033" s="87"/>
    </row>
    <row r="1034" spans="2:4" hidden="1" x14ac:dyDescent="0.3">
      <c r="B1034" s="87"/>
      <c r="C1034" s="87"/>
      <c r="D1034" s="87"/>
    </row>
    <row r="1035" spans="2:4" hidden="1" x14ac:dyDescent="0.3">
      <c r="B1035" s="87"/>
      <c r="C1035" s="87"/>
      <c r="D1035" s="87"/>
    </row>
    <row r="1036" spans="2:4" hidden="1" x14ac:dyDescent="0.3">
      <c r="B1036" s="87"/>
      <c r="C1036" s="87"/>
      <c r="D1036" s="87"/>
    </row>
    <row r="1037" spans="2:4" hidden="1" x14ac:dyDescent="0.3">
      <c r="B1037" s="87"/>
      <c r="C1037" s="87"/>
      <c r="D1037" s="87"/>
    </row>
    <row r="1038" spans="2:4" hidden="1" x14ac:dyDescent="0.3">
      <c r="B1038" s="87"/>
      <c r="C1038" s="87"/>
      <c r="D1038" s="87"/>
    </row>
    <row r="1039" spans="2:4" hidden="1" x14ac:dyDescent="0.3">
      <c r="B1039" s="87"/>
      <c r="C1039" s="87"/>
      <c r="D1039" s="87"/>
    </row>
    <row r="1040" spans="2:4" hidden="1" x14ac:dyDescent="0.3">
      <c r="B1040" s="87"/>
      <c r="C1040" s="87"/>
      <c r="D1040" s="87"/>
    </row>
    <row r="1041" spans="2:4" hidden="1" x14ac:dyDescent="0.3">
      <c r="B1041" s="87"/>
      <c r="C1041" s="87"/>
      <c r="D1041" s="87"/>
    </row>
    <row r="1042" spans="2:4" hidden="1" x14ac:dyDescent="0.3">
      <c r="B1042" s="87"/>
      <c r="C1042" s="87"/>
      <c r="D1042" s="87"/>
    </row>
    <row r="1043" spans="2:4" hidden="1" x14ac:dyDescent="0.3">
      <c r="B1043" s="87"/>
      <c r="C1043" s="87"/>
      <c r="D1043" s="87"/>
    </row>
    <row r="1044" spans="2:4" hidden="1" x14ac:dyDescent="0.3">
      <c r="B1044" s="87"/>
      <c r="C1044" s="87"/>
      <c r="D1044" s="87"/>
    </row>
    <row r="1045" spans="2:4" hidden="1" x14ac:dyDescent="0.3">
      <c r="B1045" s="87"/>
      <c r="C1045" s="87"/>
      <c r="D1045" s="87"/>
    </row>
    <row r="1046" spans="2:4" hidden="1" x14ac:dyDescent="0.3">
      <c r="B1046" s="87"/>
      <c r="C1046" s="87"/>
      <c r="D1046" s="87"/>
    </row>
    <row r="1047" spans="2:4" hidden="1" x14ac:dyDescent="0.3">
      <c r="B1047" s="87"/>
      <c r="C1047" s="87"/>
      <c r="D1047" s="87"/>
    </row>
    <row r="1048" spans="2:4" hidden="1" x14ac:dyDescent="0.3">
      <c r="B1048" s="87"/>
      <c r="C1048" s="87"/>
      <c r="D1048" s="87"/>
    </row>
    <row r="1049" spans="2:4" hidden="1" x14ac:dyDescent="0.3">
      <c r="B1049" s="87"/>
      <c r="C1049" s="87"/>
      <c r="D1049" s="87"/>
    </row>
    <row r="1050" spans="2:4" hidden="1" x14ac:dyDescent="0.3">
      <c r="B1050" s="87"/>
      <c r="C1050" s="87"/>
      <c r="D1050" s="87"/>
    </row>
    <row r="1051" spans="2:4" hidden="1" x14ac:dyDescent="0.3">
      <c r="B1051" s="87"/>
      <c r="C1051" s="87"/>
      <c r="D1051" s="87"/>
    </row>
    <row r="1052" spans="2:4" hidden="1" x14ac:dyDescent="0.3">
      <c r="B1052" s="87"/>
      <c r="C1052" s="87"/>
      <c r="D1052" s="87"/>
    </row>
    <row r="1053" spans="2:4" hidden="1" x14ac:dyDescent="0.3">
      <c r="B1053" s="87"/>
      <c r="C1053" s="87"/>
      <c r="D1053" s="87"/>
    </row>
    <row r="1054" spans="2:4" hidden="1" x14ac:dyDescent="0.3">
      <c r="B1054" s="87"/>
      <c r="C1054" s="87"/>
      <c r="D1054" s="87"/>
    </row>
    <row r="1055" spans="2:4" hidden="1" x14ac:dyDescent="0.3">
      <c r="B1055" s="87"/>
      <c r="C1055" s="87"/>
      <c r="D1055" s="87"/>
    </row>
    <row r="1056" spans="2:4" hidden="1" x14ac:dyDescent="0.3">
      <c r="B1056" s="87"/>
      <c r="C1056" s="87"/>
      <c r="D1056" s="87"/>
    </row>
    <row r="1057" spans="2:4" hidden="1" x14ac:dyDescent="0.3">
      <c r="B1057" s="87"/>
      <c r="C1057" s="87"/>
      <c r="D1057" s="87"/>
    </row>
    <row r="1058" spans="2:4" hidden="1" x14ac:dyDescent="0.3">
      <c r="B1058" s="87"/>
      <c r="C1058" s="87"/>
      <c r="D1058" s="87"/>
    </row>
    <row r="1059" spans="2:4" hidden="1" x14ac:dyDescent="0.3">
      <c r="B1059" s="87"/>
      <c r="C1059" s="87"/>
      <c r="D1059" s="87"/>
    </row>
    <row r="1060" spans="2:4" hidden="1" x14ac:dyDescent="0.3">
      <c r="B1060" s="87"/>
      <c r="C1060" s="87"/>
      <c r="D1060" s="87"/>
    </row>
    <row r="1061" spans="2:4" hidden="1" x14ac:dyDescent="0.3">
      <c r="B1061" s="87"/>
      <c r="C1061" s="87"/>
      <c r="D1061" s="87"/>
    </row>
    <row r="1062" spans="2:4" hidden="1" x14ac:dyDescent="0.3">
      <c r="B1062" s="87"/>
      <c r="C1062" s="87"/>
      <c r="D1062" s="87"/>
    </row>
    <row r="1063" spans="2:4" hidden="1" x14ac:dyDescent="0.3">
      <c r="B1063" s="87"/>
      <c r="C1063" s="87"/>
      <c r="D1063" s="87"/>
    </row>
    <row r="1064" spans="2:4" hidden="1" x14ac:dyDescent="0.3">
      <c r="B1064" s="87"/>
      <c r="C1064" s="87"/>
      <c r="D1064" s="87"/>
    </row>
    <row r="1065" spans="2:4" hidden="1" x14ac:dyDescent="0.3">
      <c r="B1065" s="87"/>
      <c r="C1065" s="87"/>
      <c r="D1065" s="87"/>
    </row>
    <row r="1066" spans="2:4" hidden="1" x14ac:dyDescent="0.3">
      <c r="B1066" s="87"/>
      <c r="C1066" s="87"/>
      <c r="D1066" s="87"/>
    </row>
    <row r="1067" spans="2:4" hidden="1" x14ac:dyDescent="0.3">
      <c r="B1067" s="87"/>
      <c r="C1067" s="87"/>
      <c r="D1067" s="87"/>
    </row>
    <row r="1068" spans="2:4" hidden="1" x14ac:dyDescent="0.3">
      <c r="B1068" s="87"/>
      <c r="C1068" s="87"/>
      <c r="D1068" s="87"/>
    </row>
    <row r="1069" spans="2:4" hidden="1" x14ac:dyDescent="0.3">
      <c r="B1069" s="87"/>
      <c r="C1069" s="87"/>
      <c r="D1069" s="87"/>
    </row>
    <row r="1070" spans="2:4" hidden="1" x14ac:dyDescent="0.3">
      <c r="B1070" s="87"/>
      <c r="C1070" s="87"/>
      <c r="D1070" s="87"/>
    </row>
    <row r="1071" spans="2:4" hidden="1" x14ac:dyDescent="0.3">
      <c r="B1071" s="87"/>
      <c r="C1071" s="87"/>
      <c r="D1071" s="87"/>
    </row>
    <row r="1072" spans="2:4" hidden="1" x14ac:dyDescent="0.3">
      <c r="B1072" s="87"/>
      <c r="C1072" s="87"/>
      <c r="D1072" s="87"/>
    </row>
    <row r="1073" spans="2:4" hidden="1" x14ac:dyDescent="0.3">
      <c r="B1073" s="87"/>
      <c r="C1073" s="87"/>
      <c r="D1073" s="87"/>
    </row>
    <row r="1074" spans="2:4" hidden="1" x14ac:dyDescent="0.3">
      <c r="B1074" s="87"/>
      <c r="C1074" s="87"/>
      <c r="D1074" s="87"/>
    </row>
    <row r="1075" spans="2:4" hidden="1" x14ac:dyDescent="0.3">
      <c r="B1075" s="87"/>
      <c r="C1075" s="87"/>
      <c r="D1075" s="87"/>
    </row>
    <row r="1076" spans="2:4" hidden="1" x14ac:dyDescent="0.3">
      <c r="B1076" s="87"/>
      <c r="C1076" s="87"/>
      <c r="D1076" s="87"/>
    </row>
    <row r="1077" spans="2:4" hidden="1" x14ac:dyDescent="0.3">
      <c r="B1077" s="87"/>
      <c r="C1077" s="87"/>
      <c r="D1077" s="87"/>
    </row>
    <row r="1078" spans="2:4" hidden="1" x14ac:dyDescent="0.3">
      <c r="B1078" s="87"/>
      <c r="C1078" s="87"/>
      <c r="D1078" s="87"/>
    </row>
    <row r="1079" spans="2:4" hidden="1" x14ac:dyDescent="0.3">
      <c r="B1079" s="87"/>
      <c r="C1079" s="87"/>
      <c r="D1079" s="87"/>
    </row>
    <row r="1080" spans="2:4" hidden="1" x14ac:dyDescent="0.3">
      <c r="B1080" s="87"/>
      <c r="C1080" s="87"/>
      <c r="D1080" s="87"/>
    </row>
    <row r="1081" spans="2:4" hidden="1" x14ac:dyDescent="0.3">
      <c r="B1081" s="87"/>
      <c r="C1081" s="87"/>
      <c r="D1081" s="87"/>
    </row>
    <row r="1082" spans="2:4" hidden="1" x14ac:dyDescent="0.3">
      <c r="B1082" s="87"/>
      <c r="C1082" s="87"/>
      <c r="D1082" s="87"/>
    </row>
    <row r="1083" spans="2:4" hidden="1" x14ac:dyDescent="0.3">
      <c r="B1083" s="87"/>
      <c r="C1083" s="87"/>
      <c r="D1083" s="87"/>
    </row>
    <row r="1084" spans="2:4" hidden="1" x14ac:dyDescent="0.3">
      <c r="B1084" s="87"/>
      <c r="C1084" s="87"/>
      <c r="D1084" s="87"/>
    </row>
    <row r="1085" spans="2:4" hidden="1" x14ac:dyDescent="0.3">
      <c r="B1085" s="87"/>
      <c r="C1085" s="87"/>
      <c r="D1085" s="87"/>
    </row>
    <row r="1086" spans="2:4" hidden="1" x14ac:dyDescent="0.3">
      <c r="B1086" s="87"/>
      <c r="C1086" s="87"/>
      <c r="D1086" s="87"/>
    </row>
    <row r="1087" spans="2:4" hidden="1" x14ac:dyDescent="0.3">
      <c r="B1087" s="87"/>
      <c r="C1087" s="87"/>
      <c r="D1087" s="87"/>
    </row>
    <row r="1088" spans="2:4" hidden="1" x14ac:dyDescent="0.3">
      <c r="B1088" s="87"/>
      <c r="C1088" s="87"/>
      <c r="D1088" s="87"/>
    </row>
    <row r="1089" spans="2:4" hidden="1" x14ac:dyDescent="0.3">
      <c r="B1089" s="87"/>
      <c r="C1089" s="87"/>
      <c r="D1089" s="87"/>
    </row>
    <row r="1090" spans="2:4" hidden="1" x14ac:dyDescent="0.3">
      <c r="B1090" s="87"/>
      <c r="C1090" s="87"/>
      <c r="D1090" s="87"/>
    </row>
    <row r="1091" spans="2:4" hidden="1" x14ac:dyDescent="0.3">
      <c r="B1091" s="87"/>
      <c r="C1091" s="87"/>
      <c r="D1091" s="87"/>
    </row>
    <row r="1092" spans="2:4" hidden="1" x14ac:dyDescent="0.3">
      <c r="B1092" s="87"/>
      <c r="C1092" s="87"/>
      <c r="D1092" s="87"/>
    </row>
    <row r="1093" spans="2:4" hidden="1" x14ac:dyDescent="0.3">
      <c r="B1093" s="87"/>
      <c r="C1093" s="87"/>
      <c r="D1093" s="87"/>
    </row>
    <row r="1094" spans="2:4" hidden="1" x14ac:dyDescent="0.3">
      <c r="B1094" s="87"/>
      <c r="C1094" s="87"/>
      <c r="D1094" s="87"/>
    </row>
    <row r="1095" spans="2:4" hidden="1" x14ac:dyDescent="0.3">
      <c r="B1095" s="87"/>
      <c r="C1095" s="87"/>
      <c r="D1095" s="87"/>
    </row>
    <row r="1096" spans="2:4" hidden="1" x14ac:dyDescent="0.3">
      <c r="B1096" s="87"/>
      <c r="C1096" s="87"/>
      <c r="D1096" s="87"/>
    </row>
    <row r="1097" spans="2:4" hidden="1" x14ac:dyDescent="0.3">
      <c r="B1097" s="87"/>
      <c r="C1097" s="87"/>
      <c r="D1097" s="87"/>
    </row>
    <row r="1098" spans="2:4" hidden="1" x14ac:dyDescent="0.3">
      <c r="B1098" s="87"/>
      <c r="C1098" s="87"/>
      <c r="D1098" s="87"/>
    </row>
    <row r="1099" spans="2:4" hidden="1" x14ac:dyDescent="0.3">
      <c r="B1099" s="87"/>
      <c r="C1099" s="87"/>
      <c r="D1099" s="87"/>
    </row>
    <row r="1100" spans="2:4" hidden="1" x14ac:dyDescent="0.3">
      <c r="B1100" s="87"/>
      <c r="C1100" s="87"/>
      <c r="D1100" s="87"/>
    </row>
    <row r="1101" spans="2:4" hidden="1" x14ac:dyDescent="0.3">
      <c r="B1101" s="87"/>
      <c r="C1101" s="87"/>
      <c r="D1101" s="87"/>
    </row>
    <row r="1102" spans="2:4" hidden="1" x14ac:dyDescent="0.3">
      <c r="B1102" s="87"/>
      <c r="C1102" s="87"/>
      <c r="D1102" s="87"/>
    </row>
    <row r="1103" spans="2:4" hidden="1" x14ac:dyDescent="0.3">
      <c r="B1103" s="87"/>
      <c r="C1103" s="87"/>
      <c r="D1103" s="87"/>
    </row>
    <row r="1104" spans="2:4" hidden="1" x14ac:dyDescent="0.3">
      <c r="B1104" s="87"/>
      <c r="C1104" s="87"/>
      <c r="D1104" s="87"/>
    </row>
    <row r="1105" spans="2:4" hidden="1" x14ac:dyDescent="0.3">
      <c r="B1105" s="87"/>
      <c r="C1105" s="87"/>
      <c r="D1105" s="87"/>
    </row>
    <row r="1106" spans="2:4" hidden="1" x14ac:dyDescent="0.3">
      <c r="B1106" s="87"/>
      <c r="C1106" s="87"/>
      <c r="D1106" s="87"/>
    </row>
    <row r="1107" spans="2:4" hidden="1" x14ac:dyDescent="0.3">
      <c r="B1107" s="87"/>
      <c r="C1107" s="87"/>
      <c r="D1107" s="87"/>
    </row>
    <row r="1108" spans="2:4" hidden="1" x14ac:dyDescent="0.3">
      <c r="B1108" s="87"/>
      <c r="C1108" s="87"/>
      <c r="D1108" s="87"/>
    </row>
    <row r="1109" spans="2:4" hidden="1" x14ac:dyDescent="0.3">
      <c r="B1109" s="87"/>
      <c r="C1109" s="87"/>
      <c r="D1109" s="87"/>
    </row>
    <row r="1110" spans="2:4" hidden="1" x14ac:dyDescent="0.3">
      <c r="B1110" s="87"/>
      <c r="C1110" s="87"/>
      <c r="D1110" s="87"/>
    </row>
    <row r="1111" spans="2:4" hidden="1" x14ac:dyDescent="0.3">
      <c r="B1111" s="87"/>
      <c r="C1111" s="87"/>
      <c r="D1111" s="87"/>
    </row>
    <row r="1112" spans="2:4" hidden="1" x14ac:dyDescent="0.3">
      <c r="B1112" s="87"/>
      <c r="C1112" s="87"/>
      <c r="D1112" s="87"/>
    </row>
    <row r="1113" spans="2:4" hidden="1" x14ac:dyDescent="0.3">
      <c r="B1113" s="87"/>
      <c r="C1113" s="87"/>
      <c r="D1113" s="87"/>
    </row>
    <row r="1114" spans="2:4" hidden="1" x14ac:dyDescent="0.3">
      <c r="B1114" s="87"/>
      <c r="C1114" s="87"/>
      <c r="D1114" s="87"/>
    </row>
    <row r="1115" spans="2:4" hidden="1" x14ac:dyDescent="0.3">
      <c r="B1115" s="87"/>
      <c r="C1115" s="87"/>
      <c r="D1115" s="87"/>
    </row>
    <row r="1116" spans="2:4" hidden="1" x14ac:dyDescent="0.3">
      <c r="B1116" s="87"/>
      <c r="C1116" s="87"/>
      <c r="D1116" s="87"/>
    </row>
    <row r="1117" spans="2:4" hidden="1" x14ac:dyDescent="0.3">
      <c r="B1117" s="87"/>
      <c r="C1117" s="87"/>
      <c r="D1117" s="87"/>
    </row>
    <row r="1118" spans="2:4" hidden="1" x14ac:dyDescent="0.3">
      <c r="B1118" s="87"/>
      <c r="C1118" s="87"/>
      <c r="D1118" s="87"/>
    </row>
    <row r="1119" spans="2:4" hidden="1" x14ac:dyDescent="0.3">
      <c r="B1119" s="87"/>
      <c r="C1119" s="87"/>
      <c r="D1119" s="87"/>
    </row>
    <row r="1120" spans="2:4" hidden="1" x14ac:dyDescent="0.3">
      <c r="B1120" s="87"/>
      <c r="C1120" s="87"/>
      <c r="D1120" s="87"/>
    </row>
    <row r="1121" spans="2:4" hidden="1" x14ac:dyDescent="0.3">
      <c r="B1121" s="87"/>
      <c r="C1121" s="87"/>
      <c r="D1121" s="87"/>
    </row>
    <row r="1122" spans="2:4" hidden="1" x14ac:dyDescent="0.3">
      <c r="B1122" s="87"/>
      <c r="C1122" s="87"/>
      <c r="D1122" s="87"/>
    </row>
    <row r="1123" spans="2:4" hidden="1" x14ac:dyDescent="0.3">
      <c r="B1123" s="87"/>
      <c r="C1123" s="87"/>
      <c r="D1123" s="87"/>
    </row>
    <row r="1124" spans="2:4" hidden="1" x14ac:dyDescent="0.3">
      <c r="B1124" s="87"/>
      <c r="C1124" s="87"/>
      <c r="D1124" s="87"/>
    </row>
    <row r="1125" spans="2:4" hidden="1" x14ac:dyDescent="0.3">
      <c r="B1125" s="87"/>
      <c r="C1125" s="87"/>
      <c r="D1125" s="87"/>
    </row>
    <row r="1126" spans="2:4" hidden="1" x14ac:dyDescent="0.3">
      <c r="B1126" s="87"/>
      <c r="C1126" s="87"/>
      <c r="D1126" s="87"/>
    </row>
    <row r="1127" spans="2:4" hidden="1" x14ac:dyDescent="0.3">
      <c r="B1127" s="87"/>
      <c r="C1127" s="87"/>
      <c r="D1127" s="87"/>
    </row>
    <row r="1128" spans="2:4" hidden="1" x14ac:dyDescent="0.3">
      <c r="B1128" s="87"/>
      <c r="C1128" s="87"/>
      <c r="D1128" s="87"/>
    </row>
    <row r="1129" spans="2:4" hidden="1" x14ac:dyDescent="0.3">
      <c r="B1129" s="87"/>
      <c r="C1129" s="87"/>
      <c r="D1129" s="87"/>
    </row>
    <row r="1130" spans="2:4" hidden="1" x14ac:dyDescent="0.3">
      <c r="B1130" s="87"/>
      <c r="C1130" s="87"/>
      <c r="D1130" s="87"/>
    </row>
    <row r="1131" spans="2:4" hidden="1" x14ac:dyDescent="0.3">
      <c r="B1131" s="87"/>
      <c r="C1131" s="87"/>
      <c r="D1131" s="87"/>
    </row>
    <row r="1132" spans="2:4" hidden="1" x14ac:dyDescent="0.3">
      <c r="B1132" s="87"/>
      <c r="C1132" s="87"/>
      <c r="D1132" s="87"/>
    </row>
    <row r="1133" spans="2:4" hidden="1" x14ac:dyDescent="0.3">
      <c r="B1133" s="87"/>
      <c r="C1133" s="87"/>
      <c r="D1133" s="87"/>
    </row>
    <row r="1134" spans="2:4" hidden="1" x14ac:dyDescent="0.3">
      <c r="B1134" s="87"/>
      <c r="C1134" s="87"/>
      <c r="D1134" s="87"/>
    </row>
    <row r="1135" spans="2:4" hidden="1" x14ac:dyDescent="0.3">
      <c r="B1135" s="87"/>
      <c r="C1135" s="87"/>
      <c r="D1135" s="87"/>
    </row>
    <row r="1136" spans="2:4" hidden="1" x14ac:dyDescent="0.3">
      <c r="B1136" s="87"/>
      <c r="C1136" s="87"/>
      <c r="D1136" s="87"/>
    </row>
    <row r="1137" spans="2:4" hidden="1" x14ac:dyDescent="0.3">
      <c r="B1137" s="87"/>
      <c r="C1137" s="87"/>
      <c r="D1137" s="87"/>
    </row>
    <row r="1138" spans="2:4" hidden="1" x14ac:dyDescent="0.3">
      <c r="B1138" s="87"/>
      <c r="C1138" s="87"/>
      <c r="D1138" s="87"/>
    </row>
    <row r="1139" spans="2:4" hidden="1" x14ac:dyDescent="0.3">
      <c r="B1139" s="87"/>
      <c r="C1139" s="87"/>
      <c r="D1139" s="87"/>
    </row>
    <row r="1140" spans="2:4" hidden="1" x14ac:dyDescent="0.3">
      <c r="B1140" s="87"/>
      <c r="C1140" s="87"/>
      <c r="D1140" s="87"/>
    </row>
    <row r="1141" spans="2:4" hidden="1" x14ac:dyDescent="0.3">
      <c r="B1141" s="87"/>
      <c r="C1141" s="87"/>
      <c r="D1141" s="87"/>
    </row>
    <row r="1142" spans="2:4" hidden="1" x14ac:dyDescent="0.3">
      <c r="B1142" s="87"/>
      <c r="C1142" s="87"/>
      <c r="D1142" s="87"/>
    </row>
    <row r="1143" spans="2:4" hidden="1" x14ac:dyDescent="0.3">
      <c r="B1143" s="87"/>
      <c r="C1143" s="87"/>
      <c r="D1143" s="87"/>
    </row>
    <row r="1144" spans="2:4" hidden="1" x14ac:dyDescent="0.3">
      <c r="B1144" s="87"/>
      <c r="C1144" s="87"/>
      <c r="D1144" s="87"/>
    </row>
    <row r="1145" spans="2:4" hidden="1" x14ac:dyDescent="0.3">
      <c r="B1145" s="87"/>
      <c r="C1145" s="87"/>
      <c r="D1145" s="87"/>
    </row>
    <row r="1146" spans="2:4" hidden="1" x14ac:dyDescent="0.3">
      <c r="B1146" s="87"/>
      <c r="C1146" s="87"/>
      <c r="D1146" s="87"/>
    </row>
    <row r="1147" spans="2:4" hidden="1" x14ac:dyDescent="0.3">
      <c r="B1147" s="87"/>
      <c r="C1147" s="87"/>
      <c r="D1147" s="87"/>
    </row>
    <row r="1148" spans="2:4" hidden="1" x14ac:dyDescent="0.3">
      <c r="B1148" s="87"/>
      <c r="C1148" s="87"/>
      <c r="D1148" s="87"/>
    </row>
    <row r="1149" spans="2:4" hidden="1" x14ac:dyDescent="0.3">
      <c r="B1149" s="87"/>
      <c r="C1149" s="87"/>
      <c r="D1149" s="87"/>
    </row>
    <row r="1150" spans="2:4" hidden="1" x14ac:dyDescent="0.3">
      <c r="B1150" s="87"/>
      <c r="C1150" s="87"/>
      <c r="D1150" s="87"/>
    </row>
    <row r="1151" spans="2:4" hidden="1" x14ac:dyDescent="0.3">
      <c r="B1151" s="87"/>
      <c r="C1151" s="87"/>
      <c r="D1151" s="87"/>
    </row>
    <row r="1152" spans="2:4" hidden="1" x14ac:dyDescent="0.3">
      <c r="B1152" s="87"/>
      <c r="C1152" s="87"/>
      <c r="D1152" s="87"/>
    </row>
    <row r="1153" spans="2:4" hidden="1" x14ac:dyDescent="0.3">
      <c r="B1153" s="87"/>
      <c r="C1153" s="87"/>
      <c r="D1153" s="87"/>
    </row>
    <row r="1154" spans="2:4" hidden="1" x14ac:dyDescent="0.3">
      <c r="B1154" s="87"/>
      <c r="C1154" s="87"/>
      <c r="D1154" s="87"/>
    </row>
    <row r="1155" spans="2:4" hidden="1" x14ac:dyDescent="0.3">
      <c r="B1155" s="87"/>
      <c r="C1155" s="87"/>
      <c r="D1155" s="87"/>
    </row>
    <row r="1156" spans="2:4" hidden="1" x14ac:dyDescent="0.3">
      <c r="B1156" s="87"/>
      <c r="C1156" s="87"/>
      <c r="D1156" s="87"/>
    </row>
    <row r="1157" spans="2:4" hidden="1" x14ac:dyDescent="0.3">
      <c r="B1157" s="87"/>
      <c r="C1157" s="87"/>
      <c r="D1157" s="87"/>
    </row>
    <row r="1158" spans="2:4" hidden="1" x14ac:dyDescent="0.3">
      <c r="B1158" s="87"/>
      <c r="C1158" s="87"/>
      <c r="D1158" s="87"/>
    </row>
    <row r="1159" spans="2:4" hidden="1" x14ac:dyDescent="0.3">
      <c r="B1159" s="87"/>
      <c r="C1159" s="87"/>
      <c r="D1159" s="87"/>
    </row>
    <row r="1160" spans="2:4" hidden="1" x14ac:dyDescent="0.3">
      <c r="B1160" s="87"/>
      <c r="C1160" s="87"/>
      <c r="D1160" s="87"/>
    </row>
    <row r="1161" spans="2:4" hidden="1" x14ac:dyDescent="0.3">
      <c r="B1161" s="87"/>
      <c r="C1161" s="87"/>
      <c r="D1161" s="87"/>
    </row>
    <row r="1162" spans="2:4" hidden="1" x14ac:dyDescent="0.3">
      <c r="B1162" s="87"/>
      <c r="C1162" s="87"/>
      <c r="D1162" s="87"/>
    </row>
    <row r="1163" spans="2:4" hidden="1" x14ac:dyDescent="0.3">
      <c r="B1163" s="87"/>
      <c r="C1163" s="87"/>
      <c r="D1163" s="87"/>
    </row>
    <row r="1164" spans="2:4" hidden="1" x14ac:dyDescent="0.3">
      <c r="B1164" s="87"/>
      <c r="C1164" s="87"/>
      <c r="D1164" s="87"/>
    </row>
    <row r="1165" spans="2:4" hidden="1" x14ac:dyDescent="0.3">
      <c r="B1165" s="87"/>
      <c r="C1165" s="87"/>
      <c r="D1165" s="87"/>
    </row>
    <row r="1166" spans="2:4" hidden="1" x14ac:dyDescent="0.3">
      <c r="B1166" s="87"/>
      <c r="C1166" s="87"/>
      <c r="D1166" s="87"/>
    </row>
    <row r="1167" spans="2:4" hidden="1" x14ac:dyDescent="0.3">
      <c r="B1167" s="87"/>
      <c r="C1167" s="87"/>
      <c r="D1167" s="87"/>
    </row>
    <row r="1168" spans="2:4" hidden="1" x14ac:dyDescent="0.3">
      <c r="B1168" s="87"/>
      <c r="C1168" s="87"/>
      <c r="D1168" s="87"/>
    </row>
    <row r="1169" spans="2:4" hidden="1" x14ac:dyDescent="0.3">
      <c r="B1169" s="87"/>
      <c r="C1169" s="87"/>
      <c r="D1169" s="87"/>
    </row>
    <row r="1170" spans="2:4" hidden="1" x14ac:dyDescent="0.3">
      <c r="B1170" s="87"/>
      <c r="C1170" s="87"/>
      <c r="D1170" s="87"/>
    </row>
    <row r="1171" spans="2:4" hidden="1" x14ac:dyDescent="0.3">
      <c r="B1171" s="87"/>
      <c r="C1171" s="87"/>
      <c r="D1171" s="87"/>
    </row>
    <row r="1172" spans="2:4" hidden="1" x14ac:dyDescent="0.3">
      <c r="B1172" s="87"/>
      <c r="C1172" s="87"/>
      <c r="D1172" s="87"/>
    </row>
    <row r="1173" spans="2:4" hidden="1" x14ac:dyDescent="0.3">
      <c r="B1173" s="87"/>
      <c r="C1173" s="87"/>
      <c r="D1173" s="87"/>
    </row>
    <row r="1174" spans="2:4" hidden="1" x14ac:dyDescent="0.3">
      <c r="B1174" s="87"/>
      <c r="C1174" s="87"/>
      <c r="D1174" s="87"/>
    </row>
    <row r="1175" spans="2:4" hidden="1" x14ac:dyDescent="0.3">
      <c r="B1175" s="87"/>
      <c r="C1175" s="87"/>
      <c r="D1175" s="87"/>
    </row>
    <row r="1176" spans="2:4" hidden="1" x14ac:dyDescent="0.3">
      <c r="B1176" s="87"/>
      <c r="C1176" s="87"/>
      <c r="D1176" s="87"/>
    </row>
    <row r="1177" spans="2:4" hidden="1" x14ac:dyDescent="0.3">
      <c r="B1177" s="87"/>
      <c r="C1177" s="87"/>
      <c r="D1177" s="87"/>
    </row>
    <row r="1178" spans="2:4" hidden="1" x14ac:dyDescent="0.3">
      <c r="B1178" s="87"/>
      <c r="C1178" s="87"/>
      <c r="D1178" s="87"/>
    </row>
    <row r="1179" spans="2:4" hidden="1" x14ac:dyDescent="0.3">
      <c r="B1179" s="87"/>
      <c r="C1179" s="87"/>
      <c r="D1179" s="87"/>
    </row>
    <row r="1180" spans="2:4" hidden="1" x14ac:dyDescent="0.3">
      <c r="B1180" s="87"/>
      <c r="C1180" s="87"/>
      <c r="D1180" s="87"/>
    </row>
    <row r="1181" spans="2:4" hidden="1" x14ac:dyDescent="0.3">
      <c r="B1181" s="87"/>
      <c r="C1181" s="87"/>
      <c r="D1181" s="87"/>
    </row>
    <row r="1182" spans="2:4" hidden="1" x14ac:dyDescent="0.3">
      <c r="B1182" s="87"/>
      <c r="C1182" s="87"/>
      <c r="D1182" s="87"/>
    </row>
    <row r="1183" spans="2:4" hidden="1" x14ac:dyDescent="0.3">
      <c r="B1183" s="87"/>
      <c r="C1183" s="87"/>
      <c r="D1183" s="87"/>
    </row>
    <row r="1184" spans="2:4" hidden="1" x14ac:dyDescent="0.3">
      <c r="B1184" s="87"/>
      <c r="C1184" s="87"/>
      <c r="D1184" s="87"/>
    </row>
    <row r="1185" spans="2:4" hidden="1" x14ac:dyDescent="0.3">
      <c r="B1185" s="87"/>
      <c r="C1185" s="87"/>
      <c r="D1185" s="87"/>
    </row>
    <row r="1186" spans="2:4" hidden="1" x14ac:dyDescent="0.3">
      <c r="B1186" s="87"/>
      <c r="C1186" s="87"/>
      <c r="D1186" s="87"/>
    </row>
    <row r="1187" spans="2:4" hidden="1" x14ac:dyDescent="0.3">
      <c r="B1187" s="87"/>
      <c r="C1187" s="87"/>
      <c r="D1187" s="87"/>
    </row>
    <row r="1188" spans="2:4" hidden="1" x14ac:dyDescent="0.3">
      <c r="B1188" s="87"/>
      <c r="C1188" s="87"/>
      <c r="D1188" s="87"/>
    </row>
    <row r="1189" spans="2:4" hidden="1" x14ac:dyDescent="0.3">
      <c r="B1189" s="87"/>
      <c r="C1189" s="87"/>
      <c r="D1189" s="87"/>
    </row>
    <row r="1190" spans="2:4" hidden="1" x14ac:dyDescent="0.3">
      <c r="B1190" s="87"/>
      <c r="C1190" s="87"/>
      <c r="D1190" s="87"/>
    </row>
    <row r="1191" spans="2:4" hidden="1" x14ac:dyDescent="0.3">
      <c r="B1191" s="87"/>
      <c r="C1191" s="87"/>
      <c r="D1191" s="87"/>
    </row>
    <row r="1192" spans="2:4" hidden="1" x14ac:dyDescent="0.3">
      <c r="B1192" s="87"/>
      <c r="C1192" s="87"/>
      <c r="D1192" s="87"/>
    </row>
    <row r="1193" spans="2:4" hidden="1" x14ac:dyDescent="0.3">
      <c r="B1193" s="87"/>
      <c r="C1193" s="87"/>
      <c r="D1193" s="87"/>
    </row>
    <row r="1194" spans="2:4" hidden="1" x14ac:dyDescent="0.3">
      <c r="B1194" s="87"/>
      <c r="C1194" s="87"/>
      <c r="D1194" s="87"/>
    </row>
    <row r="1195" spans="2:4" hidden="1" x14ac:dyDescent="0.3">
      <c r="B1195" s="87"/>
      <c r="C1195" s="87"/>
      <c r="D1195" s="87"/>
    </row>
    <row r="1196" spans="2:4" hidden="1" x14ac:dyDescent="0.3">
      <c r="B1196" s="87"/>
      <c r="C1196" s="87"/>
      <c r="D1196" s="87"/>
    </row>
    <row r="1197" spans="2:4" hidden="1" x14ac:dyDescent="0.3">
      <c r="B1197" s="87"/>
      <c r="C1197" s="87"/>
      <c r="D1197" s="87"/>
    </row>
    <row r="1198" spans="2:4" hidden="1" x14ac:dyDescent="0.3">
      <c r="B1198" s="87"/>
      <c r="C1198" s="87"/>
      <c r="D1198" s="87"/>
    </row>
    <row r="1199" spans="2:4" hidden="1" x14ac:dyDescent="0.3">
      <c r="B1199" s="87"/>
      <c r="C1199" s="87"/>
      <c r="D1199" s="87"/>
    </row>
    <row r="1200" spans="2:4" hidden="1" x14ac:dyDescent="0.3">
      <c r="B1200" s="87"/>
      <c r="C1200" s="87"/>
      <c r="D1200" s="87"/>
    </row>
    <row r="1201" spans="2:4" hidden="1" x14ac:dyDescent="0.3">
      <c r="B1201" s="87"/>
      <c r="C1201" s="87"/>
      <c r="D1201" s="87"/>
    </row>
    <row r="1202" spans="2:4" hidden="1" x14ac:dyDescent="0.3">
      <c r="B1202" s="87"/>
      <c r="C1202" s="87"/>
      <c r="D1202" s="87"/>
    </row>
    <row r="1203" spans="2:4" hidden="1" x14ac:dyDescent="0.3">
      <c r="B1203" s="87"/>
      <c r="C1203" s="87"/>
      <c r="D1203" s="87"/>
    </row>
    <row r="1204" spans="2:4" hidden="1" x14ac:dyDescent="0.3">
      <c r="B1204" s="87"/>
      <c r="C1204" s="87"/>
      <c r="D1204" s="87"/>
    </row>
    <row r="1205" spans="2:4" hidden="1" x14ac:dyDescent="0.3">
      <c r="B1205" s="87"/>
      <c r="C1205" s="87"/>
      <c r="D1205" s="87"/>
    </row>
    <row r="1206" spans="2:4" hidden="1" x14ac:dyDescent="0.3">
      <c r="B1206" s="87"/>
      <c r="C1206" s="87"/>
      <c r="D1206" s="87"/>
    </row>
    <row r="1207" spans="2:4" hidden="1" x14ac:dyDescent="0.3">
      <c r="B1207" s="87"/>
      <c r="C1207" s="87"/>
      <c r="D1207" s="87"/>
    </row>
    <row r="1208" spans="2:4" hidden="1" x14ac:dyDescent="0.3">
      <c r="B1208" s="87"/>
      <c r="C1208" s="87"/>
      <c r="D1208" s="87"/>
    </row>
    <row r="1209" spans="2:4" hidden="1" x14ac:dyDescent="0.3">
      <c r="B1209" s="87"/>
      <c r="C1209" s="87"/>
      <c r="D1209" s="87"/>
    </row>
    <row r="1210" spans="2:4" hidden="1" x14ac:dyDescent="0.3">
      <c r="B1210" s="87"/>
      <c r="C1210" s="87"/>
      <c r="D1210" s="87"/>
    </row>
    <row r="1211" spans="2:4" hidden="1" x14ac:dyDescent="0.3">
      <c r="B1211" s="87"/>
      <c r="C1211" s="87"/>
      <c r="D1211" s="87"/>
    </row>
    <row r="1212" spans="2:4" hidden="1" x14ac:dyDescent="0.3">
      <c r="B1212" s="87"/>
      <c r="C1212" s="87"/>
      <c r="D1212" s="87"/>
    </row>
    <row r="1213" spans="2:4" hidden="1" x14ac:dyDescent="0.3">
      <c r="B1213" s="87"/>
      <c r="C1213" s="87"/>
      <c r="D1213" s="87"/>
    </row>
    <row r="1214" spans="2:4" hidden="1" x14ac:dyDescent="0.3">
      <c r="B1214" s="87"/>
      <c r="C1214" s="87"/>
      <c r="D1214" s="87"/>
    </row>
    <row r="1215" spans="2:4" hidden="1" x14ac:dyDescent="0.3">
      <c r="B1215" s="87"/>
      <c r="C1215" s="87"/>
      <c r="D1215" s="87"/>
    </row>
    <row r="1216" spans="2:4" hidden="1" x14ac:dyDescent="0.3">
      <c r="B1216" s="87"/>
      <c r="C1216" s="87"/>
      <c r="D1216" s="87"/>
    </row>
    <row r="1217" spans="2:4" hidden="1" x14ac:dyDescent="0.3">
      <c r="B1217" s="87"/>
      <c r="C1217" s="87"/>
      <c r="D1217" s="87"/>
    </row>
    <row r="1218" spans="2:4" hidden="1" x14ac:dyDescent="0.3">
      <c r="B1218" s="87"/>
      <c r="C1218" s="87"/>
      <c r="D1218" s="87"/>
    </row>
    <row r="1219" spans="2:4" hidden="1" x14ac:dyDescent="0.3">
      <c r="B1219" s="87"/>
      <c r="C1219" s="87"/>
      <c r="D1219" s="87"/>
    </row>
    <row r="1220" spans="2:4" hidden="1" x14ac:dyDescent="0.3">
      <c r="B1220" s="87"/>
      <c r="C1220" s="87"/>
      <c r="D1220" s="87"/>
    </row>
    <row r="1221" spans="2:4" hidden="1" x14ac:dyDescent="0.3">
      <c r="B1221" s="87"/>
      <c r="C1221" s="87"/>
      <c r="D1221" s="87"/>
    </row>
    <row r="1222" spans="2:4" hidden="1" x14ac:dyDescent="0.3">
      <c r="B1222" s="87"/>
      <c r="C1222" s="87"/>
      <c r="D1222" s="87"/>
    </row>
    <row r="1223" spans="2:4" hidden="1" x14ac:dyDescent="0.3">
      <c r="B1223" s="87"/>
      <c r="C1223" s="87"/>
      <c r="D1223" s="87"/>
    </row>
    <row r="1224" spans="2:4" hidden="1" x14ac:dyDescent="0.3">
      <c r="B1224" s="87"/>
      <c r="C1224" s="87"/>
      <c r="D1224" s="87"/>
    </row>
    <row r="1225" spans="2:4" hidden="1" x14ac:dyDescent="0.3">
      <c r="B1225" s="87"/>
      <c r="C1225" s="87"/>
      <c r="D1225" s="87"/>
    </row>
    <row r="1226" spans="2:4" hidden="1" x14ac:dyDescent="0.3">
      <c r="B1226" s="87"/>
      <c r="C1226" s="87"/>
      <c r="D1226" s="87"/>
    </row>
    <row r="1227" spans="2:4" hidden="1" x14ac:dyDescent="0.3">
      <c r="B1227" s="87"/>
      <c r="C1227" s="87"/>
      <c r="D1227" s="87"/>
    </row>
    <row r="1228" spans="2:4" hidden="1" x14ac:dyDescent="0.3">
      <c r="B1228" s="87"/>
      <c r="C1228" s="87"/>
      <c r="D1228" s="87"/>
    </row>
    <row r="1229" spans="2:4" hidden="1" x14ac:dyDescent="0.3">
      <c r="B1229" s="87"/>
      <c r="C1229" s="87"/>
      <c r="D1229" s="87"/>
    </row>
    <row r="1230" spans="2:4" hidden="1" x14ac:dyDescent="0.3">
      <c r="B1230" s="87"/>
      <c r="C1230" s="87"/>
      <c r="D1230" s="87"/>
    </row>
    <row r="1231" spans="2:4" hidden="1" x14ac:dyDescent="0.3">
      <c r="B1231" s="87"/>
      <c r="C1231" s="87"/>
      <c r="D1231" s="87"/>
    </row>
    <row r="1232" spans="2:4" hidden="1" x14ac:dyDescent="0.3">
      <c r="B1232" s="87"/>
      <c r="C1232" s="87"/>
      <c r="D1232" s="87"/>
    </row>
    <row r="1233" spans="2:4" hidden="1" x14ac:dyDescent="0.3">
      <c r="B1233" s="87"/>
      <c r="C1233" s="87"/>
      <c r="D1233" s="87"/>
    </row>
    <row r="1234" spans="2:4" hidden="1" x14ac:dyDescent="0.3">
      <c r="B1234" s="87"/>
      <c r="C1234" s="87"/>
      <c r="D1234" s="87"/>
    </row>
    <row r="1235" spans="2:4" hidden="1" x14ac:dyDescent="0.3">
      <c r="B1235" s="87"/>
      <c r="C1235" s="87"/>
      <c r="D1235" s="87"/>
    </row>
    <row r="1236" spans="2:4" hidden="1" x14ac:dyDescent="0.3">
      <c r="B1236" s="87"/>
      <c r="C1236" s="87"/>
      <c r="D1236" s="87"/>
    </row>
    <row r="1237" spans="2:4" hidden="1" x14ac:dyDescent="0.3">
      <c r="B1237" s="87"/>
      <c r="C1237" s="87"/>
      <c r="D1237" s="87"/>
    </row>
    <row r="1238" spans="2:4" hidden="1" x14ac:dyDescent="0.3">
      <c r="B1238" s="87"/>
      <c r="C1238" s="87"/>
      <c r="D1238" s="87"/>
    </row>
    <row r="1239" spans="2:4" hidden="1" x14ac:dyDescent="0.3">
      <c r="B1239" s="87"/>
      <c r="C1239" s="87"/>
      <c r="D1239" s="87"/>
    </row>
    <row r="1240" spans="2:4" hidden="1" x14ac:dyDescent="0.3">
      <c r="B1240" s="87"/>
      <c r="C1240" s="87"/>
      <c r="D1240" s="87"/>
    </row>
    <row r="1241" spans="2:4" hidden="1" x14ac:dyDescent="0.3">
      <c r="B1241" s="87"/>
      <c r="C1241" s="87"/>
      <c r="D1241" s="87"/>
    </row>
    <row r="1242" spans="2:4" hidden="1" x14ac:dyDescent="0.3">
      <c r="B1242" s="87"/>
      <c r="C1242" s="87"/>
      <c r="D1242" s="87"/>
    </row>
    <row r="1243" spans="2:4" hidden="1" x14ac:dyDescent="0.3">
      <c r="B1243" s="87"/>
      <c r="C1243" s="87"/>
      <c r="D1243" s="87"/>
    </row>
    <row r="1244" spans="2:4" hidden="1" x14ac:dyDescent="0.3">
      <c r="B1244" s="87"/>
      <c r="C1244" s="87"/>
      <c r="D1244" s="87"/>
    </row>
    <row r="1245" spans="2:4" hidden="1" x14ac:dyDescent="0.3">
      <c r="B1245" s="87"/>
      <c r="C1245" s="87"/>
      <c r="D1245" s="87"/>
    </row>
    <row r="1246" spans="2:4" hidden="1" x14ac:dyDescent="0.3">
      <c r="B1246" s="87"/>
      <c r="C1246" s="87"/>
      <c r="D1246" s="87"/>
    </row>
    <row r="1247" spans="2:4" hidden="1" x14ac:dyDescent="0.3">
      <c r="B1247" s="87"/>
      <c r="C1247" s="87"/>
      <c r="D1247" s="87"/>
    </row>
    <row r="1248" spans="2:4" hidden="1" x14ac:dyDescent="0.3">
      <c r="B1248" s="87"/>
      <c r="C1248" s="87"/>
      <c r="D1248" s="87"/>
    </row>
    <row r="1249" spans="2:4" hidden="1" x14ac:dyDescent="0.3">
      <c r="B1249" s="87"/>
      <c r="C1249" s="87"/>
      <c r="D1249" s="87"/>
    </row>
    <row r="1250" spans="2:4" hidden="1" x14ac:dyDescent="0.3">
      <c r="B1250" s="87"/>
      <c r="C1250" s="87"/>
      <c r="D1250" s="87"/>
    </row>
    <row r="1251" spans="2:4" hidden="1" x14ac:dyDescent="0.3">
      <c r="B1251" s="87"/>
      <c r="C1251" s="87"/>
      <c r="D1251" s="87"/>
    </row>
    <row r="1252" spans="2:4" hidden="1" x14ac:dyDescent="0.3">
      <c r="B1252" s="87"/>
      <c r="C1252" s="87"/>
      <c r="D1252" s="87"/>
    </row>
    <row r="1253" spans="2:4" hidden="1" x14ac:dyDescent="0.3">
      <c r="B1253" s="87"/>
      <c r="C1253" s="87"/>
      <c r="D1253" s="87"/>
    </row>
    <row r="1254" spans="2:4" hidden="1" x14ac:dyDescent="0.3">
      <c r="B1254" s="87"/>
      <c r="C1254" s="87"/>
      <c r="D1254" s="87"/>
    </row>
    <row r="1255" spans="2:4" hidden="1" x14ac:dyDescent="0.3">
      <c r="B1255" s="87"/>
      <c r="C1255" s="87"/>
      <c r="D1255" s="87"/>
    </row>
    <row r="1256" spans="2:4" hidden="1" x14ac:dyDescent="0.3">
      <c r="B1256" s="87"/>
      <c r="C1256" s="87"/>
      <c r="D1256" s="87"/>
    </row>
    <row r="1257" spans="2:4" hidden="1" x14ac:dyDescent="0.3">
      <c r="B1257" s="87"/>
      <c r="C1257" s="87"/>
      <c r="D1257" s="87"/>
    </row>
    <row r="1258" spans="2:4" hidden="1" x14ac:dyDescent="0.3">
      <c r="B1258" s="87"/>
      <c r="C1258" s="87"/>
      <c r="D1258" s="87"/>
    </row>
    <row r="1259" spans="2:4" hidden="1" x14ac:dyDescent="0.3">
      <c r="B1259" s="87"/>
      <c r="C1259" s="87"/>
      <c r="D1259" s="87"/>
    </row>
    <row r="1260" spans="2:4" hidden="1" x14ac:dyDescent="0.3">
      <c r="B1260" s="87"/>
      <c r="C1260" s="87"/>
      <c r="D1260" s="87"/>
    </row>
    <row r="1261" spans="2:4" hidden="1" x14ac:dyDescent="0.3">
      <c r="B1261" s="87"/>
      <c r="C1261" s="87"/>
      <c r="D1261" s="87"/>
    </row>
    <row r="1262" spans="2:4" hidden="1" x14ac:dyDescent="0.3">
      <c r="B1262" s="87"/>
      <c r="C1262" s="87"/>
      <c r="D1262" s="87"/>
    </row>
    <row r="1263" spans="2:4" hidden="1" x14ac:dyDescent="0.3">
      <c r="B1263" s="87"/>
      <c r="C1263" s="87"/>
      <c r="D1263" s="87"/>
    </row>
    <row r="1264" spans="2:4" hidden="1" x14ac:dyDescent="0.3">
      <c r="B1264" s="87"/>
      <c r="C1264" s="87"/>
      <c r="D1264" s="87"/>
    </row>
    <row r="1265" spans="2:4" hidden="1" x14ac:dyDescent="0.3">
      <c r="B1265" s="87"/>
      <c r="C1265" s="87"/>
      <c r="D1265" s="87"/>
    </row>
    <row r="1266" spans="2:4" hidden="1" x14ac:dyDescent="0.3">
      <c r="B1266" s="87"/>
      <c r="C1266" s="87"/>
      <c r="D1266" s="87"/>
    </row>
    <row r="1267" spans="2:4" hidden="1" x14ac:dyDescent="0.3">
      <c r="B1267" s="87"/>
      <c r="C1267" s="87"/>
      <c r="D1267" s="87"/>
    </row>
    <row r="1268" spans="2:4" hidden="1" x14ac:dyDescent="0.3">
      <c r="B1268" s="87"/>
      <c r="C1268" s="87"/>
      <c r="D1268" s="87"/>
    </row>
    <row r="1269" spans="2:4" hidden="1" x14ac:dyDescent="0.3">
      <c r="B1269" s="87"/>
      <c r="C1269" s="87"/>
      <c r="D1269" s="87"/>
    </row>
    <row r="1270" spans="2:4" hidden="1" x14ac:dyDescent="0.3">
      <c r="B1270" s="87"/>
      <c r="C1270" s="87"/>
      <c r="D1270" s="87"/>
    </row>
    <row r="1271" spans="2:4" hidden="1" x14ac:dyDescent="0.3">
      <c r="B1271" s="87"/>
      <c r="C1271" s="87"/>
      <c r="D1271" s="87"/>
    </row>
    <row r="1272" spans="2:4" hidden="1" x14ac:dyDescent="0.3">
      <c r="B1272" s="87"/>
      <c r="C1272" s="87"/>
      <c r="D1272" s="87"/>
    </row>
    <row r="1273" spans="2:4" hidden="1" x14ac:dyDescent="0.3">
      <c r="B1273" s="87"/>
      <c r="C1273" s="87"/>
      <c r="D1273" s="87"/>
    </row>
    <row r="1274" spans="2:4" hidden="1" x14ac:dyDescent="0.3">
      <c r="B1274" s="87"/>
      <c r="C1274" s="87"/>
      <c r="D1274" s="87"/>
    </row>
    <row r="1275" spans="2:4" hidden="1" x14ac:dyDescent="0.3">
      <c r="B1275" s="87"/>
      <c r="C1275" s="87"/>
      <c r="D1275" s="87"/>
    </row>
    <row r="1276" spans="2:4" hidden="1" x14ac:dyDescent="0.3">
      <c r="B1276" s="87"/>
      <c r="C1276" s="87"/>
      <c r="D1276" s="87"/>
    </row>
    <row r="1277" spans="2:4" hidden="1" x14ac:dyDescent="0.3">
      <c r="B1277" s="87"/>
      <c r="C1277" s="87"/>
      <c r="D1277" s="87"/>
    </row>
    <row r="1278" spans="2:4" hidden="1" x14ac:dyDescent="0.3">
      <c r="B1278" s="87"/>
      <c r="C1278" s="87"/>
      <c r="D1278" s="87"/>
    </row>
    <row r="1279" spans="2:4" hidden="1" x14ac:dyDescent="0.3">
      <c r="B1279" s="87"/>
      <c r="C1279" s="87"/>
      <c r="D1279" s="87"/>
    </row>
    <row r="1280" spans="2:4" hidden="1" x14ac:dyDescent="0.3">
      <c r="B1280" s="87"/>
      <c r="C1280" s="87"/>
      <c r="D1280" s="87"/>
    </row>
    <row r="1281" spans="2:4" hidden="1" x14ac:dyDescent="0.3">
      <c r="B1281" s="87"/>
      <c r="C1281" s="87"/>
      <c r="D1281" s="87"/>
    </row>
    <row r="1282" spans="2:4" hidden="1" x14ac:dyDescent="0.3">
      <c r="B1282" s="87"/>
      <c r="C1282" s="87"/>
      <c r="D1282" s="87"/>
    </row>
    <row r="1283" spans="2:4" hidden="1" x14ac:dyDescent="0.3">
      <c r="B1283" s="87"/>
      <c r="C1283" s="87"/>
      <c r="D1283" s="87"/>
    </row>
    <row r="1284" spans="2:4" hidden="1" x14ac:dyDescent="0.3">
      <c r="B1284" s="87"/>
      <c r="C1284" s="87"/>
      <c r="D1284" s="87"/>
    </row>
    <row r="1285" spans="2:4" hidden="1" x14ac:dyDescent="0.3">
      <c r="B1285" s="87"/>
      <c r="C1285" s="87"/>
      <c r="D1285" s="87"/>
    </row>
    <row r="1286" spans="2:4" hidden="1" x14ac:dyDescent="0.3">
      <c r="B1286" s="87"/>
      <c r="C1286" s="87"/>
      <c r="D1286" s="87"/>
    </row>
    <row r="1287" spans="2:4" hidden="1" x14ac:dyDescent="0.3">
      <c r="B1287" s="87"/>
      <c r="C1287" s="87"/>
      <c r="D1287" s="87"/>
    </row>
    <row r="1288" spans="2:4" hidden="1" x14ac:dyDescent="0.3">
      <c r="B1288" s="87"/>
      <c r="C1288" s="87"/>
      <c r="D1288" s="87"/>
    </row>
    <row r="1289" spans="2:4" hidden="1" x14ac:dyDescent="0.3">
      <c r="B1289" s="87"/>
      <c r="C1289" s="87"/>
      <c r="D1289" s="87"/>
    </row>
    <row r="1290" spans="2:4" hidden="1" x14ac:dyDescent="0.3">
      <c r="B1290" s="87"/>
      <c r="C1290" s="87"/>
      <c r="D1290" s="87"/>
    </row>
    <row r="1291" spans="2:4" hidden="1" x14ac:dyDescent="0.3">
      <c r="B1291" s="87"/>
      <c r="C1291" s="87"/>
      <c r="D1291" s="87"/>
    </row>
    <row r="1292" spans="2:4" hidden="1" x14ac:dyDescent="0.3">
      <c r="B1292" s="87"/>
      <c r="C1292" s="87"/>
      <c r="D1292" s="87"/>
    </row>
    <row r="1293" spans="2:4" hidden="1" x14ac:dyDescent="0.3">
      <c r="B1293" s="87"/>
      <c r="C1293" s="87"/>
      <c r="D1293" s="87"/>
    </row>
    <row r="1294" spans="2:4" hidden="1" x14ac:dyDescent="0.3">
      <c r="B1294" s="87"/>
      <c r="C1294" s="87"/>
      <c r="D1294" s="87"/>
    </row>
    <row r="1295" spans="2:4" hidden="1" x14ac:dyDescent="0.3">
      <c r="B1295" s="87"/>
      <c r="C1295" s="87"/>
      <c r="D1295" s="87"/>
    </row>
    <row r="1296" spans="2:4" hidden="1" x14ac:dyDescent="0.3">
      <c r="B1296" s="87"/>
      <c r="C1296" s="87"/>
      <c r="D1296" s="87"/>
    </row>
    <row r="1297" spans="2:4" hidden="1" x14ac:dyDescent="0.3">
      <c r="B1297" s="87"/>
      <c r="C1297" s="87"/>
      <c r="D1297" s="87"/>
    </row>
    <row r="1298" spans="2:4" hidden="1" x14ac:dyDescent="0.3">
      <c r="B1298" s="87"/>
      <c r="C1298" s="87"/>
      <c r="D1298" s="87"/>
    </row>
    <row r="1299" spans="2:4" hidden="1" x14ac:dyDescent="0.3">
      <c r="B1299" s="87"/>
      <c r="C1299" s="87"/>
      <c r="D1299" s="87"/>
    </row>
    <row r="1300" spans="2:4" hidden="1" x14ac:dyDescent="0.3">
      <c r="B1300" s="87"/>
      <c r="C1300" s="87"/>
      <c r="D1300" s="87"/>
    </row>
    <row r="1301" spans="2:4" hidden="1" x14ac:dyDescent="0.3">
      <c r="B1301" s="87"/>
      <c r="C1301" s="87"/>
      <c r="D1301" s="87"/>
    </row>
    <row r="1302" spans="2:4" hidden="1" x14ac:dyDescent="0.3">
      <c r="B1302" s="87"/>
      <c r="C1302" s="87"/>
      <c r="D1302" s="87"/>
    </row>
    <row r="1303" spans="2:4" hidden="1" x14ac:dyDescent="0.3">
      <c r="B1303" s="87"/>
      <c r="C1303" s="87"/>
      <c r="D1303" s="87"/>
    </row>
    <row r="1304" spans="2:4" hidden="1" x14ac:dyDescent="0.3">
      <c r="B1304" s="87"/>
      <c r="C1304" s="87"/>
      <c r="D1304" s="87"/>
    </row>
    <row r="1305" spans="2:4" hidden="1" x14ac:dyDescent="0.3">
      <c r="B1305" s="87"/>
      <c r="C1305" s="87"/>
      <c r="D1305" s="87"/>
    </row>
    <row r="1306" spans="2:4" hidden="1" x14ac:dyDescent="0.3">
      <c r="B1306" s="87"/>
      <c r="C1306" s="87"/>
      <c r="D1306" s="87"/>
    </row>
    <row r="1307" spans="2:4" hidden="1" x14ac:dyDescent="0.3">
      <c r="B1307" s="87"/>
      <c r="C1307" s="87"/>
      <c r="D1307" s="87"/>
    </row>
    <row r="1308" spans="2:4" hidden="1" x14ac:dyDescent="0.3">
      <c r="B1308" s="87"/>
      <c r="C1308" s="87"/>
      <c r="D1308" s="87"/>
    </row>
    <row r="1309" spans="2:4" hidden="1" x14ac:dyDescent="0.3">
      <c r="B1309" s="87"/>
      <c r="C1309" s="87"/>
      <c r="D1309" s="87"/>
    </row>
    <row r="1310" spans="2:4" hidden="1" x14ac:dyDescent="0.3">
      <c r="B1310" s="87"/>
      <c r="C1310" s="87"/>
      <c r="D1310" s="87"/>
    </row>
    <row r="1311" spans="2:4" hidden="1" x14ac:dyDescent="0.3">
      <c r="B1311" s="87"/>
      <c r="C1311" s="87"/>
      <c r="D1311" s="87"/>
    </row>
    <row r="1312" spans="2:4" hidden="1" x14ac:dyDescent="0.3">
      <c r="B1312" s="87"/>
      <c r="C1312" s="87"/>
      <c r="D1312" s="87"/>
    </row>
    <row r="1313" spans="2:4" hidden="1" x14ac:dyDescent="0.3">
      <c r="B1313" s="87"/>
      <c r="C1313" s="87"/>
      <c r="D1313" s="87"/>
    </row>
    <row r="1314" spans="2:4" hidden="1" x14ac:dyDescent="0.3">
      <c r="B1314" s="87"/>
      <c r="C1314" s="87"/>
      <c r="D1314" s="87"/>
    </row>
    <row r="1315" spans="2:4" hidden="1" x14ac:dyDescent="0.3">
      <c r="B1315" s="87"/>
      <c r="C1315" s="87"/>
      <c r="D1315" s="87"/>
    </row>
    <row r="1316" spans="2:4" hidden="1" x14ac:dyDescent="0.3">
      <c r="B1316" s="87"/>
      <c r="C1316" s="87"/>
      <c r="D1316" s="87"/>
    </row>
    <row r="1317" spans="2:4" hidden="1" x14ac:dyDescent="0.3">
      <c r="B1317" s="87"/>
      <c r="C1317" s="87"/>
      <c r="D1317" s="87"/>
    </row>
    <row r="1318" spans="2:4" hidden="1" x14ac:dyDescent="0.3">
      <c r="B1318" s="87"/>
      <c r="C1318" s="87"/>
      <c r="D1318" s="87"/>
    </row>
    <row r="1319" spans="2:4" hidden="1" x14ac:dyDescent="0.3">
      <c r="B1319" s="87"/>
      <c r="C1319" s="87"/>
      <c r="D1319" s="87"/>
    </row>
    <row r="1320" spans="2:4" hidden="1" x14ac:dyDescent="0.3">
      <c r="B1320" s="87"/>
      <c r="C1320" s="87"/>
      <c r="D1320" s="87"/>
    </row>
    <row r="1321" spans="2:4" hidden="1" x14ac:dyDescent="0.3">
      <c r="B1321" s="87"/>
      <c r="C1321" s="87"/>
      <c r="D1321" s="87"/>
    </row>
    <row r="1322" spans="2:4" hidden="1" x14ac:dyDescent="0.3">
      <c r="B1322" s="87"/>
      <c r="C1322" s="87"/>
      <c r="D1322" s="87"/>
    </row>
    <row r="1323" spans="2:4" hidden="1" x14ac:dyDescent="0.3">
      <c r="B1323" s="87"/>
      <c r="C1323" s="87"/>
      <c r="D1323" s="87"/>
    </row>
    <row r="1324" spans="2:4" hidden="1" x14ac:dyDescent="0.3">
      <c r="B1324" s="87"/>
      <c r="C1324" s="87"/>
      <c r="D1324" s="87"/>
    </row>
    <row r="1325" spans="2:4" hidden="1" x14ac:dyDescent="0.3">
      <c r="B1325" s="87"/>
      <c r="C1325" s="87"/>
      <c r="D1325" s="87"/>
    </row>
    <row r="1326" spans="2:4" hidden="1" x14ac:dyDescent="0.3">
      <c r="B1326" s="87"/>
      <c r="C1326" s="87"/>
      <c r="D1326" s="87"/>
    </row>
    <row r="1327" spans="2:4" hidden="1" x14ac:dyDescent="0.3">
      <c r="B1327" s="87"/>
      <c r="C1327" s="87"/>
      <c r="D1327" s="87"/>
    </row>
    <row r="1328" spans="2:4" hidden="1" x14ac:dyDescent="0.3">
      <c r="B1328" s="87"/>
      <c r="C1328" s="87"/>
      <c r="D1328" s="87"/>
    </row>
    <row r="1329" spans="2:4" hidden="1" x14ac:dyDescent="0.3">
      <c r="B1329" s="87"/>
      <c r="C1329" s="87"/>
      <c r="D1329" s="87"/>
    </row>
    <row r="1330" spans="2:4" hidden="1" x14ac:dyDescent="0.3">
      <c r="B1330" s="87"/>
      <c r="C1330" s="87"/>
      <c r="D1330" s="87"/>
    </row>
    <row r="1331" spans="2:4" hidden="1" x14ac:dyDescent="0.3">
      <c r="B1331" s="87"/>
      <c r="C1331" s="87"/>
      <c r="D1331" s="87"/>
    </row>
    <row r="1332" spans="2:4" hidden="1" x14ac:dyDescent="0.3">
      <c r="B1332" s="87"/>
      <c r="C1332" s="87"/>
      <c r="D1332" s="87"/>
    </row>
    <row r="1333" spans="2:4" hidden="1" x14ac:dyDescent="0.3">
      <c r="B1333" s="87"/>
      <c r="C1333" s="87"/>
      <c r="D1333" s="87"/>
    </row>
    <row r="1334" spans="2:4" hidden="1" x14ac:dyDescent="0.3">
      <c r="B1334" s="87"/>
      <c r="C1334" s="87"/>
      <c r="D1334" s="87"/>
    </row>
    <row r="1335" spans="2:4" hidden="1" x14ac:dyDescent="0.3">
      <c r="B1335" s="87"/>
      <c r="C1335" s="87"/>
      <c r="D1335" s="87"/>
    </row>
    <row r="1336" spans="2:4" hidden="1" x14ac:dyDescent="0.3">
      <c r="B1336" s="87"/>
      <c r="C1336" s="87"/>
      <c r="D1336" s="87"/>
    </row>
    <row r="1337" spans="2:4" hidden="1" x14ac:dyDescent="0.3">
      <c r="B1337" s="87"/>
      <c r="C1337" s="87"/>
      <c r="D1337" s="87"/>
    </row>
    <row r="1338" spans="2:4" hidden="1" x14ac:dyDescent="0.3">
      <c r="B1338" s="87"/>
      <c r="C1338" s="87"/>
      <c r="D1338" s="87"/>
    </row>
    <row r="1339" spans="2:4" hidden="1" x14ac:dyDescent="0.3">
      <c r="B1339" s="87"/>
      <c r="C1339" s="87"/>
      <c r="D1339" s="87"/>
    </row>
    <row r="1340" spans="2:4" hidden="1" x14ac:dyDescent="0.3">
      <c r="B1340" s="87"/>
      <c r="C1340" s="87"/>
      <c r="D1340" s="87"/>
    </row>
    <row r="1341" spans="2:4" hidden="1" x14ac:dyDescent="0.3">
      <c r="B1341" s="87"/>
      <c r="C1341" s="87"/>
      <c r="D1341" s="87"/>
    </row>
    <row r="1342" spans="2:4" hidden="1" x14ac:dyDescent="0.3">
      <c r="B1342" s="87"/>
      <c r="C1342" s="87"/>
      <c r="D1342" s="87"/>
    </row>
    <row r="1343" spans="2:4" hidden="1" x14ac:dyDescent="0.3">
      <c r="B1343" s="87"/>
      <c r="C1343" s="87"/>
      <c r="D1343" s="87"/>
    </row>
    <row r="1344" spans="2:4" hidden="1" x14ac:dyDescent="0.3">
      <c r="B1344" s="87"/>
      <c r="C1344" s="87"/>
      <c r="D1344" s="87"/>
    </row>
    <row r="1345" spans="2:4" hidden="1" x14ac:dyDescent="0.3">
      <c r="B1345" s="87"/>
      <c r="C1345" s="87"/>
      <c r="D1345" s="87"/>
    </row>
    <row r="1346" spans="2:4" hidden="1" x14ac:dyDescent="0.3">
      <c r="B1346" s="87"/>
      <c r="C1346" s="87"/>
      <c r="D1346" s="87"/>
    </row>
    <row r="1347" spans="2:4" hidden="1" x14ac:dyDescent="0.3">
      <c r="B1347" s="87"/>
      <c r="C1347" s="87"/>
      <c r="D1347" s="87"/>
    </row>
    <row r="1348" spans="2:4" hidden="1" x14ac:dyDescent="0.3">
      <c r="B1348" s="87"/>
      <c r="C1348" s="87"/>
      <c r="D1348" s="87"/>
    </row>
    <row r="1349" spans="2:4" hidden="1" x14ac:dyDescent="0.3">
      <c r="B1349" s="87"/>
      <c r="C1349" s="87"/>
      <c r="D1349" s="87"/>
    </row>
    <row r="1350" spans="2:4" hidden="1" x14ac:dyDescent="0.3">
      <c r="B1350" s="87"/>
      <c r="C1350" s="87"/>
      <c r="D1350" s="87"/>
    </row>
    <row r="1351" spans="2:4" hidden="1" x14ac:dyDescent="0.3">
      <c r="B1351" s="87"/>
      <c r="C1351" s="87"/>
      <c r="D1351" s="87"/>
    </row>
    <row r="1352" spans="2:4" hidden="1" x14ac:dyDescent="0.3">
      <c r="B1352" s="87"/>
      <c r="C1352" s="87"/>
      <c r="D1352" s="87"/>
    </row>
    <row r="1353" spans="2:4" hidden="1" x14ac:dyDescent="0.3">
      <c r="B1353" s="87"/>
      <c r="C1353" s="87"/>
      <c r="D1353" s="87"/>
    </row>
    <row r="1354" spans="2:4" hidden="1" x14ac:dyDescent="0.3">
      <c r="B1354" s="87"/>
      <c r="C1354" s="87"/>
      <c r="D1354" s="87"/>
    </row>
    <row r="1355" spans="2:4" hidden="1" x14ac:dyDescent="0.3">
      <c r="B1355" s="87"/>
      <c r="C1355" s="87"/>
      <c r="D1355" s="87"/>
    </row>
    <row r="1356" spans="2:4" hidden="1" x14ac:dyDescent="0.3">
      <c r="B1356" s="87"/>
      <c r="C1356" s="87"/>
      <c r="D1356" s="87"/>
    </row>
    <row r="1357" spans="2:4" hidden="1" x14ac:dyDescent="0.3">
      <c r="B1357" s="87"/>
      <c r="C1357" s="87"/>
      <c r="D1357" s="87"/>
    </row>
    <row r="1358" spans="2:4" hidden="1" x14ac:dyDescent="0.3">
      <c r="B1358" s="87"/>
      <c r="C1358" s="87"/>
      <c r="D1358" s="87"/>
    </row>
    <row r="1359" spans="2:4" hidden="1" x14ac:dyDescent="0.3">
      <c r="B1359" s="87"/>
      <c r="C1359" s="87"/>
      <c r="D1359" s="87"/>
    </row>
    <row r="1360" spans="2:4" hidden="1" x14ac:dyDescent="0.3">
      <c r="B1360" s="87"/>
      <c r="C1360" s="87"/>
      <c r="D1360" s="87"/>
    </row>
    <row r="1361" spans="2:4" hidden="1" x14ac:dyDescent="0.3">
      <c r="B1361" s="87"/>
      <c r="C1361" s="87"/>
      <c r="D1361" s="87"/>
    </row>
    <row r="1362" spans="2:4" hidden="1" x14ac:dyDescent="0.3">
      <c r="B1362" s="87"/>
      <c r="C1362" s="87"/>
      <c r="D1362" s="87"/>
    </row>
    <row r="1363" spans="2:4" hidden="1" x14ac:dyDescent="0.3">
      <c r="B1363" s="87"/>
      <c r="C1363" s="87"/>
      <c r="D1363" s="87"/>
    </row>
    <row r="1364" spans="2:4" hidden="1" x14ac:dyDescent="0.3">
      <c r="B1364" s="87"/>
      <c r="C1364" s="87"/>
      <c r="D1364" s="87"/>
    </row>
    <row r="1365" spans="2:4" hidden="1" x14ac:dyDescent="0.3">
      <c r="B1365" s="87"/>
      <c r="C1365" s="87"/>
      <c r="D1365" s="87"/>
    </row>
    <row r="1366" spans="2:4" hidden="1" x14ac:dyDescent="0.3">
      <c r="B1366" s="87"/>
      <c r="C1366" s="87"/>
      <c r="D1366" s="87"/>
    </row>
    <row r="1367" spans="2:4" hidden="1" x14ac:dyDescent="0.3">
      <c r="B1367" s="87"/>
      <c r="C1367" s="87"/>
      <c r="D1367" s="87"/>
    </row>
    <row r="1368" spans="2:4" hidden="1" x14ac:dyDescent="0.3">
      <c r="B1368" s="87"/>
      <c r="C1368" s="87"/>
      <c r="D1368" s="87"/>
    </row>
    <row r="1369" spans="2:4" hidden="1" x14ac:dyDescent="0.3">
      <c r="B1369" s="87"/>
      <c r="C1369" s="87"/>
      <c r="D1369" s="87"/>
    </row>
    <row r="1370" spans="2:4" hidden="1" x14ac:dyDescent="0.3">
      <c r="B1370" s="87"/>
      <c r="C1370" s="87"/>
      <c r="D1370" s="87"/>
    </row>
    <row r="1371" spans="2:4" hidden="1" x14ac:dyDescent="0.3">
      <c r="B1371" s="87"/>
      <c r="C1371" s="87"/>
      <c r="D1371" s="87"/>
    </row>
    <row r="1372" spans="2:4" hidden="1" x14ac:dyDescent="0.3">
      <c r="B1372" s="87"/>
      <c r="C1372" s="87"/>
      <c r="D1372" s="87"/>
    </row>
    <row r="1373" spans="2:4" hidden="1" x14ac:dyDescent="0.3">
      <c r="B1373" s="87"/>
      <c r="C1373" s="87"/>
      <c r="D1373" s="87"/>
    </row>
    <row r="1374" spans="2:4" hidden="1" x14ac:dyDescent="0.3">
      <c r="B1374" s="87"/>
      <c r="C1374" s="87"/>
      <c r="D1374" s="87"/>
    </row>
    <row r="1375" spans="2:4" hidden="1" x14ac:dyDescent="0.3">
      <c r="B1375" s="87"/>
      <c r="C1375" s="87"/>
      <c r="D1375" s="87"/>
    </row>
    <row r="1376" spans="2:4" hidden="1" x14ac:dyDescent="0.3">
      <c r="B1376" s="87"/>
      <c r="C1376" s="87"/>
      <c r="D1376" s="87"/>
    </row>
    <row r="1377" spans="2:4" hidden="1" x14ac:dyDescent="0.3">
      <c r="B1377" s="87"/>
      <c r="C1377" s="87"/>
      <c r="D1377" s="87"/>
    </row>
    <row r="1378" spans="2:4" hidden="1" x14ac:dyDescent="0.3">
      <c r="B1378" s="87"/>
      <c r="C1378" s="87"/>
      <c r="D1378" s="87"/>
    </row>
    <row r="1379" spans="2:4" hidden="1" x14ac:dyDescent="0.3">
      <c r="B1379" s="87"/>
      <c r="C1379" s="87"/>
      <c r="D1379" s="87"/>
    </row>
    <row r="1380" spans="2:4" hidden="1" x14ac:dyDescent="0.3">
      <c r="B1380" s="87"/>
      <c r="C1380" s="87"/>
      <c r="D1380" s="87"/>
    </row>
    <row r="1381" spans="2:4" hidden="1" x14ac:dyDescent="0.3">
      <c r="B1381" s="87"/>
      <c r="C1381" s="87"/>
      <c r="D1381" s="87"/>
    </row>
    <row r="1382" spans="2:4" hidden="1" x14ac:dyDescent="0.3">
      <c r="B1382" s="87"/>
      <c r="C1382" s="87"/>
      <c r="D1382" s="87"/>
    </row>
    <row r="1383" spans="2:4" hidden="1" x14ac:dyDescent="0.3">
      <c r="B1383" s="87"/>
      <c r="C1383" s="87"/>
      <c r="D1383" s="87"/>
    </row>
    <row r="1384" spans="2:4" hidden="1" x14ac:dyDescent="0.3">
      <c r="B1384" s="87"/>
      <c r="C1384" s="87"/>
      <c r="D1384" s="87"/>
    </row>
    <row r="1385" spans="2:4" hidden="1" x14ac:dyDescent="0.3">
      <c r="B1385" s="87"/>
      <c r="C1385" s="87"/>
      <c r="D1385" s="87"/>
    </row>
    <row r="1386" spans="2:4" hidden="1" x14ac:dyDescent="0.3">
      <c r="B1386" s="87"/>
      <c r="C1386" s="87"/>
      <c r="D1386" s="87"/>
    </row>
    <row r="1387" spans="2:4" hidden="1" x14ac:dyDescent="0.3">
      <c r="B1387" s="87"/>
      <c r="C1387" s="87"/>
      <c r="D1387" s="87"/>
    </row>
    <row r="1388" spans="2:4" hidden="1" x14ac:dyDescent="0.3">
      <c r="B1388" s="87"/>
      <c r="C1388" s="87"/>
      <c r="D1388" s="87"/>
    </row>
    <row r="1389" spans="2:4" hidden="1" x14ac:dyDescent="0.3">
      <c r="B1389" s="87"/>
      <c r="C1389" s="87"/>
      <c r="D1389" s="87"/>
    </row>
    <row r="1390" spans="2:4" hidden="1" x14ac:dyDescent="0.3">
      <c r="B1390" s="87"/>
      <c r="C1390" s="87"/>
      <c r="D1390" s="87"/>
    </row>
    <row r="1391" spans="2:4" hidden="1" x14ac:dyDescent="0.3">
      <c r="B1391" s="87"/>
      <c r="C1391" s="87"/>
      <c r="D1391" s="87"/>
    </row>
    <row r="1392" spans="2:4" hidden="1" x14ac:dyDescent="0.3">
      <c r="B1392" s="87"/>
      <c r="C1392" s="87"/>
      <c r="D1392" s="87"/>
    </row>
    <row r="1393" spans="2:4" hidden="1" x14ac:dyDescent="0.3">
      <c r="B1393" s="87"/>
      <c r="C1393" s="87"/>
      <c r="D1393" s="87"/>
    </row>
    <row r="1394" spans="2:4" hidden="1" x14ac:dyDescent="0.3">
      <c r="B1394" s="87"/>
      <c r="C1394" s="87"/>
      <c r="D1394" s="87"/>
    </row>
    <row r="1395" spans="2:4" hidden="1" x14ac:dyDescent="0.3">
      <c r="B1395" s="87"/>
      <c r="C1395" s="87"/>
      <c r="D1395" s="87"/>
    </row>
    <row r="1396" spans="2:4" hidden="1" x14ac:dyDescent="0.3">
      <c r="B1396" s="87"/>
      <c r="C1396" s="87"/>
      <c r="D1396" s="87"/>
    </row>
    <row r="1397" spans="2:4" hidden="1" x14ac:dyDescent="0.3">
      <c r="B1397" s="87"/>
      <c r="C1397" s="87"/>
      <c r="D1397" s="87"/>
    </row>
    <row r="1398" spans="2:4" hidden="1" x14ac:dyDescent="0.3">
      <c r="B1398" s="87"/>
      <c r="C1398" s="87"/>
      <c r="D1398" s="87"/>
    </row>
    <row r="1399" spans="2:4" hidden="1" x14ac:dyDescent="0.3">
      <c r="B1399" s="87"/>
      <c r="C1399" s="87"/>
      <c r="D1399" s="87"/>
    </row>
    <row r="1400" spans="2:4" hidden="1" x14ac:dyDescent="0.3">
      <c r="B1400" s="87"/>
      <c r="C1400" s="87"/>
      <c r="D1400" s="87"/>
    </row>
    <row r="1401" spans="2:4" hidden="1" x14ac:dyDescent="0.3">
      <c r="B1401" s="87"/>
      <c r="C1401" s="87"/>
      <c r="D1401" s="87"/>
    </row>
    <row r="1402" spans="2:4" hidden="1" x14ac:dyDescent="0.3">
      <c r="B1402" s="87"/>
      <c r="C1402" s="87"/>
      <c r="D1402" s="87"/>
    </row>
    <row r="1403" spans="2:4" hidden="1" x14ac:dyDescent="0.3">
      <c r="B1403" s="87"/>
      <c r="C1403" s="87"/>
      <c r="D1403" s="87"/>
    </row>
    <row r="1404" spans="2:4" hidden="1" x14ac:dyDescent="0.3">
      <c r="B1404" s="87"/>
      <c r="C1404" s="87"/>
      <c r="D1404" s="87"/>
    </row>
    <row r="1405" spans="2:4" hidden="1" x14ac:dyDescent="0.3">
      <c r="B1405" s="87"/>
      <c r="C1405" s="87"/>
      <c r="D1405" s="87"/>
    </row>
    <row r="1406" spans="2:4" hidden="1" x14ac:dyDescent="0.3">
      <c r="B1406" s="87"/>
      <c r="C1406" s="87"/>
      <c r="D1406" s="87"/>
    </row>
    <row r="1407" spans="2:4" hidden="1" x14ac:dyDescent="0.3">
      <c r="B1407" s="87"/>
      <c r="C1407" s="87"/>
      <c r="D1407" s="87"/>
    </row>
    <row r="1408" spans="2:4" hidden="1" x14ac:dyDescent="0.3">
      <c r="B1408" s="87"/>
      <c r="C1408" s="87"/>
      <c r="D1408" s="87"/>
    </row>
    <row r="1409" spans="2:4" hidden="1" x14ac:dyDescent="0.3">
      <c r="B1409" s="87"/>
      <c r="C1409" s="87"/>
      <c r="D1409" s="87"/>
    </row>
    <row r="1410" spans="2:4" hidden="1" x14ac:dyDescent="0.3">
      <c r="B1410" s="87"/>
      <c r="C1410" s="87"/>
      <c r="D1410" s="87"/>
    </row>
    <row r="1411" spans="2:4" hidden="1" x14ac:dyDescent="0.3">
      <c r="B1411" s="87"/>
      <c r="C1411" s="87"/>
      <c r="D1411" s="87"/>
    </row>
    <row r="1412" spans="2:4" hidden="1" x14ac:dyDescent="0.3">
      <c r="B1412" s="87"/>
      <c r="C1412" s="87"/>
      <c r="D1412" s="87"/>
    </row>
    <row r="1413" spans="2:4" hidden="1" x14ac:dyDescent="0.3">
      <c r="B1413" s="87"/>
      <c r="C1413" s="87"/>
      <c r="D1413" s="87"/>
    </row>
    <row r="1414" spans="2:4" hidden="1" x14ac:dyDescent="0.3">
      <c r="B1414" s="87"/>
      <c r="C1414" s="87"/>
      <c r="D1414" s="87"/>
    </row>
    <row r="1415" spans="2:4" hidden="1" x14ac:dyDescent="0.3">
      <c r="B1415" s="87"/>
      <c r="C1415" s="87"/>
      <c r="D1415" s="87"/>
    </row>
    <row r="1416" spans="2:4" hidden="1" x14ac:dyDescent="0.3">
      <c r="B1416" s="87"/>
      <c r="C1416" s="87"/>
      <c r="D1416" s="87"/>
    </row>
    <row r="1417" spans="2:4" hidden="1" x14ac:dyDescent="0.3">
      <c r="B1417" s="87"/>
      <c r="C1417" s="87"/>
      <c r="D1417" s="87"/>
    </row>
    <row r="1418" spans="2:4" hidden="1" x14ac:dyDescent="0.3">
      <c r="B1418" s="87"/>
      <c r="C1418" s="87"/>
      <c r="D1418" s="87"/>
    </row>
    <row r="1419" spans="2:4" hidden="1" x14ac:dyDescent="0.3">
      <c r="B1419" s="87"/>
      <c r="C1419" s="87"/>
      <c r="D1419" s="87"/>
    </row>
    <row r="1420" spans="2:4" hidden="1" x14ac:dyDescent="0.3">
      <c r="B1420" s="87"/>
      <c r="C1420" s="87"/>
      <c r="D1420" s="87"/>
    </row>
    <row r="1421" spans="2:4" hidden="1" x14ac:dyDescent="0.3">
      <c r="B1421" s="87"/>
      <c r="C1421" s="87"/>
      <c r="D1421" s="87"/>
    </row>
    <row r="1422" spans="2:4" hidden="1" x14ac:dyDescent="0.3">
      <c r="B1422" s="87"/>
      <c r="C1422" s="87"/>
      <c r="D1422" s="87"/>
    </row>
    <row r="1423" spans="2:4" hidden="1" x14ac:dyDescent="0.3">
      <c r="B1423" s="87"/>
      <c r="C1423" s="87"/>
      <c r="D1423" s="87"/>
    </row>
    <row r="1424" spans="2:4" hidden="1" x14ac:dyDescent="0.3">
      <c r="B1424" s="87"/>
      <c r="C1424" s="87"/>
      <c r="D1424" s="87"/>
    </row>
    <row r="1425" spans="2:4" hidden="1" x14ac:dyDescent="0.3">
      <c r="B1425" s="87"/>
      <c r="C1425" s="87"/>
      <c r="D1425" s="87"/>
    </row>
    <row r="1426" spans="2:4" hidden="1" x14ac:dyDescent="0.3">
      <c r="B1426" s="87"/>
      <c r="C1426" s="87"/>
      <c r="D1426" s="87"/>
    </row>
    <row r="1427" spans="2:4" hidden="1" x14ac:dyDescent="0.3">
      <c r="B1427" s="87"/>
      <c r="C1427" s="87"/>
      <c r="D1427" s="87"/>
    </row>
    <row r="1428" spans="2:4" hidden="1" x14ac:dyDescent="0.3">
      <c r="B1428" s="87"/>
      <c r="C1428" s="87"/>
      <c r="D1428" s="87"/>
    </row>
    <row r="1429" spans="2:4" hidden="1" x14ac:dyDescent="0.3">
      <c r="B1429" s="87"/>
      <c r="C1429" s="87"/>
      <c r="D1429" s="87"/>
    </row>
    <row r="1430" spans="2:4" hidden="1" x14ac:dyDescent="0.3">
      <c r="B1430" s="87"/>
      <c r="C1430" s="87"/>
      <c r="D1430" s="87"/>
    </row>
    <row r="1431" spans="2:4" hidden="1" x14ac:dyDescent="0.3">
      <c r="B1431" s="87"/>
      <c r="C1431" s="87"/>
      <c r="D1431" s="87"/>
    </row>
    <row r="1432" spans="2:4" hidden="1" x14ac:dyDescent="0.3">
      <c r="B1432" s="87"/>
      <c r="C1432" s="87"/>
      <c r="D1432" s="87"/>
    </row>
    <row r="1433" spans="2:4" hidden="1" x14ac:dyDescent="0.3">
      <c r="B1433" s="87"/>
      <c r="C1433" s="87"/>
      <c r="D1433" s="87"/>
    </row>
    <row r="1434" spans="2:4" hidden="1" x14ac:dyDescent="0.3">
      <c r="B1434" s="87"/>
      <c r="C1434" s="87"/>
      <c r="D1434" s="87"/>
    </row>
    <row r="1435" spans="2:4" hidden="1" x14ac:dyDescent="0.3">
      <c r="B1435" s="87"/>
      <c r="C1435" s="87"/>
      <c r="D1435" s="87"/>
    </row>
    <row r="1436" spans="2:4" hidden="1" x14ac:dyDescent="0.3">
      <c r="B1436" s="87"/>
      <c r="C1436" s="87"/>
      <c r="D1436" s="87"/>
    </row>
    <row r="1437" spans="2:4" hidden="1" x14ac:dyDescent="0.3">
      <c r="B1437" s="87"/>
      <c r="C1437" s="87"/>
      <c r="D1437" s="87"/>
    </row>
    <row r="1438" spans="2:4" hidden="1" x14ac:dyDescent="0.3">
      <c r="B1438" s="87"/>
      <c r="C1438" s="87"/>
      <c r="D1438" s="87"/>
    </row>
    <row r="1439" spans="2:4" hidden="1" x14ac:dyDescent="0.3">
      <c r="B1439" s="87"/>
      <c r="C1439" s="87"/>
      <c r="D1439" s="87"/>
    </row>
    <row r="1440" spans="2:4" hidden="1" x14ac:dyDescent="0.3">
      <c r="B1440" s="87"/>
      <c r="C1440" s="87"/>
      <c r="D1440" s="87"/>
    </row>
    <row r="1441" spans="2:4" hidden="1" x14ac:dyDescent="0.3">
      <c r="B1441" s="87"/>
      <c r="C1441" s="87"/>
      <c r="D1441" s="87"/>
    </row>
    <row r="1442" spans="2:4" hidden="1" x14ac:dyDescent="0.3">
      <c r="B1442" s="87"/>
      <c r="C1442" s="87"/>
      <c r="D1442" s="87"/>
    </row>
    <row r="1443" spans="2:4" hidden="1" x14ac:dyDescent="0.3">
      <c r="B1443" s="87"/>
      <c r="C1443" s="87"/>
      <c r="D1443" s="87"/>
    </row>
    <row r="1444" spans="2:4" hidden="1" x14ac:dyDescent="0.3">
      <c r="B1444" s="87"/>
      <c r="C1444" s="87"/>
      <c r="D1444" s="87"/>
    </row>
    <row r="1445" spans="2:4" hidden="1" x14ac:dyDescent="0.3">
      <c r="B1445" s="87"/>
      <c r="C1445" s="87"/>
      <c r="D1445" s="87"/>
    </row>
    <row r="1446" spans="2:4" hidden="1" x14ac:dyDescent="0.3">
      <c r="B1446" s="87"/>
      <c r="C1446" s="87"/>
      <c r="D1446" s="87"/>
    </row>
    <row r="1447" spans="2:4" hidden="1" x14ac:dyDescent="0.3">
      <c r="B1447" s="87"/>
      <c r="C1447" s="87"/>
      <c r="D1447" s="87"/>
    </row>
    <row r="1448" spans="2:4" hidden="1" x14ac:dyDescent="0.3">
      <c r="B1448" s="87"/>
      <c r="C1448" s="87"/>
      <c r="D1448" s="87"/>
    </row>
    <row r="1449" spans="2:4" hidden="1" x14ac:dyDescent="0.3">
      <c r="B1449" s="87"/>
      <c r="C1449" s="87"/>
      <c r="D1449" s="87"/>
    </row>
    <row r="1450" spans="2:4" hidden="1" x14ac:dyDescent="0.3">
      <c r="B1450" s="87"/>
      <c r="C1450" s="87"/>
      <c r="D1450" s="87"/>
    </row>
    <row r="1451" spans="2:4" hidden="1" x14ac:dyDescent="0.3">
      <c r="B1451" s="87"/>
      <c r="C1451" s="87"/>
      <c r="D1451" s="87"/>
    </row>
    <row r="1452" spans="2:4" hidden="1" x14ac:dyDescent="0.3">
      <c r="B1452" s="87"/>
      <c r="C1452" s="87"/>
      <c r="D1452" s="87"/>
    </row>
    <row r="1453" spans="2:4" hidden="1" x14ac:dyDescent="0.3">
      <c r="B1453" s="87"/>
      <c r="C1453" s="87"/>
      <c r="D1453" s="87"/>
    </row>
    <row r="1454" spans="2:4" hidden="1" x14ac:dyDescent="0.3">
      <c r="B1454" s="87"/>
      <c r="C1454" s="87"/>
      <c r="D1454" s="87"/>
    </row>
    <row r="1455" spans="2:4" hidden="1" x14ac:dyDescent="0.3">
      <c r="B1455" s="87"/>
      <c r="C1455" s="87"/>
      <c r="D1455" s="87"/>
    </row>
    <row r="1456" spans="2:4" hidden="1" x14ac:dyDescent="0.3">
      <c r="B1456" s="87"/>
      <c r="C1456" s="87"/>
      <c r="D1456" s="87"/>
    </row>
    <row r="1457" spans="2:4" hidden="1" x14ac:dyDescent="0.3">
      <c r="B1457" s="87"/>
      <c r="C1457" s="87"/>
      <c r="D1457" s="87"/>
    </row>
    <row r="1458" spans="2:4" hidden="1" x14ac:dyDescent="0.3">
      <c r="B1458" s="87"/>
      <c r="C1458" s="87"/>
      <c r="D1458" s="87"/>
    </row>
    <row r="1459" spans="2:4" hidden="1" x14ac:dyDescent="0.3">
      <c r="B1459" s="87"/>
      <c r="C1459" s="87"/>
      <c r="D1459" s="87"/>
    </row>
    <row r="1460" spans="2:4" hidden="1" x14ac:dyDescent="0.3">
      <c r="B1460" s="87"/>
      <c r="C1460" s="87"/>
      <c r="D1460" s="87"/>
    </row>
    <row r="1461" spans="2:4" hidden="1" x14ac:dyDescent="0.3">
      <c r="B1461" s="87"/>
      <c r="C1461" s="87"/>
      <c r="D1461" s="87"/>
    </row>
    <row r="1462" spans="2:4" hidden="1" x14ac:dyDescent="0.3">
      <c r="B1462" s="87"/>
      <c r="C1462" s="87"/>
      <c r="D1462" s="87"/>
    </row>
    <row r="1463" spans="2:4" hidden="1" x14ac:dyDescent="0.3">
      <c r="B1463" s="87"/>
      <c r="C1463" s="87"/>
      <c r="D1463" s="87"/>
    </row>
    <row r="1464" spans="2:4" hidden="1" x14ac:dyDescent="0.3">
      <c r="B1464" s="87"/>
      <c r="C1464" s="87"/>
      <c r="D1464" s="87"/>
    </row>
    <row r="1465" spans="2:4" hidden="1" x14ac:dyDescent="0.3">
      <c r="B1465" s="87"/>
      <c r="C1465" s="87"/>
      <c r="D1465" s="87"/>
    </row>
    <row r="1466" spans="2:4" hidden="1" x14ac:dyDescent="0.3">
      <c r="B1466" s="87"/>
      <c r="C1466" s="87"/>
      <c r="D1466" s="87"/>
    </row>
    <row r="1467" spans="2:4" hidden="1" x14ac:dyDescent="0.3">
      <c r="B1467" s="87"/>
      <c r="C1467" s="87"/>
      <c r="D1467" s="87"/>
    </row>
    <row r="1468" spans="2:4" hidden="1" x14ac:dyDescent="0.3">
      <c r="B1468" s="87"/>
      <c r="C1468" s="87"/>
      <c r="D1468" s="87"/>
    </row>
    <row r="1469" spans="2:4" hidden="1" x14ac:dyDescent="0.3">
      <c r="B1469" s="87"/>
      <c r="C1469" s="87"/>
      <c r="D1469" s="87"/>
    </row>
    <row r="1470" spans="2:4" hidden="1" x14ac:dyDescent="0.3">
      <c r="B1470" s="87"/>
      <c r="C1470" s="87"/>
      <c r="D1470" s="87"/>
    </row>
    <row r="1471" spans="2:4" hidden="1" x14ac:dyDescent="0.3">
      <c r="B1471" s="87"/>
      <c r="C1471" s="87"/>
      <c r="D1471" s="87"/>
    </row>
    <row r="1472" spans="2:4" hidden="1" x14ac:dyDescent="0.3">
      <c r="B1472" s="87"/>
      <c r="C1472" s="87"/>
      <c r="D1472" s="87"/>
    </row>
    <row r="1473" spans="2:4" hidden="1" x14ac:dyDescent="0.3">
      <c r="B1473" s="87"/>
      <c r="C1473" s="87"/>
      <c r="D1473" s="87"/>
    </row>
    <row r="1474" spans="2:4" hidden="1" x14ac:dyDescent="0.3">
      <c r="B1474" s="87"/>
      <c r="C1474" s="87"/>
      <c r="D1474" s="87"/>
    </row>
    <row r="1475" spans="2:4" hidden="1" x14ac:dyDescent="0.3">
      <c r="B1475" s="87"/>
      <c r="C1475" s="87"/>
      <c r="D1475" s="87"/>
    </row>
    <row r="1476" spans="2:4" hidden="1" x14ac:dyDescent="0.3">
      <c r="B1476" s="87"/>
      <c r="C1476" s="87"/>
      <c r="D1476" s="87"/>
    </row>
    <row r="1477" spans="2:4" hidden="1" x14ac:dyDescent="0.3">
      <c r="B1477" s="87"/>
      <c r="C1477" s="87"/>
      <c r="D1477" s="87"/>
    </row>
    <row r="1478" spans="2:4" hidden="1" x14ac:dyDescent="0.3">
      <c r="B1478" s="87"/>
      <c r="C1478" s="87"/>
      <c r="D1478" s="87"/>
    </row>
    <row r="1479" spans="2:4" hidden="1" x14ac:dyDescent="0.3">
      <c r="B1479" s="87"/>
      <c r="C1479" s="87"/>
      <c r="D1479" s="87"/>
    </row>
    <row r="1480" spans="2:4" hidden="1" x14ac:dyDescent="0.3">
      <c r="B1480" s="87"/>
      <c r="C1480" s="87"/>
      <c r="D1480" s="87"/>
    </row>
    <row r="1481" spans="2:4" hidden="1" x14ac:dyDescent="0.3">
      <c r="B1481" s="87"/>
      <c r="C1481" s="87"/>
      <c r="D1481" s="87"/>
    </row>
    <row r="1482" spans="2:4" hidden="1" x14ac:dyDescent="0.3">
      <c r="B1482" s="87"/>
      <c r="C1482" s="87"/>
      <c r="D1482" s="87"/>
    </row>
    <row r="1483" spans="2:4" hidden="1" x14ac:dyDescent="0.3">
      <c r="B1483" s="87"/>
      <c r="C1483" s="87"/>
      <c r="D1483" s="87"/>
    </row>
    <row r="1484" spans="2:4" hidden="1" x14ac:dyDescent="0.3">
      <c r="B1484" s="87"/>
      <c r="C1484" s="87"/>
      <c r="D1484" s="87"/>
    </row>
    <row r="1485" spans="2:4" hidden="1" x14ac:dyDescent="0.3">
      <c r="B1485" s="87"/>
      <c r="C1485" s="87"/>
      <c r="D1485" s="87"/>
    </row>
    <row r="1486" spans="2:4" hidden="1" x14ac:dyDescent="0.3">
      <c r="B1486" s="87"/>
      <c r="C1486" s="87"/>
      <c r="D1486" s="87"/>
    </row>
    <row r="1487" spans="2:4" hidden="1" x14ac:dyDescent="0.3">
      <c r="B1487" s="87"/>
      <c r="C1487" s="87"/>
      <c r="D1487" s="87"/>
    </row>
    <row r="1488" spans="2:4" hidden="1" x14ac:dyDescent="0.3">
      <c r="B1488" s="87"/>
      <c r="C1488" s="87"/>
      <c r="D1488" s="87"/>
    </row>
    <row r="1489" spans="2:4" hidden="1" x14ac:dyDescent="0.3">
      <c r="B1489" s="87"/>
      <c r="C1489" s="87"/>
      <c r="D1489" s="87"/>
    </row>
    <row r="1490" spans="2:4" hidden="1" x14ac:dyDescent="0.3">
      <c r="B1490" s="87"/>
      <c r="C1490" s="87"/>
      <c r="D1490" s="87"/>
    </row>
    <row r="1491" spans="2:4" hidden="1" x14ac:dyDescent="0.3">
      <c r="B1491" s="87"/>
      <c r="C1491" s="87"/>
      <c r="D1491" s="87"/>
    </row>
    <row r="1492" spans="2:4" hidden="1" x14ac:dyDescent="0.3">
      <c r="B1492" s="87"/>
      <c r="C1492" s="87"/>
      <c r="D1492" s="87"/>
    </row>
    <row r="1493" spans="2:4" hidden="1" x14ac:dyDescent="0.3">
      <c r="B1493" s="87"/>
      <c r="C1493" s="87"/>
      <c r="D1493" s="87"/>
    </row>
    <row r="1494" spans="2:4" hidden="1" x14ac:dyDescent="0.3">
      <c r="B1494" s="87"/>
      <c r="C1494" s="87"/>
      <c r="D1494" s="87"/>
    </row>
    <row r="1495" spans="2:4" hidden="1" x14ac:dyDescent="0.3">
      <c r="B1495" s="87"/>
      <c r="C1495" s="87"/>
      <c r="D1495" s="87"/>
    </row>
    <row r="1496" spans="2:4" hidden="1" x14ac:dyDescent="0.3">
      <c r="B1496" s="87"/>
      <c r="C1496" s="87"/>
      <c r="D1496" s="87"/>
    </row>
    <row r="1497" spans="2:4" hidden="1" x14ac:dyDescent="0.3">
      <c r="B1497" s="87"/>
      <c r="C1497" s="87"/>
      <c r="D1497" s="87"/>
    </row>
    <row r="1498" spans="2:4" hidden="1" x14ac:dyDescent="0.3">
      <c r="B1498" s="87"/>
      <c r="C1498" s="87"/>
      <c r="D1498" s="87"/>
    </row>
    <row r="1499" spans="2:4" hidden="1" x14ac:dyDescent="0.3">
      <c r="B1499" s="87"/>
      <c r="C1499" s="87"/>
      <c r="D1499" s="87"/>
    </row>
    <row r="1500" spans="2:4" hidden="1" x14ac:dyDescent="0.3">
      <c r="B1500" s="87"/>
      <c r="C1500" s="87"/>
      <c r="D1500" s="87"/>
    </row>
    <row r="1501" spans="2:4" hidden="1" x14ac:dyDescent="0.3">
      <c r="B1501" s="87"/>
      <c r="C1501" s="87"/>
      <c r="D1501" s="87"/>
    </row>
    <row r="1502" spans="2:4" hidden="1" x14ac:dyDescent="0.3">
      <c r="B1502" s="87"/>
      <c r="C1502" s="87"/>
      <c r="D1502" s="87"/>
    </row>
    <row r="1503" spans="2:4" hidden="1" x14ac:dyDescent="0.3">
      <c r="B1503" s="87"/>
      <c r="C1503" s="87"/>
      <c r="D1503" s="87"/>
    </row>
    <row r="1504" spans="2:4" hidden="1" x14ac:dyDescent="0.3">
      <c r="B1504" s="87"/>
      <c r="C1504" s="87"/>
      <c r="D1504" s="87"/>
    </row>
    <row r="1505" spans="2:4" hidden="1" x14ac:dyDescent="0.3">
      <c r="B1505" s="87"/>
      <c r="C1505" s="87"/>
      <c r="D1505" s="87"/>
    </row>
    <row r="1506" spans="2:4" hidden="1" x14ac:dyDescent="0.3">
      <c r="B1506" s="87"/>
      <c r="C1506" s="87"/>
      <c r="D1506" s="87"/>
    </row>
    <row r="1507" spans="2:4" hidden="1" x14ac:dyDescent="0.3">
      <c r="B1507" s="87"/>
      <c r="C1507" s="87"/>
      <c r="D1507" s="87"/>
    </row>
    <row r="1508" spans="2:4" hidden="1" x14ac:dyDescent="0.3">
      <c r="B1508" s="87"/>
      <c r="C1508" s="87"/>
      <c r="D1508" s="87"/>
    </row>
  </sheetData>
  <sheetProtection sort="0" autoFilter="0"/>
  <dataValidations count="4">
    <dataValidation type="time" allowBlank="1" showInputMessage="1" showErrorMessage="1" sqref="D24:D523" xr:uid="{3003B61A-C5F5-4A13-80BA-5091D75C9774}">
      <formula1>0</formula1>
      <formula2>0</formula2>
    </dataValidation>
    <dataValidation type="list" allowBlank="1" showInputMessage="1" showErrorMessage="1" sqref="B24:B523" xr:uid="{3E0F151C-4478-4100-AF79-35875D40F3F2}">
      <formula1>Sites</formula1>
    </dataValidation>
    <dataValidation type="date" operator="greaterThanOrEqual" allowBlank="1" showInputMessage="1" showErrorMessage="1" sqref="C24:C523" xr:uid="{63309B52-D154-4426-B2E5-CDF632A24DC3}">
      <formula1>45658</formula1>
    </dataValidation>
    <dataValidation type="decimal" operator="greaterThanOrEqual" allowBlank="1" showInputMessage="1" showErrorMessage="1" sqref="E24:E523" xr:uid="{FDA4982C-95E8-49FC-AE69-A987F0D4C6E9}">
      <formula1>0</formula1>
    </dataValidation>
  </dataValidations>
  <pageMargins left="0.25" right="0.25" top="0.75" bottom="0.75" header="0.3" footer="0.3"/>
  <pageSetup scale="88" fitToWidth="2" fitToHeight="0" pageOrder="overThenDown" orientation="landscape" r:id="rId1"/>
  <headerFooter>
    <oddHeader>&amp;C&amp;10 40 CFR Part 63, Subpart EEEE National Emission Standards for Hazardous Air Pollutants: Organic Liquids Distribution (Non-Gasoline) - Compliance Report</oddHeader>
    <oddFooter>&amp;L&amp;10&amp;A&amp;R&amp;10Page &amp;P</oddFooter>
  </headerFooter>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errorTitle="Invalid Entry!" error="Please select an answer from the dropdown list." promptTitle="Bypass Type" prompt="Please select an answer from the dropdown list." xr:uid="{144EEED6-611F-48DB-829C-61702EE47564}">
          <x14:formula1>
            <xm:f>Lists!$P$2:$P$5</xm:f>
          </x14:formula1>
          <xm:sqref>F24:F523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F399B2-7BF4-47E6-8337-C030C6CAEC0B}">
  <sheetPr>
    <tabColor rgb="FFC00000"/>
  </sheetPr>
  <dimension ref="A1:C12"/>
  <sheetViews>
    <sheetView showGridLines="0" workbookViewId="0">
      <selection activeCell="A5" sqref="A5"/>
    </sheetView>
  </sheetViews>
  <sheetFormatPr defaultColWidth="0" defaultRowHeight="14.4" zeroHeight="1" x14ac:dyDescent="0.3"/>
  <cols>
    <col min="1" max="1" width="17.88671875" style="26" customWidth="1"/>
    <col min="2" max="2" width="11.109375" style="26" customWidth="1"/>
    <col min="3" max="3" width="88.109375" style="26" customWidth="1"/>
    <col min="4" max="16384" width="9.109375" style="26" hidden="1"/>
  </cols>
  <sheetData>
    <row r="1" spans="1:3" x14ac:dyDescent="0.3">
      <c r="A1" s="9" t="str">
        <f>Company_Information!B7</f>
        <v>40 CFR Part 63, Subpart Y National Emission Standards for Hazardous Air Pollutants: Marine Tank Vessel Loading Operations</v>
      </c>
    </row>
    <row r="2" spans="1:3" ht="15" thickBot="1" x14ac:dyDescent="0.35">
      <c r="A2" s="9" t="str">
        <f>Company_Information!B8</f>
        <v>§63.567(o) Periodic Report Spreadsheet Template</v>
      </c>
    </row>
    <row r="3" spans="1:3" ht="15" thickBot="1" x14ac:dyDescent="0.35">
      <c r="A3" s="169" t="s">
        <v>164</v>
      </c>
      <c r="B3" s="169" t="s">
        <v>165</v>
      </c>
      <c r="C3" s="169" t="s">
        <v>166</v>
      </c>
    </row>
    <row r="4" spans="1:3" x14ac:dyDescent="0.3">
      <c r="A4" s="163" t="s">
        <v>197</v>
      </c>
      <c r="B4" s="160">
        <v>45911</v>
      </c>
      <c r="C4" s="165" t="s">
        <v>196</v>
      </c>
    </row>
    <row r="5" spans="1:3" x14ac:dyDescent="0.3">
      <c r="A5" s="162"/>
      <c r="B5" s="160"/>
      <c r="C5" s="164"/>
    </row>
    <row r="6" spans="1:3" x14ac:dyDescent="0.3">
      <c r="A6" s="162"/>
      <c r="B6" s="112"/>
      <c r="C6" s="164"/>
    </row>
    <row r="7" spans="1:3" x14ac:dyDescent="0.3">
      <c r="A7" s="162"/>
      <c r="B7" s="112"/>
      <c r="C7" s="164"/>
    </row>
    <row r="8" spans="1:3" x14ac:dyDescent="0.3">
      <c r="A8" s="162"/>
      <c r="B8" s="112"/>
      <c r="C8" s="164"/>
    </row>
    <row r="9" spans="1:3" x14ac:dyDescent="0.3">
      <c r="A9" s="162"/>
      <c r="B9" s="112"/>
      <c r="C9" s="164"/>
    </row>
    <row r="10" spans="1:3" x14ac:dyDescent="0.3">
      <c r="A10" s="162"/>
      <c r="B10" s="112"/>
      <c r="C10" s="164"/>
    </row>
    <row r="11" spans="1:3" x14ac:dyDescent="0.3">
      <c r="A11" s="162"/>
      <c r="B11" s="112"/>
      <c r="C11" s="164"/>
    </row>
    <row r="12" spans="1:3" x14ac:dyDescent="0.3">
      <c r="A12" s="166"/>
      <c r="B12" s="167"/>
      <c r="C12" s="168"/>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BED4B-3872-4C93-BC19-0B9C3DCA32AF}">
  <sheetPr>
    <tabColor rgb="FFC00000"/>
  </sheetPr>
  <dimension ref="A1:F9"/>
  <sheetViews>
    <sheetView workbookViewId="0">
      <selection activeCell="B10" sqref="B10"/>
    </sheetView>
  </sheetViews>
  <sheetFormatPr defaultRowHeight="14.4" x14ac:dyDescent="0.3"/>
  <cols>
    <col min="1" max="1" width="28.5546875" bestFit="1" customWidth="1"/>
    <col min="2" max="2" width="10.33203125" customWidth="1"/>
    <col min="3" max="3" width="27.6640625" bestFit="1" customWidth="1"/>
    <col min="4" max="4" width="18.109375" bestFit="1" customWidth="1"/>
    <col min="5" max="5" width="16.5546875" bestFit="1" customWidth="1"/>
  </cols>
  <sheetData>
    <row r="1" spans="1:6" x14ac:dyDescent="0.3">
      <c r="A1" s="113" t="s">
        <v>167</v>
      </c>
      <c r="B1" s="113" t="s">
        <v>168</v>
      </c>
      <c r="C1" s="113" t="s">
        <v>169</v>
      </c>
      <c r="D1" s="113" t="s">
        <v>170</v>
      </c>
      <c r="E1" s="113" t="s">
        <v>171</v>
      </c>
      <c r="F1" s="114"/>
    </row>
    <row r="2" spans="1:6" x14ac:dyDescent="0.3">
      <c r="A2" t="s">
        <v>172</v>
      </c>
      <c r="C2" t="s">
        <v>178</v>
      </c>
    </row>
    <row r="3" spans="1:6" x14ac:dyDescent="0.3">
      <c r="A3" t="s">
        <v>173</v>
      </c>
      <c r="B3" t="s">
        <v>178</v>
      </c>
      <c r="C3" t="s">
        <v>179</v>
      </c>
      <c r="D3" t="s">
        <v>190</v>
      </c>
      <c r="E3" t="s">
        <v>190</v>
      </c>
    </row>
    <row r="4" spans="1:6" x14ac:dyDescent="0.3">
      <c r="A4" t="s">
        <v>174</v>
      </c>
      <c r="B4" t="s">
        <v>178</v>
      </c>
      <c r="C4" t="s">
        <v>180</v>
      </c>
      <c r="D4" t="s">
        <v>190</v>
      </c>
      <c r="E4" t="s">
        <v>190</v>
      </c>
    </row>
    <row r="5" spans="1:6" x14ac:dyDescent="0.3">
      <c r="A5" t="s">
        <v>175</v>
      </c>
      <c r="B5" t="s">
        <v>178</v>
      </c>
      <c r="C5" t="s">
        <v>181</v>
      </c>
      <c r="D5" t="s">
        <v>190</v>
      </c>
      <c r="E5" t="s">
        <v>190</v>
      </c>
    </row>
    <row r="6" spans="1:6" x14ac:dyDescent="0.3">
      <c r="A6" t="s">
        <v>176</v>
      </c>
      <c r="B6" t="s">
        <v>178</v>
      </c>
      <c r="C6" t="s">
        <v>182</v>
      </c>
      <c r="D6" t="s">
        <v>190</v>
      </c>
      <c r="E6" t="s">
        <v>190</v>
      </c>
    </row>
    <row r="7" spans="1:6" x14ac:dyDescent="0.3">
      <c r="A7" t="s">
        <v>308</v>
      </c>
      <c r="B7" t="s">
        <v>178</v>
      </c>
      <c r="C7" t="s">
        <v>309</v>
      </c>
      <c r="D7" t="s">
        <v>190</v>
      </c>
      <c r="E7" t="s">
        <v>190</v>
      </c>
    </row>
    <row r="8" spans="1:6" x14ac:dyDescent="0.3">
      <c r="A8" t="s">
        <v>310</v>
      </c>
      <c r="B8" t="s">
        <v>178</v>
      </c>
      <c r="C8" t="s">
        <v>311</v>
      </c>
      <c r="D8" t="s">
        <v>190</v>
      </c>
      <c r="E8" t="s">
        <v>190</v>
      </c>
    </row>
    <row r="9" spans="1:6" x14ac:dyDescent="0.3">
      <c r="A9" t="s">
        <v>177</v>
      </c>
      <c r="B9" t="s">
        <v>178</v>
      </c>
      <c r="C9" t="s">
        <v>177</v>
      </c>
      <c r="D9" t="s">
        <v>190</v>
      </c>
      <c r="E9" t="s">
        <v>190</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4F7DB-B2A6-488F-8C62-F1498B87348A}">
  <sheetPr codeName="Sheet1">
    <tabColor rgb="FFC00000"/>
  </sheetPr>
  <dimension ref="A1:T501"/>
  <sheetViews>
    <sheetView workbookViewId="0">
      <selection activeCell="A2" sqref="A2"/>
    </sheetView>
  </sheetViews>
  <sheetFormatPr defaultRowHeight="14.4" x14ac:dyDescent="0.3"/>
  <cols>
    <col min="3" max="3" width="12.5546875" customWidth="1"/>
    <col min="7" max="7" width="65.5546875" customWidth="1"/>
    <col min="11" max="11" width="10" customWidth="1"/>
    <col min="16" max="16" width="40.33203125" customWidth="1"/>
    <col min="18" max="18" width="6.5546875" customWidth="1"/>
    <col min="19" max="19" width="25.6640625" customWidth="1"/>
  </cols>
  <sheetData>
    <row r="1" spans="1:20" x14ac:dyDescent="0.3">
      <c r="A1" t="s">
        <v>38</v>
      </c>
      <c r="B1" t="s">
        <v>39</v>
      </c>
      <c r="C1" t="s">
        <v>40</v>
      </c>
      <c r="E1" t="s">
        <v>41</v>
      </c>
      <c r="I1" s="31" t="s">
        <v>103</v>
      </c>
      <c r="J1" s="31" t="s">
        <v>145</v>
      </c>
      <c r="K1" s="31" t="s">
        <v>104</v>
      </c>
      <c r="L1" s="31" t="s">
        <v>101</v>
      </c>
      <c r="M1" s="31" t="s">
        <v>105</v>
      </c>
      <c r="P1" s="38" t="s">
        <v>116</v>
      </c>
      <c r="R1" t="s">
        <v>145</v>
      </c>
      <c r="S1" t="s">
        <v>103</v>
      </c>
      <c r="T1" t="s">
        <v>161</v>
      </c>
    </row>
    <row r="2" spans="1:20" x14ac:dyDescent="0.3">
      <c r="A2">
        <f>IF(B2="","",MAX(A1:A$1)+1)</f>
        <v>1</v>
      </c>
      <c r="B2" t="str" cm="1">
        <f t="array" ref="B2">IF(SUMPRODUCT(--(LEN(Company_Information!B24:B33)&gt;0))&gt;0,IF(Company_Information!B24="","",Company_Information!B24),"Add a company in the Company Information tab")</f>
        <v>Add a company in the Company Information tab</v>
      </c>
      <c r="C2" t="str">
        <f t="shared" ref="C2:C11" si="0">+IFERROR(INDEX($B$2:$B$11,MATCH(ROW()-ROW($C$1),$A$2:$A$11,0)),"")</f>
        <v>Add a company in the Company Information tab</v>
      </c>
      <c r="E2" t="s">
        <v>42</v>
      </c>
      <c r="G2" s="25" t="s">
        <v>98</v>
      </c>
      <c r="I2" t="str" cm="1">
        <f t="array" ref="I2">IF(SUMPRODUCT(--(LEN(CMS_Identification!F24:F523)&gt;0))&gt;0,IF(CMS_Identification!F24="","",CMS_Identification!F24),"Add CMS to the CMS_Identification tab")</f>
        <v>Add CMS to the CMS_Identification tab</v>
      </c>
      <c r="J2" t="str">
        <f>IF(CMS_Identification!B24="","",CMS_Identification!B24)</f>
        <v/>
      </c>
      <c r="K2" t="str">
        <f>IF(COUNTIF(I$2:I2,I2)=1,I2,"")</f>
        <v>Add CMS to the CMS_Identification tab</v>
      </c>
      <c r="L2">
        <f>+IF(K2="","",MAX(L$1:L1)+1)</f>
        <v>1</v>
      </c>
      <c r="M2" t="str">
        <f t="shared" ref="M2:M65" si="1">+IFERROR(INDEX($I$2:$I$501,MATCH(ROW()-ROW($L$1),$L$2:$L$501,0)),"")</f>
        <v>Add CMS to the CMS_Identification tab</v>
      </c>
      <c r="P2" t="s">
        <v>403</v>
      </c>
      <c r="R2" t="str">
        <f>IF(CMS_Identification!B24="","",CMS_Identification!B24)</f>
        <v/>
      </c>
      <c r="S2" t="str">
        <f>IF(CMS_Identification!F24="","",CMS_Identification!F24)</f>
        <v/>
      </c>
      <c r="T2" s="106" t="str">
        <f>IF(CMS_Identification!D24="","",CMS_Identification!D24)</f>
        <v/>
      </c>
    </row>
    <row r="3" spans="1:20" x14ac:dyDescent="0.3">
      <c r="A3" t="str">
        <f>IF(B3="","",MAX(A$1:A2)+1)</f>
        <v/>
      </c>
      <c r="B3" t="str">
        <f>IF(Company_Information!B25="","",Company_Information!B25)</f>
        <v/>
      </c>
      <c r="C3" t="str">
        <f t="shared" si="0"/>
        <v/>
      </c>
      <c r="E3" t="s">
        <v>43</v>
      </c>
      <c r="G3" s="23" t="s">
        <v>115</v>
      </c>
      <c r="I3" t="str" cm="1">
        <f t="array" ref="I3">IF(SUMPRODUCT(--(LEN(CMS_Identification!F25:F524)&gt;0))&gt;0,IF(CMS_Identification!F25="","",CMS_Identification!F25),"Add CMS to the CMS_Identification tab")</f>
        <v>Add CMS to the CMS_Identification tab</v>
      </c>
      <c r="J3" t="str">
        <f>IF(CMS_Identification!B25="","",CMS_Identification!B25)</f>
        <v/>
      </c>
      <c r="K3" t="str">
        <f>IF(COUNTIF(I$2:I3,I3)=1,I3,"")</f>
        <v/>
      </c>
      <c r="L3" t="str">
        <f>+IF(K3="","",MAX(L$1:L2)+1)</f>
        <v/>
      </c>
      <c r="M3" t="str">
        <f t="shared" si="1"/>
        <v/>
      </c>
      <c r="P3" t="s">
        <v>404</v>
      </c>
      <c r="R3" t="str">
        <f>IF(CMS_Identification!B25="","",CMS_Identification!B25)</f>
        <v/>
      </c>
      <c r="S3" t="str">
        <f>IF(CMS_Identification!F25="","",CMS_Identification!F25)</f>
        <v/>
      </c>
      <c r="T3" s="106" t="str">
        <f>IF(CMS_Identification!D25="","",CMS_Identification!D25)</f>
        <v/>
      </c>
    </row>
    <row r="4" spans="1:20" x14ac:dyDescent="0.3">
      <c r="A4" t="str">
        <f>IF(B4="","",MAX(A$1:A3)+1)</f>
        <v/>
      </c>
      <c r="B4" t="str">
        <f>IF(Company_Information!B26="","",Company_Information!B26)</f>
        <v/>
      </c>
      <c r="C4" t="str">
        <f t="shared" si="0"/>
        <v/>
      </c>
      <c r="E4" t="s">
        <v>44</v>
      </c>
      <c r="G4" s="20" t="s">
        <v>21</v>
      </c>
      <c r="I4" t="str" cm="1">
        <f t="array" ref="I4">IF(SUMPRODUCT(--(LEN(CMS_Identification!F26:F525)&gt;0))&gt;0,IF(CMS_Identification!F26="","",CMS_Identification!F26),"Add CMS to the CMS_Identification tab")</f>
        <v>Add CMS to the CMS_Identification tab</v>
      </c>
      <c r="J4" t="str">
        <f>IF(CMS_Identification!B26="","",CMS_Identification!B26)</f>
        <v/>
      </c>
      <c r="K4" t="str">
        <f>IF(COUNTIF(I$2:I4,I4)=1,I4,"")</f>
        <v/>
      </c>
      <c r="L4" t="str">
        <f>+IF(K4="","",MAX(L$1:L3)+1)</f>
        <v/>
      </c>
      <c r="M4" t="str">
        <f t="shared" si="1"/>
        <v/>
      </c>
      <c r="P4" t="s">
        <v>405</v>
      </c>
      <c r="R4" t="str">
        <f>IF(CMS_Identification!B26="","",CMS_Identification!B26)</f>
        <v/>
      </c>
      <c r="S4" t="str">
        <f>IF(CMS_Identification!F26="","",CMS_Identification!F26)</f>
        <v/>
      </c>
      <c r="T4" s="106" t="str">
        <f>IF(CMS_Identification!D26="","",CMS_Identification!D26)</f>
        <v/>
      </c>
    </row>
    <row r="5" spans="1:20" x14ac:dyDescent="0.3">
      <c r="A5" t="str">
        <f>IF(B5="","",MAX(A$1:A4)+1)</f>
        <v/>
      </c>
      <c r="B5" t="str">
        <f>IF(Company_Information!B27="","",Company_Information!B27)</f>
        <v/>
      </c>
      <c r="C5" t="str">
        <f t="shared" si="0"/>
        <v/>
      </c>
      <c r="E5" t="s">
        <v>45</v>
      </c>
      <c r="G5" s="24" t="s">
        <v>22</v>
      </c>
      <c r="I5" t="str" cm="1">
        <f t="array" ref="I5">IF(SUMPRODUCT(--(LEN(CMS_Identification!F27:F526)&gt;0))&gt;0,IF(CMS_Identification!F27="","",CMS_Identification!F27),"Add CMS to the CMS_Identification tab")</f>
        <v>Add CMS to the CMS_Identification tab</v>
      </c>
      <c r="J5" t="str">
        <f>IF(CMS_Identification!B27="","",CMS_Identification!B27)</f>
        <v/>
      </c>
      <c r="K5" t="str">
        <f>IF(COUNTIF(I$2:I5,I5)=1,I5,"")</f>
        <v/>
      </c>
      <c r="L5" t="str">
        <f>+IF(K5="","",MAX(L$1:L4)+1)</f>
        <v/>
      </c>
      <c r="M5" t="str">
        <f t="shared" si="1"/>
        <v/>
      </c>
      <c r="P5" t="s">
        <v>406</v>
      </c>
      <c r="R5" t="str">
        <f>IF(CMS_Identification!B27="","",CMS_Identification!B27)</f>
        <v/>
      </c>
      <c r="S5" t="str">
        <f>IF(CMS_Identification!F27="","",CMS_Identification!F27)</f>
        <v/>
      </c>
      <c r="T5" s="106" t="str">
        <f>IF(CMS_Identification!D27="","",CMS_Identification!D27)</f>
        <v/>
      </c>
    </row>
    <row r="6" spans="1:20" x14ac:dyDescent="0.3">
      <c r="A6" t="str">
        <f>IF(B6="","",MAX(A$1:A5)+1)</f>
        <v/>
      </c>
      <c r="B6" t="str">
        <f>IF(Company_Information!B28="","",Company_Information!B28)</f>
        <v/>
      </c>
      <c r="C6" t="str">
        <f t="shared" si="0"/>
        <v/>
      </c>
      <c r="E6" t="s">
        <v>46</v>
      </c>
      <c r="I6" t="str" cm="1">
        <f t="array" ref="I6">IF(SUMPRODUCT(--(LEN(CMS_Identification!F28:F527)&gt;0))&gt;0,IF(CMS_Identification!F28="","",CMS_Identification!F28),"Add CMS to the CMS_Identification tab")</f>
        <v>Add CMS to the CMS_Identification tab</v>
      </c>
      <c r="J6" t="str">
        <f>IF(CMS_Identification!B28="","",CMS_Identification!B28)</f>
        <v/>
      </c>
      <c r="K6" t="str">
        <f>IF(COUNTIF(I$2:I6,I6)=1,I6,"")</f>
        <v/>
      </c>
      <c r="L6" t="str">
        <f>+IF(K6="","",MAX(L$1:L5)+1)</f>
        <v/>
      </c>
      <c r="M6" t="str">
        <f t="shared" si="1"/>
        <v/>
      </c>
      <c r="R6" t="str">
        <f>IF(CMS_Identification!B28="","",CMS_Identification!B28)</f>
        <v/>
      </c>
      <c r="S6" t="str">
        <f>IF(CMS_Identification!F28="","",CMS_Identification!F28)</f>
        <v/>
      </c>
      <c r="T6" s="106" t="str">
        <f>IF(CMS_Identification!D28="","",CMS_Identification!D28)</f>
        <v/>
      </c>
    </row>
    <row r="7" spans="1:20" x14ac:dyDescent="0.3">
      <c r="A7" t="str">
        <f>IF(B7="","",MAX(A$1:A6)+1)</f>
        <v/>
      </c>
      <c r="B7" t="str">
        <f>IF(Company_Information!B29="","",Company_Information!B29)</f>
        <v/>
      </c>
      <c r="C7" t="str">
        <f t="shared" si="0"/>
        <v/>
      </c>
      <c r="E7" t="s">
        <v>47</v>
      </c>
      <c r="G7" s="19" t="s">
        <v>99</v>
      </c>
      <c r="I7" t="str" cm="1">
        <f t="array" ref="I7">IF(SUMPRODUCT(--(LEN(CMS_Identification!F29:F528)&gt;0))&gt;0,IF(CMS_Identification!F29="","",CMS_Identification!F29),"Add CMS to the CMS_Identification tab")</f>
        <v>Add CMS to the CMS_Identification tab</v>
      </c>
      <c r="J7" t="str">
        <f>IF(CMS_Identification!B29="","",CMS_Identification!B29)</f>
        <v/>
      </c>
      <c r="K7" t="str">
        <f>IF(COUNTIF(I$2:I7,I7)=1,I7,"")</f>
        <v/>
      </c>
      <c r="L7" t="str">
        <f>+IF(K7="","",MAX(L$1:L6)+1)</f>
        <v/>
      </c>
      <c r="M7" t="str">
        <f t="shared" si="1"/>
        <v/>
      </c>
      <c r="R7" t="str">
        <f>IF(CMS_Identification!B29="","",CMS_Identification!B29)</f>
        <v/>
      </c>
      <c r="S7" t="str">
        <f>IF(CMS_Identification!F29="","",CMS_Identification!F29)</f>
        <v/>
      </c>
      <c r="T7" s="106" t="str">
        <f>IF(CMS_Identification!D29="","",CMS_Identification!D29)</f>
        <v/>
      </c>
    </row>
    <row r="8" spans="1:20" x14ac:dyDescent="0.3">
      <c r="A8" t="str">
        <f>IF(B8="","",MAX(A$1:A7)+1)</f>
        <v/>
      </c>
      <c r="B8" t="str">
        <f>IF(Company_Information!B30="","",Company_Information!B30)</f>
        <v/>
      </c>
      <c r="C8" t="str">
        <f t="shared" si="0"/>
        <v/>
      </c>
      <c r="E8" t="s">
        <v>48</v>
      </c>
      <c r="G8" s="23" t="s">
        <v>23</v>
      </c>
      <c r="I8" t="str" cm="1">
        <f t="array" ref="I8">IF(SUMPRODUCT(--(LEN(CMS_Identification!F30:F529)&gt;0))&gt;0,IF(CMS_Identification!F30="","",CMS_Identification!F30),"Add CMS to the CMS_Identification tab")</f>
        <v>Add CMS to the CMS_Identification tab</v>
      </c>
      <c r="J8" t="str">
        <f>IF(CMS_Identification!B30="","",CMS_Identification!B30)</f>
        <v/>
      </c>
      <c r="K8" t="str">
        <f>IF(COUNTIF(I$2:I8,I8)=1,I8,"")</f>
        <v/>
      </c>
      <c r="L8" t="str">
        <f>+IF(K8="","",MAX(L$1:L7)+1)</f>
        <v/>
      </c>
      <c r="M8" t="str">
        <f t="shared" si="1"/>
        <v/>
      </c>
      <c r="R8" t="str">
        <f>IF(CMS_Identification!B30="","",CMS_Identification!B30)</f>
        <v/>
      </c>
      <c r="S8" t="str">
        <f>IF(CMS_Identification!F30="","",CMS_Identification!F30)</f>
        <v/>
      </c>
      <c r="T8" s="106" t="str">
        <f>IF(CMS_Identification!D30="","",CMS_Identification!D30)</f>
        <v/>
      </c>
    </row>
    <row r="9" spans="1:20" x14ac:dyDescent="0.3">
      <c r="A9" t="str">
        <f>IF(B9="","",MAX(A$1:A8)+1)</f>
        <v/>
      </c>
      <c r="B9" t="str">
        <f>IF(Company_Information!B31="","",Company_Information!B31)</f>
        <v/>
      </c>
      <c r="C9" t="str">
        <f t="shared" si="0"/>
        <v/>
      </c>
      <c r="E9" t="s">
        <v>49</v>
      </c>
      <c r="G9" s="20" t="s">
        <v>24</v>
      </c>
      <c r="I9" t="str" cm="1">
        <f t="array" ref="I9">IF(SUMPRODUCT(--(LEN(CMS_Identification!F31:F530)&gt;0))&gt;0,IF(CMS_Identification!F31="","",CMS_Identification!F31),"Add CMS to the CMS_Identification tab")</f>
        <v>Add CMS to the CMS_Identification tab</v>
      </c>
      <c r="J9" t="str">
        <f>IF(CMS_Identification!B31="","",CMS_Identification!B31)</f>
        <v/>
      </c>
      <c r="K9" t="str">
        <f>IF(COUNTIF(I$2:I9,I9)=1,I9,"")</f>
        <v/>
      </c>
      <c r="L9" t="str">
        <f>+IF(K9="","",MAX(L$1:L8)+1)</f>
        <v/>
      </c>
      <c r="M9" t="str">
        <f t="shared" si="1"/>
        <v/>
      </c>
      <c r="R9" t="str">
        <f>IF(CMS_Identification!B31="","",CMS_Identification!B31)</f>
        <v/>
      </c>
      <c r="S9" t="str">
        <f>IF(CMS_Identification!F31="","",CMS_Identification!F31)</f>
        <v/>
      </c>
      <c r="T9" s="106" t="str">
        <f>IF(CMS_Identification!D31="","",CMS_Identification!D31)</f>
        <v/>
      </c>
    </row>
    <row r="10" spans="1:20" x14ac:dyDescent="0.3">
      <c r="A10" t="str">
        <f>IF(B10="","",MAX(A$1:A9)+1)</f>
        <v/>
      </c>
      <c r="B10" t="str">
        <f>IF(Company_Information!B32="","",Company_Information!B32)</f>
        <v/>
      </c>
      <c r="C10" t="str">
        <f t="shared" si="0"/>
        <v/>
      </c>
      <c r="E10" t="s">
        <v>50</v>
      </c>
      <c r="G10" s="24" t="s">
        <v>25</v>
      </c>
      <c r="I10" t="str" cm="1">
        <f t="array" ref="I10">IF(SUMPRODUCT(--(LEN(CMS_Identification!F32:F531)&gt;0))&gt;0,IF(CMS_Identification!F32="","",CMS_Identification!F32),"Add CMS to the CMS_Identification tab")</f>
        <v>Add CMS to the CMS_Identification tab</v>
      </c>
      <c r="J10" t="str">
        <f>IF(CMS_Identification!B32="","",CMS_Identification!B32)</f>
        <v/>
      </c>
      <c r="K10" t="str">
        <f>IF(COUNTIF(I$2:I10,I10)=1,I10,"")</f>
        <v/>
      </c>
      <c r="L10" t="str">
        <f>+IF(K10="","",MAX(L$1:L9)+1)</f>
        <v/>
      </c>
      <c r="M10" t="str">
        <f t="shared" si="1"/>
        <v/>
      </c>
      <c r="R10" t="str">
        <f>IF(CMS_Identification!B32="","",CMS_Identification!B32)</f>
        <v/>
      </c>
      <c r="S10" t="str">
        <f>IF(CMS_Identification!F32="","",CMS_Identification!F32)</f>
        <v/>
      </c>
      <c r="T10" s="106" t="str">
        <f>IF(CMS_Identification!D32="","",CMS_Identification!D32)</f>
        <v/>
      </c>
    </row>
    <row r="11" spans="1:20" x14ac:dyDescent="0.3">
      <c r="A11" t="str">
        <f>IF(B11="","",MAX(A$1:A10)+1)</f>
        <v/>
      </c>
      <c r="B11" t="str">
        <f>IF(Company_Information!B33="","",Company_Information!B33)</f>
        <v/>
      </c>
      <c r="C11" t="str">
        <f t="shared" si="0"/>
        <v/>
      </c>
      <c r="E11" t="s">
        <v>51</v>
      </c>
      <c r="I11" t="str" cm="1">
        <f t="array" ref="I11">IF(SUMPRODUCT(--(LEN(CMS_Identification!F33:F532)&gt;0))&gt;0,IF(CMS_Identification!F33="","",CMS_Identification!F33),"Add CMS to the CMS_Identification tab")</f>
        <v>Add CMS to the CMS_Identification tab</v>
      </c>
      <c r="J11" t="str">
        <f>IF(CMS_Identification!B33="","",CMS_Identification!B33)</f>
        <v/>
      </c>
      <c r="K11" t="str">
        <f>IF(COUNTIF(I$2:I11,I11)=1,I11,"")</f>
        <v/>
      </c>
      <c r="L11" t="str">
        <f>+IF(K11="","",MAX(L$1:L10)+1)</f>
        <v/>
      </c>
      <c r="M11" t="str">
        <f t="shared" si="1"/>
        <v/>
      </c>
      <c r="R11" t="str">
        <f>IF(CMS_Identification!B33="","",CMS_Identification!B33)</f>
        <v/>
      </c>
      <c r="S11" t="str">
        <f>IF(CMS_Identification!F33="","",CMS_Identification!F33)</f>
        <v/>
      </c>
      <c r="T11" s="106" t="str">
        <f>IF(CMS_Identification!D33="","",CMS_Identification!D33)</f>
        <v/>
      </c>
    </row>
    <row r="12" spans="1:20" x14ac:dyDescent="0.3">
      <c r="E12" t="s">
        <v>52</v>
      </c>
      <c r="G12" s="19" t="s">
        <v>100</v>
      </c>
      <c r="I12" t="str" cm="1">
        <f t="array" ref="I12">IF(SUMPRODUCT(--(LEN(CMS_Identification!F34:F533)&gt;0))&gt;0,IF(CMS_Identification!F34="","",CMS_Identification!F34),"Add CMS to the CMS_Identification tab")</f>
        <v>Add CMS to the CMS_Identification tab</v>
      </c>
      <c r="J12" t="str">
        <f>IF(CMS_Identification!B34="","",CMS_Identification!B34)</f>
        <v/>
      </c>
      <c r="K12" t="str">
        <f>IF(COUNTIF(I$2:I12,I12)=1,I12,"")</f>
        <v/>
      </c>
      <c r="L12" t="str">
        <f>+IF(K12="","",MAX(L$1:L11)+1)</f>
        <v/>
      </c>
      <c r="M12" t="str">
        <f t="shared" si="1"/>
        <v/>
      </c>
      <c r="R12" t="str">
        <f>IF(CMS_Identification!B34="","",CMS_Identification!B34)</f>
        <v/>
      </c>
      <c r="S12" t="str">
        <f>IF(CMS_Identification!F34="","",CMS_Identification!F34)</f>
        <v/>
      </c>
      <c r="T12" s="106" t="str">
        <f>IF(CMS_Identification!D34="","",CMS_Identification!D34)</f>
        <v/>
      </c>
    </row>
    <row r="13" spans="1:20" x14ac:dyDescent="0.3">
      <c r="B13" s="14" t="s">
        <v>210</v>
      </c>
      <c r="E13" t="s">
        <v>53</v>
      </c>
      <c r="G13" s="23" t="s">
        <v>26</v>
      </c>
      <c r="I13" t="str" cm="1">
        <f t="array" ref="I13">IF(SUMPRODUCT(--(LEN(CMS_Identification!F35:F534)&gt;0))&gt;0,IF(CMS_Identification!F35="","",CMS_Identification!F35),"Add CMS to the CMS_Identification tab")</f>
        <v>Add CMS to the CMS_Identification tab</v>
      </c>
      <c r="J13" t="str">
        <f>IF(CMS_Identification!B35="","",CMS_Identification!B35)</f>
        <v/>
      </c>
      <c r="K13" t="str">
        <f>IF(COUNTIF(I$2:I13,I13)=1,I13,"")</f>
        <v/>
      </c>
      <c r="L13" t="str">
        <f>+IF(K13="","",MAX(L$1:L12)+1)</f>
        <v/>
      </c>
      <c r="M13" t="str">
        <f t="shared" si="1"/>
        <v/>
      </c>
      <c r="R13" t="str">
        <f>IF(CMS_Identification!B35="","",CMS_Identification!B35)</f>
        <v/>
      </c>
      <c r="S13" t="str">
        <f>IF(CMS_Identification!F35="","",CMS_Identification!F35)</f>
        <v/>
      </c>
      <c r="T13" s="106" t="str">
        <f>IF(CMS_Identification!D35="","",CMS_Identification!D35)</f>
        <v/>
      </c>
    </row>
    <row r="14" spans="1:20" x14ac:dyDescent="0.3">
      <c r="B14" t="s">
        <v>211</v>
      </c>
      <c r="E14" t="s">
        <v>54</v>
      </c>
      <c r="G14" s="20" t="s">
        <v>27</v>
      </c>
      <c r="I14" t="str" cm="1">
        <f t="array" ref="I14">IF(SUMPRODUCT(--(LEN(CMS_Identification!F36:F535)&gt;0))&gt;0,IF(CMS_Identification!F36="","",CMS_Identification!F36),"Add CMS to the CMS_Identification tab")</f>
        <v>Add CMS to the CMS_Identification tab</v>
      </c>
      <c r="J14" t="str">
        <f>IF(CMS_Identification!B36="","",CMS_Identification!B36)</f>
        <v/>
      </c>
      <c r="K14" t="str">
        <f>IF(COUNTIF(I$2:I14,I14)=1,I14,"")</f>
        <v/>
      </c>
      <c r="L14" t="str">
        <f>+IF(K14="","",MAX(L$1:L13)+1)</f>
        <v/>
      </c>
      <c r="M14" t="str">
        <f t="shared" si="1"/>
        <v/>
      </c>
      <c r="R14" t="str">
        <f>IF(CMS_Identification!B36="","",CMS_Identification!B36)</f>
        <v/>
      </c>
      <c r="S14" t="str">
        <f>IF(CMS_Identification!F36="","",CMS_Identification!F36)</f>
        <v/>
      </c>
      <c r="T14" s="106" t="str">
        <f>IF(CMS_Identification!D36="","",CMS_Identification!D36)</f>
        <v/>
      </c>
    </row>
    <row r="15" spans="1:20" x14ac:dyDescent="0.3">
      <c r="B15" t="s">
        <v>212</v>
      </c>
      <c r="E15" t="s">
        <v>55</v>
      </c>
      <c r="G15" s="6" t="s">
        <v>28</v>
      </c>
      <c r="I15" t="str" cm="1">
        <f t="array" ref="I15">IF(SUMPRODUCT(--(LEN(CMS_Identification!F37:F536)&gt;0))&gt;0,IF(CMS_Identification!F37="","",CMS_Identification!F37),"Add CMS to the CMS_Identification tab")</f>
        <v>Add CMS to the CMS_Identification tab</v>
      </c>
      <c r="J15" t="str">
        <f>IF(CMS_Identification!B37="","",CMS_Identification!B37)</f>
        <v/>
      </c>
      <c r="K15" t="str">
        <f>IF(COUNTIF(I$2:I15,I15)=1,I15,"")</f>
        <v/>
      </c>
      <c r="L15" t="str">
        <f>+IF(K15="","",MAX(L$1:L14)+1)</f>
        <v/>
      </c>
      <c r="M15" t="str">
        <f t="shared" si="1"/>
        <v/>
      </c>
      <c r="R15" t="str">
        <f>IF(CMS_Identification!B37="","",CMS_Identification!B37)</f>
        <v/>
      </c>
      <c r="S15" t="str">
        <f>IF(CMS_Identification!F37="","",CMS_Identification!F37)</f>
        <v/>
      </c>
      <c r="T15" s="106" t="str">
        <f>IF(CMS_Identification!D37="","",CMS_Identification!D37)</f>
        <v/>
      </c>
    </row>
    <row r="16" spans="1:20" x14ac:dyDescent="0.3">
      <c r="B16" t="s">
        <v>213</v>
      </c>
      <c r="E16" t="s">
        <v>56</v>
      </c>
      <c r="G16" s="20" t="s">
        <v>29</v>
      </c>
      <c r="I16" t="str" cm="1">
        <f t="array" ref="I16">IF(SUMPRODUCT(--(LEN(CMS_Identification!F38:F537)&gt;0))&gt;0,IF(CMS_Identification!F38="","",CMS_Identification!F38),"Add CMS to the CMS_Identification tab")</f>
        <v>Add CMS to the CMS_Identification tab</v>
      </c>
      <c r="J16" t="str">
        <f>IF(CMS_Identification!B38="","",CMS_Identification!B38)</f>
        <v/>
      </c>
      <c r="K16" t="str">
        <f>IF(COUNTIF(I$2:I16,I16)=1,I16,"")</f>
        <v/>
      </c>
      <c r="L16" t="str">
        <f>+IF(K16="","",MAX(L$1:L15)+1)</f>
        <v/>
      </c>
      <c r="M16" t="str">
        <f t="shared" si="1"/>
        <v/>
      </c>
      <c r="R16" t="str">
        <f>IF(CMS_Identification!B38="","",CMS_Identification!B38)</f>
        <v/>
      </c>
      <c r="S16" t="str">
        <f>IF(CMS_Identification!F38="","",CMS_Identification!F38)</f>
        <v/>
      </c>
      <c r="T16" s="106" t="str">
        <f>IF(CMS_Identification!D38="","",CMS_Identification!D38)</f>
        <v/>
      </c>
    </row>
    <row r="17" spans="2:20" x14ac:dyDescent="0.3">
      <c r="B17" t="s">
        <v>214</v>
      </c>
      <c r="E17" t="s">
        <v>57</v>
      </c>
      <c r="G17" s="6" t="s">
        <v>30</v>
      </c>
      <c r="I17" t="str" cm="1">
        <f t="array" ref="I17">IF(SUMPRODUCT(--(LEN(CMS_Identification!F39:F538)&gt;0))&gt;0,IF(CMS_Identification!F39="","",CMS_Identification!F39),"Add CMS to the CMS_Identification tab")</f>
        <v>Add CMS to the CMS_Identification tab</v>
      </c>
      <c r="J17" t="str">
        <f>IF(CMS_Identification!B39="","",CMS_Identification!B39)</f>
        <v/>
      </c>
      <c r="K17" t="str">
        <f>IF(COUNTIF(I$2:I17,I17)=1,I17,"")</f>
        <v/>
      </c>
      <c r="L17" t="str">
        <f>+IF(K17="","",MAX(L$1:L16)+1)</f>
        <v/>
      </c>
      <c r="M17" t="str">
        <f t="shared" si="1"/>
        <v/>
      </c>
      <c r="R17" t="str">
        <f>IF(CMS_Identification!B39="","",CMS_Identification!B39)</f>
        <v/>
      </c>
      <c r="S17" t="str">
        <f>IF(CMS_Identification!F39="","",CMS_Identification!F39)</f>
        <v/>
      </c>
      <c r="T17" s="106" t="str">
        <f>IF(CMS_Identification!D39="","",CMS_Identification!D39)</f>
        <v/>
      </c>
    </row>
    <row r="18" spans="2:20" x14ac:dyDescent="0.3">
      <c r="E18" t="s">
        <v>58</v>
      </c>
      <c r="G18" s="20" t="s">
        <v>31</v>
      </c>
      <c r="I18" t="str" cm="1">
        <f t="array" ref="I18">IF(SUMPRODUCT(--(LEN(CMS_Identification!F40:F539)&gt;0))&gt;0,IF(CMS_Identification!F40="","",CMS_Identification!F40),"Add CMS to the CMS_Identification tab")</f>
        <v>Add CMS to the CMS_Identification tab</v>
      </c>
      <c r="J18" t="str">
        <f>IF(CMS_Identification!B40="","",CMS_Identification!B40)</f>
        <v/>
      </c>
      <c r="K18" t="str">
        <f>IF(COUNTIF(I$2:I18,I18)=1,I18,"")</f>
        <v/>
      </c>
      <c r="L18" t="str">
        <f>+IF(K18="","",MAX(L$1:L17)+1)</f>
        <v/>
      </c>
      <c r="M18" t="str">
        <f t="shared" si="1"/>
        <v/>
      </c>
      <c r="R18" t="str">
        <f>IF(CMS_Identification!B40="","",CMS_Identification!B40)</f>
        <v/>
      </c>
      <c r="S18" t="str">
        <f>IF(CMS_Identification!F40="","",CMS_Identification!F40)</f>
        <v/>
      </c>
      <c r="T18" s="106" t="str">
        <f>IF(CMS_Identification!D40="","",CMS_Identification!D40)</f>
        <v/>
      </c>
    </row>
    <row r="19" spans="2:20" x14ac:dyDescent="0.3">
      <c r="B19" s="14" t="s">
        <v>222</v>
      </c>
      <c r="E19" t="s">
        <v>59</v>
      </c>
      <c r="G19" s="6" t="s">
        <v>32</v>
      </c>
      <c r="I19" t="str" cm="1">
        <f t="array" ref="I19">IF(SUMPRODUCT(--(LEN(CMS_Identification!F41:F540)&gt;0))&gt;0,IF(CMS_Identification!F41="","",CMS_Identification!F41),"Add CMS to the CMS_Identification tab")</f>
        <v>Add CMS to the CMS_Identification tab</v>
      </c>
      <c r="J19" t="str">
        <f>IF(CMS_Identification!B41="","",CMS_Identification!B41)</f>
        <v/>
      </c>
      <c r="K19" t="str">
        <f>IF(COUNTIF(I$2:I19,I19)=1,I19,"")</f>
        <v/>
      </c>
      <c r="L19" t="str">
        <f>+IF(K19="","",MAX(L$1:L18)+1)</f>
        <v/>
      </c>
      <c r="M19" t="str">
        <f t="shared" si="1"/>
        <v/>
      </c>
      <c r="R19" t="str">
        <f>IF(CMS_Identification!B41="","",CMS_Identification!B41)</f>
        <v/>
      </c>
      <c r="S19" t="str">
        <f>IF(CMS_Identification!F41="","",CMS_Identification!F41)</f>
        <v/>
      </c>
      <c r="T19" s="106" t="str">
        <f>IF(CMS_Identification!D41="","",CMS_Identification!D41)</f>
        <v/>
      </c>
    </row>
    <row r="20" spans="2:20" x14ac:dyDescent="0.3">
      <c r="B20" t="s">
        <v>223</v>
      </c>
      <c r="E20" t="s">
        <v>60</v>
      </c>
      <c r="G20" s="20" t="s">
        <v>33</v>
      </c>
      <c r="I20" t="str" cm="1">
        <f t="array" ref="I20">IF(SUMPRODUCT(--(LEN(CMS_Identification!F42:F541)&gt;0))&gt;0,IF(CMS_Identification!F42="","",CMS_Identification!F42),"Add CMS to the CMS_Identification tab")</f>
        <v>Add CMS to the CMS_Identification tab</v>
      </c>
      <c r="J20" t="str">
        <f>IF(CMS_Identification!B42="","",CMS_Identification!B42)</f>
        <v/>
      </c>
      <c r="K20" t="str">
        <f>IF(COUNTIF(I$2:I20,I20)=1,I20,"")</f>
        <v/>
      </c>
      <c r="L20" t="str">
        <f>+IF(K20="","",MAX(L$1:L19)+1)</f>
        <v/>
      </c>
      <c r="M20" t="str">
        <f t="shared" si="1"/>
        <v/>
      </c>
      <c r="R20" t="str">
        <f>IF(CMS_Identification!B42="","",CMS_Identification!B42)</f>
        <v/>
      </c>
      <c r="S20" t="str">
        <f>IF(CMS_Identification!F42="","",CMS_Identification!F42)</f>
        <v/>
      </c>
      <c r="T20" s="106" t="str">
        <f>IF(CMS_Identification!D42="","",CMS_Identification!D42)</f>
        <v/>
      </c>
    </row>
    <row r="21" spans="2:20" x14ac:dyDescent="0.3">
      <c r="B21" t="s">
        <v>224</v>
      </c>
      <c r="E21" t="s">
        <v>61</v>
      </c>
      <c r="G21" s="6" t="s">
        <v>34</v>
      </c>
      <c r="I21" t="str" cm="1">
        <f t="array" ref="I21">IF(SUMPRODUCT(--(LEN(CMS_Identification!F43:F542)&gt;0))&gt;0,IF(CMS_Identification!F43="","",CMS_Identification!F43),"Add CMS to the CMS_Identification tab")</f>
        <v>Add CMS to the CMS_Identification tab</v>
      </c>
      <c r="J21" t="str">
        <f>IF(CMS_Identification!B43="","",CMS_Identification!B43)</f>
        <v/>
      </c>
      <c r="K21" t="str">
        <f>IF(COUNTIF(I$2:I21,I21)=1,I21,"")</f>
        <v/>
      </c>
      <c r="L21" t="str">
        <f>+IF(K21="","",MAX(L$1:L20)+1)</f>
        <v/>
      </c>
      <c r="M21" t="str">
        <f t="shared" si="1"/>
        <v/>
      </c>
      <c r="R21" t="str">
        <f>IF(CMS_Identification!B43="","",CMS_Identification!B43)</f>
        <v/>
      </c>
      <c r="S21" t="str">
        <f>IF(CMS_Identification!F43="","",CMS_Identification!F43)</f>
        <v/>
      </c>
      <c r="T21" s="106" t="str">
        <f>IF(CMS_Identification!D43="","",CMS_Identification!D43)</f>
        <v/>
      </c>
    </row>
    <row r="22" spans="2:20" x14ac:dyDescent="0.3">
      <c r="B22" t="s">
        <v>225</v>
      </c>
      <c r="E22" t="s">
        <v>62</v>
      </c>
      <c r="G22" s="20" t="s">
        <v>35</v>
      </c>
      <c r="I22" t="str" cm="1">
        <f t="array" ref="I22">IF(SUMPRODUCT(--(LEN(CMS_Identification!F44:F543)&gt;0))&gt;0,IF(CMS_Identification!F44="","",CMS_Identification!F44),"Add CMS to the CMS_Identification tab")</f>
        <v>Add CMS to the CMS_Identification tab</v>
      </c>
      <c r="J22" t="str">
        <f>IF(CMS_Identification!B44="","",CMS_Identification!B44)</f>
        <v/>
      </c>
      <c r="K22" t="str">
        <f>IF(COUNTIF(I$2:I22,I22)=1,I22,"")</f>
        <v/>
      </c>
      <c r="L22" t="str">
        <f>+IF(K22="","",MAX(L$1:L21)+1)</f>
        <v/>
      </c>
      <c r="M22" t="str">
        <f t="shared" si="1"/>
        <v/>
      </c>
      <c r="R22" t="str">
        <f>IF(CMS_Identification!B44="","",CMS_Identification!B44)</f>
        <v/>
      </c>
      <c r="S22" t="str">
        <f>IF(CMS_Identification!F44="","",CMS_Identification!F44)</f>
        <v/>
      </c>
      <c r="T22" s="106" t="str">
        <f>IF(CMS_Identification!D44="","",CMS_Identification!D44)</f>
        <v/>
      </c>
    </row>
    <row r="23" spans="2:20" x14ac:dyDescent="0.3">
      <c r="B23" t="s">
        <v>226</v>
      </c>
      <c r="E23" t="s">
        <v>63</v>
      </c>
      <c r="G23" s="6" t="s">
        <v>36</v>
      </c>
      <c r="I23" t="str" cm="1">
        <f t="array" ref="I23">IF(SUMPRODUCT(--(LEN(CMS_Identification!F45:F544)&gt;0))&gt;0,IF(CMS_Identification!F45="","",CMS_Identification!F45),"Add CMS to the CMS_Identification tab")</f>
        <v>Add CMS to the CMS_Identification tab</v>
      </c>
      <c r="J23" t="str">
        <f>IF(CMS_Identification!B45="","",CMS_Identification!B45)</f>
        <v/>
      </c>
      <c r="K23" t="str">
        <f>IF(COUNTIF(I$2:I23,I23)=1,I23,"")</f>
        <v/>
      </c>
      <c r="L23" t="str">
        <f>+IF(K23="","",MAX(L$1:L22)+1)</f>
        <v/>
      </c>
      <c r="M23" t="str">
        <f t="shared" si="1"/>
        <v/>
      </c>
      <c r="R23" t="str">
        <f>IF(CMS_Identification!B45="","",CMS_Identification!B45)</f>
        <v/>
      </c>
      <c r="S23" t="str">
        <f>IF(CMS_Identification!F45="","",CMS_Identification!F45)</f>
        <v/>
      </c>
      <c r="T23" s="106" t="str">
        <f>IF(CMS_Identification!D45="","",CMS_Identification!D45)</f>
        <v/>
      </c>
    </row>
    <row r="24" spans="2:20" x14ac:dyDescent="0.3">
      <c r="B24" t="s">
        <v>227</v>
      </c>
      <c r="E24" t="s">
        <v>64</v>
      </c>
      <c r="G24" s="30" t="s">
        <v>37</v>
      </c>
      <c r="I24" t="str" cm="1">
        <f t="array" ref="I24">IF(SUMPRODUCT(--(LEN(CMS_Identification!F46:F545)&gt;0))&gt;0,IF(CMS_Identification!F46="","",CMS_Identification!F46),"Add CMS to the CMS_Identification tab")</f>
        <v>Add CMS to the CMS_Identification tab</v>
      </c>
      <c r="J24" t="str">
        <f>IF(CMS_Identification!B46="","",CMS_Identification!B46)</f>
        <v/>
      </c>
      <c r="K24" t="str">
        <f>IF(COUNTIF(I$2:I24,I24)=1,I24,"")</f>
        <v/>
      </c>
      <c r="L24" t="str">
        <f>+IF(K24="","",MAX(L$1:L23)+1)</f>
        <v/>
      </c>
      <c r="M24" t="str">
        <f t="shared" si="1"/>
        <v/>
      </c>
      <c r="R24" t="str">
        <f>IF(CMS_Identification!B46="","",CMS_Identification!B46)</f>
        <v/>
      </c>
      <c r="S24" t="str">
        <f>IF(CMS_Identification!F46="","",CMS_Identification!F46)</f>
        <v/>
      </c>
      <c r="T24" s="106" t="str">
        <f>IF(CMS_Identification!D46="","",CMS_Identification!D46)</f>
        <v/>
      </c>
    </row>
    <row r="25" spans="2:20" x14ac:dyDescent="0.3">
      <c r="B25" t="s">
        <v>228</v>
      </c>
      <c r="E25" t="s">
        <v>65</v>
      </c>
      <c r="I25" t="str" cm="1">
        <f t="array" ref="I25">IF(SUMPRODUCT(--(LEN(CMS_Identification!F47:F546)&gt;0))&gt;0,IF(CMS_Identification!F47="","",CMS_Identification!F47),"Add CMS to the CMS_Identification tab")</f>
        <v>Add CMS to the CMS_Identification tab</v>
      </c>
      <c r="J25" t="str">
        <f>IF(CMS_Identification!B47="","",CMS_Identification!B47)</f>
        <v/>
      </c>
      <c r="K25" t="str">
        <f>IF(COUNTIF(I$2:I25,I25)=1,I25,"")</f>
        <v/>
      </c>
      <c r="L25" t="str">
        <f>+IF(K25="","",MAX(L$1:L24)+1)</f>
        <v/>
      </c>
      <c r="M25" t="str">
        <f>+IFERROR(INDEX($I$2:$I$501,MATCH(ROW()-ROW($L$1),$L$2:$L$501,0)),"")</f>
        <v/>
      </c>
      <c r="R25" t="str">
        <f>IF(CMS_Identification!B47="","",CMS_Identification!B47)</f>
        <v/>
      </c>
      <c r="S25" t="str">
        <f>IF(CMS_Identification!F47="","",CMS_Identification!F47)</f>
        <v/>
      </c>
      <c r="T25" s="106" t="str">
        <f>IF(CMS_Identification!D47="","",CMS_Identification!D47)</f>
        <v/>
      </c>
    </row>
    <row r="26" spans="2:20" x14ac:dyDescent="0.3">
      <c r="B26" t="s">
        <v>229</v>
      </c>
      <c r="E26" t="s">
        <v>66</v>
      </c>
      <c r="G26" s="20" t="s">
        <v>336</v>
      </c>
      <c r="I26" t="str" cm="1">
        <f t="array" ref="I26">IF(SUMPRODUCT(--(LEN(CMS_Identification!F48:F547)&gt;0))&gt;0,IF(CMS_Identification!F48="","",CMS_Identification!F48),"Add CMS to the CMS_Identification tab")</f>
        <v>Add CMS to the CMS_Identification tab</v>
      </c>
      <c r="J26" t="str">
        <f>IF(CMS_Identification!B48="","",CMS_Identification!B48)</f>
        <v/>
      </c>
      <c r="K26" t="str">
        <f>IF(COUNTIF(I$2:I26,I26)=1,I26,"")</f>
        <v/>
      </c>
      <c r="L26" t="str">
        <f>+IF(K26="","",MAX(L$1:L25)+1)</f>
        <v/>
      </c>
      <c r="M26" t="str">
        <f t="shared" si="1"/>
        <v/>
      </c>
      <c r="R26" t="str">
        <f>IF(CMS_Identification!B48="","",CMS_Identification!B48)</f>
        <v/>
      </c>
      <c r="S26" t="str">
        <f>IF(CMS_Identification!F48="","",CMS_Identification!F48)</f>
        <v/>
      </c>
      <c r="T26" s="106" t="str">
        <f>IF(CMS_Identification!D48="","",CMS_Identification!D48)</f>
        <v/>
      </c>
    </row>
    <row r="27" spans="2:20" x14ac:dyDescent="0.3">
      <c r="B27" t="s">
        <v>230</v>
      </c>
      <c r="E27" t="s">
        <v>67</v>
      </c>
      <c r="G27" t="s">
        <v>343</v>
      </c>
      <c r="I27" t="str" cm="1">
        <f t="array" ref="I27">IF(SUMPRODUCT(--(LEN(CMS_Identification!F49:F548)&gt;0))&gt;0,IF(CMS_Identification!F49="","",CMS_Identification!F49),"Add CMS to the CMS_Identification tab")</f>
        <v>Add CMS to the CMS_Identification tab</v>
      </c>
      <c r="J27" t="str">
        <f>IF(CMS_Identification!B49="","",CMS_Identification!B49)</f>
        <v/>
      </c>
      <c r="K27" t="str">
        <f>IF(COUNTIF(I$2:I27,I27)=1,I27,"")</f>
        <v/>
      </c>
      <c r="L27" t="str">
        <f>+IF(K27="","",MAX(L$1:L26)+1)</f>
        <v/>
      </c>
      <c r="M27" t="str">
        <f t="shared" si="1"/>
        <v/>
      </c>
      <c r="R27" t="str">
        <f>IF(CMS_Identification!B49="","",CMS_Identification!B49)</f>
        <v/>
      </c>
      <c r="S27" t="str">
        <f>IF(CMS_Identification!F49="","",CMS_Identification!F49)</f>
        <v/>
      </c>
      <c r="T27" s="106" t="str">
        <f>IF(CMS_Identification!D49="","",CMS_Identification!D49)</f>
        <v/>
      </c>
    </row>
    <row r="28" spans="2:20" x14ac:dyDescent="0.3">
      <c r="B28" s="14" t="s">
        <v>234</v>
      </c>
      <c r="E28" t="s">
        <v>68</v>
      </c>
      <c r="G28" t="s">
        <v>341</v>
      </c>
      <c r="I28" t="str" cm="1">
        <f t="array" ref="I28">IF(SUMPRODUCT(--(LEN(CMS_Identification!F50:F549)&gt;0))&gt;0,IF(CMS_Identification!F50="","",CMS_Identification!F50),"Add CMS to the CMS_Identification tab")</f>
        <v>Add CMS to the CMS_Identification tab</v>
      </c>
      <c r="J28" t="str">
        <f>IF(CMS_Identification!B50="","",CMS_Identification!B50)</f>
        <v/>
      </c>
      <c r="K28" t="str">
        <f>IF(COUNTIF(I$2:I28,I28)=1,I28,"")</f>
        <v/>
      </c>
      <c r="L28" t="str">
        <f>+IF(K28="","",MAX(L$1:L27)+1)</f>
        <v/>
      </c>
      <c r="M28" t="str">
        <f t="shared" si="1"/>
        <v/>
      </c>
      <c r="R28" t="str">
        <f>IF(CMS_Identification!B50="","",CMS_Identification!B50)</f>
        <v/>
      </c>
      <c r="S28" t="str">
        <f>IF(CMS_Identification!F50="","",CMS_Identification!F50)</f>
        <v/>
      </c>
      <c r="T28" s="106" t="str">
        <f>IF(CMS_Identification!D50="","",CMS_Identification!D50)</f>
        <v/>
      </c>
    </row>
    <row r="29" spans="2:20" x14ac:dyDescent="0.3">
      <c r="B29" t="s">
        <v>236</v>
      </c>
      <c r="E29" t="s">
        <v>69</v>
      </c>
      <c r="G29" t="s">
        <v>342</v>
      </c>
      <c r="I29" t="str" cm="1">
        <f t="array" ref="I29">IF(SUMPRODUCT(--(LEN(CMS_Identification!F51:F550)&gt;0))&gt;0,IF(CMS_Identification!F51="","",CMS_Identification!F51),"Add CMS to the CMS_Identification tab")</f>
        <v>Add CMS to the CMS_Identification tab</v>
      </c>
      <c r="J29" t="str">
        <f>IF(CMS_Identification!B51="","",CMS_Identification!B51)</f>
        <v/>
      </c>
      <c r="K29" t="str">
        <f>IF(COUNTIF(I$2:I29,I29)=1,I29,"")</f>
        <v/>
      </c>
      <c r="L29" t="str">
        <f>+IF(K29="","",MAX(L$1:L28)+1)</f>
        <v/>
      </c>
      <c r="M29" t="str">
        <f t="shared" si="1"/>
        <v/>
      </c>
      <c r="R29" t="str">
        <f>IF(CMS_Identification!B51="","",CMS_Identification!B51)</f>
        <v/>
      </c>
      <c r="S29" t="str">
        <f>IF(CMS_Identification!F51="","",CMS_Identification!F51)</f>
        <v/>
      </c>
      <c r="T29" s="106" t="str">
        <f>IF(CMS_Identification!D51="","",CMS_Identification!D51)</f>
        <v/>
      </c>
    </row>
    <row r="30" spans="2:20" x14ac:dyDescent="0.3">
      <c r="B30" t="s">
        <v>358</v>
      </c>
      <c r="E30" t="s">
        <v>70</v>
      </c>
      <c r="G30" t="s">
        <v>340</v>
      </c>
      <c r="I30" t="str" cm="1">
        <f t="array" ref="I30">IF(SUMPRODUCT(--(LEN(CMS_Identification!F52:F551)&gt;0))&gt;0,IF(CMS_Identification!F52="","",CMS_Identification!F52),"Add CMS to the CMS_Identification tab")</f>
        <v>Add CMS to the CMS_Identification tab</v>
      </c>
      <c r="J30" t="str">
        <f>IF(CMS_Identification!B52="","",CMS_Identification!B52)</f>
        <v/>
      </c>
      <c r="K30" t="str">
        <f>IF(COUNTIF(I$2:I30,I30)=1,I30,"")</f>
        <v/>
      </c>
      <c r="L30" t="str">
        <f>+IF(K30="","",MAX(L$1:L29)+1)</f>
        <v/>
      </c>
      <c r="M30" t="str">
        <f t="shared" si="1"/>
        <v/>
      </c>
      <c r="R30" t="str">
        <f>IF(CMS_Identification!B52="","",CMS_Identification!B52)</f>
        <v/>
      </c>
      <c r="S30" t="str">
        <f>IF(CMS_Identification!F52="","",CMS_Identification!F52)</f>
        <v/>
      </c>
      <c r="T30" s="106" t="str">
        <f>IF(CMS_Identification!D52="","",CMS_Identification!D52)</f>
        <v/>
      </c>
    </row>
    <row r="31" spans="2:20" x14ac:dyDescent="0.3">
      <c r="B31" s="14" t="s">
        <v>235</v>
      </c>
      <c r="E31" t="s">
        <v>71</v>
      </c>
      <c r="I31" t="str" cm="1">
        <f t="array" ref="I31">IF(SUMPRODUCT(--(LEN(CMS_Identification!F53:F552)&gt;0))&gt;0,IF(CMS_Identification!F53="","",CMS_Identification!F53),"Add CMS to the CMS_Identification tab")</f>
        <v>Add CMS to the CMS_Identification tab</v>
      </c>
      <c r="J31" t="str">
        <f>IF(CMS_Identification!B53="","",CMS_Identification!B53)</f>
        <v/>
      </c>
      <c r="K31" t="str">
        <f>IF(COUNTIF(I$2:I31,I31)=1,I31,"")</f>
        <v/>
      </c>
      <c r="L31" t="str">
        <f>+IF(K31="","",MAX(L$1:L30)+1)</f>
        <v/>
      </c>
      <c r="M31" t="str">
        <f t="shared" si="1"/>
        <v/>
      </c>
      <c r="R31" t="str">
        <f>IF(CMS_Identification!B53="","",CMS_Identification!B53)</f>
        <v/>
      </c>
      <c r="S31" t="str">
        <f>IF(CMS_Identification!F53="","",CMS_Identification!F53)</f>
        <v/>
      </c>
      <c r="T31" s="106" t="str">
        <f>IF(CMS_Identification!D53="","",CMS_Identification!D53)</f>
        <v/>
      </c>
    </row>
    <row r="32" spans="2:20" x14ac:dyDescent="0.3">
      <c r="B32" t="s">
        <v>236</v>
      </c>
      <c r="E32" t="s">
        <v>72</v>
      </c>
      <c r="G32" s="268" t="s">
        <v>350</v>
      </c>
      <c r="I32" t="str" cm="1">
        <f t="array" ref="I32">IF(SUMPRODUCT(--(LEN(CMS_Identification!F54:F553)&gt;0))&gt;0,IF(CMS_Identification!F54="","",CMS_Identification!F54),"Add CMS to the CMS_Identification tab")</f>
        <v>Add CMS to the CMS_Identification tab</v>
      </c>
      <c r="J32" t="str">
        <f>IF(CMS_Identification!B54="","",CMS_Identification!B54)</f>
        <v/>
      </c>
      <c r="K32" t="str">
        <f>IF(COUNTIF(I$2:I32,I32)=1,I32,"")</f>
        <v/>
      </c>
      <c r="L32" t="str">
        <f>+IF(K32="","",MAX(L$1:L31)+1)</f>
        <v/>
      </c>
      <c r="M32" t="str">
        <f t="shared" si="1"/>
        <v/>
      </c>
      <c r="R32" t="str">
        <f>IF(CMS_Identification!B54="","",CMS_Identification!B54)</f>
        <v/>
      </c>
      <c r="S32" t="str">
        <f>IF(CMS_Identification!F54="","",CMS_Identification!F54)</f>
        <v/>
      </c>
      <c r="T32" s="106" t="str">
        <f>IF(CMS_Identification!D54="","",CMS_Identification!D54)</f>
        <v/>
      </c>
    </row>
    <row r="33" spans="2:20" x14ac:dyDescent="0.3">
      <c r="B33" t="s">
        <v>359</v>
      </c>
      <c r="E33" t="s">
        <v>73</v>
      </c>
      <c r="G33" t="s">
        <v>351</v>
      </c>
      <c r="I33" t="str" cm="1">
        <f t="array" ref="I33">IF(SUMPRODUCT(--(LEN(CMS_Identification!F55:F554)&gt;0))&gt;0,IF(CMS_Identification!F55="","",CMS_Identification!F55),"Add CMS to the CMS_Identification tab")</f>
        <v>Add CMS to the CMS_Identification tab</v>
      </c>
      <c r="J33" t="str">
        <f>IF(CMS_Identification!B55="","",CMS_Identification!B55)</f>
        <v/>
      </c>
      <c r="K33" t="str">
        <f>IF(COUNTIF(I$2:I33,I33)=1,I33,"")</f>
        <v/>
      </c>
      <c r="L33" t="str">
        <f>+IF(K33="","",MAX(L$1:L32)+1)</f>
        <v/>
      </c>
      <c r="M33" t="str">
        <f t="shared" si="1"/>
        <v/>
      </c>
      <c r="R33" t="str">
        <f>IF(CMS_Identification!B55="","",CMS_Identification!B55)</f>
        <v/>
      </c>
      <c r="S33" t="str">
        <f>IF(CMS_Identification!F55="","",CMS_Identification!F55)</f>
        <v/>
      </c>
      <c r="T33" s="106" t="str">
        <f>IF(CMS_Identification!D55="","",CMS_Identification!D55)</f>
        <v/>
      </c>
    </row>
    <row r="34" spans="2:20" x14ac:dyDescent="0.3">
      <c r="E34" t="s">
        <v>74</v>
      </c>
      <c r="G34" t="s">
        <v>352</v>
      </c>
      <c r="I34" t="str" cm="1">
        <f t="array" ref="I34">IF(SUMPRODUCT(--(LEN(CMS_Identification!F56:F555)&gt;0))&gt;0,IF(CMS_Identification!F56="","",CMS_Identification!F56),"Add CMS to the CMS_Identification tab")</f>
        <v>Add CMS to the CMS_Identification tab</v>
      </c>
      <c r="J34" t="str">
        <f>IF(CMS_Identification!B56="","",CMS_Identification!B56)</f>
        <v/>
      </c>
      <c r="K34" t="str">
        <f>IF(COUNTIF(I$2:I34,I34)=1,I34,"")</f>
        <v/>
      </c>
      <c r="L34" t="str">
        <f>+IF(K34="","",MAX(L$1:L33)+1)</f>
        <v/>
      </c>
      <c r="M34" t="str">
        <f t="shared" si="1"/>
        <v/>
      </c>
      <c r="R34" t="str">
        <f>IF(CMS_Identification!B56="","",CMS_Identification!B56)</f>
        <v/>
      </c>
      <c r="S34" t="str">
        <f>IF(CMS_Identification!F56="","",CMS_Identification!F56)</f>
        <v/>
      </c>
      <c r="T34" s="106" t="str">
        <f>IF(CMS_Identification!D56="","",CMS_Identification!D56)</f>
        <v/>
      </c>
    </row>
    <row r="35" spans="2:20" x14ac:dyDescent="0.3">
      <c r="B35" s="14" t="s">
        <v>157</v>
      </c>
      <c r="E35" t="s">
        <v>75</v>
      </c>
      <c r="G35" t="s">
        <v>353</v>
      </c>
      <c r="I35" t="str" cm="1">
        <f t="array" ref="I35">IF(SUMPRODUCT(--(LEN(CMS_Identification!F57:F556)&gt;0))&gt;0,IF(CMS_Identification!F57="","",CMS_Identification!F57),"Add CMS to the CMS_Identification tab")</f>
        <v>Add CMS to the CMS_Identification tab</v>
      </c>
      <c r="J35" t="str">
        <f>IF(CMS_Identification!B57="","",CMS_Identification!B57)</f>
        <v/>
      </c>
      <c r="K35" t="str">
        <f>IF(COUNTIF(I$2:I35,I35)=1,I35,"")</f>
        <v/>
      </c>
      <c r="L35" t="str">
        <f>+IF(K35="","",MAX(L$1:L34)+1)</f>
        <v/>
      </c>
      <c r="M35" t="str">
        <f t="shared" si="1"/>
        <v/>
      </c>
      <c r="R35" t="str">
        <f>IF(CMS_Identification!B57="","",CMS_Identification!B57)</f>
        <v/>
      </c>
      <c r="S35" t="str">
        <f>IF(CMS_Identification!F57="","",CMS_Identification!F57)</f>
        <v/>
      </c>
      <c r="T35" s="106" t="str">
        <f>IF(CMS_Identification!D57="","",CMS_Identification!D57)</f>
        <v/>
      </c>
    </row>
    <row r="36" spans="2:20" x14ac:dyDescent="0.3">
      <c r="B36" t="s">
        <v>239</v>
      </c>
      <c r="E36" t="s">
        <v>76</v>
      </c>
      <c r="G36" t="s">
        <v>354</v>
      </c>
      <c r="I36" t="str" cm="1">
        <f t="array" ref="I36">IF(SUMPRODUCT(--(LEN(CMS_Identification!F58:F557)&gt;0))&gt;0,IF(CMS_Identification!F58="","",CMS_Identification!F58),"Add CMS to the CMS_Identification tab")</f>
        <v>Add CMS to the CMS_Identification tab</v>
      </c>
      <c r="J36" t="str">
        <f>IF(CMS_Identification!B58="","",CMS_Identification!B58)</f>
        <v/>
      </c>
      <c r="K36" t="str">
        <f>IF(COUNTIF(I$2:I36,I36)=1,I36,"")</f>
        <v/>
      </c>
      <c r="L36" t="str">
        <f>+IF(K36="","",MAX(L$1:L35)+1)</f>
        <v/>
      </c>
      <c r="M36" t="str">
        <f t="shared" si="1"/>
        <v/>
      </c>
      <c r="R36" t="str">
        <f>IF(CMS_Identification!B58="","",CMS_Identification!B58)</f>
        <v/>
      </c>
      <c r="S36" t="str">
        <f>IF(CMS_Identification!F58="","",CMS_Identification!F58)</f>
        <v/>
      </c>
      <c r="T36" s="106" t="str">
        <f>IF(CMS_Identification!D58="","",CMS_Identification!D58)</f>
        <v/>
      </c>
    </row>
    <row r="37" spans="2:20" x14ac:dyDescent="0.3">
      <c r="B37" t="s">
        <v>240</v>
      </c>
      <c r="E37" t="s">
        <v>77</v>
      </c>
      <c r="G37" t="s">
        <v>355</v>
      </c>
      <c r="I37" t="str" cm="1">
        <f t="array" ref="I37">IF(SUMPRODUCT(--(LEN(CMS_Identification!F59:F558)&gt;0))&gt;0,IF(CMS_Identification!F59="","",CMS_Identification!F59),"Add CMS to the CMS_Identification tab")</f>
        <v>Add CMS to the CMS_Identification tab</v>
      </c>
      <c r="J37" t="str">
        <f>IF(CMS_Identification!B59="","",CMS_Identification!B59)</f>
        <v/>
      </c>
      <c r="K37" t="str">
        <f>IF(COUNTIF(I$2:I37,I37)=1,I37,"")</f>
        <v/>
      </c>
      <c r="L37" t="str">
        <f>+IF(K37="","",MAX(L$1:L36)+1)</f>
        <v/>
      </c>
      <c r="M37" t="str">
        <f t="shared" si="1"/>
        <v/>
      </c>
      <c r="R37" t="str">
        <f>IF(CMS_Identification!B59="","",CMS_Identification!B59)</f>
        <v/>
      </c>
      <c r="S37" t="str">
        <f>IF(CMS_Identification!F59="","",CMS_Identification!F59)</f>
        <v/>
      </c>
      <c r="T37" s="106" t="str">
        <f>IF(CMS_Identification!D59="","",CMS_Identification!D59)</f>
        <v/>
      </c>
    </row>
    <row r="38" spans="2:20" x14ac:dyDescent="0.3">
      <c r="B38" t="s">
        <v>241</v>
      </c>
      <c r="E38" t="s">
        <v>78</v>
      </c>
      <c r="G38" t="s">
        <v>230</v>
      </c>
      <c r="I38" t="str" cm="1">
        <f t="array" ref="I38">IF(SUMPRODUCT(--(LEN(CMS_Identification!F60:F559)&gt;0))&gt;0,IF(CMS_Identification!F60="","",CMS_Identification!F60),"Add CMS to the CMS_Identification tab")</f>
        <v>Add CMS to the CMS_Identification tab</v>
      </c>
      <c r="J38" t="str">
        <f>IF(CMS_Identification!B60="","",CMS_Identification!B60)</f>
        <v/>
      </c>
      <c r="K38" t="str">
        <f>IF(COUNTIF(I$2:I38,I38)=1,I38,"")</f>
        <v/>
      </c>
      <c r="L38" t="str">
        <f>+IF(K38="","",MAX(L$1:L37)+1)</f>
        <v/>
      </c>
      <c r="M38" t="str">
        <f t="shared" si="1"/>
        <v/>
      </c>
      <c r="R38" t="str">
        <f>IF(CMS_Identification!B60="","",CMS_Identification!B60)</f>
        <v/>
      </c>
      <c r="S38" t="str">
        <f>IF(CMS_Identification!F60="","",CMS_Identification!F60)</f>
        <v/>
      </c>
      <c r="T38" s="106" t="str">
        <f>IF(CMS_Identification!D60="","",CMS_Identification!D60)</f>
        <v/>
      </c>
    </row>
    <row r="39" spans="2:20" x14ac:dyDescent="0.3">
      <c r="B39" t="s">
        <v>242</v>
      </c>
      <c r="E39" t="s">
        <v>79</v>
      </c>
      <c r="I39" t="str" cm="1">
        <f t="array" ref="I39">IF(SUMPRODUCT(--(LEN(CMS_Identification!F61:F560)&gt;0))&gt;0,IF(CMS_Identification!F61="","",CMS_Identification!F61),"Add CMS to the CMS_Identification tab")</f>
        <v>Add CMS to the CMS_Identification tab</v>
      </c>
      <c r="J39" t="str">
        <f>IF(CMS_Identification!B61="","",CMS_Identification!B61)</f>
        <v/>
      </c>
      <c r="K39" t="str">
        <f>IF(COUNTIF(I$2:I39,I39)=1,I39,"")</f>
        <v/>
      </c>
      <c r="L39" t="str">
        <f>+IF(K39="","",MAX(L$1:L38)+1)</f>
        <v/>
      </c>
      <c r="M39" t="str">
        <f t="shared" si="1"/>
        <v/>
      </c>
      <c r="R39" t="str">
        <f>IF(CMS_Identification!B61="","",CMS_Identification!B61)</f>
        <v/>
      </c>
      <c r="S39" t="str">
        <f>IF(CMS_Identification!F61="","",CMS_Identification!F61)</f>
        <v/>
      </c>
      <c r="T39" s="106" t="str">
        <f>IF(CMS_Identification!D61="","",CMS_Identification!D61)</f>
        <v/>
      </c>
    </row>
    <row r="40" spans="2:20" x14ac:dyDescent="0.3">
      <c r="B40" t="s">
        <v>243</v>
      </c>
      <c r="E40" t="s">
        <v>80</v>
      </c>
      <c r="G40" s="268" t="s">
        <v>371</v>
      </c>
      <c r="I40" t="str" cm="1">
        <f t="array" ref="I40">IF(SUMPRODUCT(--(LEN(CMS_Identification!F62:F561)&gt;0))&gt;0,IF(CMS_Identification!F62="","",CMS_Identification!F62),"Add CMS to the CMS_Identification tab")</f>
        <v>Add CMS to the CMS_Identification tab</v>
      </c>
      <c r="J40" t="str">
        <f>IF(CMS_Identification!B62="","",CMS_Identification!B62)</f>
        <v/>
      </c>
      <c r="K40" t="str">
        <f>IF(COUNTIF(I$2:I40,I40)=1,I40,"")</f>
        <v/>
      </c>
      <c r="L40" t="str">
        <f>+IF(K40="","",MAX(L$1:L39)+1)</f>
        <v/>
      </c>
      <c r="M40" t="str">
        <f t="shared" si="1"/>
        <v/>
      </c>
      <c r="R40" t="str">
        <f>IF(CMS_Identification!B62="","",CMS_Identification!B62)</f>
        <v/>
      </c>
      <c r="S40" t="str">
        <f>IF(CMS_Identification!F62="","",CMS_Identification!F62)</f>
        <v/>
      </c>
      <c r="T40" s="106" t="str">
        <f>IF(CMS_Identification!D62="","",CMS_Identification!D62)</f>
        <v/>
      </c>
    </row>
    <row r="41" spans="2:20" x14ac:dyDescent="0.3">
      <c r="E41" t="s">
        <v>81</v>
      </c>
      <c r="G41" t="s">
        <v>370</v>
      </c>
      <c r="I41" t="str" cm="1">
        <f t="array" ref="I41">IF(SUMPRODUCT(--(LEN(CMS_Identification!F63:F562)&gt;0))&gt;0,IF(CMS_Identification!F63="","",CMS_Identification!F63),"Add CMS to the CMS_Identification tab")</f>
        <v>Add CMS to the CMS_Identification tab</v>
      </c>
      <c r="J41" t="str">
        <f>IF(CMS_Identification!B63="","",CMS_Identification!B63)</f>
        <v/>
      </c>
      <c r="K41" t="str">
        <f>IF(COUNTIF(I$2:I41,I41)=1,I41,"")</f>
        <v/>
      </c>
      <c r="L41" t="str">
        <f>+IF(K41="","",MAX(L$1:L40)+1)</f>
        <v/>
      </c>
      <c r="M41" t="str">
        <f t="shared" si="1"/>
        <v/>
      </c>
      <c r="R41" t="str">
        <f>IF(CMS_Identification!B63="","",CMS_Identification!B63)</f>
        <v/>
      </c>
      <c r="S41" t="str">
        <f>IF(CMS_Identification!F63="","",CMS_Identification!F63)</f>
        <v/>
      </c>
      <c r="T41" s="106" t="str">
        <f>IF(CMS_Identification!D63="","",CMS_Identification!D63)</f>
        <v/>
      </c>
    </row>
    <row r="42" spans="2:20" x14ac:dyDescent="0.3">
      <c r="B42" s="14" t="s">
        <v>258</v>
      </c>
      <c r="E42" t="s">
        <v>82</v>
      </c>
      <c r="G42" t="s">
        <v>372</v>
      </c>
      <c r="I42" t="str" cm="1">
        <f t="array" ref="I42">IF(SUMPRODUCT(--(LEN(CMS_Identification!F64:F563)&gt;0))&gt;0,IF(CMS_Identification!F64="","",CMS_Identification!F64),"Add CMS to the CMS_Identification tab")</f>
        <v>Add CMS to the CMS_Identification tab</v>
      </c>
      <c r="J42" t="str">
        <f>IF(CMS_Identification!B64="","",CMS_Identification!B64)</f>
        <v/>
      </c>
      <c r="K42" t="str">
        <f>IF(COUNTIF(I$2:I42,I42)=1,I42,"")</f>
        <v/>
      </c>
      <c r="L42" t="str">
        <f>+IF(K42="","",MAX(L$1:L41)+1)</f>
        <v/>
      </c>
      <c r="M42" t="str">
        <f t="shared" si="1"/>
        <v/>
      </c>
      <c r="R42" t="str">
        <f>IF(CMS_Identification!B64="","",CMS_Identification!B64)</f>
        <v/>
      </c>
      <c r="S42" t="str">
        <f>IF(CMS_Identification!F64="","",CMS_Identification!F64)</f>
        <v/>
      </c>
      <c r="T42" s="106" t="str">
        <f>IF(CMS_Identification!D64="","",CMS_Identification!D64)</f>
        <v/>
      </c>
    </row>
    <row r="43" spans="2:20" x14ac:dyDescent="0.3">
      <c r="B43" t="s">
        <v>259</v>
      </c>
      <c r="E43" t="s">
        <v>83</v>
      </c>
      <c r="G43" t="s">
        <v>373</v>
      </c>
      <c r="I43" t="str" cm="1">
        <f t="array" ref="I43">IF(SUMPRODUCT(--(LEN(CMS_Identification!F65:F564)&gt;0))&gt;0,IF(CMS_Identification!F65="","",CMS_Identification!F65),"Add CMS to the CMS_Identification tab")</f>
        <v>Add CMS to the CMS_Identification tab</v>
      </c>
      <c r="J43" t="str">
        <f>IF(CMS_Identification!B65="","",CMS_Identification!B65)</f>
        <v/>
      </c>
      <c r="K43" t="str">
        <f>IF(COUNTIF(I$2:I43,I43)=1,I43,"")</f>
        <v/>
      </c>
      <c r="L43" t="str">
        <f>+IF(K43="","",MAX(L$1:L42)+1)</f>
        <v/>
      </c>
      <c r="M43" t="str">
        <f t="shared" si="1"/>
        <v/>
      </c>
      <c r="R43" t="str">
        <f>IF(CMS_Identification!B65="","",CMS_Identification!B65)</f>
        <v/>
      </c>
      <c r="S43" t="str">
        <f>IF(CMS_Identification!F65="","",CMS_Identification!F65)</f>
        <v/>
      </c>
      <c r="T43" s="106" t="str">
        <f>IF(CMS_Identification!D65="","",CMS_Identification!D65)</f>
        <v/>
      </c>
    </row>
    <row r="44" spans="2:20" x14ac:dyDescent="0.3">
      <c r="B44" t="s">
        <v>260</v>
      </c>
      <c r="E44" t="s">
        <v>84</v>
      </c>
      <c r="G44" t="s">
        <v>242</v>
      </c>
      <c r="I44" t="str" cm="1">
        <f t="array" ref="I44">IF(SUMPRODUCT(--(LEN(CMS_Identification!F66:F565)&gt;0))&gt;0,IF(CMS_Identification!F66="","",CMS_Identification!F66),"Add CMS to the CMS_Identification tab")</f>
        <v>Add CMS to the CMS_Identification tab</v>
      </c>
      <c r="J44" t="str">
        <f>IF(CMS_Identification!B66="","",CMS_Identification!B66)</f>
        <v/>
      </c>
      <c r="K44" t="str">
        <f>IF(COUNTIF(I$2:I44,I44)=1,I44,"")</f>
        <v/>
      </c>
      <c r="L44" t="str">
        <f>+IF(K44="","",MAX(L$1:L43)+1)</f>
        <v/>
      </c>
      <c r="M44" t="str">
        <f t="shared" si="1"/>
        <v/>
      </c>
      <c r="R44" t="str">
        <f>IF(CMS_Identification!B66="","",CMS_Identification!B66)</f>
        <v/>
      </c>
      <c r="S44" t="str">
        <f>IF(CMS_Identification!F66="","",CMS_Identification!F66)</f>
        <v/>
      </c>
      <c r="T44" s="106" t="str">
        <f>IF(CMS_Identification!D66="","",CMS_Identification!D66)</f>
        <v/>
      </c>
    </row>
    <row r="45" spans="2:20" x14ac:dyDescent="0.3">
      <c r="E45" t="s">
        <v>85</v>
      </c>
      <c r="G45" t="s">
        <v>243</v>
      </c>
      <c r="I45" t="str" cm="1">
        <f t="array" ref="I45">IF(SUMPRODUCT(--(LEN(CMS_Identification!F67:F566)&gt;0))&gt;0,IF(CMS_Identification!F67="","",CMS_Identification!F67),"Add CMS to the CMS_Identification tab")</f>
        <v>Add CMS to the CMS_Identification tab</v>
      </c>
      <c r="J45" t="str">
        <f>IF(CMS_Identification!B67="","",CMS_Identification!B67)</f>
        <v/>
      </c>
      <c r="K45" t="str">
        <f>IF(COUNTIF(I$2:I45,I45)=1,I45,"")</f>
        <v/>
      </c>
      <c r="L45" t="str">
        <f>+IF(K45="","",MAX(L$1:L44)+1)</f>
        <v/>
      </c>
      <c r="M45" t="str">
        <f t="shared" si="1"/>
        <v/>
      </c>
      <c r="R45" t="str">
        <f>IF(CMS_Identification!B67="","",CMS_Identification!B67)</f>
        <v/>
      </c>
      <c r="S45" t="str">
        <f>IF(CMS_Identification!F67="","",CMS_Identification!F67)</f>
        <v/>
      </c>
      <c r="T45" s="106" t="str">
        <f>IF(CMS_Identification!D67="","",CMS_Identification!D67)</f>
        <v/>
      </c>
    </row>
    <row r="46" spans="2:20" x14ac:dyDescent="0.3">
      <c r="B46" s="14" t="s">
        <v>263</v>
      </c>
      <c r="E46" t="s">
        <v>86</v>
      </c>
      <c r="I46" t="str" cm="1">
        <f t="array" ref="I46">IF(SUMPRODUCT(--(LEN(CMS_Identification!F68:F567)&gt;0))&gt;0,IF(CMS_Identification!F68="","",CMS_Identification!F68),"Add CMS to the CMS_Identification tab")</f>
        <v>Add CMS to the CMS_Identification tab</v>
      </c>
      <c r="J46" t="str">
        <f>IF(CMS_Identification!B68="","",CMS_Identification!B68)</f>
        <v/>
      </c>
      <c r="K46" t="str">
        <f>IF(COUNTIF(I$2:I46,I46)=1,I46,"")</f>
        <v/>
      </c>
      <c r="L46" t="str">
        <f>+IF(K46="","",MAX(L$1:L45)+1)</f>
        <v/>
      </c>
      <c r="M46" t="str">
        <f t="shared" si="1"/>
        <v/>
      </c>
      <c r="R46" t="str">
        <f>IF(CMS_Identification!B68="","",CMS_Identification!B68)</f>
        <v/>
      </c>
      <c r="S46" t="str">
        <f>IF(CMS_Identification!F68="","",CMS_Identification!F68)</f>
        <v/>
      </c>
      <c r="T46" s="106" t="str">
        <f>IF(CMS_Identification!D68="","",CMS_Identification!D68)</f>
        <v/>
      </c>
    </row>
    <row r="47" spans="2:20" x14ac:dyDescent="0.3">
      <c r="B47" t="s">
        <v>267</v>
      </c>
      <c r="E47" t="s">
        <v>87</v>
      </c>
      <c r="I47" t="str" cm="1">
        <f t="array" ref="I47">IF(SUMPRODUCT(--(LEN(CMS_Identification!F69:F568)&gt;0))&gt;0,IF(CMS_Identification!F69="","",CMS_Identification!F69),"Add CMS to the CMS_Identification tab")</f>
        <v>Add CMS to the CMS_Identification tab</v>
      </c>
      <c r="J47" t="str">
        <f>IF(CMS_Identification!B69="","",CMS_Identification!B69)</f>
        <v/>
      </c>
      <c r="K47" t="str">
        <f>IF(COUNTIF(I$2:I47,I47)=1,I47,"")</f>
        <v/>
      </c>
      <c r="L47" t="str">
        <f>+IF(K47="","",MAX(L$1:L46)+1)</f>
        <v/>
      </c>
      <c r="M47" t="str">
        <f t="shared" si="1"/>
        <v/>
      </c>
      <c r="R47" t="str">
        <f>IF(CMS_Identification!B69="","",CMS_Identification!B69)</f>
        <v/>
      </c>
      <c r="S47" t="str">
        <f>IF(CMS_Identification!F69="","",CMS_Identification!F69)</f>
        <v/>
      </c>
      <c r="T47" s="106" t="str">
        <f>IF(CMS_Identification!D69="","",CMS_Identification!D69)</f>
        <v/>
      </c>
    </row>
    <row r="48" spans="2:20" x14ac:dyDescent="0.3">
      <c r="B48" t="s">
        <v>268</v>
      </c>
      <c r="E48" t="s">
        <v>88</v>
      </c>
      <c r="I48" t="str" cm="1">
        <f t="array" ref="I48">IF(SUMPRODUCT(--(LEN(CMS_Identification!F70:F569)&gt;0))&gt;0,IF(CMS_Identification!F70="","",CMS_Identification!F70),"Add CMS to the CMS_Identification tab")</f>
        <v>Add CMS to the CMS_Identification tab</v>
      </c>
      <c r="J48" t="str">
        <f>IF(CMS_Identification!B70="","",CMS_Identification!B70)</f>
        <v/>
      </c>
      <c r="K48" t="str">
        <f>IF(COUNTIF(I$2:I48,I48)=1,I48,"")</f>
        <v/>
      </c>
      <c r="L48" t="str">
        <f>+IF(K48="","",MAX(L$1:L47)+1)</f>
        <v/>
      </c>
      <c r="M48" t="str">
        <f t="shared" si="1"/>
        <v/>
      </c>
      <c r="R48" t="str">
        <f>IF(CMS_Identification!B70="","",CMS_Identification!B70)</f>
        <v/>
      </c>
      <c r="S48" t="str">
        <f>IF(CMS_Identification!F70="","",CMS_Identification!F70)</f>
        <v/>
      </c>
      <c r="T48" s="106" t="str">
        <f>IF(CMS_Identification!D70="","",CMS_Identification!D70)</f>
        <v/>
      </c>
    </row>
    <row r="49" spans="2:20" x14ac:dyDescent="0.3">
      <c r="E49" t="s">
        <v>89</v>
      </c>
      <c r="I49" t="str" cm="1">
        <f t="array" ref="I49">IF(SUMPRODUCT(--(LEN(CMS_Identification!F71:F570)&gt;0))&gt;0,IF(CMS_Identification!F71="","",CMS_Identification!F71),"Add CMS to the CMS_Identification tab")</f>
        <v>Add CMS to the CMS_Identification tab</v>
      </c>
      <c r="J49" t="str">
        <f>IF(CMS_Identification!B71="","",CMS_Identification!B71)</f>
        <v/>
      </c>
      <c r="K49" t="str">
        <f>IF(COUNTIF(I$2:I49,I49)=1,I49,"")</f>
        <v/>
      </c>
      <c r="L49" t="str">
        <f>+IF(K49="","",MAX(L$1:L48)+1)</f>
        <v/>
      </c>
      <c r="M49" t="str">
        <f t="shared" si="1"/>
        <v/>
      </c>
      <c r="R49" t="str">
        <f>IF(CMS_Identification!B71="","",CMS_Identification!B71)</f>
        <v/>
      </c>
      <c r="S49" t="str">
        <f>IF(CMS_Identification!F71="","",CMS_Identification!F71)</f>
        <v/>
      </c>
      <c r="T49" s="106" t="str">
        <f>IF(CMS_Identification!D71="","",CMS_Identification!D71)</f>
        <v/>
      </c>
    </row>
    <row r="50" spans="2:20" x14ac:dyDescent="0.3">
      <c r="B50" s="14" t="s">
        <v>290</v>
      </c>
      <c r="E50" t="s">
        <v>90</v>
      </c>
      <c r="I50" t="str" cm="1">
        <f t="array" ref="I50">IF(SUMPRODUCT(--(LEN(CMS_Identification!F72:F571)&gt;0))&gt;0,IF(CMS_Identification!F72="","",CMS_Identification!F72),"Add CMS to the CMS_Identification tab")</f>
        <v>Add CMS to the CMS_Identification tab</v>
      </c>
      <c r="J50" t="str">
        <f>IF(CMS_Identification!B72="","",CMS_Identification!B72)</f>
        <v/>
      </c>
      <c r="K50" t="str">
        <f>IF(COUNTIF(I$2:I50,I50)=1,I50,"")</f>
        <v/>
      </c>
      <c r="L50" t="str">
        <f>+IF(K50="","",MAX(L$1:L49)+1)</f>
        <v/>
      </c>
      <c r="M50" t="str">
        <f t="shared" si="1"/>
        <v/>
      </c>
      <c r="R50" t="str">
        <f>IF(CMS_Identification!B72="","",CMS_Identification!B72)</f>
        <v/>
      </c>
      <c r="S50" t="str">
        <f>IF(CMS_Identification!F72="","",CMS_Identification!F72)</f>
        <v/>
      </c>
      <c r="T50" s="106" t="str">
        <f>IF(CMS_Identification!D72="","",CMS_Identification!D72)</f>
        <v/>
      </c>
    </row>
    <row r="51" spans="2:20" x14ac:dyDescent="0.3">
      <c r="B51" t="s">
        <v>302</v>
      </c>
      <c r="E51" t="s">
        <v>91</v>
      </c>
      <c r="I51" t="str" cm="1">
        <f t="array" ref="I51">IF(SUMPRODUCT(--(LEN(CMS_Identification!F73:F572)&gt;0))&gt;0,IF(CMS_Identification!F73="","",CMS_Identification!F73),"Add CMS to the CMS_Identification tab")</f>
        <v>Add CMS to the CMS_Identification tab</v>
      </c>
      <c r="J51" t="str">
        <f>IF(CMS_Identification!B73="","",CMS_Identification!B73)</f>
        <v/>
      </c>
      <c r="K51" t="str">
        <f>IF(COUNTIF(I$2:I51,I51)=1,I51,"")</f>
        <v/>
      </c>
      <c r="L51" t="str">
        <f>+IF(K51="","",MAX(L$1:L50)+1)</f>
        <v/>
      </c>
      <c r="M51" t="str">
        <f t="shared" si="1"/>
        <v/>
      </c>
      <c r="R51" t="str">
        <f>IF(CMS_Identification!B73="","",CMS_Identification!B73)</f>
        <v/>
      </c>
      <c r="S51" t="str">
        <f>IF(CMS_Identification!F73="","",CMS_Identification!F73)</f>
        <v/>
      </c>
      <c r="T51" s="106" t="str">
        <f>IF(CMS_Identification!D73="","",CMS_Identification!D73)</f>
        <v/>
      </c>
    </row>
    <row r="52" spans="2:20" x14ac:dyDescent="0.3">
      <c r="B52" t="s">
        <v>21</v>
      </c>
      <c r="E52" t="s">
        <v>92</v>
      </c>
      <c r="I52" t="str" cm="1">
        <f t="array" ref="I52">IF(SUMPRODUCT(--(LEN(CMS_Identification!F74:F573)&gt;0))&gt;0,IF(CMS_Identification!F74="","",CMS_Identification!F74),"Add CMS to the CMS_Identification tab")</f>
        <v>Add CMS to the CMS_Identification tab</v>
      </c>
      <c r="J52" t="str">
        <f>IF(CMS_Identification!B74="","",CMS_Identification!B74)</f>
        <v/>
      </c>
      <c r="K52" t="str">
        <f>IF(COUNTIF(I$2:I52,I52)=1,I52,"")</f>
        <v/>
      </c>
      <c r="L52" t="str">
        <f>+IF(K52="","",MAX(L$1:L51)+1)</f>
        <v/>
      </c>
      <c r="M52" t="str">
        <f t="shared" si="1"/>
        <v/>
      </c>
      <c r="R52" t="str">
        <f>IF(CMS_Identification!B74="","",CMS_Identification!B74)</f>
        <v/>
      </c>
      <c r="S52" t="str">
        <f>IF(CMS_Identification!F74="","",CMS_Identification!F74)</f>
        <v/>
      </c>
      <c r="T52" s="106" t="str">
        <f>IF(CMS_Identification!D74="","",CMS_Identification!D74)</f>
        <v/>
      </c>
    </row>
    <row r="53" spans="2:20" x14ac:dyDescent="0.3">
      <c r="B53" t="s">
        <v>22</v>
      </c>
      <c r="E53" t="s">
        <v>93</v>
      </c>
      <c r="I53" t="str" cm="1">
        <f t="array" ref="I53">IF(SUMPRODUCT(--(LEN(CMS_Identification!F75:F574)&gt;0))&gt;0,IF(CMS_Identification!F75="","",CMS_Identification!F75),"Add CMS to the CMS_Identification tab")</f>
        <v>Add CMS to the CMS_Identification tab</v>
      </c>
      <c r="J53" t="str">
        <f>IF(CMS_Identification!B75="","",CMS_Identification!B75)</f>
        <v/>
      </c>
      <c r="K53" t="str">
        <f>IF(COUNTIF(I$2:I53,I53)=1,I53,"")</f>
        <v/>
      </c>
      <c r="L53" t="str">
        <f>+IF(K53="","",MAX(L$1:L52)+1)</f>
        <v/>
      </c>
      <c r="M53" t="str">
        <f t="shared" si="1"/>
        <v/>
      </c>
      <c r="R53" t="str">
        <f>IF(CMS_Identification!B75="","",CMS_Identification!B75)</f>
        <v/>
      </c>
      <c r="S53" t="str">
        <f>IF(CMS_Identification!F75="","",CMS_Identification!F75)</f>
        <v/>
      </c>
      <c r="T53" s="106" t="str">
        <f>IF(CMS_Identification!D75="","",CMS_Identification!D75)</f>
        <v/>
      </c>
    </row>
    <row r="54" spans="2:20" x14ac:dyDescent="0.3">
      <c r="E54" t="s">
        <v>94</v>
      </c>
      <c r="I54" t="str" cm="1">
        <f t="array" ref="I54">IF(SUMPRODUCT(--(LEN(CMS_Identification!F76:F575)&gt;0))&gt;0,IF(CMS_Identification!F76="","",CMS_Identification!F76),"Add CMS to the CMS_Identification tab")</f>
        <v>Add CMS to the CMS_Identification tab</v>
      </c>
      <c r="J54" t="str">
        <f>IF(CMS_Identification!B76="","",CMS_Identification!B76)</f>
        <v/>
      </c>
      <c r="K54" t="str">
        <f>IF(COUNTIF(I$2:I54,I54)=1,I54,"")</f>
        <v/>
      </c>
      <c r="L54" t="str">
        <f>+IF(K54="","",MAX(L$1:L53)+1)</f>
        <v/>
      </c>
      <c r="M54" t="str">
        <f t="shared" si="1"/>
        <v/>
      </c>
      <c r="R54" t="str">
        <f>IF(CMS_Identification!B76="","",CMS_Identification!B76)</f>
        <v/>
      </c>
      <c r="S54" t="str">
        <f>IF(CMS_Identification!F76="","",CMS_Identification!F76)</f>
        <v/>
      </c>
      <c r="T54" s="106" t="str">
        <f>IF(CMS_Identification!D76="","",CMS_Identification!D76)</f>
        <v/>
      </c>
    </row>
    <row r="55" spans="2:20" x14ac:dyDescent="0.3">
      <c r="B55" s="14" t="s">
        <v>285</v>
      </c>
      <c r="E55" t="s">
        <v>95</v>
      </c>
      <c r="I55" t="str" cm="1">
        <f t="array" ref="I55">IF(SUMPRODUCT(--(LEN(CMS_Identification!F77:F576)&gt;0))&gt;0,IF(CMS_Identification!F77="","",CMS_Identification!F77),"Add CMS to the CMS_Identification tab")</f>
        <v>Add CMS to the CMS_Identification tab</v>
      </c>
      <c r="J55" t="str">
        <f>IF(CMS_Identification!B77="","",CMS_Identification!B77)</f>
        <v/>
      </c>
      <c r="K55" t="str">
        <f>IF(COUNTIF(I$2:I55,I55)=1,I55,"")</f>
        <v/>
      </c>
      <c r="L55" t="str">
        <f>+IF(K55="","",MAX(L$1:L54)+1)</f>
        <v/>
      </c>
      <c r="M55" t="str">
        <f t="shared" si="1"/>
        <v/>
      </c>
      <c r="R55" t="str">
        <f>IF(CMS_Identification!B77="","",CMS_Identification!B77)</f>
        <v/>
      </c>
      <c r="S55" t="str">
        <f>IF(CMS_Identification!F77="","",CMS_Identification!F77)</f>
        <v/>
      </c>
      <c r="T55" s="106" t="str">
        <f>IF(CMS_Identification!D77="","",CMS_Identification!D77)</f>
        <v/>
      </c>
    </row>
    <row r="56" spans="2:20" x14ac:dyDescent="0.3">
      <c r="B56" t="s">
        <v>23</v>
      </c>
      <c r="E56" t="s">
        <v>96</v>
      </c>
      <c r="I56" t="str" cm="1">
        <f t="array" ref="I56">IF(SUMPRODUCT(--(LEN(CMS_Identification!F78:F577)&gt;0))&gt;0,IF(CMS_Identification!F78="","",CMS_Identification!F78),"Add CMS to the CMS_Identification tab")</f>
        <v>Add CMS to the CMS_Identification tab</v>
      </c>
      <c r="J56" t="str">
        <f>IF(CMS_Identification!B78="","",CMS_Identification!B78)</f>
        <v/>
      </c>
      <c r="K56" t="str">
        <f>IF(COUNTIF(I$2:I56,I56)=1,I56,"")</f>
        <v/>
      </c>
      <c r="L56" t="str">
        <f>+IF(K56="","",MAX(L$1:L55)+1)</f>
        <v/>
      </c>
      <c r="M56" t="str">
        <f t="shared" si="1"/>
        <v/>
      </c>
      <c r="R56" t="str">
        <f>IF(CMS_Identification!B78="","",CMS_Identification!B78)</f>
        <v/>
      </c>
      <c r="S56" t="str">
        <f>IF(CMS_Identification!F78="","",CMS_Identification!F78)</f>
        <v/>
      </c>
      <c r="T56" s="106" t="str">
        <f>IF(CMS_Identification!D78="","",CMS_Identification!D78)</f>
        <v/>
      </c>
    </row>
    <row r="57" spans="2:20" x14ac:dyDescent="0.3">
      <c r="B57" t="s">
        <v>24</v>
      </c>
      <c r="E57" t="s">
        <v>97</v>
      </c>
      <c r="I57" t="str" cm="1">
        <f t="array" ref="I57">IF(SUMPRODUCT(--(LEN(CMS_Identification!F79:F578)&gt;0))&gt;0,IF(CMS_Identification!F79="","",CMS_Identification!F79),"Add CMS to the CMS_Identification tab")</f>
        <v>Add CMS to the CMS_Identification tab</v>
      </c>
      <c r="J57" t="str">
        <f>IF(CMS_Identification!B79="","",CMS_Identification!B79)</f>
        <v/>
      </c>
      <c r="K57" t="str">
        <f>IF(COUNTIF(I$2:I57,I57)=1,I57,"")</f>
        <v/>
      </c>
      <c r="L57" t="str">
        <f>+IF(K57="","",MAX(L$1:L56)+1)</f>
        <v/>
      </c>
      <c r="M57" t="str">
        <f t="shared" si="1"/>
        <v/>
      </c>
      <c r="R57" t="str">
        <f>IF(CMS_Identification!B79="","",CMS_Identification!B79)</f>
        <v/>
      </c>
      <c r="S57" t="str">
        <f>IF(CMS_Identification!F79="","",CMS_Identification!F79)</f>
        <v/>
      </c>
      <c r="T57" s="106" t="str">
        <f>IF(CMS_Identification!D79="","",CMS_Identification!D79)</f>
        <v/>
      </c>
    </row>
    <row r="58" spans="2:20" x14ac:dyDescent="0.3">
      <c r="B58" t="s">
        <v>25</v>
      </c>
      <c r="I58" t="str" cm="1">
        <f t="array" ref="I58">IF(SUMPRODUCT(--(LEN(CMS_Identification!F80:F579)&gt;0))&gt;0,IF(CMS_Identification!F80="","",CMS_Identification!F80),"Add CMS to the CMS_Identification tab")</f>
        <v>Add CMS to the CMS_Identification tab</v>
      </c>
      <c r="J58" t="str">
        <f>IF(CMS_Identification!B80="","",CMS_Identification!B80)</f>
        <v/>
      </c>
      <c r="K58" t="str">
        <f>IF(COUNTIF(I$2:I58,I58)=1,I58,"")</f>
        <v/>
      </c>
      <c r="L58" t="str">
        <f>+IF(K58="","",MAX(L$1:L57)+1)</f>
        <v/>
      </c>
      <c r="M58" t="str">
        <f t="shared" si="1"/>
        <v/>
      </c>
      <c r="R58" t="str">
        <f>IF(CMS_Identification!B80="","",CMS_Identification!B80)</f>
        <v/>
      </c>
      <c r="S58" t="str">
        <f>IF(CMS_Identification!F80="","",CMS_Identification!F80)</f>
        <v/>
      </c>
      <c r="T58" s="106" t="str">
        <f>IF(CMS_Identification!D80="","",CMS_Identification!D80)</f>
        <v/>
      </c>
    </row>
    <row r="59" spans="2:20" x14ac:dyDescent="0.3">
      <c r="I59" t="str" cm="1">
        <f t="array" ref="I59">IF(SUMPRODUCT(--(LEN(CMS_Identification!F81:F580)&gt;0))&gt;0,IF(CMS_Identification!F81="","",CMS_Identification!F81),"Add CMS to the CMS_Identification tab")</f>
        <v>Add CMS to the CMS_Identification tab</v>
      </c>
      <c r="J59" t="str">
        <f>IF(CMS_Identification!B81="","",CMS_Identification!B81)</f>
        <v/>
      </c>
      <c r="K59" t="str">
        <f>IF(COUNTIF(I$2:I59,I59)=1,I59,"")</f>
        <v/>
      </c>
      <c r="L59" t="str">
        <f>+IF(K59="","",MAX(L$1:L58)+1)</f>
        <v/>
      </c>
      <c r="M59" t="str">
        <f t="shared" si="1"/>
        <v/>
      </c>
      <c r="R59" t="str">
        <f>IF(CMS_Identification!B81="","",CMS_Identification!B81)</f>
        <v/>
      </c>
      <c r="S59" t="str">
        <f>IF(CMS_Identification!F81="","",CMS_Identification!F81)</f>
        <v/>
      </c>
      <c r="T59" s="106" t="str">
        <f>IF(CMS_Identification!D81="","",CMS_Identification!D81)</f>
        <v/>
      </c>
    </row>
    <row r="60" spans="2:20" x14ac:dyDescent="0.3">
      <c r="I60" t="str" cm="1">
        <f t="array" ref="I60">IF(SUMPRODUCT(--(LEN(CMS_Identification!F82:F581)&gt;0))&gt;0,IF(CMS_Identification!F82="","",CMS_Identification!F82),"Add CMS to the CMS_Identification tab")</f>
        <v>Add CMS to the CMS_Identification tab</v>
      </c>
      <c r="J60" t="str">
        <f>IF(CMS_Identification!B82="","",CMS_Identification!B82)</f>
        <v/>
      </c>
      <c r="K60" t="str">
        <f>IF(COUNTIF(I$2:I60,I60)=1,I60,"")</f>
        <v/>
      </c>
      <c r="L60" t="str">
        <f>+IF(K60="","",MAX(L$1:L59)+1)</f>
        <v/>
      </c>
      <c r="M60" t="str">
        <f t="shared" si="1"/>
        <v/>
      </c>
      <c r="R60" t="str">
        <f>IF(CMS_Identification!B82="","",CMS_Identification!B82)</f>
        <v/>
      </c>
      <c r="S60" t="str">
        <f>IF(CMS_Identification!F82="","",CMS_Identification!F82)</f>
        <v/>
      </c>
      <c r="T60" s="106" t="str">
        <f>IF(CMS_Identification!D82="","",CMS_Identification!D82)</f>
        <v/>
      </c>
    </row>
    <row r="61" spans="2:20" x14ac:dyDescent="0.3">
      <c r="I61" t="str" cm="1">
        <f t="array" ref="I61">IF(SUMPRODUCT(--(LEN(CMS_Identification!F83:F582)&gt;0))&gt;0,IF(CMS_Identification!F83="","",CMS_Identification!F83),"Add CMS to the CMS_Identification tab")</f>
        <v>Add CMS to the CMS_Identification tab</v>
      </c>
      <c r="J61" t="str">
        <f>IF(CMS_Identification!B83="","",CMS_Identification!B83)</f>
        <v/>
      </c>
      <c r="K61" t="str">
        <f>IF(COUNTIF(I$2:I61,I61)=1,I61,"")</f>
        <v/>
      </c>
      <c r="L61" t="str">
        <f>+IF(K61="","",MAX(L$1:L60)+1)</f>
        <v/>
      </c>
      <c r="M61" t="str">
        <f t="shared" si="1"/>
        <v/>
      </c>
      <c r="R61" t="str">
        <f>IF(CMS_Identification!B83="","",CMS_Identification!B83)</f>
        <v/>
      </c>
      <c r="S61" t="str">
        <f>IF(CMS_Identification!F83="","",CMS_Identification!F83)</f>
        <v/>
      </c>
      <c r="T61" s="106" t="str">
        <f>IF(CMS_Identification!D83="","",CMS_Identification!D83)</f>
        <v/>
      </c>
    </row>
    <row r="62" spans="2:20" x14ac:dyDescent="0.3">
      <c r="I62" t="str" cm="1">
        <f t="array" ref="I62">IF(SUMPRODUCT(--(LEN(CMS_Identification!F84:F583)&gt;0))&gt;0,IF(CMS_Identification!F84="","",CMS_Identification!F84),"Add CMS to the CMS_Identification tab")</f>
        <v>Add CMS to the CMS_Identification tab</v>
      </c>
      <c r="J62" t="str">
        <f>IF(CMS_Identification!B84="","",CMS_Identification!B84)</f>
        <v/>
      </c>
      <c r="K62" t="str">
        <f>IF(COUNTIF(I$2:I62,I62)=1,I62,"")</f>
        <v/>
      </c>
      <c r="L62" t="str">
        <f>+IF(K62="","",MAX(L$1:L61)+1)</f>
        <v/>
      </c>
      <c r="M62" t="str">
        <f t="shared" si="1"/>
        <v/>
      </c>
      <c r="R62" t="str">
        <f>IF(CMS_Identification!B84="","",CMS_Identification!B84)</f>
        <v/>
      </c>
      <c r="S62" t="str">
        <f>IF(CMS_Identification!F84="","",CMS_Identification!F84)</f>
        <v/>
      </c>
      <c r="T62" s="106" t="str">
        <f>IF(CMS_Identification!D84="","",CMS_Identification!D84)</f>
        <v/>
      </c>
    </row>
    <row r="63" spans="2:20" x14ac:dyDescent="0.3">
      <c r="I63" t="str" cm="1">
        <f t="array" ref="I63">IF(SUMPRODUCT(--(LEN(CMS_Identification!F85:F584)&gt;0))&gt;0,IF(CMS_Identification!F85="","",CMS_Identification!F85),"Add CMS to the CMS_Identification tab")</f>
        <v>Add CMS to the CMS_Identification tab</v>
      </c>
      <c r="J63" t="str">
        <f>IF(CMS_Identification!B85="","",CMS_Identification!B85)</f>
        <v/>
      </c>
      <c r="K63" t="str">
        <f>IF(COUNTIF(I$2:I63,I63)=1,I63,"")</f>
        <v/>
      </c>
      <c r="L63" t="str">
        <f>+IF(K63="","",MAX(L$1:L62)+1)</f>
        <v/>
      </c>
      <c r="M63" t="str">
        <f t="shared" si="1"/>
        <v/>
      </c>
      <c r="R63" t="str">
        <f>IF(CMS_Identification!B85="","",CMS_Identification!B85)</f>
        <v/>
      </c>
      <c r="S63" t="str">
        <f>IF(CMS_Identification!F85="","",CMS_Identification!F85)</f>
        <v/>
      </c>
      <c r="T63" s="106" t="str">
        <f>IF(CMS_Identification!D85="","",CMS_Identification!D85)</f>
        <v/>
      </c>
    </row>
    <row r="64" spans="2:20" x14ac:dyDescent="0.3">
      <c r="I64" t="str" cm="1">
        <f t="array" ref="I64">IF(SUMPRODUCT(--(LEN(CMS_Identification!F86:F585)&gt;0))&gt;0,IF(CMS_Identification!F86="","",CMS_Identification!F86),"Add CMS to the CMS_Identification tab")</f>
        <v>Add CMS to the CMS_Identification tab</v>
      </c>
      <c r="J64" t="str">
        <f>IF(CMS_Identification!B86="","",CMS_Identification!B86)</f>
        <v/>
      </c>
      <c r="K64" t="str">
        <f>IF(COUNTIF(I$2:I64,I64)=1,I64,"")</f>
        <v/>
      </c>
      <c r="L64" t="str">
        <f>+IF(K64="","",MAX(L$1:L63)+1)</f>
        <v/>
      </c>
      <c r="M64" t="str">
        <f t="shared" si="1"/>
        <v/>
      </c>
      <c r="R64" t="str">
        <f>IF(CMS_Identification!B86="","",CMS_Identification!B86)</f>
        <v/>
      </c>
      <c r="S64" t="str">
        <f>IF(CMS_Identification!F86="","",CMS_Identification!F86)</f>
        <v/>
      </c>
      <c r="T64" s="106" t="str">
        <f>IF(CMS_Identification!D86="","",CMS_Identification!D86)</f>
        <v/>
      </c>
    </row>
    <row r="65" spans="9:20" x14ac:dyDescent="0.3">
      <c r="I65" t="str" cm="1">
        <f t="array" ref="I65">IF(SUMPRODUCT(--(LEN(CMS_Identification!F87:F586)&gt;0))&gt;0,IF(CMS_Identification!F87="","",CMS_Identification!F87),"Add CMS to the CMS_Identification tab")</f>
        <v>Add CMS to the CMS_Identification tab</v>
      </c>
      <c r="J65" t="str">
        <f>IF(CMS_Identification!B87="","",CMS_Identification!B87)</f>
        <v/>
      </c>
      <c r="K65" t="str">
        <f>IF(COUNTIF(I$2:I65,I65)=1,I65,"")</f>
        <v/>
      </c>
      <c r="L65" t="str">
        <f>+IF(K65="","",MAX(L$1:L64)+1)</f>
        <v/>
      </c>
      <c r="M65" t="str">
        <f t="shared" si="1"/>
        <v/>
      </c>
      <c r="R65" t="str">
        <f>IF(CMS_Identification!B87="","",CMS_Identification!B87)</f>
        <v/>
      </c>
      <c r="S65" t="str">
        <f>IF(CMS_Identification!F87="","",CMS_Identification!F87)</f>
        <v/>
      </c>
      <c r="T65" s="106" t="str">
        <f>IF(CMS_Identification!D87="","",CMS_Identification!D87)</f>
        <v/>
      </c>
    </row>
    <row r="66" spans="9:20" x14ac:dyDescent="0.3">
      <c r="I66" t="str" cm="1">
        <f t="array" ref="I66">IF(SUMPRODUCT(--(LEN(CMS_Identification!F88:F587)&gt;0))&gt;0,IF(CMS_Identification!F88="","",CMS_Identification!F88),"Add CMS to the CMS_Identification tab")</f>
        <v>Add CMS to the CMS_Identification tab</v>
      </c>
      <c r="J66" t="str">
        <f>IF(CMS_Identification!B88="","",CMS_Identification!B88)</f>
        <v/>
      </c>
      <c r="K66" t="str">
        <f>IF(COUNTIF(I$2:I66,I66)=1,I66,"")</f>
        <v/>
      </c>
      <c r="L66" t="str">
        <f>+IF(K66="","",MAX(L$1:L65)+1)</f>
        <v/>
      </c>
      <c r="M66" t="str">
        <f t="shared" ref="M66:M129" si="2">+IFERROR(INDEX($I$2:$I$501,MATCH(ROW()-ROW($L$1),$L$2:$L$501,0)),"")</f>
        <v/>
      </c>
      <c r="R66" t="str">
        <f>IF(CMS_Identification!B88="","",CMS_Identification!B88)</f>
        <v/>
      </c>
      <c r="S66" t="str">
        <f>IF(CMS_Identification!F88="","",CMS_Identification!F88)</f>
        <v/>
      </c>
      <c r="T66" s="106" t="str">
        <f>IF(CMS_Identification!D88="","",CMS_Identification!D88)</f>
        <v/>
      </c>
    </row>
    <row r="67" spans="9:20" x14ac:dyDescent="0.3">
      <c r="I67" t="str" cm="1">
        <f t="array" ref="I67">IF(SUMPRODUCT(--(LEN(CMS_Identification!F89:F588)&gt;0))&gt;0,IF(CMS_Identification!F89="","",CMS_Identification!F89),"Add CMS to the CMS_Identification tab")</f>
        <v>Add CMS to the CMS_Identification tab</v>
      </c>
      <c r="J67" t="str">
        <f>IF(CMS_Identification!B89="","",CMS_Identification!B89)</f>
        <v/>
      </c>
      <c r="K67" t="str">
        <f>IF(COUNTIF(I$2:I67,I67)=1,I67,"")</f>
        <v/>
      </c>
      <c r="L67" t="str">
        <f>+IF(K67="","",MAX(L$1:L66)+1)</f>
        <v/>
      </c>
      <c r="M67" t="str">
        <f t="shared" si="2"/>
        <v/>
      </c>
      <c r="R67" t="str">
        <f>IF(CMS_Identification!B89="","",CMS_Identification!B89)</f>
        <v/>
      </c>
      <c r="S67" t="str">
        <f>IF(CMS_Identification!F89="","",CMS_Identification!F89)</f>
        <v/>
      </c>
      <c r="T67" s="106" t="str">
        <f>IF(CMS_Identification!D89="","",CMS_Identification!D89)</f>
        <v/>
      </c>
    </row>
    <row r="68" spans="9:20" x14ac:dyDescent="0.3">
      <c r="I68" t="str" cm="1">
        <f t="array" ref="I68">IF(SUMPRODUCT(--(LEN(CMS_Identification!F90:F589)&gt;0))&gt;0,IF(CMS_Identification!F90="","",CMS_Identification!F90),"Add CMS to the CMS_Identification tab")</f>
        <v>Add CMS to the CMS_Identification tab</v>
      </c>
      <c r="J68" t="str">
        <f>IF(CMS_Identification!B90="","",CMS_Identification!B90)</f>
        <v/>
      </c>
      <c r="K68" t="str">
        <f>IF(COUNTIF(I$2:I68,I68)=1,I68,"")</f>
        <v/>
      </c>
      <c r="L68" t="str">
        <f>+IF(K68="","",MAX(L$1:L67)+1)</f>
        <v/>
      </c>
      <c r="M68" t="str">
        <f t="shared" si="2"/>
        <v/>
      </c>
      <c r="R68" t="str">
        <f>IF(CMS_Identification!B90="","",CMS_Identification!B90)</f>
        <v/>
      </c>
      <c r="S68" t="str">
        <f>IF(CMS_Identification!F90="","",CMS_Identification!F90)</f>
        <v/>
      </c>
      <c r="T68" s="106" t="str">
        <f>IF(CMS_Identification!D90="","",CMS_Identification!D90)</f>
        <v/>
      </c>
    </row>
    <row r="69" spans="9:20" x14ac:dyDescent="0.3">
      <c r="I69" t="str" cm="1">
        <f t="array" ref="I69">IF(SUMPRODUCT(--(LEN(CMS_Identification!F91:F590)&gt;0))&gt;0,IF(CMS_Identification!F91="","",CMS_Identification!F91),"Add CMS to the CMS_Identification tab")</f>
        <v>Add CMS to the CMS_Identification tab</v>
      </c>
      <c r="J69" t="str">
        <f>IF(CMS_Identification!B91="","",CMS_Identification!B91)</f>
        <v/>
      </c>
      <c r="K69" t="str">
        <f>IF(COUNTIF(I$2:I69,I69)=1,I69,"")</f>
        <v/>
      </c>
      <c r="L69" t="str">
        <f>+IF(K69="","",MAX(L$1:L68)+1)</f>
        <v/>
      </c>
      <c r="M69" t="str">
        <f t="shared" si="2"/>
        <v/>
      </c>
      <c r="R69" t="str">
        <f>IF(CMS_Identification!B91="","",CMS_Identification!B91)</f>
        <v/>
      </c>
      <c r="S69" t="str">
        <f>IF(CMS_Identification!F91="","",CMS_Identification!F91)</f>
        <v/>
      </c>
      <c r="T69" s="106" t="str">
        <f>IF(CMS_Identification!D91="","",CMS_Identification!D91)</f>
        <v/>
      </c>
    </row>
    <row r="70" spans="9:20" x14ac:dyDescent="0.3">
      <c r="I70" t="str" cm="1">
        <f t="array" ref="I70">IF(SUMPRODUCT(--(LEN(CMS_Identification!F92:F591)&gt;0))&gt;0,IF(CMS_Identification!F92="","",CMS_Identification!F92),"Add CMS to the CMS_Identification tab")</f>
        <v>Add CMS to the CMS_Identification tab</v>
      </c>
      <c r="J70" t="str">
        <f>IF(CMS_Identification!B92="","",CMS_Identification!B92)</f>
        <v/>
      </c>
      <c r="K70" t="str">
        <f>IF(COUNTIF(I$2:I70,I70)=1,I70,"")</f>
        <v/>
      </c>
      <c r="L70" t="str">
        <f>+IF(K70="","",MAX(L$1:L69)+1)</f>
        <v/>
      </c>
      <c r="M70" t="str">
        <f t="shared" si="2"/>
        <v/>
      </c>
      <c r="R70" t="str">
        <f>IF(CMS_Identification!B92="","",CMS_Identification!B92)</f>
        <v/>
      </c>
      <c r="S70" t="str">
        <f>IF(CMS_Identification!F92="","",CMS_Identification!F92)</f>
        <v/>
      </c>
      <c r="T70" s="106" t="str">
        <f>IF(CMS_Identification!D92="","",CMS_Identification!D92)</f>
        <v/>
      </c>
    </row>
    <row r="71" spans="9:20" x14ac:dyDescent="0.3">
      <c r="I71" t="str" cm="1">
        <f t="array" ref="I71">IF(SUMPRODUCT(--(LEN(CMS_Identification!F93:F592)&gt;0))&gt;0,IF(CMS_Identification!F93="","",CMS_Identification!F93),"Add CMS to the CMS_Identification tab")</f>
        <v>Add CMS to the CMS_Identification tab</v>
      </c>
      <c r="J71" t="str">
        <f>IF(CMS_Identification!B93="","",CMS_Identification!B93)</f>
        <v/>
      </c>
      <c r="K71" t="str">
        <f>IF(COUNTIF(I$2:I71,I71)=1,I71,"")</f>
        <v/>
      </c>
      <c r="L71" t="str">
        <f>+IF(K71="","",MAX(L$1:L70)+1)</f>
        <v/>
      </c>
      <c r="M71" t="str">
        <f t="shared" si="2"/>
        <v/>
      </c>
      <c r="R71" t="str">
        <f>IF(CMS_Identification!B93="","",CMS_Identification!B93)</f>
        <v/>
      </c>
      <c r="S71" t="str">
        <f>IF(CMS_Identification!F93="","",CMS_Identification!F93)</f>
        <v/>
      </c>
      <c r="T71" s="106" t="str">
        <f>IF(CMS_Identification!D93="","",CMS_Identification!D93)</f>
        <v/>
      </c>
    </row>
    <row r="72" spans="9:20" x14ac:dyDescent="0.3">
      <c r="I72" t="str" cm="1">
        <f t="array" ref="I72">IF(SUMPRODUCT(--(LEN(CMS_Identification!F94:F593)&gt;0))&gt;0,IF(CMS_Identification!F94="","",CMS_Identification!F94),"Add CMS to the CMS_Identification tab")</f>
        <v>Add CMS to the CMS_Identification tab</v>
      </c>
      <c r="J72" t="str">
        <f>IF(CMS_Identification!B94="","",CMS_Identification!B94)</f>
        <v/>
      </c>
      <c r="K72" t="str">
        <f>IF(COUNTIF(I$2:I72,I72)=1,I72,"")</f>
        <v/>
      </c>
      <c r="L72" t="str">
        <f>+IF(K72="","",MAX(L$1:L71)+1)</f>
        <v/>
      </c>
      <c r="M72" t="str">
        <f t="shared" si="2"/>
        <v/>
      </c>
      <c r="R72" t="str">
        <f>IF(CMS_Identification!B94="","",CMS_Identification!B94)</f>
        <v/>
      </c>
      <c r="S72" t="str">
        <f>IF(CMS_Identification!F94="","",CMS_Identification!F94)</f>
        <v/>
      </c>
      <c r="T72" s="106" t="str">
        <f>IF(CMS_Identification!D94="","",CMS_Identification!D94)</f>
        <v/>
      </c>
    </row>
    <row r="73" spans="9:20" x14ac:dyDescent="0.3">
      <c r="I73" t="str" cm="1">
        <f t="array" ref="I73">IF(SUMPRODUCT(--(LEN(CMS_Identification!F95:F594)&gt;0))&gt;0,IF(CMS_Identification!F95="","",CMS_Identification!F95),"Add CMS to the CMS_Identification tab")</f>
        <v>Add CMS to the CMS_Identification tab</v>
      </c>
      <c r="J73" t="str">
        <f>IF(CMS_Identification!B95="","",CMS_Identification!B95)</f>
        <v/>
      </c>
      <c r="K73" t="str">
        <f>IF(COUNTIF(I$2:I73,I73)=1,I73,"")</f>
        <v/>
      </c>
      <c r="L73" t="str">
        <f>+IF(K73="","",MAX(L$1:L72)+1)</f>
        <v/>
      </c>
      <c r="M73" t="str">
        <f t="shared" si="2"/>
        <v/>
      </c>
      <c r="R73" t="str">
        <f>IF(CMS_Identification!B95="","",CMS_Identification!B95)</f>
        <v/>
      </c>
      <c r="S73" t="str">
        <f>IF(CMS_Identification!F95="","",CMS_Identification!F95)</f>
        <v/>
      </c>
      <c r="T73" s="106" t="str">
        <f>IF(CMS_Identification!D95="","",CMS_Identification!D95)</f>
        <v/>
      </c>
    </row>
    <row r="74" spans="9:20" x14ac:dyDescent="0.3">
      <c r="I74" t="str" cm="1">
        <f t="array" ref="I74">IF(SUMPRODUCT(--(LEN(CMS_Identification!F96:F595)&gt;0))&gt;0,IF(CMS_Identification!F96="","",CMS_Identification!F96),"Add CMS to the CMS_Identification tab")</f>
        <v>Add CMS to the CMS_Identification tab</v>
      </c>
      <c r="J74" t="str">
        <f>IF(CMS_Identification!B96="","",CMS_Identification!B96)</f>
        <v/>
      </c>
      <c r="K74" t="str">
        <f>IF(COUNTIF(I$2:I74,I74)=1,I74,"")</f>
        <v/>
      </c>
      <c r="L74" t="str">
        <f>+IF(K74="","",MAX(L$1:L73)+1)</f>
        <v/>
      </c>
      <c r="M74" t="str">
        <f t="shared" si="2"/>
        <v/>
      </c>
      <c r="R74" t="str">
        <f>IF(CMS_Identification!B96="","",CMS_Identification!B96)</f>
        <v/>
      </c>
      <c r="S74" t="str">
        <f>IF(CMS_Identification!F96="","",CMS_Identification!F96)</f>
        <v/>
      </c>
      <c r="T74" s="106" t="str">
        <f>IF(CMS_Identification!D96="","",CMS_Identification!D96)</f>
        <v/>
      </c>
    </row>
    <row r="75" spans="9:20" x14ac:dyDescent="0.3">
      <c r="I75" t="str" cm="1">
        <f t="array" ref="I75">IF(SUMPRODUCT(--(LEN(CMS_Identification!F97:F596)&gt;0))&gt;0,IF(CMS_Identification!F97="","",CMS_Identification!F97),"Add CMS to the CMS_Identification tab")</f>
        <v>Add CMS to the CMS_Identification tab</v>
      </c>
      <c r="J75" t="str">
        <f>IF(CMS_Identification!B97="","",CMS_Identification!B97)</f>
        <v/>
      </c>
      <c r="K75" t="str">
        <f>IF(COUNTIF(I$2:I75,I75)=1,I75,"")</f>
        <v/>
      </c>
      <c r="L75" t="str">
        <f>+IF(K75="","",MAX(L$1:L74)+1)</f>
        <v/>
      </c>
      <c r="M75" t="str">
        <f t="shared" si="2"/>
        <v/>
      </c>
      <c r="R75" t="str">
        <f>IF(CMS_Identification!B97="","",CMS_Identification!B97)</f>
        <v/>
      </c>
      <c r="S75" t="str">
        <f>IF(CMS_Identification!F97="","",CMS_Identification!F97)</f>
        <v/>
      </c>
      <c r="T75" s="106" t="str">
        <f>IF(CMS_Identification!D97="","",CMS_Identification!D97)</f>
        <v/>
      </c>
    </row>
    <row r="76" spans="9:20" x14ac:dyDescent="0.3">
      <c r="I76" t="str" cm="1">
        <f t="array" ref="I76">IF(SUMPRODUCT(--(LEN(CMS_Identification!F98:F597)&gt;0))&gt;0,IF(CMS_Identification!F98="","",CMS_Identification!F98),"Add CMS to the CMS_Identification tab")</f>
        <v>Add CMS to the CMS_Identification tab</v>
      </c>
      <c r="J76" t="str">
        <f>IF(CMS_Identification!B98="","",CMS_Identification!B98)</f>
        <v/>
      </c>
      <c r="K76" t="str">
        <f>IF(COUNTIF(I$2:I76,I76)=1,I76,"")</f>
        <v/>
      </c>
      <c r="L76" t="str">
        <f>+IF(K76="","",MAX(L$1:L75)+1)</f>
        <v/>
      </c>
      <c r="M76" t="str">
        <f t="shared" si="2"/>
        <v/>
      </c>
      <c r="R76" t="str">
        <f>IF(CMS_Identification!B98="","",CMS_Identification!B98)</f>
        <v/>
      </c>
      <c r="S76" t="str">
        <f>IF(CMS_Identification!F98="","",CMS_Identification!F98)</f>
        <v/>
      </c>
      <c r="T76" s="106" t="str">
        <f>IF(CMS_Identification!D98="","",CMS_Identification!D98)</f>
        <v/>
      </c>
    </row>
    <row r="77" spans="9:20" x14ac:dyDescent="0.3">
      <c r="I77" t="str" cm="1">
        <f t="array" ref="I77">IF(SUMPRODUCT(--(LEN(CMS_Identification!F99:F598)&gt;0))&gt;0,IF(CMS_Identification!F99="","",CMS_Identification!F99),"Add CMS to the CMS_Identification tab")</f>
        <v>Add CMS to the CMS_Identification tab</v>
      </c>
      <c r="J77" t="str">
        <f>IF(CMS_Identification!B99="","",CMS_Identification!B99)</f>
        <v/>
      </c>
      <c r="K77" t="str">
        <f>IF(COUNTIF(I$2:I77,I77)=1,I77,"")</f>
        <v/>
      </c>
      <c r="L77" t="str">
        <f>+IF(K77="","",MAX(L$1:L76)+1)</f>
        <v/>
      </c>
      <c r="M77" t="str">
        <f t="shared" si="2"/>
        <v/>
      </c>
      <c r="R77" t="str">
        <f>IF(CMS_Identification!B99="","",CMS_Identification!B99)</f>
        <v/>
      </c>
      <c r="S77" t="str">
        <f>IF(CMS_Identification!F99="","",CMS_Identification!F99)</f>
        <v/>
      </c>
      <c r="T77" s="106" t="str">
        <f>IF(CMS_Identification!D99="","",CMS_Identification!D99)</f>
        <v/>
      </c>
    </row>
    <row r="78" spans="9:20" x14ac:dyDescent="0.3">
      <c r="I78" t="str" cm="1">
        <f t="array" ref="I78">IF(SUMPRODUCT(--(LEN(CMS_Identification!F100:F599)&gt;0))&gt;0,IF(CMS_Identification!F100="","",CMS_Identification!F100),"Add CMS to the CMS_Identification tab")</f>
        <v>Add CMS to the CMS_Identification tab</v>
      </c>
      <c r="J78" t="str">
        <f>IF(CMS_Identification!B100="","",CMS_Identification!B100)</f>
        <v/>
      </c>
      <c r="K78" t="str">
        <f>IF(COUNTIF(I$2:I78,I78)=1,I78,"")</f>
        <v/>
      </c>
      <c r="L78" t="str">
        <f>+IF(K78="","",MAX(L$1:L77)+1)</f>
        <v/>
      </c>
      <c r="M78" t="str">
        <f t="shared" si="2"/>
        <v/>
      </c>
      <c r="R78" t="str">
        <f>IF(CMS_Identification!B100="","",CMS_Identification!B100)</f>
        <v/>
      </c>
      <c r="S78" t="str">
        <f>IF(CMS_Identification!F100="","",CMS_Identification!F100)</f>
        <v/>
      </c>
      <c r="T78" s="106" t="str">
        <f>IF(CMS_Identification!D100="","",CMS_Identification!D100)</f>
        <v/>
      </c>
    </row>
    <row r="79" spans="9:20" x14ac:dyDescent="0.3">
      <c r="I79" t="str" cm="1">
        <f t="array" ref="I79">IF(SUMPRODUCT(--(LEN(CMS_Identification!F101:F600)&gt;0))&gt;0,IF(CMS_Identification!F101="","",CMS_Identification!F101),"Add CMS to the CMS_Identification tab")</f>
        <v>Add CMS to the CMS_Identification tab</v>
      </c>
      <c r="J79" t="str">
        <f>IF(CMS_Identification!B101="","",CMS_Identification!B101)</f>
        <v/>
      </c>
      <c r="K79" t="str">
        <f>IF(COUNTIF(I$2:I79,I79)=1,I79,"")</f>
        <v/>
      </c>
      <c r="L79" t="str">
        <f>+IF(K79="","",MAX(L$1:L78)+1)</f>
        <v/>
      </c>
      <c r="M79" t="str">
        <f t="shared" si="2"/>
        <v/>
      </c>
      <c r="R79" t="str">
        <f>IF(CMS_Identification!B101="","",CMS_Identification!B101)</f>
        <v/>
      </c>
      <c r="S79" t="str">
        <f>IF(CMS_Identification!F101="","",CMS_Identification!F101)</f>
        <v/>
      </c>
      <c r="T79" s="106" t="str">
        <f>IF(CMS_Identification!D101="","",CMS_Identification!D101)</f>
        <v/>
      </c>
    </row>
    <row r="80" spans="9:20" x14ac:dyDescent="0.3">
      <c r="I80" t="str" cm="1">
        <f t="array" ref="I80">IF(SUMPRODUCT(--(LEN(CMS_Identification!F102:F601)&gt;0))&gt;0,IF(CMS_Identification!F102="","",CMS_Identification!F102),"Add CMS to the CMS_Identification tab")</f>
        <v>Add CMS to the CMS_Identification tab</v>
      </c>
      <c r="J80" t="str">
        <f>IF(CMS_Identification!B102="","",CMS_Identification!B102)</f>
        <v/>
      </c>
      <c r="K80" t="str">
        <f>IF(COUNTIF(I$2:I80,I80)=1,I80,"")</f>
        <v/>
      </c>
      <c r="L80" t="str">
        <f>+IF(K80="","",MAX(L$1:L79)+1)</f>
        <v/>
      </c>
      <c r="M80" t="str">
        <f t="shared" si="2"/>
        <v/>
      </c>
      <c r="R80" t="str">
        <f>IF(CMS_Identification!B102="","",CMS_Identification!B102)</f>
        <v/>
      </c>
      <c r="S80" t="str">
        <f>IF(CMS_Identification!F102="","",CMS_Identification!F102)</f>
        <v/>
      </c>
      <c r="T80" s="106" t="str">
        <f>IF(CMS_Identification!D102="","",CMS_Identification!D102)</f>
        <v/>
      </c>
    </row>
    <row r="81" spans="9:20" x14ac:dyDescent="0.3">
      <c r="I81" t="str" cm="1">
        <f t="array" ref="I81">IF(SUMPRODUCT(--(LEN(CMS_Identification!F103:F602)&gt;0))&gt;0,IF(CMS_Identification!F103="","",CMS_Identification!F103),"Add CMS to the CMS_Identification tab")</f>
        <v>Add CMS to the CMS_Identification tab</v>
      </c>
      <c r="J81" t="str">
        <f>IF(CMS_Identification!B103="","",CMS_Identification!B103)</f>
        <v/>
      </c>
      <c r="K81" t="str">
        <f>IF(COUNTIF(I$2:I81,I81)=1,I81,"")</f>
        <v/>
      </c>
      <c r="L81" t="str">
        <f>+IF(K81="","",MAX(L$1:L80)+1)</f>
        <v/>
      </c>
      <c r="M81" t="str">
        <f t="shared" si="2"/>
        <v/>
      </c>
      <c r="R81" t="str">
        <f>IF(CMS_Identification!B103="","",CMS_Identification!B103)</f>
        <v/>
      </c>
      <c r="S81" t="str">
        <f>IF(CMS_Identification!F103="","",CMS_Identification!F103)</f>
        <v/>
      </c>
      <c r="T81" s="106" t="str">
        <f>IF(CMS_Identification!D103="","",CMS_Identification!D103)</f>
        <v/>
      </c>
    </row>
    <row r="82" spans="9:20" x14ac:dyDescent="0.3">
      <c r="I82" t="str" cm="1">
        <f t="array" ref="I82">IF(SUMPRODUCT(--(LEN(CMS_Identification!F104:F603)&gt;0))&gt;0,IF(CMS_Identification!F104="","",CMS_Identification!F104),"Add CMS to the CMS_Identification tab")</f>
        <v>Add CMS to the CMS_Identification tab</v>
      </c>
      <c r="J82" t="str">
        <f>IF(CMS_Identification!B104="","",CMS_Identification!B104)</f>
        <v/>
      </c>
      <c r="K82" t="str">
        <f>IF(COUNTIF(I$2:I82,I82)=1,I82,"")</f>
        <v/>
      </c>
      <c r="L82" t="str">
        <f>+IF(K82="","",MAX(L$1:L81)+1)</f>
        <v/>
      </c>
      <c r="M82" t="str">
        <f t="shared" si="2"/>
        <v/>
      </c>
      <c r="R82" t="str">
        <f>IF(CMS_Identification!B104="","",CMS_Identification!B104)</f>
        <v/>
      </c>
      <c r="S82" t="str">
        <f>IF(CMS_Identification!F104="","",CMS_Identification!F104)</f>
        <v/>
      </c>
      <c r="T82" s="106" t="str">
        <f>IF(CMS_Identification!D104="","",CMS_Identification!D104)</f>
        <v/>
      </c>
    </row>
    <row r="83" spans="9:20" x14ac:dyDescent="0.3">
      <c r="I83" t="str" cm="1">
        <f t="array" ref="I83">IF(SUMPRODUCT(--(LEN(CMS_Identification!F105:F604)&gt;0))&gt;0,IF(CMS_Identification!F105="","",CMS_Identification!F105),"Add CMS to the CMS_Identification tab")</f>
        <v>Add CMS to the CMS_Identification tab</v>
      </c>
      <c r="J83" t="str">
        <f>IF(CMS_Identification!B105="","",CMS_Identification!B105)</f>
        <v/>
      </c>
      <c r="K83" t="str">
        <f>IF(COUNTIF(I$2:I83,I83)=1,I83,"")</f>
        <v/>
      </c>
      <c r="L83" t="str">
        <f>+IF(K83="","",MAX(L$1:L82)+1)</f>
        <v/>
      </c>
      <c r="M83" t="str">
        <f t="shared" si="2"/>
        <v/>
      </c>
      <c r="R83" t="str">
        <f>IF(CMS_Identification!B105="","",CMS_Identification!B105)</f>
        <v/>
      </c>
      <c r="S83" t="str">
        <f>IF(CMS_Identification!F105="","",CMS_Identification!F105)</f>
        <v/>
      </c>
      <c r="T83" s="106" t="str">
        <f>IF(CMS_Identification!D105="","",CMS_Identification!D105)</f>
        <v/>
      </c>
    </row>
    <row r="84" spans="9:20" x14ac:dyDescent="0.3">
      <c r="I84" t="str" cm="1">
        <f t="array" ref="I84">IF(SUMPRODUCT(--(LEN(CMS_Identification!F106:F605)&gt;0))&gt;0,IF(CMS_Identification!F106="","",CMS_Identification!F106),"Add CMS to the CMS_Identification tab")</f>
        <v>Add CMS to the CMS_Identification tab</v>
      </c>
      <c r="J84" t="str">
        <f>IF(CMS_Identification!B106="","",CMS_Identification!B106)</f>
        <v/>
      </c>
      <c r="K84" t="str">
        <f>IF(COUNTIF(I$2:I84,I84)=1,I84,"")</f>
        <v/>
      </c>
      <c r="L84" t="str">
        <f>+IF(K84="","",MAX(L$1:L83)+1)</f>
        <v/>
      </c>
      <c r="M84" t="str">
        <f t="shared" si="2"/>
        <v/>
      </c>
      <c r="R84" t="str">
        <f>IF(CMS_Identification!B106="","",CMS_Identification!B106)</f>
        <v/>
      </c>
      <c r="S84" t="str">
        <f>IF(CMS_Identification!F106="","",CMS_Identification!F106)</f>
        <v/>
      </c>
      <c r="T84" s="106" t="str">
        <f>IF(CMS_Identification!D106="","",CMS_Identification!D106)</f>
        <v/>
      </c>
    </row>
    <row r="85" spans="9:20" x14ac:dyDescent="0.3">
      <c r="I85" t="str" cm="1">
        <f t="array" ref="I85">IF(SUMPRODUCT(--(LEN(CMS_Identification!F107:F606)&gt;0))&gt;0,IF(CMS_Identification!F107="","",CMS_Identification!F107),"Add CMS to the CMS_Identification tab")</f>
        <v>Add CMS to the CMS_Identification tab</v>
      </c>
      <c r="J85" t="str">
        <f>IF(CMS_Identification!B107="","",CMS_Identification!B107)</f>
        <v/>
      </c>
      <c r="K85" t="str">
        <f>IF(COUNTIF(I$2:I85,I85)=1,I85,"")</f>
        <v/>
      </c>
      <c r="L85" t="str">
        <f>+IF(K85="","",MAX(L$1:L84)+1)</f>
        <v/>
      </c>
      <c r="M85" t="str">
        <f t="shared" si="2"/>
        <v/>
      </c>
      <c r="R85" t="str">
        <f>IF(CMS_Identification!B107="","",CMS_Identification!B107)</f>
        <v/>
      </c>
      <c r="S85" t="str">
        <f>IF(CMS_Identification!F107="","",CMS_Identification!F107)</f>
        <v/>
      </c>
      <c r="T85" s="106" t="str">
        <f>IF(CMS_Identification!D107="","",CMS_Identification!D107)</f>
        <v/>
      </c>
    </row>
    <row r="86" spans="9:20" x14ac:dyDescent="0.3">
      <c r="I86" t="str" cm="1">
        <f t="array" ref="I86">IF(SUMPRODUCT(--(LEN(CMS_Identification!F108:F607)&gt;0))&gt;0,IF(CMS_Identification!F108="","",CMS_Identification!F108),"Add CMS to the CMS_Identification tab")</f>
        <v>Add CMS to the CMS_Identification tab</v>
      </c>
      <c r="J86" t="str">
        <f>IF(CMS_Identification!B108="","",CMS_Identification!B108)</f>
        <v/>
      </c>
      <c r="K86" t="str">
        <f>IF(COUNTIF(I$2:I86,I86)=1,I86,"")</f>
        <v/>
      </c>
      <c r="L86" t="str">
        <f>+IF(K86="","",MAX(L$1:L85)+1)</f>
        <v/>
      </c>
      <c r="M86" t="str">
        <f t="shared" si="2"/>
        <v/>
      </c>
      <c r="R86" t="str">
        <f>IF(CMS_Identification!B108="","",CMS_Identification!B108)</f>
        <v/>
      </c>
      <c r="S86" t="str">
        <f>IF(CMS_Identification!F108="","",CMS_Identification!F108)</f>
        <v/>
      </c>
      <c r="T86" s="106" t="str">
        <f>IF(CMS_Identification!D108="","",CMS_Identification!D108)</f>
        <v/>
      </c>
    </row>
    <row r="87" spans="9:20" x14ac:dyDescent="0.3">
      <c r="I87" t="str" cm="1">
        <f t="array" ref="I87">IF(SUMPRODUCT(--(LEN(CMS_Identification!F109:F608)&gt;0))&gt;0,IF(CMS_Identification!F109="","",CMS_Identification!F109),"Add CMS to the CMS_Identification tab")</f>
        <v>Add CMS to the CMS_Identification tab</v>
      </c>
      <c r="J87" t="str">
        <f>IF(CMS_Identification!B109="","",CMS_Identification!B109)</f>
        <v/>
      </c>
      <c r="K87" t="str">
        <f>IF(COUNTIF(I$2:I87,I87)=1,I87,"")</f>
        <v/>
      </c>
      <c r="L87" t="str">
        <f>+IF(K87="","",MAX(L$1:L86)+1)</f>
        <v/>
      </c>
      <c r="M87" t="str">
        <f t="shared" si="2"/>
        <v/>
      </c>
      <c r="R87" t="str">
        <f>IF(CMS_Identification!B109="","",CMS_Identification!B109)</f>
        <v/>
      </c>
      <c r="S87" t="str">
        <f>IF(CMS_Identification!F109="","",CMS_Identification!F109)</f>
        <v/>
      </c>
      <c r="T87" s="106" t="str">
        <f>IF(CMS_Identification!D109="","",CMS_Identification!D109)</f>
        <v/>
      </c>
    </row>
    <row r="88" spans="9:20" x14ac:dyDescent="0.3">
      <c r="I88" t="str" cm="1">
        <f t="array" ref="I88">IF(SUMPRODUCT(--(LEN(CMS_Identification!F110:F609)&gt;0))&gt;0,IF(CMS_Identification!F110="","",CMS_Identification!F110),"Add CMS to the CMS_Identification tab")</f>
        <v>Add CMS to the CMS_Identification tab</v>
      </c>
      <c r="J88" t="str">
        <f>IF(CMS_Identification!B110="","",CMS_Identification!B110)</f>
        <v/>
      </c>
      <c r="K88" t="str">
        <f>IF(COUNTIF(I$2:I88,I88)=1,I88,"")</f>
        <v/>
      </c>
      <c r="L88" t="str">
        <f>+IF(K88="","",MAX(L$1:L87)+1)</f>
        <v/>
      </c>
      <c r="M88" t="str">
        <f t="shared" si="2"/>
        <v/>
      </c>
      <c r="R88" t="str">
        <f>IF(CMS_Identification!B110="","",CMS_Identification!B110)</f>
        <v/>
      </c>
      <c r="S88" t="str">
        <f>IF(CMS_Identification!F110="","",CMS_Identification!F110)</f>
        <v/>
      </c>
      <c r="T88" s="106" t="str">
        <f>IF(CMS_Identification!D110="","",CMS_Identification!D110)</f>
        <v/>
      </c>
    </row>
    <row r="89" spans="9:20" x14ac:dyDescent="0.3">
      <c r="I89" t="str" cm="1">
        <f t="array" ref="I89">IF(SUMPRODUCT(--(LEN(CMS_Identification!F111:F610)&gt;0))&gt;0,IF(CMS_Identification!F111="","",CMS_Identification!F111),"Add CMS to the CMS_Identification tab")</f>
        <v>Add CMS to the CMS_Identification tab</v>
      </c>
      <c r="J89" t="str">
        <f>IF(CMS_Identification!B111="","",CMS_Identification!B111)</f>
        <v/>
      </c>
      <c r="K89" t="str">
        <f>IF(COUNTIF(I$2:I89,I89)=1,I89,"")</f>
        <v/>
      </c>
      <c r="L89" t="str">
        <f>+IF(K89="","",MAX(L$1:L88)+1)</f>
        <v/>
      </c>
      <c r="M89" t="str">
        <f t="shared" si="2"/>
        <v/>
      </c>
      <c r="R89" t="str">
        <f>IF(CMS_Identification!B111="","",CMS_Identification!B111)</f>
        <v/>
      </c>
      <c r="S89" t="str">
        <f>IF(CMS_Identification!F111="","",CMS_Identification!F111)</f>
        <v/>
      </c>
      <c r="T89" s="106" t="str">
        <f>IF(CMS_Identification!D111="","",CMS_Identification!D111)</f>
        <v/>
      </c>
    </row>
    <row r="90" spans="9:20" x14ac:dyDescent="0.3">
      <c r="I90" t="str" cm="1">
        <f t="array" ref="I90">IF(SUMPRODUCT(--(LEN(CMS_Identification!F112:F611)&gt;0))&gt;0,IF(CMS_Identification!F112="","",CMS_Identification!F112),"Add CMS to the CMS_Identification tab")</f>
        <v>Add CMS to the CMS_Identification tab</v>
      </c>
      <c r="J90" t="str">
        <f>IF(CMS_Identification!B112="","",CMS_Identification!B112)</f>
        <v/>
      </c>
      <c r="K90" t="str">
        <f>IF(COUNTIF(I$2:I90,I90)=1,I90,"")</f>
        <v/>
      </c>
      <c r="L90" t="str">
        <f>+IF(K90="","",MAX(L$1:L89)+1)</f>
        <v/>
      </c>
      <c r="M90" t="str">
        <f t="shared" si="2"/>
        <v/>
      </c>
      <c r="R90" t="str">
        <f>IF(CMS_Identification!B112="","",CMS_Identification!B112)</f>
        <v/>
      </c>
      <c r="S90" t="str">
        <f>IF(CMS_Identification!F112="","",CMS_Identification!F112)</f>
        <v/>
      </c>
      <c r="T90" s="106" t="str">
        <f>IF(CMS_Identification!D112="","",CMS_Identification!D112)</f>
        <v/>
      </c>
    </row>
    <row r="91" spans="9:20" x14ac:dyDescent="0.3">
      <c r="I91" t="str" cm="1">
        <f t="array" ref="I91">IF(SUMPRODUCT(--(LEN(CMS_Identification!F113:F612)&gt;0))&gt;0,IF(CMS_Identification!F113="","",CMS_Identification!F113),"Add CMS to the CMS_Identification tab")</f>
        <v>Add CMS to the CMS_Identification tab</v>
      </c>
      <c r="J91" t="str">
        <f>IF(CMS_Identification!B113="","",CMS_Identification!B113)</f>
        <v/>
      </c>
      <c r="K91" t="str">
        <f>IF(COUNTIF(I$2:I91,I91)=1,I91,"")</f>
        <v/>
      </c>
      <c r="L91" t="str">
        <f>+IF(K91="","",MAX(L$1:L90)+1)</f>
        <v/>
      </c>
      <c r="M91" t="str">
        <f t="shared" si="2"/>
        <v/>
      </c>
      <c r="R91" t="str">
        <f>IF(CMS_Identification!B113="","",CMS_Identification!B113)</f>
        <v/>
      </c>
      <c r="S91" t="str">
        <f>IF(CMS_Identification!F113="","",CMS_Identification!F113)</f>
        <v/>
      </c>
      <c r="T91" s="106" t="str">
        <f>IF(CMS_Identification!D113="","",CMS_Identification!D113)</f>
        <v/>
      </c>
    </row>
    <row r="92" spans="9:20" x14ac:dyDescent="0.3">
      <c r="I92" t="str" cm="1">
        <f t="array" ref="I92">IF(SUMPRODUCT(--(LEN(CMS_Identification!F114:F613)&gt;0))&gt;0,IF(CMS_Identification!F114="","",CMS_Identification!F114),"Add CMS to the CMS_Identification tab")</f>
        <v>Add CMS to the CMS_Identification tab</v>
      </c>
      <c r="J92" t="str">
        <f>IF(CMS_Identification!B114="","",CMS_Identification!B114)</f>
        <v/>
      </c>
      <c r="K92" t="str">
        <f>IF(COUNTIF(I$2:I92,I92)=1,I92,"")</f>
        <v/>
      </c>
      <c r="L92" t="str">
        <f>+IF(K92="","",MAX(L$1:L91)+1)</f>
        <v/>
      </c>
      <c r="M92" t="str">
        <f t="shared" si="2"/>
        <v/>
      </c>
      <c r="R92" t="str">
        <f>IF(CMS_Identification!B114="","",CMS_Identification!B114)</f>
        <v/>
      </c>
      <c r="S92" t="str">
        <f>IF(CMS_Identification!F114="","",CMS_Identification!F114)</f>
        <v/>
      </c>
      <c r="T92" s="106" t="str">
        <f>IF(CMS_Identification!D114="","",CMS_Identification!D114)</f>
        <v/>
      </c>
    </row>
    <row r="93" spans="9:20" x14ac:dyDescent="0.3">
      <c r="I93" t="str" cm="1">
        <f t="array" ref="I93">IF(SUMPRODUCT(--(LEN(CMS_Identification!F115:F614)&gt;0))&gt;0,IF(CMS_Identification!F115="","",CMS_Identification!F115),"Add CMS to the CMS_Identification tab")</f>
        <v>Add CMS to the CMS_Identification tab</v>
      </c>
      <c r="J93" t="str">
        <f>IF(CMS_Identification!B115="","",CMS_Identification!B115)</f>
        <v/>
      </c>
      <c r="K93" t="str">
        <f>IF(COUNTIF(I$2:I93,I93)=1,I93,"")</f>
        <v/>
      </c>
      <c r="L93" t="str">
        <f>+IF(K93="","",MAX(L$1:L92)+1)</f>
        <v/>
      </c>
      <c r="M93" t="str">
        <f t="shared" si="2"/>
        <v/>
      </c>
      <c r="R93" t="str">
        <f>IF(CMS_Identification!B115="","",CMS_Identification!B115)</f>
        <v/>
      </c>
      <c r="S93" t="str">
        <f>IF(CMS_Identification!F115="","",CMS_Identification!F115)</f>
        <v/>
      </c>
      <c r="T93" s="106" t="str">
        <f>IF(CMS_Identification!D115="","",CMS_Identification!D115)</f>
        <v/>
      </c>
    </row>
    <row r="94" spans="9:20" x14ac:dyDescent="0.3">
      <c r="I94" t="str" cm="1">
        <f t="array" ref="I94">IF(SUMPRODUCT(--(LEN(CMS_Identification!F116:F615)&gt;0))&gt;0,IF(CMS_Identification!F116="","",CMS_Identification!F116),"Add CMS to the CMS_Identification tab")</f>
        <v>Add CMS to the CMS_Identification tab</v>
      </c>
      <c r="J94" t="str">
        <f>IF(CMS_Identification!B116="","",CMS_Identification!B116)</f>
        <v/>
      </c>
      <c r="K94" t="str">
        <f>IF(COUNTIF(I$2:I94,I94)=1,I94,"")</f>
        <v/>
      </c>
      <c r="L94" t="str">
        <f>+IF(K94="","",MAX(L$1:L93)+1)</f>
        <v/>
      </c>
      <c r="M94" t="str">
        <f t="shared" si="2"/>
        <v/>
      </c>
      <c r="R94" t="str">
        <f>IF(CMS_Identification!B116="","",CMS_Identification!B116)</f>
        <v/>
      </c>
      <c r="S94" t="str">
        <f>IF(CMS_Identification!F116="","",CMS_Identification!F116)</f>
        <v/>
      </c>
      <c r="T94" s="106" t="str">
        <f>IF(CMS_Identification!D116="","",CMS_Identification!D116)</f>
        <v/>
      </c>
    </row>
    <row r="95" spans="9:20" x14ac:dyDescent="0.3">
      <c r="I95" t="str" cm="1">
        <f t="array" ref="I95">IF(SUMPRODUCT(--(LEN(CMS_Identification!F117:F616)&gt;0))&gt;0,IF(CMS_Identification!F117="","",CMS_Identification!F117),"Add CMS to the CMS_Identification tab")</f>
        <v>Add CMS to the CMS_Identification tab</v>
      </c>
      <c r="J95" t="str">
        <f>IF(CMS_Identification!B117="","",CMS_Identification!B117)</f>
        <v/>
      </c>
      <c r="K95" t="str">
        <f>IF(COUNTIF(I$2:I95,I95)=1,I95,"")</f>
        <v/>
      </c>
      <c r="L95" t="str">
        <f>+IF(K95="","",MAX(L$1:L94)+1)</f>
        <v/>
      </c>
      <c r="M95" t="str">
        <f t="shared" si="2"/>
        <v/>
      </c>
      <c r="R95" t="str">
        <f>IF(CMS_Identification!B117="","",CMS_Identification!B117)</f>
        <v/>
      </c>
      <c r="S95" t="str">
        <f>IF(CMS_Identification!F117="","",CMS_Identification!F117)</f>
        <v/>
      </c>
      <c r="T95" s="106" t="str">
        <f>IF(CMS_Identification!D117="","",CMS_Identification!D117)</f>
        <v/>
      </c>
    </row>
    <row r="96" spans="9:20" x14ac:dyDescent="0.3">
      <c r="I96" t="str" cm="1">
        <f t="array" ref="I96">IF(SUMPRODUCT(--(LEN(CMS_Identification!F118:F617)&gt;0))&gt;0,IF(CMS_Identification!F118="","",CMS_Identification!F118),"Add CMS to the CMS_Identification tab")</f>
        <v>Add CMS to the CMS_Identification tab</v>
      </c>
      <c r="J96" t="str">
        <f>IF(CMS_Identification!B118="","",CMS_Identification!B118)</f>
        <v/>
      </c>
      <c r="K96" t="str">
        <f>IF(COUNTIF(I$2:I96,I96)=1,I96,"")</f>
        <v/>
      </c>
      <c r="L96" t="str">
        <f>+IF(K96="","",MAX(L$1:L95)+1)</f>
        <v/>
      </c>
      <c r="M96" t="str">
        <f t="shared" si="2"/>
        <v/>
      </c>
      <c r="R96" t="str">
        <f>IF(CMS_Identification!B118="","",CMS_Identification!B118)</f>
        <v/>
      </c>
      <c r="S96" t="str">
        <f>IF(CMS_Identification!F118="","",CMS_Identification!F118)</f>
        <v/>
      </c>
      <c r="T96" s="106" t="str">
        <f>IF(CMS_Identification!D118="","",CMS_Identification!D118)</f>
        <v/>
      </c>
    </row>
    <row r="97" spans="9:20" x14ac:dyDescent="0.3">
      <c r="I97" t="str" cm="1">
        <f t="array" ref="I97">IF(SUMPRODUCT(--(LEN(CMS_Identification!F119:F618)&gt;0))&gt;0,IF(CMS_Identification!F119="","",CMS_Identification!F119),"Add CMS to the CMS_Identification tab")</f>
        <v>Add CMS to the CMS_Identification tab</v>
      </c>
      <c r="J97" t="str">
        <f>IF(CMS_Identification!B119="","",CMS_Identification!B119)</f>
        <v/>
      </c>
      <c r="K97" t="str">
        <f>IF(COUNTIF(I$2:I97,I97)=1,I97,"")</f>
        <v/>
      </c>
      <c r="L97" t="str">
        <f>+IF(K97="","",MAX(L$1:L96)+1)</f>
        <v/>
      </c>
      <c r="M97" t="str">
        <f t="shared" si="2"/>
        <v/>
      </c>
      <c r="R97" t="str">
        <f>IF(CMS_Identification!B119="","",CMS_Identification!B119)</f>
        <v/>
      </c>
      <c r="S97" t="str">
        <f>IF(CMS_Identification!F119="","",CMS_Identification!F119)</f>
        <v/>
      </c>
      <c r="T97" s="106" t="str">
        <f>IF(CMS_Identification!D119="","",CMS_Identification!D119)</f>
        <v/>
      </c>
    </row>
    <row r="98" spans="9:20" x14ac:dyDescent="0.3">
      <c r="I98" t="str" cm="1">
        <f t="array" ref="I98">IF(SUMPRODUCT(--(LEN(CMS_Identification!F120:F619)&gt;0))&gt;0,IF(CMS_Identification!F120="","",CMS_Identification!F120),"Add CMS to the CMS_Identification tab")</f>
        <v>Add CMS to the CMS_Identification tab</v>
      </c>
      <c r="J98" t="str">
        <f>IF(CMS_Identification!B120="","",CMS_Identification!B120)</f>
        <v/>
      </c>
      <c r="K98" t="str">
        <f>IF(COUNTIF(I$2:I98,I98)=1,I98,"")</f>
        <v/>
      </c>
      <c r="L98" t="str">
        <f>+IF(K98="","",MAX(L$1:L97)+1)</f>
        <v/>
      </c>
      <c r="M98" t="str">
        <f t="shared" si="2"/>
        <v/>
      </c>
      <c r="R98" t="str">
        <f>IF(CMS_Identification!B120="","",CMS_Identification!B120)</f>
        <v/>
      </c>
      <c r="S98" t="str">
        <f>IF(CMS_Identification!F120="","",CMS_Identification!F120)</f>
        <v/>
      </c>
      <c r="T98" s="106" t="str">
        <f>IF(CMS_Identification!D120="","",CMS_Identification!D120)</f>
        <v/>
      </c>
    </row>
    <row r="99" spans="9:20" x14ac:dyDescent="0.3">
      <c r="I99" t="str" cm="1">
        <f t="array" ref="I99">IF(SUMPRODUCT(--(LEN(CMS_Identification!F121:F620)&gt;0))&gt;0,IF(CMS_Identification!F121="","",CMS_Identification!F121),"Add CMS to the CMS_Identification tab")</f>
        <v>Add CMS to the CMS_Identification tab</v>
      </c>
      <c r="J99" t="str">
        <f>IF(CMS_Identification!B121="","",CMS_Identification!B121)</f>
        <v/>
      </c>
      <c r="K99" t="str">
        <f>IF(COUNTIF(I$2:I99,I99)=1,I99,"")</f>
        <v/>
      </c>
      <c r="L99" t="str">
        <f>+IF(K99="","",MAX(L$1:L98)+1)</f>
        <v/>
      </c>
      <c r="M99" t="str">
        <f t="shared" si="2"/>
        <v/>
      </c>
      <c r="R99" t="str">
        <f>IF(CMS_Identification!B121="","",CMS_Identification!B121)</f>
        <v/>
      </c>
      <c r="S99" t="str">
        <f>IF(CMS_Identification!F121="","",CMS_Identification!F121)</f>
        <v/>
      </c>
      <c r="T99" s="106" t="str">
        <f>IF(CMS_Identification!D121="","",CMS_Identification!D121)</f>
        <v/>
      </c>
    </row>
    <row r="100" spans="9:20" x14ac:dyDescent="0.3">
      <c r="I100" t="str" cm="1">
        <f t="array" ref="I100">IF(SUMPRODUCT(--(LEN(CMS_Identification!F122:F621)&gt;0))&gt;0,IF(CMS_Identification!F122="","",CMS_Identification!F122),"Add CMS to the CMS_Identification tab")</f>
        <v>Add CMS to the CMS_Identification tab</v>
      </c>
      <c r="J100" t="str">
        <f>IF(CMS_Identification!B122="","",CMS_Identification!B122)</f>
        <v/>
      </c>
      <c r="K100" t="str">
        <f>IF(COUNTIF(I$2:I100,I100)=1,I100,"")</f>
        <v/>
      </c>
      <c r="L100" t="str">
        <f>+IF(K100="","",MAX(L$1:L99)+1)</f>
        <v/>
      </c>
      <c r="M100" t="str">
        <f t="shared" si="2"/>
        <v/>
      </c>
      <c r="R100" t="str">
        <f>IF(CMS_Identification!B122="","",CMS_Identification!B122)</f>
        <v/>
      </c>
      <c r="S100" t="str">
        <f>IF(CMS_Identification!F122="","",CMS_Identification!F122)</f>
        <v/>
      </c>
      <c r="T100" s="106" t="str">
        <f>IF(CMS_Identification!D122="","",CMS_Identification!D122)</f>
        <v/>
      </c>
    </row>
    <row r="101" spans="9:20" x14ac:dyDescent="0.3">
      <c r="I101" t="str" cm="1">
        <f t="array" ref="I101">IF(SUMPRODUCT(--(LEN(CMS_Identification!F123:F622)&gt;0))&gt;0,IF(CMS_Identification!F123="","",CMS_Identification!F123),"Add CMS to the CMS_Identification tab")</f>
        <v>Add CMS to the CMS_Identification tab</v>
      </c>
      <c r="J101" t="str">
        <f>IF(CMS_Identification!B123="","",CMS_Identification!B123)</f>
        <v/>
      </c>
      <c r="K101" t="str">
        <f>IF(COUNTIF(I$2:I101,I101)=1,I101,"")</f>
        <v/>
      </c>
      <c r="L101" t="str">
        <f>+IF(K101="","",MAX(L$1:L100)+1)</f>
        <v/>
      </c>
      <c r="M101" t="str">
        <f t="shared" si="2"/>
        <v/>
      </c>
      <c r="R101" t="str">
        <f>IF(CMS_Identification!B123="","",CMS_Identification!B123)</f>
        <v/>
      </c>
      <c r="S101" t="str">
        <f>IF(CMS_Identification!F123="","",CMS_Identification!F123)</f>
        <v/>
      </c>
      <c r="T101" s="106" t="str">
        <f>IF(CMS_Identification!D123="","",CMS_Identification!D123)</f>
        <v/>
      </c>
    </row>
    <row r="102" spans="9:20" x14ac:dyDescent="0.3">
      <c r="I102" t="str" cm="1">
        <f t="array" ref="I102">IF(SUMPRODUCT(--(LEN(CMS_Identification!F124:F623)&gt;0))&gt;0,IF(CMS_Identification!F124="","",CMS_Identification!F124),"Add CMS to the CMS_Identification tab")</f>
        <v>Add CMS to the CMS_Identification tab</v>
      </c>
      <c r="J102" t="str">
        <f>IF(CMS_Identification!B124="","",CMS_Identification!B124)</f>
        <v/>
      </c>
      <c r="K102" t="str">
        <f>IF(COUNTIF(I$2:I102,I102)=1,I102,"")</f>
        <v/>
      </c>
      <c r="L102" t="str">
        <f>+IF(K102="","",MAX(L$1:L101)+1)</f>
        <v/>
      </c>
      <c r="M102" t="str">
        <f t="shared" si="2"/>
        <v/>
      </c>
      <c r="R102" t="str">
        <f>IF(CMS_Identification!B124="","",CMS_Identification!B124)</f>
        <v/>
      </c>
      <c r="S102" t="str">
        <f>IF(CMS_Identification!F124="","",CMS_Identification!F124)</f>
        <v/>
      </c>
      <c r="T102" s="106" t="str">
        <f>IF(CMS_Identification!D124="","",CMS_Identification!D124)</f>
        <v/>
      </c>
    </row>
    <row r="103" spans="9:20" x14ac:dyDescent="0.3">
      <c r="I103" t="str" cm="1">
        <f t="array" ref="I103">IF(SUMPRODUCT(--(LEN(CMS_Identification!F125:F624)&gt;0))&gt;0,IF(CMS_Identification!F125="","",CMS_Identification!F125),"Add CMS to the CMS_Identification tab")</f>
        <v>Add CMS to the CMS_Identification tab</v>
      </c>
      <c r="J103" t="str">
        <f>IF(CMS_Identification!B125="","",CMS_Identification!B125)</f>
        <v/>
      </c>
      <c r="K103" t="str">
        <f>IF(COUNTIF(I$2:I103,I103)=1,I103,"")</f>
        <v/>
      </c>
      <c r="L103" t="str">
        <f>+IF(K103="","",MAX(L$1:L102)+1)</f>
        <v/>
      </c>
      <c r="M103" t="str">
        <f t="shared" si="2"/>
        <v/>
      </c>
      <c r="R103" t="str">
        <f>IF(CMS_Identification!B125="","",CMS_Identification!B125)</f>
        <v/>
      </c>
      <c r="S103" t="str">
        <f>IF(CMS_Identification!F125="","",CMS_Identification!F125)</f>
        <v/>
      </c>
      <c r="T103" s="106" t="str">
        <f>IF(CMS_Identification!D125="","",CMS_Identification!D125)</f>
        <v/>
      </c>
    </row>
    <row r="104" spans="9:20" x14ac:dyDescent="0.3">
      <c r="I104" t="str" cm="1">
        <f t="array" ref="I104">IF(SUMPRODUCT(--(LEN(CMS_Identification!F126:F625)&gt;0))&gt;0,IF(CMS_Identification!F126="","",CMS_Identification!F126),"Add CMS to the CMS_Identification tab")</f>
        <v>Add CMS to the CMS_Identification tab</v>
      </c>
      <c r="J104" t="str">
        <f>IF(CMS_Identification!B126="","",CMS_Identification!B126)</f>
        <v/>
      </c>
      <c r="K104" t="str">
        <f>IF(COUNTIF(I$2:I104,I104)=1,I104,"")</f>
        <v/>
      </c>
      <c r="L104" t="str">
        <f>+IF(K104="","",MAX(L$1:L103)+1)</f>
        <v/>
      </c>
      <c r="M104" t="str">
        <f t="shared" si="2"/>
        <v/>
      </c>
      <c r="R104" t="str">
        <f>IF(CMS_Identification!B126="","",CMS_Identification!B126)</f>
        <v/>
      </c>
      <c r="S104" t="str">
        <f>IF(CMS_Identification!F126="","",CMS_Identification!F126)</f>
        <v/>
      </c>
      <c r="T104" s="106" t="str">
        <f>IF(CMS_Identification!D126="","",CMS_Identification!D126)</f>
        <v/>
      </c>
    </row>
    <row r="105" spans="9:20" x14ac:dyDescent="0.3">
      <c r="I105" t="str" cm="1">
        <f t="array" ref="I105">IF(SUMPRODUCT(--(LEN(CMS_Identification!F127:F626)&gt;0))&gt;0,IF(CMS_Identification!F127="","",CMS_Identification!F127),"Add CMS to the CMS_Identification tab")</f>
        <v>Add CMS to the CMS_Identification tab</v>
      </c>
      <c r="J105" t="str">
        <f>IF(CMS_Identification!B127="","",CMS_Identification!B127)</f>
        <v/>
      </c>
      <c r="K105" t="str">
        <f>IF(COUNTIF(I$2:I105,I105)=1,I105,"")</f>
        <v/>
      </c>
      <c r="L105" t="str">
        <f>+IF(K105="","",MAX(L$1:L104)+1)</f>
        <v/>
      </c>
      <c r="M105" t="str">
        <f t="shared" si="2"/>
        <v/>
      </c>
      <c r="R105" t="str">
        <f>IF(CMS_Identification!B127="","",CMS_Identification!B127)</f>
        <v/>
      </c>
      <c r="S105" t="str">
        <f>IF(CMS_Identification!F127="","",CMS_Identification!F127)</f>
        <v/>
      </c>
      <c r="T105" s="106" t="str">
        <f>IF(CMS_Identification!D127="","",CMS_Identification!D127)</f>
        <v/>
      </c>
    </row>
    <row r="106" spans="9:20" x14ac:dyDescent="0.3">
      <c r="I106" t="str" cm="1">
        <f t="array" ref="I106">IF(SUMPRODUCT(--(LEN(CMS_Identification!F128:F627)&gt;0))&gt;0,IF(CMS_Identification!F128="","",CMS_Identification!F128),"Add CMS to the CMS_Identification tab")</f>
        <v>Add CMS to the CMS_Identification tab</v>
      </c>
      <c r="J106" t="str">
        <f>IF(CMS_Identification!B128="","",CMS_Identification!B128)</f>
        <v/>
      </c>
      <c r="K106" t="str">
        <f>IF(COUNTIF(I$2:I106,I106)=1,I106,"")</f>
        <v/>
      </c>
      <c r="L106" t="str">
        <f>+IF(K106="","",MAX(L$1:L105)+1)</f>
        <v/>
      </c>
      <c r="M106" t="str">
        <f t="shared" si="2"/>
        <v/>
      </c>
      <c r="R106" t="str">
        <f>IF(CMS_Identification!B128="","",CMS_Identification!B128)</f>
        <v/>
      </c>
      <c r="S106" t="str">
        <f>IF(CMS_Identification!F128="","",CMS_Identification!F128)</f>
        <v/>
      </c>
      <c r="T106" s="106" t="str">
        <f>IF(CMS_Identification!D128="","",CMS_Identification!D128)</f>
        <v/>
      </c>
    </row>
    <row r="107" spans="9:20" x14ac:dyDescent="0.3">
      <c r="I107" t="str" cm="1">
        <f t="array" ref="I107">IF(SUMPRODUCT(--(LEN(CMS_Identification!F129:F628)&gt;0))&gt;0,IF(CMS_Identification!F129="","",CMS_Identification!F129),"Add CMS to the CMS_Identification tab")</f>
        <v>Add CMS to the CMS_Identification tab</v>
      </c>
      <c r="J107" t="str">
        <f>IF(CMS_Identification!B129="","",CMS_Identification!B129)</f>
        <v/>
      </c>
      <c r="K107" t="str">
        <f>IF(COUNTIF(I$2:I107,I107)=1,I107,"")</f>
        <v/>
      </c>
      <c r="L107" t="str">
        <f>+IF(K107="","",MAX(L$1:L106)+1)</f>
        <v/>
      </c>
      <c r="M107" t="str">
        <f t="shared" si="2"/>
        <v/>
      </c>
      <c r="R107" t="str">
        <f>IF(CMS_Identification!B129="","",CMS_Identification!B129)</f>
        <v/>
      </c>
      <c r="S107" t="str">
        <f>IF(CMS_Identification!F129="","",CMS_Identification!F129)</f>
        <v/>
      </c>
      <c r="T107" s="106" t="str">
        <f>IF(CMS_Identification!D129="","",CMS_Identification!D129)</f>
        <v/>
      </c>
    </row>
    <row r="108" spans="9:20" x14ac:dyDescent="0.3">
      <c r="I108" t="str" cm="1">
        <f t="array" ref="I108">IF(SUMPRODUCT(--(LEN(CMS_Identification!F130:F629)&gt;0))&gt;0,IF(CMS_Identification!F130="","",CMS_Identification!F130),"Add CMS to the CMS_Identification tab")</f>
        <v>Add CMS to the CMS_Identification tab</v>
      </c>
      <c r="J108" t="str">
        <f>IF(CMS_Identification!B130="","",CMS_Identification!B130)</f>
        <v/>
      </c>
      <c r="K108" t="str">
        <f>IF(COUNTIF(I$2:I108,I108)=1,I108,"")</f>
        <v/>
      </c>
      <c r="L108" t="str">
        <f>+IF(K108="","",MAX(L$1:L107)+1)</f>
        <v/>
      </c>
      <c r="M108" t="str">
        <f t="shared" si="2"/>
        <v/>
      </c>
      <c r="R108" t="str">
        <f>IF(CMS_Identification!B130="","",CMS_Identification!B130)</f>
        <v/>
      </c>
      <c r="S108" t="str">
        <f>IF(CMS_Identification!F130="","",CMS_Identification!F130)</f>
        <v/>
      </c>
      <c r="T108" s="106" t="str">
        <f>IF(CMS_Identification!D130="","",CMS_Identification!D130)</f>
        <v/>
      </c>
    </row>
    <row r="109" spans="9:20" x14ac:dyDescent="0.3">
      <c r="I109" t="str" cm="1">
        <f t="array" ref="I109">IF(SUMPRODUCT(--(LEN(CMS_Identification!F131:F630)&gt;0))&gt;0,IF(CMS_Identification!F131="","",CMS_Identification!F131),"Add CMS to the CMS_Identification tab")</f>
        <v>Add CMS to the CMS_Identification tab</v>
      </c>
      <c r="J109" t="str">
        <f>IF(CMS_Identification!B131="","",CMS_Identification!B131)</f>
        <v/>
      </c>
      <c r="K109" t="str">
        <f>IF(COUNTIF(I$2:I109,I109)=1,I109,"")</f>
        <v/>
      </c>
      <c r="L109" t="str">
        <f>+IF(K109="","",MAX(L$1:L108)+1)</f>
        <v/>
      </c>
      <c r="M109" t="str">
        <f t="shared" si="2"/>
        <v/>
      </c>
      <c r="R109" t="str">
        <f>IF(CMS_Identification!B131="","",CMS_Identification!B131)</f>
        <v/>
      </c>
      <c r="S109" t="str">
        <f>IF(CMS_Identification!F131="","",CMS_Identification!F131)</f>
        <v/>
      </c>
      <c r="T109" s="106" t="str">
        <f>IF(CMS_Identification!D131="","",CMS_Identification!D131)</f>
        <v/>
      </c>
    </row>
    <row r="110" spans="9:20" x14ac:dyDescent="0.3">
      <c r="I110" t="str" cm="1">
        <f t="array" ref="I110">IF(SUMPRODUCT(--(LEN(CMS_Identification!F132:F631)&gt;0))&gt;0,IF(CMS_Identification!F132="","",CMS_Identification!F132),"Add CMS to the CMS_Identification tab")</f>
        <v>Add CMS to the CMS_Identification tab</v>
      </c>
      <c r="J110" t="str">
        <f>IF(CMS_Identification!B132="","",CMS_Identification!B132)</f>
        <v/>
      </c>
      <c r="K110" t="str">
        <f>IF(COUNTIF(I$2:I110,I110)=1,I110,"")</f>
        <v/>
      </c>
      <c r="L110" t="str">
        <f>+IF(K110="","",MAX(L$1:L109)+1)</f>
        <v/>
      </c>
      <c r="M110" t="str">
        <f t="shared" si="2"/>
        <v/>
      </c>
      <c r="R110" t="str">
        <f>IF(CMS_Identification!B132="","",CMS_Identification!B132)</f>
        <v/>
      </c>
      <c r="S110" t="str">
        <f>IF(CMS_Identification!F132="","",CMS_Identification!F132)</f>
        <v/>
      </c>
      <c r="T110" s="106" t="str">
        <f>IF(CMS_Identification!D132="","",CMS_Identification!D132)</f>
        <v/>
      </c>
    </row>
    <row r="111" spans="9:20" x14ac:dyDescent="0.3">
      <c r="I111" t="str" cm="1">
        <f t="array" ref="I111">IF(SUMPRODUCT(--(LEN(CMS_Identification!F133:F632)&gt;0))&gt;0,IF(CMS_Identification!F133="","",CMS_Identification!F133),"Add CMS to the CMS_Identification tab")</f>
        <v>Add CMS to the CMS_Identification tab</v>
      </c>
      <c r="J111" t="str">
        <f>IF(CMS_Identification!B133="","",CMS_Identification!B133)</f>
        <v/>
      </c>
      <c r="K111" t="str">
        <f>IF(COUNTIF(I$2:I111,I111)=1,I111,"")</f>
        <v/>
      </c>
      <c r="L111" t="str">
        <f>+IF(K111="","",MAX(L$1:L110)+1)</f>
        <v/>
      </c>
      <c r="M111" t="str">
        <f t="shared" si="2"/>
        <v/>
      </c>
      <c r="R111" t="str">
        <f>IF(CMS_Identification!B133="","",CMS_Identification!B133)</f>
        <v/>
      </c>
      <c r="S111" t="str">
        <f>IF(CMS_Identification!F133="","",CMS_Identification!F133)</f>
        <v/>
      </c>
      <c r="T111" s="106" t="str">
        <f>IF(CMS_Identification!D133="","",CMS_Identification!D133)</f>
        <v/>
      </c>
    </row>
    <row r="112" spans="9:20" x14ac:dyDescent="0.3">
      <c r="I112" t="str" cm="1">
        <f t="array" ref="I112">IF(SUMPRODUCT(--(LEN(CMS_Identification!F134:F633)&gt;0))&gt;0,IF(CMS_Identification!F134="","",CMS_Identification!F134),"Add CMS to the CMS_Identification tab")</f>
        <v>Add CMS to the CMS_Identification tab</v>
      </c>
      <c r="J112" t="str">
        <f>IF(CMS_Identification!B134="","",CMS_Identification!B134)</f>
        <v/>
      </c>
      <c r="K112" t="str">
        <f>IF(COUNTIF(I$2:I112,I112)=1,I112,"")</f>
        <v/>
      </c>
      <c r="L112" t="str">
        <f>+IF(K112="","",MAX(L$1:L111)+1)</f>
        <v/>
      </c>
      <c r="M112" t="str">
        <f t="shared" si="2"/>
        <v/>
      </c>
      <c r="R112" t="str">
        <f>IF(CMS_Identification!B134="","",CMS_Identification!B134)</f>
        <v/>
      </c>
      <c r="S112" t="str">
        <f>IF(CMS_Identification!F134="","",CMS_Identification!F134)</f>
        <v/>
      </c>
      <c r="T112" s="106" t="str">
        <f>IF(CMS_Identification!D134="","",CMS_Identification!D134)</f>
        <v/>
      </c>
    </row>
    <row r="113" spans="9:20" x14ac:dyDescent="0.3">
      <c r="I113" t="str" cm="1">
        <f t="array" ref="I113">IF(SUMPRODUCT(--(LEN(CMS_Identification!F135:F634)&gt;0))&gt;0,IF(CMS_Identification!F135="","",CMS_Identification!F135),"Add CMS to the CMS_Identification tab")</f>
        <v>Add CMS to the CMS_Identification tab</v>
      </c>
      <c r="J113" t="str">
        <f>IF(CMS_Identification!B135="","",CMS_Identification!B135)</f>
        <v/>
      </c>
      <c r="K113" t="str">
        <f>IF(COUNTIF(I$2:I113,I113)=1,I113,"")</f>
        <v/>
      </c>
      <c r="L113" t="str">
        <f>+IF(K113="","",MAX(L$1:L112)+1)</f>
        <v/>
      </c>
      <c r="M113" t="str">
        <f t="shared" si="2"/>
        <v/>
      </c>
      <c r="R113" t="str">
        <f>IF(CMS_Identification!B135="","",CMS_Identification!B135)</f>
        <v/>
      </c>
      <c r="S113" t="str">
        <f>IF(CMS_Identification!F135="","",CMS_Identification!F135)</f>
        <v/>
      </c>
      <c r="T113" s="106" t="str">
        <f>IF(CMS_Identification!D135="","",CMS_Identification!D135)</f>
        <v/>
      </c>
    </row>
    <row r="114" spans="9:20" x14ac:dyDescent="0.3">
      <c r="I114" t="str" cm="1">
        <f t="array" ref="I114">IF(SUMPRODUCT(--(LEN(CMS_Identification!F136:F635)&gt;0))&gt;0,IF(CMS_Identification!F136="","",CMS_Identification!F136),"Add CMS to the CMS_Identification tab")</f>
        <v>Add CMS to the CMS_Identification tab</v>
      </c>
      <c r="J114" t="str">
        <f>IF(CMS_Identification!B136="","",CMS_Identification!B136)</f>
        <v/>
      </c>
      <c r="K114" t="str">
        <f>IF(COUNTIF(I$2:I114,I114)=1,I114,"")</f>
        <v/>
      </c>
      <c r="L114" t="str">
        <f>+IF(K114="","",MAX(L$1:L113)+1)</f>
        <v/>
      </c>
      <c r="M114" t="str">
        <f t="shared" si="2"/>
        <v/>
      </c>
      <c r="R114" t="str">
        <f>IF(CMS_Identification!B136="","",CMS_Identification!B136)</f>
        <v/>
      </c>
      <c r="S114" t="str">
        <f>IF(CMS_Identification!F136="","",CMS_Identification!F136)</f>
        <v/>
      </c>
      <c r="T114" s="106" t="str">
        <f>IF(CMS_Identification!D136="","",CMS_Identification!D136)</f>
        <v/>
      </c>
    </row>
    <row r="115" spans="9:20" x14ac:dyDescent="0.3">
      <c r="I115" t="str" cm="1">
        <f t="array" ref="I115">IF(SUMPRODUCT(--(LEN(CMS_Identification!F137:F636)&gt;0))&gt;0,IF(CMS_Identification!F137="","",CMS_Identification!F137),"Add CMS to the CMS_Identification tab")</f>
        <v>Add CMS to the CMS_Identification tab</v>
      </c>
      <c r="J115" t="str">
        <f>IF(CMS_Identification!B137="","",CMS_Identification!B137)</f>
        <v/>
      </c>
      <c r="K115" t="str">
        <f>IF(COUNTIF(I$2:I115,I115)=1,I115,"")</f>
        <v/>
      </c>
      <c r="L115" t="str">
        <f>+IF(K115="","",MAX(L$1:L114)+1)</f>
        <v/>
      </c>
      <c r="M115" t="str">
        <f t="shared" si="2"/>
        <v/>
      </c>
      <c r="R115" t="str">
        <f>IF(CMS_Identification!B137="","",CMS_Identification!B137)</f>
        <v/>
      </c>
      <c r="S115" t="str">
        <f>IF(CMS_Identification!F137="","",CMS_Identification!F137)</f>
        <v/>
      </c>
      <c r="T115" s="106" t="str">
        <f>IF(CMS_Identification!D137="","",CMS_Identification!D137)</f>
        <v/>
      </c>
    </row>
    <row r="116" spans="9:20" x14ac:dyDescent="0.3">
      <c r="I116" t="str" cm="1">
        <f t="array" ref="I116">IF(SUMPRODUCT(--(LEN(CMS_Identification!F138:F637)&gt;0))&gt;0,IF(CMS_Identification!F138="","",CMS_Identification!F138),"Add CMS to the CMS_Identification tab")</f>
        <v>Add CMS to the CMS_Identification tab</v>
      </c>
      <c r="J116" t="str">
        <f>IF(CMS_Identification!B138="","",CMS_Identification!B138)</f>
        <v/>
      </c>
      <c r="K116" t="str">
        <f>IF(COUNTIF(I$2:I116,I116)=1,I116,"")</f>
        <v/>
      </c>
      <c r="L116" t="str">
        <f>+IF(K116="","",MAX(L$1:L115)+1)</f>
        <v/>
      </c>
      <c r="M116" t="str">
        <f t="shared" si="2"/>
        <v/>
      </c>
      <c r="R116" t="str">
        <f>IF(CMS_Identification!B138="","",CMS_Identification!B138)</f>
        <v/>
      </c>
      <c r="S116" t="str">
        <f>IF(CMS_Identification!F138="","",CMS_Identification!F138)</f>
        <v/>
      </c>
      <c r="T116" s="106" t="str">
        <f>IF(CMS_Identification!D138="","",CMS_Identification!D138)</f>
        <v/>
      </c>
    </row>
    <row r="117" spans="9:20" x14ac:dyDescent="0.3">
      <c r="I117" t="str" cm="1">
        <f t="array" ref="I117">IF(SUMPRODUCT(--(LEN(CMS_Identification!F139:F638)&gt;0))&gt;0,IF(CMS_Identification!F139="","",CMS_Identification!F139),"Add CMS to the CMS_Identification tab")</f>
        <v>Add CMS to the CMS_Identification tab</v>
      </c>
      <c r="J117" t="str">
        <f>IF(CMS_Identification!B139="","",CMS_Identification!B139)</f>
        <v/>
      </c>
      <c r="K117" t="str">
        <f>IF(COUNTIF(I$2:I117,I117)=1,I117,"")</f>
        <v/>
      </c>
      <c r="L117" t="str">
        <f>+IF(K117="","",MAX(L$1:L116)+1)</f>
        <v/>
      </c>
      <c r="M117" t="str">
        <f t="shared" si="2"/>
        <v/>
      </c>
      <c r="R117" t="str">
        <f>IF(CMS_Identification!B139="","",CMS_Identification!B139)</f>
        <v/>
      </c>
      <c r="S117" t="str">
        <f>IF(CMS_Identification!F139="","",CMS_Identification!F139)</f>
        <v/>
      </c>
      <c r="T117" s="106" t="str">
        <f>IF(CMS_Identification!D139="","",CMS_Identification!D139)</f>
        <v/>
      </c>
    </row>
    <row r="118" spans="9:20" x14ac:dyDescent="0.3">
      <c r="I118" t="str" cm="1">
        <f t="array" ref="I118">IF(SUMPRODUCT(--(LEN(CMS_Identification!F140:F639)&gt;0))&gt;0,IF(CMS_Identification!F140="","",CMS_Identification!F140),"Add CMS to the CMS_Identification tab")</f>
        <v>Add CMS to the CMS_Identification tab</v>
      </c>
      <c r="J118" t="str">
        <f>IF(CMS_Identification!B140="","",CMS_Identification!B140)</f>
        <v/>
      </c>
      <c r="K118" t="str">
        <f>IF(COUNTIF(I$2:I118,I118)=1,I118,"")</f>
        <v/>
      </c>
      <c r="L118" t="str">
        <f>+IF(K118="","",MAX(L$1:L117)+1)</f>
        <v/>
      </c>
      <c r="M118" t="str">
        <f t="shared" si="2"/>
        <v/>
      </c>
      <c r="R118" t="str">
        <f>IF(CMS_Identification!B140="","",CMS_Identification!B140)</f>
        <v/>
      </c>
      <c r="S118" t="str">
        <f>IF(CMS_Identification!F140="","",CMS_Identification!F140)</f>
        <v/>
      </c>
      <c r="T118" s="106" t="str">
        <f>IF(CMS_Identification!D140="","",CMS_Identification!D140)</f>
        <v/>
      </c>
    </row>
    <row r="119" spans="9:20" x14ac:dyDescent="0.3">
      <c r="I119" t="str" cm="1">
        <f t="array" ref="I119">IF(SUMPRODUCT(--(LEN(CMS_Identification!F141:F640)&gt;0))&gt;0,IF(CMS_Identification!F141="","",CMS_Identification!F141),"Add CMS to the CMS_Identification tab")</f>
        <v>Add CMS to the CMS_Identification tab</v>
      </c>
      <c r="J119" t="str">
        <f>IF(CMS_Identification!B141="","",CMS_Identification!B141)</f>
        <v/>
      </c>
      <c r="K119" t="str">
        <f>IF(COUNTIF(I$2:I119,I119)=1,I119,"")</f>
        <v/>
      </c>
      <c r="L119" t="str">
        <f>+IF(K119="","",MAX(L$1:L118)+1)</f>
        <v/>
      </c>
      <c r="M119" t="str">
        <f t="shared" si="2"/>
        <v/>
      </c>
      <c r="R119" t="str">
        <f>IF(CMS_Identification!B141="","",CMS_Identification!B141)</f>
        <v/>
      </c>
      <c r="S119" t="str">
        <f>IF(CMS_Identification!F141="","",CMS_Identification!F141)</f>
        <v/>
      </c>
      <c r="T119" s="106" t="str">
        <f>IF(CMS_Identification!D141="","",CMS_Identification!D141)</f>
        <v/>
      </c>
    </row>
    <row r="120" spans="9:20" x14ac:dyDescent="0.3">
      <c r="I120" t="str" cm="1">
        <f t="array" ref="I120">IF(SUMPRODUCT(--(LEN(CMS_Identification!F142:F641)&gt;0))&gt;0,IF(CMS_Identification!F142="","",CMS_Identification!F142),"Add CMS to the CMS_Identification tab")</f>
        <v>Add CMS to the CMS_Identification tab</v>
      </c>
      <c r="J120" t="str">
        <f>IF(CMS_Identification!B142="","",CMS_Identification!B142)</f>
        <v/>
      </c>
      <c r="K120" t="str">
        <f>IF(COUNTIF(I$2:I120,I120)=1,I120,"")</f>
        <v/>
      </c>
      <c r="L120" t="str">
        <f>+IF(K120="","",MAX(L$1:L119)+1)</f>
        <v/>
      </c>
      <c r="M120" t="str">
        <f t="shared" si="2"/>
        <v/>
      </c>
      <c r="R120" t="str">
        <f>IF(CMS_Identification!B142="","",CMS_Identification!B142)</f>
        <v/>
      </c>
      <c r="S120" t="str">
        <f>IF(CMS_Identification!F142="","",CMS_Identification!F142)</f>
        <v/>
      </c>
      <c r="T120" s="106" t="str">
        <f>IF(CMS_Identification!D142="","",CMS_Identification!D142)</f>
        <v/>
      </c>
    </row>
    <row r="121" spans="9:20" x14ac:dyDescent="0.3">
      <c r="I121" t="str" cm="1">
        <f t="array" ref="I121">IF(SUMPRODUCT(--(LEN(CMS_Identification!F143:F642)&gt;0))&gt;0,IF(CMS_Identification!F143="","",CMS_Identification!F143),"Add CMS to the CMS_Identification tab")</f>
        <v>Add CMS to the CMS_Identification tab</v>
      </c>
      <c r="J121" t="str">
        <f>IF(CMS_Identification!B143="","",CMS_Identification!B143)</f>
        <v/>
      </c>
      <c r="K121" t="str">
        <f>IF(COUNTIF(I$2:I121,I121)=1,I121,"")</f>
        <v/>
      </c>
      <c r="L121" t="str">
        <f>+IF(K121="","",MAX(L$1:L120)+1)</f>
        <v/>
      </c>
      <c r="M121" t="str">
        <f t="shared" si="2"/>
        <v/>
      </c>
      <c r="R121" t="str">
        <f>IF(CMS_Identification!B143="","",CMS_Identification!B143)</f>
        <v/>
      </c>
      <c r="S121" t="str">
        <f>IF(CMS_Identification!F143="","",CMS_Identification!F143)</f>
        <v/>
      </c>
      <c r="T121" s="106" t="str">
        <f>IF(CMS_Identification!D143="","",CMS_Identification!D143)</f>
        <v/>
      </c>
    </row>
    <row r="122" spans="9:20" x14ac:dyDescent="0.3">
      <c r="I122" t="str" cm="1">
        <f t="array" ref="I122">IF(SUMPRODUCT(--(LEN(CMS_Identification!F144:F643)&gt;0))&gt;0,IF(CMS_Identification!F144="","",CMS_Identification!F144),"Add CMS to the CMS_Identification tab")</f>
        <v>Add CMS to the CMS_Identification tab</v>
      </c>
      <c r="J122" t="str">
        <f>IF(CMS_Identification!B144="","",CMS_Identification!B144)</f>
        <v/>
      </c>
      <c r="K122" t="str">
        <f>IF(COUNTIF(I$2:I122,I122)=1,I122,"")</f>
        <v/>
      </c>
      <c r="L122" t="str">
        <f>+IF(K122="","",MAX(L$1:L121)+1)</f>
        <v/>
      </c>
      <c r="M122" t="str">
        <f t="shared" si="2"/>
        <v/>
      </c>
      <c r="R122" t="str">
        <f>IF(CMS_Identification!B144="","",CMS_Identification!B144)</f>
        <v/>
      </c>
      <c r="S122" t="str">
        <f>IF(CMS_Identification!F144="","",CMS_Identification!F144)</f>
        <v/>
      </c>
      <c r="T122" s="106" t="str">
        <f>IF(CMS_Identification!D144="","",CMS_Identification!D144)</f>
        <v/>
      </c>
    </row>
    <row r="123" spans="9:20" x14ac:dyDescent="0.3">
      <c r="I123" t="str" cm="1">
        <f t="array" ref="I123">IF(SUMPRODUCT(--(LEN(CMS_Identification!F145:F644)&gt;0))&gt;0,IF(CMS_Identification!F145="","",CMS_Identification!F145),"Add CMS to the CMS_Identification tab")</f>
        <v>Add CMS to the CMS_Identification tab</v>
      </c>
      <c r="J123" t="str">
        <f>IF(CMS_Identification!B145="","",CMS_Identification!B145)</f>
        <v/>
      </c>
      <c r="K123" t="str">
        <f>IF(COUNTIF(I$2:I123,I123)=1,I123,"")</f>
        <v/>
      </c>
      <c r="L123" t="str">
        <f>+IF(K123="","",MAX(L$1:L122)+1)</f>
        <v/>
      </c>
      <c r="M123" t="str">
        <f t="shared" si="2"/>
        <v/>
      </c>
      <c r="R123" t="str">
        <f>IF(CMS_Identification!B145="","",CMS_Identification!B145)</f>
        <v/>
      </c>
      <c r="S123" t="str">
        <f>IF(CMS_Identification!F145="","",CMS_Identification!F145)</f>
        <v/>
      </c>
      <c r="T123" s="106" t="str">
        <f>IF(CMS_Identification!D145="","",CMS_Identification!D145)</f>
        <v/>
      </c>
    </row>
    <row r="124" spans="9:20" x14ac:dyDescent="0.3">
      <c r="I124" t="str" cm="1">
        <f t="array" ref="I124">IF(SUMPRODUCT(--(LEN(CMS_Identification!F146:F645)&gt;0))&gt;0,IF(CMS_Identification!F146="","",CMS_Identification!F146),"Add CMS to the CMS_Identification tab")</f>
        <v>Add CMS to the CMS_Identification tab</v>
      </c>
      <c r="J124" t="str">
        <f>IF(CMS_Identification!B146="","",CMS_Identification!B146)</f>
        <v/>
      </c>
      <c r="K124" t="str">
        <f>IF(COUNTIF(I$2:I124,I124)=1,I124,"")</f>
        <v/>
      </c>
      <c r="L124" t="str">
        <f>+IF(K124="","",MAX(L$1:L123)+1)</f>
        <v/>
      </c>
      <c r="M124" t="str">
        <f t="shared" si="2"/>
        <v/>
      </c>
      <c r="R124" t="str">
        <f>IF(CMS_Identification!B146="","",CMS_Identification!B146)</f>
        <v/>
      </c>
      <c r="S124" t="str">
        <f>IF(CMS_Identification!F146="","",CMS_Identification!F146)</f>
        <v/>
      </c>
      <c r="T124" s="106" t="str">
        <f>IF(CMS_Identification!D146="","",CMS_Identification!D146)</f>
        <v/>
      </c>
    </row>
    <row r="125" spans="9:20" x14ac:dyDescent="0.3">
      <c r="I125" t="str" cm="1">
        <f t="array" ref="I125">IF(SUMPRODUCT(--(LEN(CMS_Identification!F147:F646)&gt;0))&gt;0,IF(CMS_Identification!F147="","",CMS_Identification!F147),"Add CMS to the CMS_Identification tab")</f>
        <v>Add CMS to the CMS_Identification tab</v>
      </c>
      <c r="J125" t="str">
        <f>IF(CMS_Identification!B147="","",CMS_Identification!B147)</f>
        <v/>
      </c>
      <c r="K125" t="str">
        <f>IF(COUNTIF(I$2:I125,I125)=1,I125,"")</f>
        <v/>
      </c>
      <c r="L125" t="str">
        <f>+IF(K125="","",MAX(L$1:L124)+1)</f>
        <v/>
      </c>
      <c r="M125" t="str">
        <f t="shared" si="2"/>
        <v/>
      </c>
      <c r="R125" t="str">
        <f>IF(CMS_Identification!B147="","",CMS_Identification!B147)</f>
        <v/>
      </c>
      <c r="S125" t="str">
        <f>IF(CMS_Identification!F147="","",CMS_Identification!F147)</f>
        <v/>
      </c>
      <c r="T125" s="106" t="str">
        <f>IF(CMS_Identification!D147="","",CMS_Identification!D147)</f>
        <v/>
      </c>
    </row>
    <row r="126" spans="9:20" x14ac:dyDescent="0.3">
      <c r="I126" t="str" cm="1">
        <f t="array" ref="I126">IF(SUMPRODUCT(--(LEN(CMS_Identification!F148:F647)&gt;0))&gt;0,IF(CMS_Identification!F148="","",CMS_Identification!F148),"Add CMS to the CMS_Identification tab")</f>
        <v>Add CMS to the CMS_Identification tab</v>
      </c>
      <c r="J126" t="str">
        <f>IF(CMS_Identification!B148="","",CMS_Identification!B148)</f>
        <v/>
      </c>
      <c r="K126" t="str">
        <f>IF(COUNTIF(I$2:I126,I126)=1,I126,"")</f>
        <v/>
      </c>
      <c r="L126" t="str">
        <f>+IF(K126="","",MAX(L$1:L125)+1)</f>
        <v/>
      </c>
      <c r="M126" t="str">
        <f t="shared" si="2"/>
        <v/>
      </c>
      <c r="R126" t="str">
        <f>IF(CMS_Identification!B148="","",CMS_Identification!B148)</f>
        <v/>
      </c>
      <c r="S126" t="str">
        <f>IF(CMS_Identification!F148="","",CMS_Identification!F148)</f>
        <v/>
      </c>
      <c r="T126" s="106" t="str">
        <f>IF(CMS_Identification!D148="","",CMS_Identification!D148)</f>
        <v/>
      </c>
    </row>
    <row r="127" spans="9:20" x14ac:dyDescent="0.3">
      <c r="I127" t="str" cm="1">
        <f t="array" ref="I127">IF(SUMPRODUCT(--(LEN(CMS_Identification!F149:F648)&gt;0))&gt;0,IF(CMS_Identification!F149="","",CMS_Identification!F149),"Add CMS to the CMS_Identification tab")</f>
        <v>Add CMS to the CMS_Identification tab</v>
      </c>
      <c r="J127" t="str">
        <f>IF(CMS_Identification!B149="","",CMS_Identification!B149)</f>
        <v/>
      </c>
      <c r="K127" t="str">
        <f>IF(COUNTIF(I$2:I127,I127)=1,I127,"")</f>
        <v/>
      </c>
      <c r="L127" t="str">
        <f>+IF(K127="","",MAX(L$1:L126)+1)</f>
        <v/>
      </c>
      <c r="M127" t="str">
        <f t="shared" si="2"/>
        <v/>
      </c>
      <c r="R127" t="str">
        <f>IF(CMS_Identification!B149="","",CMS_Identification!B149)</f>
        <v/>
      </c>
      <c r="S127" t="str">
        <f>IF(CMS_Identification!F149="","",CMS_Identification!F149)</f>
        <v/>
      </c>
      <c r="T127" s="106" t="str">
        <f>IF(CMS_Identification!D149="","",CMS_Identification!D149)</f>
        <v/>
      </c>
    </row>
    <row r="128" spans="9:20" x14ac:dyDescent="0.3">
      <c r="I128" t="str" cm="1">
        <f t="array" ref="I128">IF(SUMPRODUCT(--(LEN(CMS_Identification!F150:F649)&gt;0))&gt;0,IF(CMS_Identification!F150="","",CMS_Identification!F150),"Add CMS to the CMS_Identification tab")</f>
        <v>Add CMS to the CMS_Identification tab</v>
      </c>
      <c r="J128" t="str">
        <f>IF(CMS_Identification!B150="","",CMS_Identification!B150)</f>
        <v/>
      </c>
      <c r="K128" t="str">
        <f>IF(COUNTIF(I$2:I128,I128)=1,I128,"")</f>
        <v/>
      </c>
      <c r="L128" t="str">
        <f>+IF(K128="","",MAX(L$1:L127)+1)</f>
        <v/>
      </c>
      <c r="M128" t="str">
        <f t="shared" si="2"/>
        <v/>
      </c>
      <c r="R128" t="str">
        <f>IF(CMS_Identification!B150="","",CMS_Identification!B150)</f>
        <v/>
      </c>
      <c r="S128" t="str">
        <f>IF(CMS_Identification!F150="","",CMS_Identification!F150)</f>
        <v/>
      </c>
      <c r="T128" s="106" t="str">
        <f>IF(CMS_Identification!D150="","",CMS_Identification!D150)</f>
        <v/>
      </c>
    </row>
    <row r="129" spans="9:20" x14ac:dyDescent="0.3">
      <c r="I129" t="str" cm="1">
        <f t="array" ref="I129">IF(SUMPRODUCT(--(LEN(CMS_Identification!F151:F650)&gt;0))&gt;0,IF(CMS_Identification!F151="","",CMS_Identification!F151),"Add CMS to the CMS_Identification tab")</f>
        <v>Add CMS to the CMS_Identification tab</v>
      </c>
      <c r="J129" t="str">
        <f>IF(CMS_Identification!B151="","",CMS_Identification!B151)</f>
        <v/>
      </c>
      <c r="K129" t="str">
        <f>IF(COUNTIF(I$2:I129,I129)=1,I129,"")</f>
        <v/>
      </c>
      <c r="L129" t="str">
        <f>+IF(K129="","",MAX(L$1:L128)+1)</f>
        <v/>
      </c>
      <c r="M129" t="str">
        <f t="shared" si="2"/>
        <v/>
      </c>
      <c r="R129" t="str">
        <f>IF(CMS_Identification!B151="","",CMS_Identification!B151)</f>
        <v/>
      </c>
      <c r="S129" t="str">
        <f>IF(CMS_Identification!F151="","",CMS_Identification!F151)</f>
        <v/>
      </c>
      <c r="T129" s="106" t="str">
        <f>IF(CMS_Identification!D151="","",CMS_Identification!D151)</f>
        <v/>
      </c>
    </row>
    <row r="130" spans="9:20" x14ac:dyDescent="0.3">
      <c r="I130" t="str" cm="1">
        <f t="array" ref="I130">IF(SUMPRODUCT(--(LEN(CMS_Identification!F152:F651)&gt;0))&gt;0,IF(CMS_Identification!F152="","",CMS_Identification!F152),"Add CMS to the CMS_Identification tab")</f>
        <v>Add CMS to the CMS_Identification tab</v>
      </c>
      <c r="J130" t="str">
        <f>IF(CMS_Identification!B152="","",CMS_Identification!B152)</f>
        <v/>
      </c>
      <c r="K130" t="str">
        <f>IF(COUNTIF(I$2:I130,I130)=1,I130,"")</f>
        <v/>
      </c>
      <c r="L130" t="str">
        <f>+IF(K130="","",MAX(L$1:L129)+1)</f>
        <v/>
      </c>
      <c r="M130" t="str">
        <f t="shared" ref="M130:M193" si="3">+IFERROR(INDEX($I$2:$I$501,MATCH(ROW()-ROW($L$1),$L$2:$L$501,0)),"")</f>
        <v/>
      </c>
      <c r="R130" t="str">
        <f>IF(CMS_Identification!B152="","",CMS_Identification!B152)</f>
        <v/>
      </c>
      <c r="S130" t="str">
        <f>IF(CMS_Identification!F152="","",CMS_Identification!F152)</f>
        <v/>
      </c>
      <c r="T130" s="106" t="str">
        <f>IF(CMS_Identification!D152="","",CMS_Identification!D152)</f>
        <v/>
      </c>
    </row>
    <row r="131" spans="9:20" x14ac:dyDescent="0.3">
      <c r="I131" t="str" cm="1">
        <f t="array" ref="I131">IF(SUMPRODUCT(--(LEN(CMS_Identification!F153:F652)&gt;0))&gt;0,IF(CMS_Identification!F153="","",CMS_Identification!F153),"Add CMS to the CMS_Identification tab")</f>
        <v>Add CMS to the CMS_Identification tab</v>
      </c>
      <c r="J131" t="str">
        <f>IF(CMS_Identification!B153="","",CMS_Identification!B153)</f>
        <v/>
      </c>
      <c r="K131" t="str">
        <f>IF(COUNTIF(I$2:I131,I131)=1,I131,"")</f>
        <v/>
      </c>
      <c r="L131" t="str">
        <f>+IF(K131="","",MAX(L$1:L130)+1)</f>
        <v/>
      </c>
      <c r="M131" t="str">
        <f t="shared" si="3"/>
        <v/>
      </c>
      <c r="R131" t="str">
        <f>IF(CMS_Identification!B153="","",CMS_Identification!B153)</f>
        <v/>
      </c>
      <c r="S131" t="str">
        <f>IF(CMS_Identification!F153="","",CMS_Identification!F153)</f>
        <v/>
      </c>
      <c r="T131" s="106" t="str">
        <f>IF(CMS_Identification!D153="","",CMS_Identification!D153)</f>
        <v/>
      </c>
    </row>
    <row r="132" spans="9:20" x14ac:dyDescent="0.3">
      <c r="I132" t="str" cm="1">
        <f t="array" ref="I132">IF(SUMPRODUCT(--(LEN(CMS_Identification!F154:F653)&gt;0))&gt;0,IF(CMS_Identification!F154="","",CMS_Identification!F154),"Add CMS to the CMS_Identification tab")</f>
        <v>Add CMS to the CMS_Identification tab</v>
      </c>
      <c r="J132" t="str">
        <f>IF(CMS_Identification!B154="","",CMS_Identification!B154)</f>
        <v/>
      </c>
      <c r="K132" t="str">
        <f>IF(COUNTIF(I$2:I132,I132)=1,I132,"")</f>
        <v/>
      </c>
      <c r="L132" t="str">
        <f>+IF(K132="","",MAX(L$1:L131)+1)</f>
        <v/>
      </c>
      <c r="M132" t="str">
        <f t="shared" si="3"/>
        <v/>
      </c>
      <c r="R132" t="str">
        <f>IF(CMS_Identification!B154="","",CMS_Identification!B154)</f>
        <v/>
      </c>
      <c r="S132" t="str">
        <f>IF(CMS_Identification!F154="","",CMS_Identification!F154)</f>
        <v/>
      </c>
      <c r="T132" s="106" t="str">
        <f>IF(CMS_Identification!D154="","",CMS_Identification!D154)</f>
        <v/>
      </c>
    </row>
    <row r="133" spans="9:20" x14ac:dyDescent="0.3">
      <c r="I133" t="str" cm="1">
        <f t="array" ref="I133">IF(SUMPRODUCT(--(LEN(CMS_Identification!F155:F654)&gt;0))&gt;0,IF(CMS_Identification!F155="","",CMS_Identification!F155),"Add CMS to the CMS_Identification tab")</f>
        <v>Add CMS to the CMS_Identification tab</v>
      </c>
      <c r="J133" t="str">
        <f>IF(CMS_Identification!B155="","",CMS_Identification!B155)</f>
        <v/>
      </c>
      <c r="K133" t="str">
        <f>IF(COUNTIF(I$2:I133,I133)=1,I133,"")</f>
        <v/>
      </c>
      <c r="L133" t="str">
        <f>+IF(K133="","",MAX(L$1:L132)+1)</f>
        <v/>
      </c>
      <c r="M133" t="str">
        <f t="shared" si="3"/>
        <v/>
      </c>
      <c r="R133" t="str">
        <f>IF(CMS_Identification!B155="","",CMS_Identification!B155)</f>
        <v/>
      </c>
      <c r="S133" t="str">
        <f>IF(CMS_Identification!F155="","",CMS_Identification!F155)</f>
        <v/>
      </c>
      <c r="T133" s="106" t="str">
        <f>IF(CMS_Identification!D155="","",CMS_Identification!D155)</f>
        <v/>
      </c>
    </row>
    <row r="134" spans="9:20" x14ac:dyDescent="0.3">
      <c r="I134" t="str" cm="1">
        <f t="array" ref="I134">IF(SUMPRODUCT(--(LEN(CMS_Identification!F156:F655)&gt;0))&gt;0,IF(CMS_Identification!F156="","",CMS_Identification!F156),"Add CMS to the CMS_Identification tab")</f>
        <v>Add CMS to the CMS_Identification tab</v>
      </c>
      <c r="J134" t="str">
        <f>IF(CMS_Identification!B156="","",CMS_Identification!B156)</f>
        <v/>
      </c>
      <c r="K134" t="str">
        <f>IF(COUNTIF(I$2:I134,I134)=1,I134,"")</f>
        <v/>
      </c>
      <c r="L134" t="str">
        <f>+IF(K134="","",MAX(L$1:L133)+1)</f>
        <v/>
      </c>
      <c r="M134" t="str">
        <f t="shared" si="3"/>
        <v/>
      </c>
      <c r="R134" t="str">
        <f>IF(CMS_Identification!B156="","",CMS_Identification!B156)</f>
        <v/>
      </c>
      <c r="S134" t="str">
        <f>IF(CMS_Identification!F156="","",CMS_Identification!F156)</f>
        <v/>
      </c>
      <c r="T134" s="106" t="str">
        <f>IF(CMS_Identification!D156="","",CMS_Identification!D156)</f>
        <v/>
      </c>
    </row>
    <row r="135" spans="9:20" x14ac:dyDescent="0.3">
      <c r="I135" t="str" cm="1">
        <f t="array" ref="I135">IF(SUMPRODUCT(--(LEN(CMS_Identification!F157:F656)&gt;0))&gt;0,IF(CMS_Identification!F157="","",CMS_Identification!F157),"Add CMS to the CMS_Identification tab")</f>
        <v>Add CMS to the CMS_Identification tab</v>
      </c>
      <c r="J135" t="str">
        <f>IF(CMS_Identification!B157="","",CMS_Identification!B157)</f>
        <v/>
      </c>
      <c r="K135" t="str">
        <f>IF(COUNTIF(I$2:I135,I135)=1,I135,"")</f>
        <v/>
      </c>
      <c r="L135" t="str">
        <f>+IF(K135="","",MAX(L$1:L134)+1)</f>
        <v/>
      </c>
      <c r="M135" t="str">
        <f t="shared" si="3"/>
        <v/>
      </c>
      <c r="R135" t="str">
        <f>IF(CMS_Identification!B157="","",CMS_Identification!B157)</f>
        <v/>
      </c>
      <c r="S135" t="str">
        <f>IF(CMS_Identification!F157="","",CMS_Identification!F157)</f>
        <v/>
      </c>
      <c r="T135" s="106" t="str">
        <f>IF(CMS_Identification!D157="","",CMS_Identification!D157)</f>
        <v/>
      </c>
    </row>
    <row r="136" spans="9:20" x14ac:dyDescent="0.3">
      <c r="I136" t="str" cm="1">
        <f t="array" ref="I136">IF(SUMPRODUCT(--(LEN(CMS_Identification!F158:F657)&gt;0))&gt;0,IF(CMS_Identification!F158="","",CMS_Identification!F158),"Add CMS to the CMS_Identification tab")</f>
        <v>Add CMS to the CMS_Identification tab</v>
      </c>
      <c r="J136" t="str">
        <f>IF(CMS_Identification!B158="","",CMS_Identification!B158)</f>
        <v/>
      </c>
      <c r="K136" t="str">
        <f>IF(COUNTIF(I$2:I136,I136)=1,I136,"")</f>
        <v/>
      </c>
      <c r="L136" t="str">
        <f>+IF(K136="","",MAX(L$1:L135)+1)</f>
        <v/>
      </c>
      <c r="M136" t="str">
        <f t="shared" si="3"/>
        <v/>
      </c>
      <c r="R136" t="str">
        <f>IF(CMS_Identification!B158="","",CMS_Identification!B158)</f>
        <v/>
      </c>
      <c r="S136" t="str">
        <f>IF(CMS_Identification!F158="","",CMS_Identification!F158)</f>
        <v/>
      </c>
      <c r="T136" s="106" t="str">
        <f>IF(CMS_Identification!D158="","",CMS_Identification!D158)</f>
        <v/>
      </c>
    </row>
    <row r="137" spans="9:20" x14ac:dyDescent="0.3">
      <c r="I137" t="str" cm="1">
        <f t="array" ref="I137">IF(SUMPRODUCT(--(LEN(CMS_Identification!F159:F658)&gt;0))&gt;0,IF(CMS_Identification!F159="","",CMS_Identification!F159),"Add CMS to the CMS_Identification tab")</f>
        <v>Add CMS to the CMS_Identification tab</v>
      </c>
      <c r="J137" t="str">
        <f>IF(CMS_Identification!B159="","",CMS_Identification!B159)</f>
        <v/>
      </c>
      <c r="K137" t="str">
        <f>IF(COUNTIF(I$2:I137,I137)=1,I137,"")</f>
        <v/>
      </c>
      <c r="L137" t="str">
        <f>+IF(K137="","",MAX(L$1:L136)+1)</f>
        <v/>
      </c>
      <c r="M137" t="str">
        <f t="shared" si="3"/>
        <v/>
      </c>
      <c r="R137" t="str">
        <f>IF(CMS_Identification!B159="","",CMS_Identification!B159)</f>
        <v/>
      </c>
      <c r="S137" t="str">
        <f>IF(CMS_Identification!F159="","",CMS_Identification!F159)</f>
        <v/>
      </c>
      <c r="T137" s="106" t="str">
        <f>IF(CMS_Identification!D159="","",CMS_Identification!D159)</f>
        <v/>
      </c>
    </row>
    <row r="138" spans="9:20" x14ac:dyDescent="0.3">
      <c r="I138" t="str" cm="1">
        <f t="array" ref="I138">IF(SUMPRODUCT(--(LEN(CMS_Identification!F160:F659)&gt;0))&gt;0,IF(CMS_Identification!F160="","",CMS_Identification!F160),"Add CMS to the CMS_Identification tab")</f>
        <v>Add CMS to the CMS_Identification tab</v>
      </c>
      <c r="J138" t="str">
        <f>IF(CMS_Identification!B160="","",CMS_Identification!B160)</f>
        <v/>
      </c>
      <c r="K138" t="str">
        <f>IF(COUNTIF(I$2:I138,I138)=1,I138,"")</f>
        <v/>
      </c>
      <c r="L138" t="str">
        <f>+IF(K138="","",MAX(L$1:L137)+1)</f>
        <v/>
      </c>
      <c r="M138" t="str">
        <f t="shared" si="3"/>
        <v/>
      </c>
      <c r="R138" t="str">
        <f>IF(CMS_Identification!B160="","",CMS_Identification!B160)</f>
        <v/>
      </c>
      <c r="S138" t="str">
        <f>IF(CMS_Identification!F160="","",CMS_Identification!F160)</f>
        <v/>
      </c>
      <c r="T138" s="106" t="str">
        <f>IF(CMS_Identification!D160="","",CMS_Identification!D160)</f>
        <v/>
      </c>
    </row>
    <row r="139" spans="9:20" x14ac:dyDescent="0.3">
      <c r="I139" t="str" cm="1">
        <f t="array" ref="I139">IF(SUMPRODUCT(--(LEN(CMS_Identification!F161:F660)&gt;0))&gt;0,IF(CMS_Identification!F161="","",CMS_Identification!F161),"Add CMS to the CMS_Identification tab")</f>
        <v>Add CMS to the CMS_Identification tab</v>
      </c>
      <c r="J139" t="str">
        <f>IF(CMS_Identification!B161="","",CMS_Identification!B161)</f>
        <v/>
      </c>
      <c r="K139" t="str">
        <f>IF(COUNTIF(I$2:I139,I139)=1,I139,"")</f>
        <v/>
      </c>
      <c r="L139" t="str">
        <f>+IF(K139="","",MAX(L$1:L138)+1)</f>
        <v/>
      </c>
      <c r="M139" t="str">
        <f t="shared" si="3"/>
        <v/>
      </c>
      <c r="R139" t="str">
        <f>IF(CMS_Identification!B161="","",CMS_Identification!B161)</f>
        <v/>
      </c>
      <c r="S139" t="str">
        <f>IF(CMS_Identification!F161="","",CMS_Identification!F161)</f>
        <v/>
      </c>
      <c r="T139" s="106" t="str">
        <f>IF(CMS_Identification!D161="","",CMS_Identification!D161)</f>
        <v/>
      </c>
    </row>
    <row r="140" spans="9:20" x14ac:dyDescent="0.3">
      <c r="I140" t="str" cm="1">
        <f t="array" ref="I140">IF(SUMPRODUCT(--(LEN(CMS_Identification!F162:F661)&gt;0))&gt;0,IF(CMS_Identification!F162="","",CMS_Identification!F162),"Add CMS to the CMS_Identification tab")</f>
        <v>Add CMS to the CMS_Identification tab</v>
      </c>
      <c r="J140" t="str">
        <f>IF(CMS_Identification!B162="","",CMS_Identification!B162)</f>
        <v/>
      </c>
      <c r="K140" t="str">
        <f>IF(COUNTIF(I$2:I140,I140)=1,I140,"")</f>
        <v/>
      </c>
      <c r="L140" t="str">
        <f>+IF(K140="","",MAX(L$1:L139)+1)</f>
        <v/>
      </c>
      <c r="M140" t="str">
        <f t="shared" si="3"/>
        <v/>
      </c>
      <c r="R140" t="str">
        <f>IF(CMS_Identification!B162="","",CMS_Identification!B162)</f>
        <v/>
      </c>
      <c r="S140" t="str">
        <f>IF(CMS_Identification!F162="","",CMS_Identification!F162)</f>
        <v/>
      </c>
      <c r="T140" s="106" t="str">
        <f>IF(CMS_Identification!D162="","",CMS_Identification!D162)</f>
        <v/>
      </c>
    </row>
    <row r="141" spans="9:20" x14ac:dyDescent="0.3">
      <c r="I141" t="str" cm="1">
        <f t="array" ref="I141">IF(SUMPRODUCT(--(LEN(CMS_Identification!F163:F662)&gt;0))&gt;0,IF(CMS_Identification!F163="","",CMS_Identification!F163),"Add CMS to the CMS_Identification tab")</f>
        <v>Add CMS to the CMS_Identification tab</v>
      </c>
      <c r="J141" t="str">
        <f>IF(CMS_Identification!B163="","",CMS_Identification!B163)</f>
        <v/>
      </c>
      <c r="K141" t="str">
        <f>IF(COUNTIF(I$2:I141,I141)=1,I141,"")</f>
        <v/>
      </c>
      <c r="L141" t="str">
        <f>+IF(K141="","",MAX(L$1:L140)+1)</f>
        <v/>
      </c>
      <c r="M141" t="str">
        <f t="shared" si="3"/>
        <v/>
      </c>
      <c r="R141" t="str">
        <f>IF(CMS_Identification!B163="","",CMS_Identification!B163)</f>
        <v/>
      </c>
      <c r="S141" t="str">
        <f>IF(CMS_Identification!F163="","",CMS_Identification!F163)</f>
        <v/>
      </c>
      <c r="T141" s="106" t="str">
        <f>IF(CMS_Identification!D163="","",CMS_Identification!D163)</f>
        <v/>
      </c>
    </row>
    <row r="142" spans="9:20" x14ac:dyDescent="0.3">
      <c r="I142" t="str" cm="1">
        <f t="array" ref="I142">IF(SUMPRODUCT(--(LEN(CMS_Identification!F164:F663)&gt;0))&gt;0,IF(CMS_Identification!F164="","",CMS_Identification!F164),"Add CMS to the CMS_Identification tab")</f>
        <v>Add CMS to the CMS_Identification tab</v>
      </c>
      <c r="J142" t="str">
        <f>IF(CMS_Identification!B164="","",CMS_Identification!B164)</f>
        <v/>
      </c>
      <c r="K142" t="str">
        <f>IF(COUNTIF(I$2:I142,I142)=1,I142,"")</f>
        <v/>
      </c>
      <c r="L142" t="str">
        <f>+IF(K142="","",MAX(L$1:L141)+1)</f>
        <v/>
      </c>
      <c r="M142" t="str">
        <f t="shared" si="3"/>
        <v/>
      </c>
      <c r="R142" t="str">
        <f>IF(CMS_Identification!B164="","",CMS_Identification!B164)</f>
        <v/>
      </c>
      <c r="S142" t="str">
        <f>IF(CMS_Identification!F164="","",CMS_Identification!F164)</f>
        <v/>
      </c>
      <c r="T142" s="106" t="str">
        <f>IF(CMS_Identification!D164="","",CMS_Identification!D164)</f>
        <v/>
      </c>
    </row>
    <row r="143" spans="9:20" x14ac:dyDescent="0.3">
      <c r="I143" t="str" cm="1">
        <f t="array" ref="I143">IF(SUMPRODUCT(--(LEN(CMS_Identification!F165:F664)&gt;0))&gt;0,IF(CMS_Identification!F165="","",CMS_Identification!F165),"Add CMS to the CMS_Identification tab")</f>
        <v>Add CMS to the CMS_Identification tab</v>
      </c>
      <c r="J143" t="str">
        <f>IF(CMS_Identification!B165="","",CMS_Identification!B165)</f>
        <v/>
      </c>
      <c r="K143" t="str">
        <f>IF(COUNTIF(I$2:I143,I143)=1,I143,"")</f>
        <v/>
      </c>
      <c r="L143" t="str">
        <f>+IF(K143="","",MAX(L$1:L142)+1)</f>
        <v/>
      </c>
      <c r="M143" t="str">
        <f t="shared" si="3"/>
        <v/>
      </c>
      <c r="R143" t="str">
        <f>IF(CMS_Identification!B165="","",CMS_Identification!B165)</f>
        <v/>
      </c>
      <c r="S143" t="str">
        <f>IF(CMS_Identification!F165="","",CMS_Identification!F165)</f>
        <v/>
      </c>
      <c r="T143" s="106" t="str">
        <f>IF(CMS_Identification!D165="","",CMS_Identification!D165)</f>
        <v/>
      </c>
    </row>
    <row r="144" spans="9:20" x14ac:dyDescent="0.3">
      <c r="I144" t="str" cm="1">
        <f t="array" ref="I144">IF(SUMPRODUCT(--(LEN(CMS_Identification!F166:F665)&gt;0))&gt;0,IF(CMS_Identification!F166="","",CMS_Identification!F166),"Add CMS to the CMS_Identification tab")</f>
        <v>Add CMS to the CMS_Identification tab</v>
      </c>
      <c r="J144" t="str">
        <f>IF(CMS_Identification!B166="","",CMS_Identification!B166)</f>
        <v/>
      </c>
      <c r="K144" t="str">
        <f>IF(COUNTIF(I$2:I144,I144)=1,I144,"")</f>
        <v/>
      </c>
      <c r="L144" t="str">
        <f>+IF(K144="","",MAX(L$1:L143)+1)</f>
        <v/>
      </c>
      <c r="M144" t="str">
        <f t="shared" si="3"/>
        <v/>
      </c>
      <c r="R144" t="str">
        <f>IF(CMS_Identification!B166="","",CMS_Identification!B166)</f>
        <v/>
      </c>
      <c r="S144" t="str">
        <f>IF(CMS_Identification!F166="","",CMS_Identification!F166)</f>
        <v/>
      </c>
      <c r="T144" s="106" t="str">
        <f>IF(CMS_Identification!D166="","",CMS_Identification!D166)</f>
        <v/>
      </c>
    </row>
    <row r="145" spans="9:20" x14ac:dyDescent="0.3">
      <c r="I145" t="str" cm="1">
        <f t="array" ref="I145">IF(SUMPRODUCT(--(LEN(CMS_Identification!F167:F666)&gt;0))&gt;0,IF(CMS_Identification!F167="","",CMS_Identification!F167),"Add CMS to the CMS_Identification tab")</f>
        <v>Add CMS to the CMS_Identification tab</v>
      </c>
      <c r="J145" t="str">
        <f>IF(CMS_Identification!B167="","",CMS_Identification!B167)</f>
        <v/>
      </c>
      <c r="K145" t="str">
        <f>IF(COUNTIF(I$2:I145,I145)=1,I145,"")</f>
        <v/>
      </c>
      <c r="L145" t="str">
        <f>+IF(K145="","",MAX(L$1:L144)+1)</f>
        <v/>
      </c>
      <c r="M145" t="str">
        <f t="shared" si="3"/>
        <v/>
      </c>
      <c r="R145" t="str">
        <f>IF(CMS_Identification!B167="","",CMS_Identification!B167)</f>
        <v/>
      </c>
      <c r="S145" t="str">
        <f>IF(CMS_Identification!F167="","",CMS_Identification!F167)</f>
        <v/>
      </c>
      <c r="T145" s="106" t="str">
        <f>IF(CMS_Identification!D167="","",CMS_Identification!D167)</f>
        <v/>
      </c>
    </row>
    <row r="146" spans="9:20" x14ac:dyDescent="0.3">
      <c r="I146" t="str" cm="1">
        <f t="array" ref="I146">IF(SUMPRODUCT(--(LEN(CMS_Identification!F168:F667)&gt;0))&gt;0,IF(CMS_Identification!F168="","",CMS_Identification!F168),"Add CMS to the CMS_Identification tab")</f>
        <v>Add CMS to the CMS_Identification tab</v>
      </c>
      <c r="J146" t="str">
        <f>IF(CMS_Identification!B168="","",CMS_Identification!B168)</f>
        <v/>
      </c>
      <c r="K146" t="str">
        <f>IF(COUNTIF(I$2:I146,I146)=1,I146,"")</f>
        <v/>
      </c>
      <c r="L146" t="str">
        <f>+IF(K146="","",MAX(L$1:L145)+1)</f>
        <v/>
      </c>
      <c r="M146" t="str">
        <f t="shared" si="3"/>
        <v/>
      </c>
      <c r="R146" t="str">
        <f>IF(CMS_Identification!B168="","",CMS_Identification!B168)</f>
        <v/>
      </c>
      <c r="S146" t="str">
        <f>IF(CMS_Identification!F168="","",CMS_Identification!F168)</f>
        <v/>
      </c>
      <c r="T146" s="106" t="str">
        <f>IF(CMS_Identification!D168="","",CMS_Identification!D168)</f>
        <v/>
      </c>
    </row>
    <row r="147" spans="9:20" x14ac:dyDescent="0.3">
      <c r="I147" t="str" cm="1">
        <f t="array" ref="I147">IF(SUMPRODUCT(--(LEN(CMS_Identification!F169:F668)&gt;0))&gt;0,IF(CMS_Identification!F169="","",CMS_Identification!F169),"Add CMS to the CMS_Identification tab")</f>
        <v>Add CMS to the CMS_Identification tab</v>
      </c>
      <c r="J147" t="str">
        <f>IF(CMS_Identification!B169="","",CMS_Identification!B169)</f>
        <v/>
      </c>
      <c r="K147" t="str">
        <f>IF(COUNTIF(I$2:I147,I147)=1,I147,"")</f>
        <v/>
      </c>
      <c r="L147" t="str">
        <f>+IF(K147="","",MAX(L$1:L146)+1)</f>
        <v/>
      </c>
      <c r="M147" t="str">
        <f t="shared" si="3"/>
        <v/>
      </c>
      <c r="R147" t="str">
        <f>IF(CMS_Identification!B169="","",CMS_Identification!B169)</f>
        <v/>
      </c>
      <c r="S147" t="str">
        <f>IF(CMS_Identification!F169="","",CMS_Identification!F169)</f>
        <v/>
      </c>
      <c r="T147" s="106" t="str">
        <f>IF(CMS_Identification!D169="","",CMS_Identification!D169)</f>
        <v/>
      </c>
    </row>
    <row r="148" spans="9:20" x14ac:dyDescent="0.3">
      <c r="I148" t="str" cm="1">
        <f t="array" ref="I148">IF(SUMPRODUCT(--(LEN(CMS_Identification!F170:F669)&gt;0))&gt;0,IF(CMS_Identification!F170="","",CMS_Identification!F170),"Add CMS to the CMS_Identification tab")</f>
        <v>Add CMS to the CMS_Identification tab</v>
      </c>
      <c r="J148" t="str">
        <f>IF(CMS_Identification!B170="","",CMS_Identification!B170)</f>
        <v/>
      </c>
      <c r="K148" t="str">
        <f>IF(COUNTIF(I$2:I148,I148)=1,I148,"")</f>
        <v/>
      </c>
      <c r="L148" t="str">
        <f>+IF(K148="","",MAX(L$1:L147)+1)</f>
        <v/>
      </c>
      <c r="M148" t="str">
        <f t="shared" si="3"/>
        <v/>
      </c>
      <c r="R148" t="str">
        <f>IF(CMS_Identification!B170="","",CMS_Identification!B170)</f>
        <v/>
      </c>
      <c r="S148" t="str">
        <f>IF(CMS_Identification!F170="","",CMS_Identification!F170)</f>
        <v/>
      </c>
      <c r="T148" s="106" t="str">
        <f>IF(CMS_Identification!D170="","",CMS_Identification!D170)</f>
        <v/>
      </c>
    </row>
    <row r="149" spans="9:20" x14ac:dyDescent="0.3">
      <c r="I149" t="str" cm="1">
        <f t="array" ref="I149">IF(SUMPRODUCT(--(LEN(CMS_Identification!F171:F670)&gt;0))&gt;0,IF(CMS_Identification!F171="","",CMS_Identification!F171),"Add CMS to the CMS_Identification tab")</f>
        <v>Add CMS to the CMS_Identification tab</v>
      </c>
      <c r="J149" t="str">
        <f>IF(CMS_Identification!B171="","",CMS_Identification!B171)</f>
        <v/>
      </c>
      <c r="K149" t="str">
        <f>IF(COUNTIF(I$2:I149,I149)=1,I149,"")</f>
        <v/>
      </c>
      <c r="L149" t="str">
        <f>+IF(K149="","",MAX(L$1:L148)+1)</f>
        <v/>
      </c>
      <c r="M149" t="str">
        <f t="shared" si="3"/>
        <v/>
      </c>
      <c r="R149" t="str">
        <f>IF(CMS_Identification!B171="","",CMS_Identification!B171)</f>
        <v/>
      </c>
      <c r="S149" t="str">
        <f>IF(CMS_Identification!F171="","",CMS_Identification!F171)</f>
        <v/>
      </c>
      <c r="T149" s="106" t="str">
        <f>IF(CMS_Identification!D171="","",CMS_Identification!D171)</f>
        <v/>
      </c>
    </row>
    <row r="150" spans="9:20" x14ac:dyDescent="0.3">
      <c r="I150" t="str" cm="1">
        <f t="array" ref="I150">IF(SUMPRODUCT(--(LEN(CMS_Identification!F172:F671)&gt;0))&gt;0,IF(CMS_Identification!F172="","",CMS_Identification!F172),"Add CMS to the CMS_Identification tab")</f>
        <v>Add CMS to the CMS_Identification tab</v>
      </c>
      <c r="J150" t="str">
        <f>IF(CMS_Identification!B172="","",CMS_Identification!B172)</f>
        <v/>
      </c>
      <c r="K150" t="str">
        <f>IF(COUNTIF(I$2:I150,I150)=1,I150,"")</f>
        <v/>
      </c>
      <c r="L150" t="str">
        <f>+IF(K150="","",MAX(L$1:L149)+1)</f>
        <v/>
      </c>
      <c r="M150" t="str">
        <f t="shared" si="3"/>
        <v/>
      </c>
      <c r="R150" t="str">
        <f>IF(CMS_Identification!B172="","",CMS_Identification!B172)</f>
        <v/>
      </c>
      <c r="S150" t="str">
        <f>IF(CMS_Identification!F172="","",CMS_Identification!F172)</f>
        <v/>
      </c>
      <c r="T150" s="106" t="str">
        <f>IF(CMS_Identification!D172="","",CMS_Identification!D172)</f>
        <v/>
      </c>
    </row>
    <row r="151" spans="9:20" x14ac:dyDescent="0.3">
      <c r="I151" t="str" cm="1">
        <f t="array" ref="I151">IF(SUMPRODUCT(--(LEN(CMS_Identification!F173:F672)&gt;0))&gt;0,IF(CMS_Identification!F173="","",CMS_Identification!F173),"Add CMS to the CMS_Identification tab")</f>
        <v>Add CMS to the CMS_Identification tab</v>
      </c>
      <c r="J151" t="str">
        <f>IF(CMS_Identification!B173="","",CMS_Identification!B173)</f>
        <v/>
      </c>
      <c r="K151" t="str">
        <f>IF(COUNTIF(I$2:I151,I151)=1,I151,"")</f>
        <v/>
      </c>
      <c r="L151" t="str">
        <f>+IF(K151="","",MAX(L$1:L150)+1)</f>
        <v/>
      </c>
      <c r="M151" t="str">
        <f t="shared" si="3"/>
        <v/>
      </c>
      <c r="R151" t="str">
        <f>IF(CMS_Identification!B173="","",CMS_Identification!B173)</f>
        <v/>
      </c>
      <c r="S151" t="str">
        <f>IF(CMS_Identification!F173="","",CMS_Identification!F173)</f>
        <v/>
      </c>
      <c r="T151" s="106" t="str">
        <f>IF(CMS_Identification!D173="","",CMS_Identification!D173)</f>
        <v/>
      </c>
    </row>
    <row r="152" spans="9:20" x14ac:dyDescent="0.3">
      <c r="I152" t="str" cm="1">
        <f t="array" ref="I152">IF(SUMPRODUCT(--(LEN(CMS_Identification!F174:F673)&gt;0))&gt;0,IF(CMS_Identification!F174="","",CMS_Identification!F174),"Add CMS to the CMS_Identification tab")</f>
        <v>Add CMS to the CMS_Identification tab</v>
      </c>
      <c r="J152" t="str">
        <f>IF(CMS_Identification!B174="","",CMS_Identification!B174)</f>
        <v/>
      </c>
      <c r="K152" t="str">
        <f>IF(COUNTIF(I$2:I152,I152)=1,I152,"")</f>
        <v/>
      </c>
      <c r="L152" t="str">
        <f>+IF(K152="","",MAX(L$1:L151)+1)</f>
        <v/>
      </c>
      <c r="M152" t="str">
        <f t="shared" si="3"/>
        <v/>
      </c>
      <c r="R152" t="str">
        <f>IF(CMS_Identification!B174="","",CMS_Identification!B174)</f>
        <v/>
      </c>
      <c r="S152" t="str">
        <f>IF(CMS_Identification!F174="","",CMS_Identification!F174)</f>
        <v/>
      </c>
      <c r="T152" s="106" t="str">
        <f>IF(CMS_Identification!D174="","",CMS_Identification!D174)</f>
        <v/>
      </c>
    </row>
    <row r="153" spans="9:20" x14ac:dyDescent="0.3">
      <c r="I153" t="str" cm="1">
        <f t="array" ref="I153">IF(SUMPRODUCT(--(LEN(CMS_Identification!F175:F674)&gt;0))&gt;0,IF(CMS_Identification!F175="","",CMS_Identification!F175),"Add CMS to the CMS_Identification tab")</f>
        <v>Add CMS to the CMS_Identification tab</v>
      </c>
      <c r="J153" t="str">
        <f>IF(CMS_Identification!B175="","",CMS_Identification!B175)</f>
        <v/>
      </c>
      <c r="K153" t="str">
        <f>IF(COUNTIF(I$2:I153,I153)=1,I153,"")</f>
        <v/>
      </c>
      <c r="L153" t="str">
        <f>+IF(K153="","",MAX(L$1:L152)+1)</f>
        <v/>
      </c>
      <c r="M153" t="str">
        <f t="shared" si="3"/>
        <v/>
      </c>
      <c r="R153" t="str">
        <f>IF(CMS_Identification!B175="","",CMS_Identification!B175)</f>
        <v/>
      </c>
      <c r="S153" t="str">
        <f>IF(CMS_Identification!F175="","",CMS_Identification!F175)</f>
        <v/>
      </c>
      <c r="T153" s="106" t="str">
        <f>IF(CMS_Identification!D175="","",CMS_Identification!D175)</f>
        <v/>
      </c>
    </row>
    <row r="154" spans="9:20" x14ac:dyDescent="0.3">
      <c r="I154" t="str" cm="1">
        <f t="array" ref="I154">IF(SUMPRODUCT(--(LEN(CMS_Identification!F176:F675)&gt;0))&gt;0,IF(CMS_Identification!F176="","",CMS_Identification!F176),"Add CMS to the CMS_Identification tab")</f>
        <v>Add CMS to the CMS_Identification tab</v>
      </c>
      <c r="J154" t="str">
        <f>IF(CMS_Identification!B176="","",CMS_Identification!B176)</f>
        <v/>
      </c>
      <c r="K154" t="str">
        <f>IF(COUNTIF(I$2:I154,I154)=1,I154,"")</f>
        <v/>
      </c>
      <c r="L154" t="str">
        <f>+IF(K154="","",MAX(L$1:L153)+1)</f>
        <v/>
      </c>
      <c r="M154" t="str">
        <f t="shared" si="3"/>
        <v/>
      </c>
      <c r="R154" t="str">
        <f>IF(CMS_Identification!B176="","",CMS_Identification!B176)</f>
        <v/>
      </c>
      <c r="S154" t="str">
        <f>IF(CMS_Identification!F176="","",CMS_Identification!F176)</f>
        <v/>
      </c>
      <c r="T154" s="106" t="str">
        <f>IF(CMS_Identification!D176="","",CMS_Identification!D176)</f>
        <v/>
      </c>
    </row>
    <row r="155" spans="9:20" x14ac:dyDescent="0.3">
      <c r="I155" t="str" cm="1">
        <f t="array" ref="I155">IF(SUMPRODUCT(--(LEN(CMS_Identification!F177:F676)&gt;0))&gt;0,IF(CMS_Identification!F177="","",CMS_Identification!F177),"Add CMS to the CMS_Identification tab")</f>
        <v>Add CMS to the CMS_Identification tab</v>
      </c>
      <c r="J155" t="str">
        <f>IF(CMS_Identification!B177="","",CMS_Identification!B177)</f>
        <v/>
      </c>
      <c r="K155" t="str">
        <f>IF(COUNTIF(I$2:I155,I155)=1,I155,"")</f>
        <v/>
      </c>
      <c r="L155" t="str">
        <f>+IF(K155="","",MAX(L$1:L154)+1)</f>
        <v/>
      </c>
      <c r="M155" t="str">
        <f t="shared" si="3"/>
        <v/>
      </c>
      <c r="R155" t="str">
        <f>IF(CMS_Identification!B177="","",CMS_Identification!B177)</f>
        <v/>
      </c>
      <c r="S155" t="str">
        <f>IF(CMS_Identification!F177="","",CMS_Identification!F177)</f>
        <v/>
      </c>
      <c r="T155" s="106" t="str">
        <f>IF(CMS_Identification!D177="","",CMS_Identification!D177)</f>
        <v/>
      </c>
    </row>
    <row r="156" spans="9:20" x14ac:dyDescent="0.3">
      <c r="I156" t="str" cm="1">
        <f t="array" ref="I156">IF(SUMPRODUCT(--(LEN(CMS_Identification!F178:F677)&gt;0))&gt;0,IF(CMS_Identification!F178="","",CMS_Identification!F178),"Add CMS to the CMS_Identification tab")</f>
        <v>Add CMS to the CMS_Identification tab</v>
      </c>
      <c r="J156" t="str">
        <f>IF(CMS_Identification!B178="","",CMS_Identification!B178)</f>
        <v/>
      </c>
      <c r="K156" t="str">
        <f>IF(COUNTIF(I$2:I156,I156)=1,I156,"")</f>
        <v/>
      </c>
      <c r="L156" t="str">
        <f>+IF(K156="","",MAX(L$1:L155)+1)</f>
        <v/>
      </c>
      <c r="M156" t="str">
        <f t="shared" si="3"/>
        <v/>
      </c>
      <c r="R156" t="str">
        <f>IF(CMS_Identification!B178="","",CMS_Identification!B178)</f>
        <v/>
      </c>
      <c r="S156" t="str">
        <f>IF(CMS_Identification!F178="","",CMS_Identification!F178)</f>
        <v/>
      </c>
      <c r="T156" s="106" t="str">
        <f>IF(CMS_Identification!D178="","",CMS_Identification!D178)</f>
        <v/>
      </c>
    </row>
    <row r="157" spans="9:20" x14ac:dyDescent="0.3">
      <c r="I157" t="str" cm="1">
        <f t="array" ref="I157">IF(SUMPRODUCT(--(LEN(CMS_Identification!F179:F678)&gt;0))&gt;0,IF(CMS_Identification!F179="","",CMS_Identification!F179),"Add CMS to the CMS_Identification tab")</f>
        <v>Add CMS to the CMS_Identification tab</v>
      </c>
      <c r="J157" t="str">
        <f>IF(CMS_Identification!B179="","",CMS_Identification!B179)</f>
        <v/>
      </c>
      <c r="K157" t="str">
        <f>IF(COUNTIF(I$2:I157,I157)=1,I157,"")</f>
        <v/>
      </c>
      <c r="L157" t="str">
        <f>+IF(K157="","",MAX(L$1:L156)+1)</f>
        <v/>
      </c>
      <c r="M157" t="str">
        <f t="shared" si="3"/>
        <v/>
      </c>
      <c r="R157" t="str">
        <f>IF(CMS_Identification!B179="","",CMS_Identification!B179)</f>
        <v/>
      </c>
      <c r="S157" t="str">
        <f>IF(CMS_Identification!F179="","",CMS_Identification!F179)</f>
        <v/>
      </c>
      <c r="T157" s="106" t="str">
        <f>IF(CMS_Identification!D179="","",CMS_Identification!D179)</f>
        <v/>
      </c>
    </row>
    <row r="158" spans="9:20" x14ac:dyDescent="0.3">
      <c r="I158" t="str" cm="1">
        <f t="array" ref="I158">IF(SUMPRODUCT(--(LEN(CMS_Identification!F180:F679)&gt;0))&gt;0,IF(CMS_Identification!F180="","",CMS_Identification!F180),"Add CMS to the CMS_Identification tab")</f>
        <v>Add CMS to the CMS_Identification tab</v>
      </c>
      <c r="J158" t="str">
        <f>IF(CMS_Identification!B180="","",CMS_Identification!B180)</f>
        <v/>
      </c>
      <c r="K158" t="str">
        <f>IF(COUNTIF(I$2:I158,I158)=1,I158,"")</f>
        <v/>
      </c>
      <c r="L158" t="str">
        <f>+IF(K158="","",MAX(L$1:L157)+1)</f>
        <v/>
      </c>
      <c r="M158" t="str">
        <f t="shared" si="3"/>
        <v/>
      </c>
      <c r="R158" t="str">
        <f>IF(CMS_Identification!B180="","",CMS_Identification!B180)</f>
        <v/>
      </c>
      <c r="S158" t="str">
        <f>IF(CMS_Identification!F180="","",CMS_Identification!F180)</f>
        <v/>
      </c>
      <c r="T158" s="106" t="str">
        <f>IF(CMS_Identification!D180="","",CMS_Identification!D180)</f>
        <v/>
      </c>
    </row>
    <row r="159" spans="9:20" x14ac:dyDescent="0.3">
      <c r="I159" t="str" cm="1">
        <f t="array" ref="I159">IF(SUMPRODUCT(--(LEN(CMS_Identification!F181:F680)&gt;0))&gt;0,IF(CMS_Identification!F181="","",CMS_Identification!F181),"Add CMS to the CMS_Identification tab")</f>
        <v>Add CMS to the CMS_Identification tab</v>
      </c>
      <c r="J159" t="str">
        <f>IF(CMS_Identification!B181="","",CMS_Identification!B181)</f>
        <v/>
      </c>
      <c r="K159" t="str">
        <f>IF(COUNTIF(I$2:I159,I159)=1,I159,"")</f>
        <v/>
      </c>
      <c r="L159" t="str">
        <f>+IF(K159="","",MAX(L$1:L158)+1)</f>
        <v/>
      </c>
      <c r="M159" t="str">
        <f t="shared" si="3"/>
        <v/>
      </c>
      <c r="R159" t="str">
        <f>IF(CMS_Identification!B181="","",CMS_Identification!B181)</f>
        <v/>
      </c>
      <c r="S159" t="str">
        <f>IF(CMS_Identification!F181="","",CMS_Identification!F181)</f>
        <v/>
      </c>
      <c r="T159" s="106" t="str">
        <f>IF(CMS_Identification!D181="","",CMS_Identification!D181)</f>
        <v/>
      </c>
    </row>
    <row r="160" spans="9:20" x14ac:dyDescent="0.3">
      <c r="I160" t="str" cm="1">
        <f t="array" ref="I160">IF(SUMPRODUCT(--(LEN(CMS_Identification!F182:F681)&gt;0))&gt;0,IF(CMS_Identification!F182="","",CMS_Identification!F182),"Add CMS to the CMS_Identification tab")</f>
        <v>Add CMS to the CMS_Identification tab</v>
      </c>
      <c r="J160" t="str">
        <f>IF(CMS_Identification!B182="","",CMS_Identification!B182)</f>
        <v/>
      </c>
      <c r="K160" t="str">
        <f>IF(COUNTIF(I$2:I160,I160)=1,I160,"")</f>
        <v/>
      </c>
      <c r="L160" t="str">
        <f>+IF(K160="","",MAX(L$1:L159)+1)</f>
        <v/>
      </c>
      <c r="M160" t="str">
        <f t="shared" si="3"/>
        <v/>
      </c>
      <c r="R160" t="str">
        <f>IF(CMS_Identification!B182="","",CMS_Identification!B182)</f>
        <v/>
      </c>
      <c r="S160" t="str">
        <f>IF(CMS_Identification!F182="","",CMS_Identification!F182)</f>
        <v/>
      </c>
      <c r="T160" s="106" t="str">
        <f>IF(CMS_Identification!D182="","",CMS_Identification!D182)</f>
        <v/>
      </c>
    </row>
    <row r="161" spans="9:20" x14ac:dyDescent="0.3">
      <c r="I161" t="str" cm="1">
        <f t="array" ref="I161">IF(SUMPRODUCT(--(LEN(CMS_Identification!F183:F682)&gt;0))&gt;0,IF(CMS_Identification!F183="","",CMS_Identification!F183),"Add CMS to the CMS_Identification tab")</f>
        <v>Add CMS to the CMS_Identification tab</v>
      </c>
      <c r="J161" t="str">
        <f>IF(CMS_Identification!B183="","",CMS_Identification!B183)</f>
        <v/>
      </c>
      <c r="K161" t="str">
        <f>IF(COUNTIF(I$2:I161,I161)=1,I161,"")</f>
        <v/>
      </c>
      <c r="L161" t="str">
        <f>+IF(K161="","",MAX(L$1:L160)+1)</f>
        <v/>
      </c>
      <c r="M161" t="str">
        <f t="shared" si="3"/>
        <v/>
      </c>
      <c r="R161" t="str">
        <f>IF(CMS_Identification!B183="","",CMS_Identification!B183)</f>
        <v/>
      </c>
      <c r="S161" t="str">
        <f>IF(CMS_Identification!F183="","",CMS_Identification!F183)</f>
        <v/>
      </c>
      <c r="T161" s="106" t="str">
        <f>IF(CMS_Identification!D183="","",CMS_Identification!D183)</f>
        <v/>
      </c>
    </row>
    <row r="162" spans="9:20" x14ac:dyDescent="0.3">
      <c r="I162" t="str" cm="1">
        <f t="array" ref="I162">IF(SUMPRODUCT(--(LEN(CMS_Identification!F184:F683)&gt;0))&gt;0,IF(CMS_Identification!F184="","",CMS_Identification!F184),"Add CMS to the CMS_Identification tab")</f>
        <v>Add CMS to the CMS_Identification tab</v>
      </c>
      <c r="J162" t="str">
        <f>IF(CMS_Identification!B184="","",CMS_Identification!B184)</f>
        <v/>
      </c>
      <c r="K162" t="str">
        <f>IF(COUNTIF(I$2:I162,I162)=1,I162,"")</f>
        <v/>
      </c>
      <c r="L162" t="str">
        <f>+IF(K162="","",MAX(L$1:L161)+1)</f>
        <v/>
      </c>
      <c r="M162" t="str">
        <f t="shared" si="3"/>
        <v/>
      </c>
      <c r="R162" t="str">
        <f>IF(CMS_Identification!B184="","",CMS_Identification!B184)</f>
        <v/>
      </c>
      <c r="S162" t="str">
        <f>IF(CMS_Identification!F184="","",CMS_Identification!F184)</f>
        <v/>
      </c>
      <c r="T162" s="106" t="str">
        <f>IF(CMS_Identification!D184="","",CMS_Identification!D184)</f>
        <v/>
      </c>
    </row>
    <row r="163" spans="9:20" x14ac:dyDescent="0.3">
      <c r="I163" t="str" cm="1">
        <f t="array" ref="I163">IF(SUMPRODUCT(--(LEN(CMS_Identification!F185:F684)&gt;0))&gt;0,IF(CMS_Identification!F185="","",CMS_Identification!F185),"Add CMS to the CMS_Identification tab")</f>
        <v>Add CMS to the CMS_Identification tab</v>
      </c>
      <c r="J163" t="str">
        <f>IF(CMS_Identification!B185="","",CMS_Identification!B185)</f>
        <v/>
      </c>
      <c r="K163" t="str">
        <f>IF(COUNTIF(I$2:I163,I163)=1,I163,"")</f>
        <v/>
      </c>
      <c r="L163" t="str">
        <f>+IF(K163="","",MAX(L$1:L162)+1)</f>
        <v/>
      </c>
      <c r="M163" t="str">
        <f t="shared" si="3"/>
        <v/>
      </c>
      <c r="R163" t="str">
        <f>IF(CMS_Identification!B185="","",CMS_Identification!B185)</f>
        <v/>
      </c>
      <c r="S163" t="str">
        <f>IF(CMS_Identification!F185="","",CMS_Identification!F185)</f>
        <v/>
      </c>
      <c r="T163" s="106" t="str">
        <f>IF(CMS_Identification!D185="","",CMS_Identification!D185)</f>
        <v/>
      </c>
    </row>
    <row r="164" spans="9:20" x14ac:dyDescent="0.3">
      <c r="I164" t="str" cm="1">
        <f t="array" ref="I164">IF(SUMPRODUCT(--(LEN(CMS_Identification!F186:F685)&gt;0))&gt;0,IF(CMS_Identification!F186="","",CMS_Identification!F186),"Add CMS to the CMS_Identification tab")</f>
        <v>Add CMS to the CMS_Identification tab</v>
      </c>
      <c r="J164" t="str">
        <f>IF(CMS_Identification!B186="","",CMS_Identification!B186)</f>
        <v/>
      </c>
      <c r="K164" t="str">
        <f>IF(COUNTIF(I$2:I164,I164)=1,I164,"")</f>
        <v/>
      </c>
      <c r="L164" t="str">
        <f>+IF(K164="","",MAX(L$1:L163)+1)</f>
        <v/>
      </c>
      <c r="M164" t="str">
        <f t="shared" si="3"/>
        <v/>
      </c>
      <c r="R164" t="str">
        <f>IF(CMS_Identification!B186="","",CMS_Identification!B186)</f>
        <v/>
      </c>
      <c r="S164" t="str">
        <f>IF(CMS_Identification!F186="","",CMS_Identification!F186)</f>
        <v/>
      </c>
      <c r="T164" s="106" t="str">
        <f>IF(CMS_Identification!D186="","",CMS_Identification!D186)</f>
        <v/>
      </c>
    </row>
    <row r="165" spans="9:20" x14ac:dyDescent="0.3">
      <c r="I165" t="str" cm="1">
        <f t="array" ref="I165">IF(SUMPRODUCT(--(LEN(CMS_Identification!F187:F686)&gt;0))&gt;0,IF(CMS_Identification!F187="","",CMS_Identification!F187),"Add CMS to the CMS_Identification tab")</f>
        <v>Add CMS to the CMS_Identification tab</v>
      </c>
      <c r="J165" t="str">
        <f>IF(CMS_Identification!B187="","",CMS_Identification!B187)</f>
        <v/>
      </c>
      <c r="K165" t="str">
        <f>IF(COUNTIF(I$2:I165,I165)=1,I165,"")</f>
        <v/>
      </c>
      <c r="L165" t="str">
        <f>+IF(K165="","",MAX(L$1:L164)+1)</f>
        <v/>
      </c>
      <c r="M165" t="str">
        <f t="shared" si="3"/>
        <v/>
      </c>
      <c r="R165" t="str">
        <f>IF(CMS_Identification!B187="","",CMS_Identification!B187)</f>
        <v/>
      </c>
      <c r="S165" t="str">
        <f>IF(CMS_Identification!F187="","",CMS_Identification!F187)</f>
        <v/>
      </c>
      <c r="T165" s="106" t="str">
        <f>IF(CMS_Identification!D187="","",CMS_Identification!D187)</f>
        <v/>
      </c>
    </row>
    <row r="166" spans="9:20" x14ac:dyDescent="0.3">
      <c r="I166" t="str" cm="1">
        <f t="array" ref="I166">IF(SUMPRODUCT(--(LEN(CMS_Identification!F188:F687)&gt;0))&gt;0,IF(CMS_Identification!F188="","",CMS_Identification!F188),"Add CMS to the CMS_Identification tab")</f>
        <v>Add CMS to the CMS_Identification tab</v>
      </c>
      <c r="J166" t="str">
        <f>IF(CMS_Identification!B188="","",CMS_Identification!B188)</f>
        <v/>
      </c>
      <c r="K166" t="str">
        <f>IF(COUNTIF(I$2:I166,I166)=1,I166,"")</f>
        <v/>
      </c>
      <c r="L166" t="str">
        <f>+IF(K166="","",MAX(L$1:L165)+1)</f>
        <v/>
      </c>
      <c r="M166" t="str">
        <f t="shared" si="3"/>
        <v/>
      </c>
      <c r="R166" t="str">
        <f>IF(CMS_Identification!B188="","",CMS_Identification!B188)</f>
        <v/>
      </c>
      <c r="S166" t="str">
        <f>IF(CMS_Identification!F188="","",CMS_Identification!F188)</f>
        <v/>
      </c>
      <c r="T166" s="106" t="str">
        <f>IF(CMS_Identification!D188="","",CMS_Identification!D188)</f>
        <v/>
      </c>
    </row>
    <row r="167" spans="9:20" x14ac:dyDescent="0.3">
      <c r="I167" t="str" cm="1">
        <f t="array" ref="I167">IF(SUMPRODUCT(--(LEN(CMS_Identification!F189:F688)&gt;0))&gt;0,IF(CMS_Identification!F189="","",CMS_Identification!F189),"Add CMS to the CMS_Identification tab")</f>
        <v>Add CMS to the CMS_Identification tab</v>
      </c>
      <c r="J167" t="str">
        <f>IF(CMS_Identification!B189="","",CMS_Identification!B189)</f>
        <v/>
      </c>
      <c r="K167" t="str">
        <f>IF(COUNTIF(I$2:I167,I167)=1,I167,"")</f>
        <v/>
      </c>
      <c r="L167" t="str">
        <f>+IF(K167="","",MAX(L$1:L166)+1)</f>
        <v/>
      </c>
      <c r="M167" t="str">
        <f t="shared" si="3"/>
        <v/>
      </c>
      <c r="R167" t="str">
        <f>IF(CMS_Identification!B189="","",CMS_Identification!B189)</f>
        <v/>
      </c>
      <c r="S167" t="str">
        <f>IF(CMS_Identification!F189="","",CMS_Identification!F189)</f>
        <v/>
      </c>
      <c r="T167" s="106" t="str">
        <f>IF(CMS_Identification!D189="","",CMS_Identification!D189)</f>
        <v/>
      </c>
    </row>
    <row r="168" spans="9:20" x14ac:dyDescent="0.3">
      <c r="I168" t="str" cm="1">
        <f t="array" ref="I168">IF(SUMPRODUCT(--(LEN(CMS_Identification!F190:F689)&gt;0))&gt;0,IF(CMS_Identification!F190="","",CMS_Identification!F190),"Add CMS to the CMS_Identification tab")</f>
        <v>Add CMS to the CMS_Identification tab</v>
      </c>
      <c r="J168" t="str">
        <f>IF(CMS_Identification!B190="","",CMS_Identification!B190)</f>
        <v/>
      </c>
      <c r="K168" t="str">
        <f>IF(COUNTIF(I$2:I168,I168)=1,I168,"")</f>
        <v/>
      </c>
      <c r="L168" t="str">
        <f>+IF(K168="","",MAX(L$1:L167)+1)</f>
        <v/>
      </c>
      <c r="M168" t="str">
        <f t="shared" si="3"/>
        <v/>
      </c>
      <c r="R168" t="str">
        <f>IF(CMS_Identification!B190="","",CMS_Identification!B190)</f>
        <v/>
      </c>
      <c r="S168" t="str">
        <f>IF(CMS_Identification!F190="","",CMS_Identification!F190)</f>
        <v/>
      </c>
      <c r="T168" s="106" t="str">
        <f>IF(CMS_Identification!D190="","",CMS_Identification!D190)</f>
        <v/>
      </c>
    </row>
    <row r="169" spans="9:20" x14ac:dyDescent="0.3">
      <c r="I169" t="str" cm="1">
        <f t="array" ref="I169">IF(SUMPRODUCT(--(LEN(CMS_Identification!F191:F690)&gt;0))&gt;0,IF(CMS_Identification!F191="","",CMS_Identification!F191),"Add CMS to the CMS_Identification tab")</f>
        <v>Add CMS to the CMS_Identification tab</v>
      </c>
      <c r="J169" t="str">
        <f>IF(CMS_Identification!B191="","",CMS_Identification!B191)</f>
        <v/>
      </c>
      <c r="K169" t="str">
        <f>IF(COUNTIF(I$2:I169,I169)=1,I169,"")</f>
        <v/>
      </c>
      <c r="L169" t="str">
        <f>+IF(K169="","",MAX(L$1:L168)+1)</f>
        <v/>
      </c>
      <c r="M169" t="str">
        <f t="shared" si="3"/>
        <v/>
      </c>
      <c r="R169" t="str">
        <f>IF(CMS_Identification!B191="","",CMS_Identification!B191)</f>
        <v/>
      </c>
      <c r="S169" t="str">
        <f>IF(CMS_Identification!F191="","",CMS_Identification!F191)</f>
        <v/>
      </c>
      <c r="T169" s="106" t="str">
        <f>IF(CMS_Identification!D191="","",CMS_Identification!D191)</f>
        <v/>
      </c>
    </row>
    <row r="170" spans="9:20" x14ac:dyDescent="0.3">
      <c r="I170" t="str" cm="1">
        <f t="array" ref="I170">IF(SUMPRODUCT(--(LEN(CMS_Identification!F192:F691)&gt;0))&gt;0,IF(CMS_Identification!F192="","",CMS_Identification!F192),"Add CMS to the CMS_Identification tab")</f>
        <v>Add CMS to the CMS_Identification tab</v>
      </c>
      <c r="J170" t="str">
        <f>IF(CMS_Identification!B192="","",CMS_Identification!B192)</f>
        <v/>
      </c>
      <c r="K170" t="str">
        <f>IF(COUNTIF(I$2:I170,I170)=1,I170,"")</f>
        <v/>
      </c>
      <c r="L170" t="str">
        <f>+IF(K170="","",MAX(L$1:L169)+1)</f>
        <v/>
      </c>
      <c r="M170" t="str">
        <f t="shared" si="3"/>
        <v/>
      </c>
      <c r="R170" t="str">
        <f>IF(CMS_Identification!B192="","",CMS_Identification!B192)</f>
        <v/>
      </c>
      <c r="S170" t="str">
        <f>IF(CMS_Identification!F192="","",CMS_Identification!F192)</f>
        <v/>
      </c>
      <c r="T170" s="106" t="str">
        <f>IF(CMS_Identification!D192="","",CMS_Identification!D192)</f>
        <v/>
      </c>
    </row>
    <row r="171" spans="9:20" x14ac:dyDescent="0.3">
      <c r="I171" t="str" cm="1">
        <f t="array" ref="I171">IF(SUMPRODUCT(--(LEN(CMS_Identification!F193:F692)&gt;0))&gt;0,IF(CMS_Identification!F193="","",CMS_Identification!F193),"Add CMS to the CMS_Identification tab")</f>
        <v>Add CMS to the CMS_Identification tab</v>
      </c>
      <c r="J171" t="str">
        <f>IF(CMS_Identification!B193="","",CMS_Identification!B193)</f>
        <v/>
      </c>
      <c r="K171" t="str">
        <f>IF(COUNTIF(I$2:I171,I171)=1,I171,"")</f>
        <v/>
      </c>
      <c r="L171" t="str">
        <f>+IF(K171="","",MAX(L$1:L170)+1)</f>
        <v/>
      </c>
      <c r="M171" t="str">
        <f t="shared" si="3"/>
        <v/>
      </c>
      <c r="R171" t="str">
        <f>IF(CMS_Identification!B193="","",CMS_Identification!B193)</f>
        <v/>
      </c>
      <c r="S171" t="str">
        <f>IF(CMS_Identification!F193="","",CMS_Identification!F193)</f>
        <v/>
      </c>
      <c r="T171" s="106" t="str">
        <f>IF(CMS_Identification!D193="","",CMS_Identification!D193)</f>
        <v/>
      </c>
    </row>
    <row r="172" spans="9:20" x14ac:dyDescent="0.3">
      <c r="I172" t="str" cm="1">
        <f t="array" ref="I172">IF(SUMPRODUCT(--(LEN(CMS_Identification!F194:F693)&gt;0))&gt;0,IF(CMS_Identification!F194="","",CMS_Identification!F194),"Add CMS to the CMS_Identification tab")</f>
        <v>Add CMS to the CMS_Identification tab</v>
      </c>
      <c r="J172" t="str">
        <f>IF(CMS_Identification!B194="","",CMS_Identification!B194)</f>
        <v/>
      </c>
      <c r="K172" t="str">
        <f>IF(COUNTIF(I$2:I172,I172)=1,I172,"")</f>
        <v/>
      </c>
      <c r="L172" t="str">
        <f>+IF(K172="","",MAX(L$1:L171)+1)</f>
        <v/>
      </c>
      <c r="M172" t="str">
        <f t="shared" si="3"/>
        <v/>
      </c>
      <c r="R172" t="str">
        <f>IF(CMS_Identification!B194="","",CMS_Identification!B194)</f>
        <v/>
      </c>
      <c r="S172" t="str">
        <f>IF(CMS_Identification!F194="","",CMS_Identification!F194)</f>
        <v/>
      </c>
      <c r="T172" s="106" t="str">
        <f>IF(CMS_Identification!D194="","",CMS_Identification!D194)</f>
        <v/>
      </c>
    </row>
    <row r="173" spans="9:20" x14ac:dyDescent="0.3">
      <c r="I173" t="str" cm="1">
        <f t="array" ref="I173">IF(SUMPRODUCT(--(LEN(CMS_Identification!F195:F694)&gt;0))&gt;0,IF(CMS_Identification!F195="","",CMS_Identification!F195),"Add CMS to the CMS_Identification tab")</f>
        <v>Add CMS to the CMS_Identification tab</v>
      </c>
      <c r="J173" t="str">
        <f>IF(CMS_Identification!B195="","",CMS_Identification!B195)</f>
        <v/>
      </c>
      <c r="K173" t="str">
        <f>IF(COUNTIF(I$2:I173,I173)=1,I173,"")</f>
        <v/>
      </c>
      <c r="L173" t="str">
        <f>+IF(K173="","",MAX(L$1:L172)+1)</f>
        <v/>
      </c>
      <c r="M173" t="str">
        <f t="shared" si="3"/>
        <v/>
      </c>
      <c r="R173" t="str">
        <f>IF(CMS_Identification!B195="","",CMS_Identification!B195)</f>
        <v/>
      </c>
      <c r="S173" t="str">
        <f>IF(CMS_Identification!F195="","",CMS_Identification!F195)</f>
        <v/>
      </c>
      <c r="T173" s="106" t="str">
        <f>IF(CMS_Identification!D195="","",CMS_Identification!D195)</f>
        <v/>
      </c>
    </row>
    <row r="174" spans="9:20" x14ac:dyDescent="0.3">
      <c r="I174" t="str" cm="1">
        <f t="array" ref="I174">IF(SUMPRODUCT(--(LEN(CMS_Identification!F196:F695)&gt;0))&gt;0,IF(CMS_Identification!F196="","",CMS_Identification!F196),"Add CMS to the CMS_Identification tab")</f>
        <v>Add CMS to the CMS_Identification tab</v>
      </c>
      <c r="J174" t="str">
        <f>IF(CMS_Identification!B196="","",CMS_Identification!B196)</f>
        <v/>
      </c>
      <c r="K174" t="str">
        <f>IF(COUNTIF(I$2:I174,I174)=1,I174,"")</f>
        <v/>
      </c>
      <c r="L174" t="str">
        <f>+IF(K174="","",MAX(L$1:L173)+1)</f>
        <v/>
      </c>
      <c r="M174" t="str">
        <f t="shared" si="3"/>
        <v/>
      </c>
      <c r="R174" t="str">
        <f>IF(CMS_Identification!B196="","",CMS_Identification!B196)</f>
        <v/>
      </c>
      <c r="S174" t="str">
        <f>IF(CMS_Identification!F196="","",CMS_Identification!F196)</f>
        <v/>
      </c>
      <c r="T174" s="106" t="str">
        <f>IF(CMS_Identification!D196="","",CMS_Identification!D196)</f>
        <v/>
      </c>
    </row>
    <row r="175" spans="9:20" x14ac:dyDescent="0.3">
      <c r="I175" t="str" cm="1">
        <f t="array" ref="I175">IF(SUMPRODUCT(--(LEN(CMS_Identification!F197:F696)&gt;0))&gt;0,IF(CMS_Identification!F197="","",CMS_Identification!F197),"Add CMS to the CMS_Identification tab")</f>
        <v>Add CMS to the CMS_Identification tab</v>
      </c>
      <c r="J175" t="str">
        <f>IF(CMS_Identification!B197="","",CMS_Identification!B197)</f>
        <v/>
      </c>
      <c r="K175" t="str">
        <f>IF(COUNTIF(I$2:I175,I175)=1,I175,"")</f>
        <v/>
      </c>
      <c r="L175" t="str">
        <f>+IF(K175="","",MAX(L$1:L174)+1)</f>
        <v/>
      </c>
      <c r="M175" t="str">
        <f t="shared" si="3"/>
        <v/>
      </c>
      <c r="R175" t="str">
        <f>IF(CMS_Identification!B197="","",CMS_Identification!B197)</f>
        <v/>
      </c>
      <c r="S175" t="str">
        <f>IF(CMS_Identification!F197="","",CMS_Identification!F197)</f>
        <v/>
      </c>
      <c r="T175" s="106" t="str">
        <f>IF(CMS_Identification!D197="","",CMS_Identification!D197)</f>
        <v/>
      </c>
    </row>
    <row r="176" spans="9:20" x14ac:dyDescent="0.3">
      <c r="I176" t="str" cm="1">
        <f t="array" ref="I176">IF(SUMPRODUCT(--(LEN(CMS_Identification!F198:F697)&gt;0))&gt;0,IF(CMS_Identification!F198="","",CMS_Identification!F198),"Add CMS to the CMS_Identification tab")</f>
        <v>Add CMS to the CMS_Identification tab</v>
      </c>
      <c r="J176" t="str">
        <f>IF(CMS_Identification!B198="","",CMS_Identification!B198)</f>
        <v/>
      </c>
      <c r="K176" t="str">
        <f>IF(COUNTIF(I$2:I176,I176)=1,I176,"")</f>
        <v/>
      </c>
      <c r="L176" t="str">
        <f>+IF(K176="","",MAX(L$1:L175)+1)</f>
        <v/>
      </c>
      <c r="M176" t="str">
        <f t="shared" si="3"/>
        <v/>
      </c>
      <c r="R176" t="str">
        <f>IF(CMS_Identification!B198="","",CMS_Identification!B198)</f>
        <v/>
      </c>
      <c r="S176" t="str">
        <f>IF(CMS_Identification!F198="","",CMS_Identification!F198)</f>
        <v/>
      </c>
      <c r="T176" s="106" t="str">
        <f>IF(CMS_Identification!D198="","",CMS_Identification!D198)</f>
        <v/>
      </c>
    </row>
    <row r="177" spans="9:20" x14ac:dyDescent="0.3">
      <c r="I177" t="str" cm="1">
        <f t="array" ref="I177">IF(SUMPRODUCT(--(LEN(CMS_Identification!F199:F698)&gt;0))&gt;0,IF(CMS_Identification!F199="","",CMS_Identification!F199),"Add CMS to the CMS_Identification tab")</f>
        <v>Add CMS to the CMS_Identification tab</v>
      </c>
      <c r="J177" t="str">
        <f>IF(CMS_Identification!B199="","",CMS_Identification!B199)</f>
        <v/>
      </c>
      <c r="K177" t="str">
        <f>IF(COUNTIF(I$2:I177,I177)=1,I177,"")</f>
        <v/>
      </c>
      <c r="L177" t="str">
        <f>+IF(K177="","",MAX(L$1:L176)+1)</f>
        <v/>
      </c>
      <c r="M177" t="str">
        <f t="shared" si="3"/>
        <v/>
      </c>
      <c r="R177" t="str">
        <f>IF(CMS_Identification!B199="","",CMS_Identification!B199)</f>
        <v/>
      </c>
      <c r="S177" t="str">
        <f>IF(CMS_Identification!F199="","",CMS_Identification!F199)</f>
        <v/>
      </c>
      <c r="T177" s="106" t="str">
        <f>IF(CMS_Identification!D199="","",CMS_Identification!D199)</f>
        <v/>
      </c>
    </row>
    <row r="178" spans="9:20" x14ac:dyDescent="0.3">
      <c r="I178" t="str" cm="1">
        <f t="array" ref="I178">IF(SUMPRODUCT(--(LEN(CMS_Identification!F200:F699)&gt;0))&gt;0,IF(CMS_Identification!F200="","",CMS_Identification!F200),"Add CMS to the CMS_Identification tab")</f>
        <v>Add CMS to the CMS_Identification tab</v>
      </c>
      <c r="J178" t="str">
        <f>IF(CMS_Identification!B200="","",CMS_Identification!B200)</f>
        <v/>
      </c>
      <c r="K178" t="str">
        <f>IF(COUNTIF(I$2:I178,I178)=1,I178,"")</f>
        <v/>
      </c>
      <c r="L178" t="str">
        <f>+IF(K178="","",MAX(L$1:L177)+1)</f>
        <v/>
      </c>
      <c r="M178" t="str">
        <f t="shared" si="3"/>
        <v/>
      </c>
      <c r="R178" t="str">
        <f>IF(CMS_Identification!B200="","",CMS_Identification!B200)</f>
        <v/>
      </c>
      <c r="S178" t="str">
        <f>IF(CMS_Identification!F200="","",CMS_Identification!F200)</f>
        <v/>
      </c>
      <c r="T178" s="106" t="str">
        <f>IF(CMS_Identification!D200="","",CMS_Identification!D200)</f>
        <v/>
      </c>
    </row>
    <row r="179" spans="9:20" x14ac:dyDescent="0.3">
      <c r="I179" t="str" cm="1">
        <f t="array" ref="I179">IF(SUMPRODUCT(--(LEN(CMS_Identification!F201:F700)&gt;0))&gt;0,IF(CMS_Identification!F201="","",CMS_Identification!F201),"Add CMS to the CMS_Identification tab")</f>
        <v>Add CMS to the CMS_Identification tab</v>
      </c>
      <c r="J179" t="str">
        <f>IF(CMS_Identification!B201="","",CMS_Identification!B201)</f>
        <v/>
      </c>
      <c r="K179" t="str">
        <f>IF(COUNTIF(I$2:I179,I179)=1,I179,"")</f>
        <v/>
      </c>
      <c r="L179" t="str">
        <f>+IF(K179="","",MAX(L$1:L178)+1)</f>
        <v/>
      </c>
      <c r="M179" t="str">
        <f t="shared" si="3"/>
        <v/>
      </c>
      <c r="R179" t="str">
        <f>IF(CMS_Identification!B201="","",CMS_Identification!B201)</f>
        <v/>
      </c>
      <c r="S179" t="str">
        <f>IF(CMS_Identification!F201="","",CMS_Identification!F201)</f>
        <v/>
      </c>
      <c r="T179" s="106" t="str">
        <f>IF(CMS_Identification!D201="","",CMS_Identification!D201)</f>
        <v/>
      </c>
    </row>
    <row r="180" spans="9:20" x14ac:dyDescent="0.3">
      <c r="I180" t="str" cm="1">
        <f t="array" ref="I180">IF(SUMPRODUCT(--(LEN(CMS_Identification!F202:F701)&gt;0))&gt;0,IF(CMS_Identification!F202="","",CMS_Identification!F202),"Add CMS to the CMS_Identification tab")</f>
        <v>Add CMS to the CMS_Identification tab</v>
      </c>
      <c r="J180" t="str">
        <f>IF(CMS_Identification!B202="","",CMS_Identification!B202)</f>
        <v/>
      </c>
      <c r="K180" t="str">
        <f>IF(COUNTIF(I$2:I180,I180)=1,I180,"")</f>
        <v/>
      </c>
      <c r="L180" t="str">
        <f>+IF(K180="","",MAX(L$1:L179)+1)</f>
        <v/>
      </c>
      <c r="M180" t="str">
        <f t="shared" si="3"/>
        <v/>
      </c>
      <c r="R180" t="str">
        <f>IF(CMS_Identification!B202="","",CMS_Identification!B202)</f>
        <v/>
      </c>
      <c r="S180" t="str">
        <f>IF(CMS_Identification!F202="","",CMS_Identification!F202)</f>
        <v/>
      </c>
      <c r="T180" s="106" t="str">
        <f>IF(CMS_Identification!D202="","",CMS_Identification!D202)</f>
        <v/>
      </c>
    </row>
    <row r="181" spans="9:20" x14ac:dyDescent="0.3">
      <c r="I181" t="str" cm="1">
        <f t="array" ref="I181">IF(SUMPRODUCT(--(LEN(CMS_Identification!F203:F702)&gt;0))&gt;0,IF(CMS_Identification!F203="","",CMS_Identification!F203),"Add CMS to the CMS_Identification tab")</f>
        <v>Add CMS to the CMS_Identification tab</v>
      </c>
      <c r="J181" t="str">
        <f>IF(CMS_Identification!B203="","",CMS_Identification!B203)</f>
        <v/>
      </c>
      <c r="K181" t="str">
        <f>IF(COUNTIF(I$2:I181,I181)=1,I181,"")</f>
        <v/>
      </c>
      <c r="L181" t="str">
        <f>+IF(K181="","",MAX(L$1:L180)+1)</f>
        <v/>
      </c>
      <c r="M181" t="str">
        <f t="shared" si="3"/>
        <v/>
      </c>
      <c r="R181" t="str">
        <f>IF(CMS_Identification!B203="","",CMS_Identification!B203)</f>
        <v/>
      </c>
      <c r="S181" t="str">
        <f>IF(CMS_Identification!F203="","",CMS_Identification!F203)</f>
        <v/>
      </c>
      <c r="T181" s="106" t="str">
        <f>IF(CMS_Identification!D203="","",CMS_Identification!D203)</f>
        <v/>
      </c>
    </row>
    <row r="182" spans="9:20" x14ac:dyDescent="0.3">
      <c r="I182" t="str" cm="1">
        <f t="array" ref="I182">IF(SUMPRODUCT(--(LEN(CMS_Identification!F204:F703)&gt;0))&gt;0,IF(CMS_Identification!F204="","",CMS_Identification!F204),"Add CMS to the CMS_Identification tab")</f>
        <v>Add CMS to the CMS_Identification tab</v>
      </c>
      <c r="J182" t="str">
        <f>IF(CMS_Identification!B204="","",CMS_Identification!B204)</f>
        <v/>
      </c>
      <c r="K182" t="str">
        <f>IF(COUNTIF(I$2:I182,I182)=1,I182,"")</f>
        <v/>
      </c>
      <c r="L182" t="str">
        <f>+IF(K182="","",MAX(L$1:L181)+1)</f>
        <v/>
      </c>
      <c r="M182" t="str">
        <f t="shared" si="3"/>
        <v/>
      </c>
      <c r="R182" t="str">
        <f>IF(CMS_Identification!B204="","",CMS_Identification!B204)</f>
        <v/>
      </c>
      <c r="S182" t="str">
        <f>IF(CMS_Identification!F204="","",CMS_Identification!F204)</f>
        <v/>
      </c>
      <c r="T182" s="106" t="str">
        <f>IF(CMS_Identification!D204="","",CMS_Identification!D204)</f>
        <v/>
      </c>
    </row>
    <row r="183" spans="9:20" x14ac:dyDescent="0.3">
      <c r="I183" t="str" cm="1">
        <f t="array" ref="I183">IF(SUMPRODUCT(--(LEN(CMS_Identification!F205:F704)&gt;0))&gt;0,IF(CMS_Identification!F205="","",CMS_Identification!F205),"Add CMS to the CMS_Identification tab")</f>
        <v>Add CMS to the CMS_Identification tab</v>
      </c>
      <c r="J183" t="str">
        <f>IF(CMS_Identification!B205="","",CMS_Identification!B205)</f>
        <v/>
      </c>
      <c r="K183" t="str">
        <f>IF(COUNTIF(I$2:I183,I183)=1,I183,"")</f>
        <v/>
      </c>
      <c r="L183" t="str">
        <f>+IF(K183="","",MAX(L$1:L182)+1)</f>
        <v/>
      </c>
      <c r="M183" t="str">
        <f t="shared" si="3"/>
        <v/>
      </c>
      <c r="R183" t="str">
        <f>IF(CMS_Identification!B205="","",CMS_Identification!B205)</f>
        <v/>
      </c>
      <c r="S183" t="str">
        <f>IF(CMS_Identification!F205="","",CMS_Identification!F205)</f>
        <v/>
      </c>
      <c r="T183" s="106" t="str">
        <f>IF(CMS_Identification!D205="","",CMS_Identification!D205)</f>
        <v/>
      </c>
    </row>
    <row r="184" spans="9:20" x14ac:dyDescent="0.3">
      <c r="I184" t="str" cm="1">
        <f t="array" ref="I184">IF(SUMPRODUCT(--(LEN(CMS_Identification!F206:F705)&gt;0))&gt;0,IF(CMS_Identification!F206="","",CMS_Identification!F206),"Add CMS to the CMS_Identification tab")</f>
        <v>Add CMS to the CMS_Identification tab</v>
      </c>
      <c r="J184" t="str">
        <f>IF(CMS_Identification!B206="","",CMS_Identification!B206)</f>
        <v/>
      </c>
      <c r="K184" t="str">
        <f>IF(COUNTIF(I$2:I184,I184)=1,I184,"")</f>
        <v/>
      </c>
      <c r="L184" t="str">
        <f>+IF(K184="","",MAX(L$1:L183)+1)</f>
        <v/>
      </c>
      <c r="M184" t="str">
        <f t="shared" si="3"/>
        <v/>
      </c>
      <c r="R184" t="str">
        <f>IF(CMS_Identification!B206="","",CMS_Identification!B206)</f>
        <v/>
      </c>
      <c r="S184" t="str">
        <f>IF(CMS_Identification!F206="","",CMS_Identification!F206)</f>
        <v/>
      </c>
      <c r="T184" s="106" t="str">
        <f>IF(CMS_Identification!D206="","",CMS_Identification!D206)</f>
        <v/>
      </c>
    </row>
    <row r="185" spans="9:20" x14ac:dyDescent="0.3">
      <c r="I185" t="str" cm="1">
        <f t="array" ref="I185">IF(SUMPRODUCT(--(LEN(CMS_Identification!F207:F706)&gt;0))&gt;0,IF(CMS_Identification!F207="","",CMS_Identification!F207),"Add CMS to the CMS_Identification tab")</f>
        <v>Add CMS to the CMS_Identification tab</v>
      </c>
      <c r="J185" t="str">
        <f>IF(CMS_Identification!B207="","",CMS_Identification!B207)</f>
        <v/>
      </c>
      <c r="K185" t="str">
        <f>IF(COUNTIF(I$2:I185,I185)=1,I185,"")</f>
        <v/>
      </c>
      <c r="L185" t="str">
        <f>+IF(K185="","",MAX(L$1:L184)+1)</f>
        <v/>
      </c>
      <c r="M185" t="str">
        <f t="shared" si="3"/>
        <v/>
      </c>
      <c r="R185" t="str">
        <f>IF(CMS_Identification!B207="","",CMS_Identification!B207)</f>
        <v/>
      </c>
      <c r="S185" t="str">
        <f>IF(CMS_Identification!F207="","",CMS_Identification!F207)</f>
        <v/>
      </c>
      <c r="T185" s="106" t="str">
        <f>IF(CMS_Identification!D207="","",CMS_Identification!D207)</f>
        <v/>
      </c>
    </row>
    <row r="186" spans="9:20" x14ac:dyDescent="0.3">
      <c r="I186" t="str" cm="1">
        <f t="array" ref="I186">IF(SUMPRODUCT(--(LEN(CMS_Identification!F208:F707)&gt;0))&gt;0,IF(CMS_Identification!F208="","",CMS_Identification!F208),"Add CMS to the CMS_Identification tab")</f>
        <v>Add CMS to the CMS_Identification tab</v>
      </c>
      <c r="J186" t="str">
        <f>IF(CMS_Identification!B208="","",CMS_Identification!B208)</f>
        <v/>
      </c>
      <c r="K186" t="str">
        <f>IF(COUNTIF(I$2:I186,I186)=1,I186,"")</f>
        <v/>
      </c>
      <c r="L186" t="str">
        <f>+IF(K186="","",MAX(L$1:L185)+1)</f>
        <v/>
      </c>
      <c r="M186" t="str">
        <f t="shared" si="3"/>
        <v/>
      </c>
      <c r="R186" t="str">
        <f>IF(CMS_Identification!B208="","",CMS_Identification!B208)</f>
        <v/>
      </c>
      <c r="S186" t="str">
        <f>IF(CMS_Identification!F208="","",CMS_Identification!F208)</f>
        <v/>
      </c>
      <c r="T186" s="106" t="str">
        <f>IF(CMS_Identification!D208="","",CMS_Identification!D208)</f>
        <v/>
      </c>
    </row>
    <row r="187" spans="9:20" x14ac:dyDescent="0.3">
      <c r="I187" t="str" cm="1">
        <f t="array" ref="I187">IF(SUMPRODUCT(--(LEN(CMS_Identification!F209:F708)&gt;0))&gt;0,IF(CMS_Identification!F209="","",CMS_Identification!F209),"Add CMS to the CMS_Identification tab")</f>
        <v>Add CMS to the CMS_Identification tab</v>
      </c>
      <c r="J187" t="str">
        <f>IF(CMS_Identification!B209="","",CMS_Identification!B209)</f>
        <v/>
      </c>
      <c r="K187" t="str">
        <f>IF(COUNTIF(I$2:I187,I187)=1,I187,"")</f>
        <v/>
      </c>
      <c r="L187" t="str">
        <f>+IF(K187="","",MAX(L$1:L186)+1)</f>
        <v/>
      </c>
      <c r="M187" t="str">
        <f t="shared" si="3"/>
        <v/>
      </c>
      <c r="R187" t="str">
        <f>IF(CMS_Identification!B209="","",CMS_Identification!B209)</f>
        <v/>
      </c>
      <c r="S187" t="str">
        <f>IF(CMS_Identification!F209="","",CMS_Identification!F209)</f>
        <v/>
      </c>
      <c r="T187" s="106" t="str">
        <f>IF(CMS_Identification!D209="","",CMS_Identification!D209)</f>
        <v/>
      </c>
    </row>
    <row r="188" spans="9:20" x14ac:dyDescent="0.3">
      <c r="I188" t="str" cm="1">
        <f t="array" ref="I188">IF(SUMPRODUCT(--(LEN(CMS_Identification!F210:F709)&gt;0))&gt;0,IF(CMS_Identification!F210="","",CMS_Identification!F210),"Add CMS to the CMS_Identification tab")</f>
        <v>Add CMS to the CMS_Identification tab</v>
      </c>
      <c r="J188" t="str">
        <f>IF(CMS_Identification!B210="","",CMS_Identification!B210)</f>
        <v/>
      </c>
      <c r="K188" t="str">
        <f>IF(COUNTIF(I$2:I188,I188)=1,I188,"")</f>
        <v/>
      </c>
      <c r="L188" t="str">
        <f>+IF(K188="","",MAX(L$1:L187)+1)</f>
        <v/>
      </c>
      <c r="M188" t="str">
        <f t="shared" si="3"/>
        <v/>
      </c>
      <c r="R188" t="str">
        <f>IF(CMS_Identification!B210="","",CMS_Identification!B210)</f>
        <v/>
      </c>
      <c r="S188" t="str">
        <f>IF(CMS_Identification!F210="","",CMS_Identification!F210)</f>
        <v/>
      </c>
      <c r="T188" s="106" t="str">
        <f>IF(CMS_Identification!D210="","",CMS_Identification!D210)</f>
        <v/>
      </c>
    </row>
    <row r="189" spans="9:20" x14ac:dyDescent="0.3">
      <c r="I189" t="str" cm="1">
        <f t="array" ref="I189">IF(SUMPRODUCT(--(LEN(CMS_Identification!F211:F710)&gt;0))&gt;0,IF(CMS_Identification!F211="","",CMS_Identification!F211),"Add CMS to the CMS_Identification tab")</f>
        <v>Add CMS to the CMS_Identification tab</v>
      </c>
      <c r="J189" t="str">
        <f>IF(CMS_Identification!B211="","",CMS_Identification!B211)</f>
        <v/>
      </c>
      <c r="K189" t="str">
        <f>IF(COUNTIF(I$2:I189,I189)=1,I189,"")</f>
        <v/>
      </c>
      <c r="L189" t="str">
        <f>+IF(K189="","",MAX(L$1:L188)+1)</f>
        <v/>
      </c>
      <c r="M189" t="str">
        <f t="shared" si="3"/>
        <v/>
      </c>
      <c r="R189" t="str">
        <f>IF(CMS_Identification!B211="","",CMS_Identification!B211)</f>
        <v/>
      </c>
      <c r="S189" t="str">
        <f>IF(CMS_Identification!F211="","",CMS_Identification!F211)</f>
        <v/>
      </c>
      <c r="T189" s="106" t="str">
        <f>IF(CMS_Identification!D211="","",CMS_Identification!D211)</f>
        <v/>
      </c>
    </row>
    <row r="190" spans="9:20" x14ac:dyDescent="0.3">
      <c r="I190" t="str" cm="1">
        <f t="array" ref="I190">IF(SUMPRODUCT(--(LEN(CMS_Identification!F212:F711)&gt;0))&gt;0,IF(CMS_Identification!F212="","",CMS_Identification!F212),"Add CMS to the CMS_Identification tab")</f>
        <v>Add CMS to the CMS_Identification tab</v>
      </c>
      <c r="J190" t="str">
        <f>IF(CMS_Identification!B212="","",CMS_Identification!B212)</f>
        <v/>
      </c>
      <c r="K190" t="str">
        <f>IF(COUNTIF(I$2:I190,I190)=1,I190,"")</f>
        <v/>
      </c>
      <c r="L190" t="str">
        <f>+IF(K190="","",MAX(L$1:L189)+1)</f>
        <v/>
      </c>
      <c r="M190" t="str">
        <f t="shared" si="3"/>
        <v/>
      </c>
      <c r="R190" t="str">
        <f>IF(CMS_Identification!B212="","",CMS_Identification!B212)</f>
        <v/>
      </c>
      <c r="S190" t="str">
        <f>IF(CMS_Identification!F212="","",CMS_Identification!F212)</f>
        <v/>
      </c>
      <c r="T190" s="106" t="str">
        <f>IF(CMS_Identification!D212="","",CMS_Identification!D212)</f>
        <v/>
      </c>
    </row>
    <row r="191" spans="9:20" x14ac:dyDescent="0.3">
      <c r="I191" t="str" cm="1">
        <f t="array" ref="I191">IF(SUMPRODUCT(--(LEN(CMS_Identification!F213:F712)&gt;0))&gt;0,IF(CMS_Identification!F213="","",CMS_Identification!F213),"Add CMS to the CMS_Identification tab")</f>
        <v>Add CMS to the CMS_Identification tab</v>
      </c>
      <c r="J191" t="str">
        <f>IF(CMS_Identification!B213="","",CMS_Identification!B213)</f>
        <v/>
      </c>
      <c r="K191" t="str">
        <f>IF(COUNTIF(I$2:I191,I191)=1,I191,"")</f>
        <v/>
      </c>
      <c r="L191" t="str">
        <f>+IF(K191="","",MAX(L$1:L190)+1)</f>
        <v/>
      </c>
      <c r="M191" t="str">
        <f t="shared" si="3"/>
        <v/>
      </c>
      <c r="R191" t="str">
        <f>IF(CMS_Identification!B213="","",CMS_Identification!B213)</f>
        <v/>
      </c>
      <c r="S191" t="str">
        <f>IF(CMS_Identification!F213="","",CMS_Identification!F213)</f>
        <v/>
      </c>
      <c r="T191" s="106" t="str">
        <f>IF(CMS_Identification!D213="","",CMS_Identification!D213)</f>
        <v/>
      </c>
    </row>
    <row r="192" spans="9:20" x14ac:dyDescent="0.3">
      <c r="I192" t="str" cm="1">
        <f t="array" ref="I192">IF(SUMPRODUCT(--(LEN(CMS_Identification!F214:F713)&gt;0))&gt;0,IF(CMS_Identification!F214="","",CMS_Identification!F214),"Add CMS to the CMS_Identification tab")</f>
        <v>Add CMS to the CMS_Identification tab</v>
      </c>
      <c r="J192" t="str">
        <f>IF(CMS_Identification!B214="","",CMS_Identification!B214)</f>
        <v/>
      </c>
      <c r="K192" t="str">
        <f>IF(COUNTIF(I$2:I192,I192)=1,I192,"")</f>
        <v/>
      </c>
      <c r="L192" t="str">
        <f>+IF(K192="","",MAX(L$1:L191)+1)</f>
        <v/>
      </c>
      <c r="M192" t="str">
        <f t="shared" si="3"/>
        <v/>
      </c>
      <c r="R192" t="str">
        <f>IF(CMS_Identification!B214="","",CMS_Identification!B214)</f>
        <v/>
      </c>
      <c r="S192" t="str">
        <f>IF(CMS_Identification!F214="","",CMS_Identification!F214)</f>
        <v/>
      </c>
      <c r="T192" s="106" t="str">
        <f>IF(CMS_Identification!D214="","",CMS_Identification!D214)</f>
        <v/>
      </c>
    </row>
    <row r="193" spans="9:20" x14ac:dyDescent="0.3">
      <c r="I193" t="str" cm="1">
        <f t="array" ref="I193">IF(SUMPRODUCT(--(LEN(CMS_Identification!F215:F714)&gt;0))&gt;0,IF(CMS_Identification!F215="","",CMS_Identification!F215),"Add CMS to the CMS_Identification tab")</f>
        <v>Add CMS to the CMS_Identification tab</v>
      </c>
      <c r="J193" t="str">
        <f>IF(CMS_Identification!B215="","",CMS_Identification!B215)</f>
        <v/>
      </c>
      <c r="K193" t="str">
        <f>IF(COUNTIF(I$2:I193,I193)=1,I193,"")</f>
        <v/>
      </c>
      <c r="L193" t="str">
        <f>+IF(K193="","",MAX(L$1:L192)+1)</f>
        <v/>
      </c>
      <c r="M193" t="str">
        <f t="shared" si="3"/>
        <v/>
      </c>
      <c r="R193" t="str">
        <f>IF(CMS_Identification!B215="","",CMS_Identification!B215)</f>
        <v/>
      </c>
      <c r="S193" t="str">
        <f>IF(CMS_Identification!F215="","",CMS_Identification!F215)</f>
        <v/>
      </c>
      <c r="T193" s="106" t="str">
        <f>IF(CMS_Identification!D215="","",CMS_Identification!D215)</f>
        <v/>
      </c>
    </row>
    <row r="194" spans="9:20" x14ac:dyDescent="0.3">
      <c r="I194" t="str" cm="1">
        <f t="array" ref="I194">IF(SUMPRODUCT(--(LEN(CMS_Identification!F216:F715)&gt;0))&gt;0,IF(CMS_Identification!F216="","",CMS_Identification!F216),"Add CMS to the CMS_Identification tab")</f>
        <v>Add CMS to the CMS_Identification tab</v>
      </c>
      <c r="J194" t="str">
        <f>IF(CMS_Identification!B216="","",CMS_Identification!B216)</f>
        <v/>
      </c>
      <c r="K194" t="str">
        <f>IF(COUNTIF(I$2:I194,I194)=1,I194,"")</f>
        <v/>
      </c>
      <c r="L194" t="str">
        <f>+IF(K194="","",MAX(L$1:L193)+1)</f>
        <v/>
      </c>
      <c r="M194" t="str">
        <f t="shared" ref="M194:M257" si="4">+IFERROR(INDEX($I$2:$I$501,MATCH(ROW()-ROW($L$1),$L$2:$L$501,0)),"")</f>
        <v/>
      </c>
      <c r="R194" t="str">
        <f>IF(CMS_Identification!B216="","",CMS_Identification!B216)</f>
        <v/>
      </c>
      <c r="S194" t="str">
        <f>IF(CMS_Identification!F216="","",CMS_Identification!F216)</f>
        <v/>
      </c>
      <c r="T194" s="106" t="str">
        <f>IF(CMS_Identification!D216="","",CMS_Identification!D216)</f>
        <v/>
      </c>
    </row>
    <row r="195" spans="9:20" x14ac:dyDescent="0.3">
      <c r="I195" t="str" cm="1">
        <f t="array" ref="I195">IF(SUMPRODUCT(--(LEN(CMS_Identification!F217:F716)&gt;0))&gt;0,IF(CMS_Identification!F217="","",CMS_Identification!F217),"Add CMS to the CMS_Identification tab")</f>
        <v>Add CMS to the CMS_Identification tab</v>
      </c>
      <c r="J195" t="str">
        <f>IF(CMS_Identification!B217="","",CMS_Identification!B217)</f>
        <v/>
      </c>
      <c r="K195" t="str">
        <f>IF(COUNTIF(I$2:I195,I195)=1,I195,"")</f>
        <v/>
      </c>
      <c r="L195" t="str">
        <f>+IF(K195="","",MAX(L$1:L194)+1)</f>
        <v/>
      </c>
      <c r="M195" t="str">
        <f t="shared" si="4"/>
        <v/>
      </c>
      <c r="R195" t="str">
        <f>IF(CMS_Identification!B217="","",CMS_Identification!B217)</f>
        <v/>
      </c>
      <c r="S195" t="str">
        <f>IF(CMS_Identification!F217="","",CMS_Identification!F217)</f>
        <v/>
      </c>
      <c r="T195" s="106" t="str">
        <f>IF(CMS_Identification!D217="","",CMS_Identification!D217)</f>
        <v/>
      </c>
    </row>
    <row r="196" spans="9:20" x14ac:dyDescent="0.3">
      <c r="I196" t="str" cm="1">
        <f t="array" ref="I196">IF(SUMPRODUCT(--(LEN(CMS_Identification!F218:F717)&gt;0))&gt;0,IF(CMS_Identification!F218="","",CMS_Identification!F218),"Add CMS to the CMS_Identification tab")</f>
        <v>Add CMS to the CMS_Identification tab</v>
      </c>
      <c r="J196" t="str">
        <f>IF(CMS_Identification!B218="","",CMS_Identification!B218)</f>
        <v/>
      </c>
      <c r="K196" t="str">
        <f>IF(COUNTIF(I$2:I196,I196)=1,I196,"")</f>
        <v/>
      </c>
      <c r="L196" t="str">
        <f>+IF(K196="","",MAX(L$1:L195)+1)</f>
        <v/>
      </c>
      <c r="M196" t="str">
        <f t="shared" si="4"/>
        <v/>
      </c>
      <c r="R196" t="str">
        <f>IF(CMS_Identification!B218="","",CMS_Identification!B218)</f>
        <v/>
      </c>
      <c r="S196" t="str">
        <f>IF(CMS_Identification!F218="","",CMS_Identification!F218)</f>
        <v/>
      </c>
      <c r="T196" s="106" t="str">
        <f>IF(CMS_Identification!D218="","",CMS_Identification!D218)</f>
        <v/>
      </c>
    </row>
    <row r="197" spans="9:20" x14ac:dyDescent="0.3">
      <c r="I197" t="str" cm="1">
        <f t="array" ref="I197">IF(SUMPRODUCT(--(LEN(CMS_Identification!F219:F718)&gt;0))&gt;0,IF(CMS_Identification!F219="","",CMS_Identification!F219),"Add CMS to the CMS_Identification tab")</f>
        <v>Add CMS to the CMS_Identification tab</v>
      </c>
      <c r="J197" t="str">
        <f>IF(CMS_Identification!B219="","",CMS_Identification!B219)</f>
        <v/>
      </c>
      <c r="K197" t="str">
        <f>IF(COUNTIF(I$2:I197,I197)=1,I197,"")</f>
        <v/>
      </c>
      <c r="L197" t="str">
        <f>+IF(K197="","",MAX(L$1:L196)+1)</f>
        <v/>
      </c>
      <c r="M197" t="str">
        <f t="shared" si="4"/>
        <v/>
      </c>
      <c r="R197" t="str">
        <f>IF(CMS_Identification!B219="","",CMS_Identification!B219)</f>
        <v/>
      </c>
      <c r="S197" t="str">
        <f>IF(CMS_Identification!F219="","",CMS_Identification!F219)</f>
        <v/>
      </c>
      <c r="T197" s="106" t="str">
        <f>IF(CMS_Identification!D219="","",CMS_Identification!D219)</f>
        <v/>
      </c>
    </row>
    <row r="198" spans="9:20" x14ac:dyDescent="0.3">
      <c r="I198" t="str" cm="1">
        <f t="array" ref="I198">IF(SUMPRODUCT(--(LEN(CMS_Identification!F220:F719)&gt;0))&gt;0,IF(CMS_Identification!F220="","",CMS_Identification!F220),"Add CMS to the CMS_Identification tab")</f>
        <v>Add CMS to the CMS_Identification tab</v>
      </c>
      <c r="J198" t="str">
        <f>IF(CMS_Identification!B220="","",CMS_Identification!B220)</f>
        <v/>
      </c>
      <c r="K198" t="str">
        <f>IF(COUNTIF(I$2:I198,I198)=1,I198,"")</f>
        <v/>
      </c>
      <c r="L198" t="str">
        <f>+IF(K198="","",MAX(L$1:L197)+1)</f>
        <v/>
      </c>
      <c r="M198" t="str">
        <f t="shared" si="4"/>
        <v/>
      </c>
      <c r="R198" t="str">
        <f>IF(CMS_Identification!B220="","",CMS_Identification!B220)</f>
        <v/>
      </c>
      <c r="S198" t="str">
        <f>IF(CMS_Identification!F220="","",CMS_Identification!F220)</f>
        <v/>
      </c>
      <c r="T198" s="106" t="str">
        <f>IF(CMS_Identification!D220="","",CMS_Identification!D220)</f>
        <v/>
      </c>
    </row>
    <row r="199" spans="9:20" x14ac:dyDescent="0.3">
      <c r="I199" t="str" cm="1">
        <f t="array" ref="I199">IF(SUMPRODUCT(--(LEN(CMS_Identification!F221:F720)&gt;0))&gt;0,IF(CMS_Identification!F221="","",CMS_Identification!F221),"Add CMS to the CMS_Identification tab")</f>
        <v>Add CMS to the CMS_Identification tab</v>
      </c>
      <c r="J199" t="str">
        <f>IF(CMS_Identification!B221="","",CMS_Identification!B221)</f>
        <v/>
      </c>
      <c r="K199" t="str">
        <f>IF(COUNTIF(I$2:I199,I199)=1,I199,"")</f>
        <v/>
      </c>
      <c r="L199" t="str">
        <f>+IF(K199="","",MAX(L$1:L198)+1)</f>
        <v/>
      </c>
      <c r="M199" t="str">
        <f t="shared" si="4"/>
        <v/>
      </c>
      <c r="R199" t="str">
        <f>IF(CMS_Identification!B221="","",CMS_Identification!B221)</f>
        <v/>
      </c>
      <c r="S199" t="str">
        <f>IF(CMS_Identification!F221="","",CMS_Identification!F221)</f>
        <v/>
      </c>
      <c r="T199" s="106" t="str">
        <f>IF(CMS_Identification!D221="","",CMS_Identification!D221)</f>
        <v/>
      </c>
    </row>
    <row r="200" spans="9:20" x14ac:dyDescent="0.3">
      <c r="I200" t="str" cm="1">
        <f t="array" ref="I200">IF(SUMPRODUCT(--(LEN(CMS_Identification!F222:F721)&gt;0))&gt;0,IF(CMS_Identification!F222="","",CMS_Identification!F222),"Add CMS to the CMS_Identification tab")</f>
        <v>Add CMS to the CMS_Identification tab</v>
      </c>
      <c r="J200" t="str">
        <f>IF(CMS_Identification!B222="","",CMS_Identification!B222)</f>
        <v/>
      </c>
      <c r="K200" t="str">
        <f>IF(COUNTIF(I$2:I200,I200)=1,I200,"")</f>
        <v/>
      </c>
      <c r="L200" t="str">
        <f>+IF(K200="","",MAX(L$1:L199)+1)</f>
        <v/>
      </c>
      <c r="M200" t="str">
        <f t="shared" si="4"/>
        <v/>
      </c>
      <c r="R200" t="str">
        <f>IF(CMS_Identification!B222="","",CMS_Identification!B222)</f>
        <v/>
      </c>
      <c r="S200" t="str">
        <f>IF(CMS_Identification!F222="","",CMS_Identification!F222)</f>
        <v/>
      </c>
      <c r="T200" s="106" t="str">
        <f>IF(CMS_Identification!D222="","",CMS_Identification!D222)</f>
        <v/>
      </c>
    </row>
    <row r="201" spans="9:20" x14ac:dyDescent="0.3">
      <c r="I201" t="str" cm="1">
        <f t="array" ref="I201">IF(SUMPRODUCT(--(LEN(CMS_Identification!F223:F722)&gt;0))&gt;0,IF(CMS_Identification!F223="","",CMS_Identification!F223),"Add CMS to the CMS_Identification tab")</f>
        <v>Add CMS to the CMS_Identification tab</v>
      </c>
      <c r="J201" t="str">
        <f>IF(CMS_Identification!B223="","",CMS_Identification!B223)</f>
        <v/>
      </c>
      <c r="K201" t="str">
        <f>IF(COUNTIF(I$2:I201,I201)=1,I201,"")</f>
        <v/>
      </c>
      <c r="L201" t="str">
        <f>+IF(K201="","",MAX(L$1:L200)+1)</f>
        <v/>
      </c>
      <c r="M201" t="str">
        <f t="shared" si="4"/>
        <v/>
      </c>
      <c r="R201" t="str">
        <f>IF(CMS_Identification!B223="","",CMS_Identification!B223)</f>
        <v/>
      </c>
      <c r="S201" t="str">
        <f>IF(CMS_Identification!F223="","",CMS_Identification!F223)</f>
        <v/>
      </c>
      <c r="T201" s="106" t="str">
        <f>IF(CMS_Identification!D223="","",CMS_Identification!D223)</f>
        <v/>
      </c>
    </row>
    <row r="202" spans="9:20" x14ac:dyDescent="0.3">
      <c r="I202" t="str" cm="1">
        <f t="array" ref="I202">IF(SUMPRODUCT(--(LEN(CMS_Identification!F224:F723)&gt;0))&gt;0,IF(CMS_Identification!F224="","",CMS_Identification!F224),"Add CMS to the CMS_Identification tab")</f>
        <v>Add CMS to the CMS_Identification tab</v>
      </c>
      <c r="J202" t="str">
        <f>IF(CMS_Identification!B224="","",CMS_Identification!B224)</f>
        <v/>
      </c>
      <c r="K202" t="str">
        <f>IF(COUNTIF(I$2:I202,I202)=1,I202,"")</f>
        <v/>
      </c>
      <c r="L202" t="str">
        <f>+IF(K202="","",MAX(L$1:L201)+1)</f>
        <v/>
      </c>
      <c r="M202" t="str">
        <f t="shared" si="4"/>
        <v/>
      </c>
      <c r="R202" t="str">
        <f>IF(CMS_Identification!B224="","",CMS_Identification!B224)</f>
        <v/>
      </c>
      <c r="S202" t="str">
        <f>IF(CMS_Identification!F224="","",CMS_Identification!F224)</f>
        <v/>
      </c>
      <c r="T202" s="106" t="str">
        <f>IF(CMS_Identification!D224="","",CMS_Identification!D224)</f>
        <v/>
      </c>
    </row>
    <row r="203" spans="9:20" x14ac:dyDescent="0.3">
      <c r="I203" t="str" cm="1">
        <f t="array" ref="I203">IF(SUMPRODUCT(--(LEN(CMS_Identification!F225:F724)&gt;0))&gt;0,IF(CMS_Identification!F225="","",CMS_Identification!F225),"Add CMS to the CMS_Identification tab")</f>
        <v>Add CMS to the CMS_Identification tab</v>
      </c>
      <c r="J203" t="str">
        <f>IF(CMS_Identification!B225="","",CMS_Identification!B225)</f>
        <v/>
      </c>
      <c r="K203" t="str">
        <f>IF(COUNTIF(I$2:I203,I203)=1,I203,"")</f>
        <v/>
      </c>
      <c r="L203" t="str">
        <f>+IF(K203="","",MAX(L$1:L202)+1)</f>
        <v/>
      </c>
      <c r="M203" t="str">
        <f t="shared" si="4"/>
        <v/>
      </c>
      <c r="R203" t="str">
        <f>IF(CMS_Identification!B225="","",CMS_Identification!B225)</f>
        <v/>
      </c>
      <c r="S203" t="str">
        <f>IF(CMS_Identification!F225="","",CMS_Identification!F225)</f>
        <v/>
      </c>
      <c r="T203" s="106" t="str">
        <f>IF(CMS_Identification!D225="","",CMS_Identification!D225)</f>
        <v/>
      </c>
    </row>
    <row r="204" spans="9:20" x14ac:dyDescent="0.3">
      <c r="I204" t="str" cm="1">
        <f t="array" ref="I204">IF(SUMPRODUCT(--(LEN(CMS_Identification!F226:F725)&gt;0))&gt;0,IF(CMS_Identification!F226="","",CMS_Identification!F226),"Add CMS to the CMS_Identification tab")</f>
        <v>Add CMS to the CMS_Identification tab</v>
      </c>
      <c r="J204" t="str">
        <f>IF(CMS_Identification!B226="","",CMS_Identification!B226)</f>
        <v/>
      </c>
      <c r="K204" t="str">
        <f>IF(COUNTIF(I$2:I204,I204)=1,I204,"")</f>
        <v/>
      </c>
      <c r="L204" t="str">
        <f>+IF(K204="","",MAX(L$1:L203)+1)</f>
        <v/>
      </c>
      <c r="M204" t="str">
        <f t="shared" si="4"/>
        <v/>
      </c>
      <c r="R204" t="str">
        <f>IF(CMS_Identification!B226="","",CMS_Identification!B226)</f>
        <v/>
      </c>
      <c r="S204" t="str">
        <f>IF(CMS_Identification!F226="","",CMS_Identification!F226)</f>
        <v/>
      </c>
      <c r="T204" s="106" t="str">
        <f>IF(CMS_Identification!D226="","",CMS_Identification!D226)</f>
        <v/>
      </c>
    </row>
    <row r="205" spans="9:20" x14ac:dyDescent="0.3">
      <c r="I205" t="str" cm="1">
        <f t="array" ref="I205">IF(SUMPRODUCT(--(LEN(CMS_Identification!F227:F726)&gt;0))&gt;0,IF(CMS_Identification!F227="","",CMS_Identification!F227),"Add CMS to the CMS_Identification tab")</f>
        <v>Add CMS to the CMS_Identification tab</v>
      </c>
      <c r="J205" t="str">
        <f>IF(CMS_Identification!B227="","",CMS_Identification!B227)</f>
        <v/>
      </c>
      <c r="K205" t="str">
        <f>IF(COUNTIF(I$2:I205,I205)=1,I205,"")</f>
        <v/>
      </c>
      <c r="L205" t="str">
        <f>+IF(K205="","",MAX(L$1:L204)+1)</f>
        <v/>
      </c>
      <c r="M205" t="str">
        <f t="shared" si="4"/>
        <v/>
      </c>
      <c r="R205" t="str">
        <f>IF(CMS_Identification!B227="","",CMS_Identification!B227)</f>
        <v/>
      </c>
      <c r="S205" t="str">
        <f>IF(CMS_Identification!F227="","",CMS_Identification!F227)</f>
        <v/>
      </c>
      <c r="T205" s="106" t="str">
        <f>IF(CMS_Identification!D227="","",CMS_Identification!D227)</f>
        <v/>
      </c>
    </row>
    <row r="206" spans="9:20" x14ac:dyDescent="0.3">
      <c r="I206" t="str" cm="1">
        <f t="array" ref="I206">IF(SUMPRODUCT(--(LEN(CMS_Identification!F228:F727)&gt;0))&gt;0,IF(CMS_Identification!F228="","",CMS_Identification!F228),"Add CMS to the CMS_Identification tab")</f>
        <v>Add CMS to the CMS_Identification tab</v>
      </c>
      <c r="J206" t="str">
        <f>IF(CMS_Identification!B228="","",CMS_Identification!B228)</f>
        <v/>
      </c>
      <c r="K206" t="str">
        <f>IF(COUNTIF(I$2:I206,I206)=1,I206,"")</f>
        <v/>
      </c>
      <c r="L206" t="str">
        <f>+IF(K206="","",MAX(L$1:L205)+1)</f>
        <v/>
      </c>
      <c r="M206" t="str">
        <f t="shared" si="4"/>
        <v/>
      </c>
      <c r="R206" t="str">
        <f>IF(CMS_Identification!B228="","",CMS_Identification!B228)</f>
        <v/>
      </c>
      <c r="S206" t="str">
        <f>IF(CMS_Identification!F228="","",CMS_Identification!F228)</f>
        <v/>
      </c>
      <c r="T206" s="106" t="str">
        <f>IF(CMS_Identification!D228="","",CMS_Identification!D228)</f>
        <v/>
      </c>
    </row>
    <row r="207" spans="9:20" x14ac:dyDescent="0.3">
      <c r="I207" t="str" cm="1">
        <f t="array" ref="I207">IF(SUMPRODUCT(--(LEN(CMS_Identification!F229:F728)&gt;0))&gt;0,IF(CMS_Identification!F229="","",CMS_Identification!F229),"Add CMS to the CMS_Identification tab")</f>
        <v>Add CMS to the CMS_Identification tab</v>
      </c>
      <c r="J207" t="str">
        <f>IF(CMS_Identification!B229="","",CMS_Identification!B229)</f>
        <v/>
      </c>
      <c r="K207" t="str">
        <f>IF(COUNTIF(I$2:I207,I207)=1,I207,"")</f>
        <v/>
      </c>
      <c r="L207" t="str">
        <f>+IF(K207="","",MAX(L$1:L206)+1)</f>
        <v/>
      </c>
      <c r="M207" t="str">
        <f t="shared" si="4"/>
        <v/>
      </c>
      <c r="R207" t="str">
        <f>IF(CMS_Identification!B229="","",CMS_Identification!B229)</f>
        <v/>
      </c>
      <c r="S207" t="str">
        <f>IF(CMS_Identification!F229="","",CMS_Identification!F229)</f>
        <v/>
      </c>
      <c r="T207" s="106" t="str">
        <f>IF(CMS_Identification!D229="","",CMS_Identification!D229)</f>
        <v/>
      </c>
    </row>
    <row r="208" spans="9:20" x14ac:dyDescent="0.3">
      <c r="I208" t="str" cm="1">
        <f t="array" ref="I208">IF(SUMPRODUCT(--(LEN(CMS_Identification!F230:F729)&gt;0))&gt;0,IF(CMS_Identification!F230="","",CMS_Identification!F230),"Add CMS to the CMS_Identification tab")</f>
        <v>Add CMS to the CMS_Identification tab</v>
      </c>
      <c r="J208" t="str">
        <f>IF(CMS_Identification!B230="","",CMS_Identification!B230)</f>
        <v/>
      </c>
      <c r="K208" t="str">
        <f>IF(COUNTIF(I$2:I208,I208)=1,I208,"")</f>
        <v/>
      </c>
      <c r="L208" t="str">
        <f>+IF(K208="","",MAX(L$1:L207)+1)</f>
        <v/>
      </c>
      <c r="M208" t="str">
        <f t="shared" si="4"/>
        <v/>
      </c>
      <c r="R208" t="str">
        <f>IF(CMS_Identification!B230="","",CMS_Identification!B230)</f>
        <v/>
      </c>
      <c r="S208" t="str">
        <f>IF(CMS_Identification!F230="","",CMS_Identification!F230)</f>
        <v/>
      </c>
      <c r="T208" s="106" t="str">
        <f>IF(CMS_Identification!D230="","",CMS_Identification!D230)</f>
        <v/>
      </c>
    </row>
    <row r="209" spans="9:20" x14ac:dyDescent="0.3">
      <c r="I209" t="str" cm="1">
        <f t="array" ref="I209">IF(SUMPRODUCT(--(LEN(CMS_Identification!F231:F730)&gt;0))&gt;0,IF(CMS_Identification!F231="","",CMS_Identification!F231),"Add CMS to the CMS_Identification tab")</f>
        <v>Add CMS to the CMS_Identification tab</v>
      </c>
      <c r="J209" t="str">
        <f>IF(CMS_Identification!B231="","",CMS_Identification!B231)</f>
        <v/>
      </c>
      <c r="K209" t="str">
        <f>IF(COUNTIF(I$2:I209,I209)=1,I209,"")</f>
        <v/>
      </c>
      <c r="L209" t="str">
        <f>+IF(K209="","",MAX(L$1:L208)+1)</f>
        <v/>
      </c>
      <c r="M209" t="str">
        <f t="shared" si="4"/>
        <v/>
      </c>
      <c r="R209" t="str">
        <f>IF(CMS_Identification!B231="","",CMS_Identification!B231)</f>
        <v/>
      </c>
      <c r="S209" t="str">
        <f>IF(CMS_Identification!F231="","",CMS_Identification!F231)</f>
        <v/>
      </c>
      <c r="T209" s="106" t="str">
        <f>IF(CMS_Identification!D231="","",CMS_Identification!D231)</f>
        <v/>
      </c>
    </row>
    <row r="210" spans="9:20" x14ac:dyDescent="0.3">
      <c r="I210" t="str" cm="1">
        <f t="array" ref="I210">IF(SUMPRODUCT(--(LEN(CMS_Identification!F232:F731)&gt;0))&gt;0,IF(CMS_Identification!F232="","",CMS_Identification!F232),"Add CMS to the CMS_Identification tab")</f>
        <v>Add CMS to the CMS_Identification tab</v>
      </c>
      <c r="J210" t="str">
        <f>IF(CMS_Identification!B232="","",CMS_Identification!B232)</f>
        <v/>
      </c>
      <c r="K210" t="str">
        <f>IF(COUNTIF(I$2:I210,I210)=1,I210,"")</f>
        <v/>
      </c>
      <c r="L210" t="str">
        <f>+IF(K210="","",MAX(L$1:L209)+1)</f>
        <v/>
      </c>
      <c r="M210" t="str">
        <f t="shared" si="4"/>
        <v/>
      </c>
      <c r="R210" t="str">
        <f>IF(CMS_Identification!B232="","",CMS_Identification!B232)</f>
        <v/>
      </c>
      <c r="S210" t="str">
        <f>IF(CMS_Identification!F232="","",CMS_Identification!F232)</f>
        <v/>
      </c>
      <c r="T210" s="106" t="str">
        <f>IF(CMS_Identification!D232="","",CMS_Identification!D232)</f>
        <v/>
      </c>
    </row>
    <row r="211" spans="9:20" x14ac:dyDescent="0.3">
      <c r="I211" t="str" cm="1">
        <f t="array" ref="I211">IF(SUMPRODUCT(--(LEN(CMS_Identification!F233:F732)&gt;0))&gt;0,IF(CMS_Identification!F233="","",CMS_Identification!F233),"Add CMS to the CMS_Identification tab")</f>
        <v>Add CMS to the CMS_Identification tab</v>
      </c>
      <c r="J211" t="str">
        <f>IF(CMS_Identification!B233="","",CMS_Identification!B233)</f>
        <v/>
      </c>
      <c r="K211" t="str">
        <f>IF(COUNTIF(I$2:I211,I211)=1,I211,"")</f>
        <v/>
      </c>
      <c r="L211" t="str">
        <f>+IF(K211="","",MAX(L$1:L210)+1)</f>
        <v/>
      </c>
      <c r="M211" t="str">
        <f t="shared" si="4"/>
        <v/>
      </c>
      <c r="R211" t="str">
        <f>IF(CMS_Identification!B233="","",CMS_Identification!B233)</f>
        <v/>
      </c>
      <c r="S211" t="str">
        <f>IF(CMS_Identification!F233="","",CMS_Identification!F233)</f>
        <v/>
      </c>
      <c r="T211" s="106" t="str">
        <f>IF(CMS_Identification!D233="","",CMS_Identification!D233)</f>
        <v/>
      </c>
    </row>
    <row r="212" spans="9:20" x14ac:dyDescent="0.3">
      <c r="I212" t="str" cm="1">
        <f t="array" ref="I212">IF(SUMPRODUCT(--(LEN(CMS_Identification!F234:F733)&gt;0))&gt;0,IF(CMS_Identification!F234="","",CMS_Identification!F234),"Add CMS to the CMS_Identification tab")</f>
        <v>Add CMS to the CMS_Identification tab</v>
      </c>
      <c r="J212" t="str">
        <f>IF(CMS_Identification!B234="","",CMS_Identification!B234)</f>
        <v/>
      </c>
      <c r="K212" t="str">
        <f>IF(COUNTIF(I$2:I212,I212)=1,I212,"")</f>
        <v/>
      </c>
      <c r="L212" t="str">
        <f>+IF(K212="","",MAX(L$1:L211)+1)</f>
        <v/>
      </c>
      <c r="M212" t="str">
        <f t="shared" si="4"/>
        <v/>
      </c>
      <c r="R212" t="str">
        <f>IF(CMS_Identification!B234="","",CMS_Identification!B234)</f>
        <v/>
      </c>
      <c r="S212" t="str">
        <f>IF(CMS_Identification!F234="","",CMS_Identification!F234)</f>
        <v/>
      </c>
      <c r="T212" s="106" t="str">
        <f>IF(CMS_Identification!D234="","",CMS_Identification!D234)</f>
        <v/>
      </c>
    </row>
    <row r="213" spans="9:20" x14ac:dyDescent="0.3">
      <c r="I213" t="str" cm="1">
        <f t="array" ref="I213">IF(SUMPRODUCT(--(LEN(CMS_Identification!F235:F734)&gt;0))&gt;0,IF(CMS_Identification!F235="","",CMS_Identification!F235),"Add CMS to the CMS_Identification tab")</f>
        <v>Add CMS to the CMS_Identification tab</v>
      </c>
      <c r="J213" t="str">
        <f>IF(CMS_Identification!B235="","",CMS_Identification!B235)</f>
        <v/>
      </c>
      <c r="K213" t="str">
        <f>IF(COUNTIF(I$2:I213,I213)=1,I213,"")</f>
        <v/>
      </c>
      <c r="L213" t="str">
        <f>+IF(K213="","",MAX(L$1:L212)+1)</f>
        <v/>
      </c>
      <c r="M213" t="str">
        <f t="shared" si="4"/>
        <v/>
      </c>
      <c r="R213" t="str">
        <f>IF(CMS_Identification!B235="","",CMS_Identification!B235)</f>
        <v/>
      </c>
      <c r="S213" t="str">
        <f>IF(CMS_Identification!F235="","",CMS_Identification!F235)</f>
        <v/>
      </c>
      <c r="T213" s="106" t="str">
        <f>IF(CMS_Identification!D235="","",CMS_Identification!D235)</f>
        <v/>
      </c>
    </row>
    <row r="214" spans="9:20" x14ac:dyDescent="0.3">
      <c r="I214" t="str" cm="1">
        <f t="array" ref="I214">IF(SUMPRODUCT(--(LEN(CMS_Identification!F236:F735)&gt;0))&gt;0,IF(CMS_Identification!F236="","",CMS_Identification!F236),"Add CMS to the CMS_Identification tab")</f>
        <v>Add CMS to the CMS_Identification tab</v>
      </c>
      <c r="J214" t="str">
        <f>IF(CMS_Identification!B236="","",CMS_Identification!B236)</f>
        <v/>
      </c>
      <c r="K214" t="str">
        <f>IF(COUNTIF(I$2:I214,I214)=1,I214,"")</f>
        <v/>
      </c>
      <c r="L214" t="str">
        <f>+IF(K214="","",MAX(L$1:L213)+1)</f>
        <v/>
      </c>
      <c r="M214" t="str">
        <f t="shared" si="4"/>
        <v/>
      </c>
      <c r="R214" t="str">
        <f>IF(CMS_Identification!B236="","",CMS_Identification!B236)</f>
        <v/>
      </c>
      <c r="S214" t="str">
        <f>IF(CMS_Identification!F236="","",CMS_Identification!F236)</f>
        <v/>
      </c>
      <c r="T214" s="106" t="str">
        <f>IF(CMS_Identification!D236="","",CMS_Identification!D236)</f>
        <v/>
      </c>
    </row>
    <row r="215" spans="9:20" x14ac:dyDescent="0.3">
      <c r="I215" t="str" cm="1">
        <f t="array" ref="I215">IF(SUMPRODUCT(--(LEN(CMS_Identification!F237:F736)&gt;0))&gt;0,IF(CMS_Identification!F237="","",CMS_Identification!F237),"Add CMS to the CMS_Identification tab")</f>
        <v>Add CMS to the CMS_Identification tab</v>
      </c>
      <c r="J215" t="str">
        <f>IF(CMS_Identification!B237="","",CMS_Identification!B237)</f>
        <v/>
      </c>
      <c r="K215" t="str">
        <f>IF(COUNTIF(I$2:I215,I215)=1,I215,"")</f>
        <v/>
      </c>
      <c r="L215" t="str">
        <f>+IF(K215="","",MAX(L$1:L214)+1)</f>
        <v/>
      </c>
      <c r="M215" t="str">
        <f t="shared" si="4"/>
        <v/>
      </c>
      <c r="R215" t="str">
        <f>IF(CMS_Identification!B237="","",CMS_Identification!B237)</f>
        <v/>
      </c>
      <c r="S215" t="str">
        <f>IF(CMS_Identification!F237="","",CMS_Identification!F237)</f>
        <v/>
      </c>
      <c r="T215" s="106" t="str">
        <f>IF(CMS_Identification!D237="","",CMS_Identification!D237)</f>
        <v/>
      </c>
    </row>
    <row r="216" spans="9:20" x14ac:dyDescent="0.3">
      <c r="I216" t="str" cm="1">
        <f t="array" ref="I216">IF(SUMPRODUCT(--(LEN(CMS_Identification!F238:F737)&gt;0))&gt;0,IF(CMS_Identification!F238="","",CMS_Identification!F238),"Add CMS to the CMS_Identification tab")</f>
        <v>Add CMS to the CMS_Identification tab</v>
      </c>
      <c r="J216" t="str">
        <f>IF(CMS_Identification!B238="","",CMS_Identification!B238)</f>
        <v/>
      </c>
      <c r="K216" t="str">
        <f>IF(COUNTIF(I$2:I216,I216)=1,I216,"")</f>
        <v/>
      </c>
      <c r="L216" t="str">
        <f>+IF(K216="","",MAX(L$1:L215)+1)</f>
        <v/>
      </c>
      <c r="M216" t="str">
        <f t="shared" si="4"/>
        <v/>
      </c>
      <c r="R216" t="str">
        <f>IF(CMS_Identification!B238="","",CMS_Identification!B238)</f>
        <v/>
      </c>
      <c r="S216" t="str">
        <f>IF(CMS_Identification!F238="","",CMS_Identification!F238)</f>
        <v/>
      </c>
      <c r="T216" s="106" t="str">
        <f>IF(CMS_Identification!D238="","",CMS_Identification!D238)</f>
        <v/>
      </c>
    </row>
    <row r="217" spans="9:20" x14ac:dyDescent="0.3">
      <c r="I217" t="str" cm="1">
        <f t="array" ref="I217">IF(SUMPRODUCT(--(LEN(CMS_Identification!F239:F738)&gt;0))&gt;0,IF(CMS_Identification!F239="","",CMS_Identification!F239),"Add CMS to the CMS_Identification tab")</f>
        <v>Add CMS to the CMS_Identification tab</v>
      </c>
      <c r="J217" t="str">
        <f>IF(CMS_Identification!B239="","",CMS_Identification!B239)</f>
        <v/>
      </c>
      <c r="K217" t="str">
        <f>IF(COUNTIF(I$2:I217,I217)=1,I217,"")</f>
        <v/>
      </c>
      <c r="L217" t="str">
        <f>+IF(K217="","",MAX(L$1:L216)+1)</f>
        <v/>
      </c>
      <c r="M217" t="str">
        <f t="shared" si="4"/>
        <v/>
      </c>
      <c r="R217" t="str">
        <f>IF(CMS_Identification!B239="","",CMS_Identification!B239)</f>
        <v/>
      </c>
      <c r="S217" t="str">
        <f>IF(CMS_Identification!F239="","",CMS_Identification!F239)</f>
        <v/>
      </c>
      <c r="T217" s="106" t="str">
        <f>IF(CMS_Identification!D239="","",CMS_Identification!D239)</f>
        <v/>
      </c>
    </row>
    <row r="218" spans="9:20" x14ac:dyDescent="0.3">
      <c r="I218" t="str" cm="1">
        <f t="array" ref="I218">IF(SUMPRODUCT(--(LEN(CMS_Identification!F240:F739)&gt;0))&gt;0,IF(CMS_Identification!F240="","",CMS_Identification!F240),"Add CMS to the CMS_Identification tab")</f>
        <v>Add CMS to the CMS_Identification tab</v>
      </c>
      <c r="J218" t="str">
        <f>IF(CMS_Identification!B240="","",CMS_Identification!B240)</f>
        <v/>
      </c>
      <c r="K218" t="str">
        <f>IF(COUNTIF(I$2:I218,I218)=1,I218,"")</f>
        <v/>
      </c>
      <c r="L218" t="str">
        <f>+IF(K218="","",MAX(L$1:L217)+1)</f>
        <v/>
      </c>
      <c r="M218" t="str">
        <f t="shared" si="4"/>
        <v/>
      </c>
      <c r="R218" t="str">
        <f>IF(CMS_Identification!B240="","",CMS_Identification!B240)</f>
        <v/>
      </c>
      <c r="S218" t="str">
        <f>IF(CMS_Identification!F240="","",CMS_Identification!F240)</f>
        <v/>
      </c>
      <c r="T218" s="106" t="str">
        <f>IF(CMS_Identification!D240="","",CMS_Identification!D240)</f>
        <v/>
      </c>
    </row>
    <row r="219" spans="9:20" x14ac:dyDescent="0.3">
      <c r="I219" t="str" cm="1">
        <f t="array" ref="I219">IF(SUMPRODUCT(--(LEN(CMS_Identification!F241:F740)&gt;0))&gt;0,IF(CMS_Identification!F241="","",CMS_Identification!F241),"Add CMS to the CMS_Identification tab")</f>
        <v>Add CMS to the CMS_Identification tab</v>
      </c>
      <c r="J219" t="str">
        <f>IF(CMS_Identification!B241="","",CMS_Identification!B241)</f>
        <v/>
      </c>
      <c r="K219" t="str">
        <f>IF(COUNTIF(I$2:I219,I219)=1,I219,"")</f>
        <v/>
      </c>
      <c r="L219" t="str">
        <f>+IF(K219="","",MAX(L$1:L218)+1)</f>
        <v/>
      </c>
      <c r="M219" t="str">
        <f t="shared" si="4"/>
        <v/>
      </c>
      <c r="R219" t="str">
        <f>IF(CMS_Identification!B241="","",CMS_Identification!B241)</f>
        <v/>
      </c>
      <c r="S219" t="str">
        <f>IF(CMS_Identification!F241="","",CMS_Identification!F241)</f>
        <v/>
      </c>
      <c r="T219" s="106" t="str">
        <f>IF(CMS_Identification!D241="","",CMS_Identification!D241)</f>
        <v/>
      </c>
    </row>
    <row r="220" spans="9:20" x14ac:dyDescent="0.3">
      <c r="I220" t="str" cm="1">
        <f t="array" ref="I220">IF(SUMPRODUCT(--(LEN(CMS_Identification!F242:F741)&gt;0))&gt;0,IF(CMS_Identification!F242="","",CMS_Identification!F242),"Add CMS to the CMS_Identification tab")</f>
        <v>Add CMS to the CMS_Identification tab</v>
      </c>
      <c r="J220" t="str">
        <f>IF(CMS_Identification!B242="","",CMS_Identification!B242)</f>
        <v/>
      </c>
      <c r="K220" t="str">
        <f>IF(COUNTIF(I$2:I220,I220)=1,I220,"")</f>
        <v/>
      </c>
      <c r="L220" t="str">
        <f>+IF(K220="","",MAX(L$1:L219)+1)</f>
        <v/>
      </c>
      <c r="M220" t="str">
        <f t="shared" si="4"/>
        <v/>
      </c>
      <c r="R220" t="str">
        <f>IF(CMS_Identification!B242="","",CMS_Identification!B242)</f>
        <v/>
      </c>
      <c r="S220" t="str">
        <f>IF(CMS_Identification!F242="","",CMS_Identification!F242)</f>
        <v/>
      </c>
      <c r="T220" s="106" t="str">
        <f>IF(CMS_Identification!D242="","",CMS_Identification!D242)</f>
        <v/>
      </c>
    </row>
    <row r="221" spans="9:20" x14ac:dyDescent="0.3">
      <c r="I221" t="str" cm="1">
        <f t="array" ref="I221">IF(SUMPRODUCT(--(LEN(CMS_Identification!F243:F742)&gt;0))&gt;0,IF(CMS_Identification!F243="","",CMS_Identification!F243),"Add CMS to the CMS_Identification tab")</f>
        <v>Add CMS to the CMS_Identification tab</v>
      </c>
      <c r="J221" t="str">
        <f>IF(CMS_Identification!B243="","",CMS_Identification!B243)</f>
        <v/>
      </c>
      <c r="K221" t="str">
        <f>IF(COUNTIF(I$2:I221,I221)=1,I221,"")</f>
        <v/>
      </c>
      <c r="L221" t="str">
        <f>+IF(K221="","",MAX(L$1:L220)+1)</f>
        <v/>
      </c>
      <c r="M221" t="str">
        <f t="shared" si="4"/>
        <v/>
      </c>
      <c r="R221" t="str">
        <f>IF(CMS_Identification!B243="","",CMS_Identification!B243)</f>
        <v/>
      </c>
      <c r="S221" t="str">
        <f>IF(CMS_Identification!F243="","",CMS_Identification!F243)</f>
        <v/>
      </c>
      <c r="T221" s="106" t="str">
        <f>IF(CMS_Identification!D243="","",CMS_Identification!D243)</f>
        <v/>
      </c>
    </row>
    <row r="222" spans="9:20" x14ac:dyDescent="0.3">
      <c r="I222" t="str" cm="1">
        <f t="array" ref="I222">IF(SUMPRODUCT(--(LEN(CMS_Identification!F244:F743)&gt;0))&gt;0,IF(CMS_Identification!F244="","",CMS_Identification!F244),"Add CMS to the CMS_Identification tab")</f>
        <v>Add CMS to the CMS_Identification tab</v>
      </c>
      <c r="J222" t="str">
        <f>IF(CMS_Identification!B244="","",CMS_Identification!B244)</f>
        <v/>
      </c>
      <c r="K222" t="str">
        <f>IF(COUNTIF(I$2:I222,I222)=1,I222,"")</f>
        <v/>
      </c>
      <c r="L222" t="str">
        <f>+IF(K222="","",MAX(L$1:L221)+1)</f>
        <v/>
      </c>
      <c r="M222" t="str">
        <f t="shared" si="4"/>
        <v/>
      </c>
      <c r="R222" t="str">
        <f>IF(CMS_Identification!B244="","",CMS_Identification!B244)</f>
        <v/>
      </c>
      <c r="S222" t="str">
        <f>IF(CMS_Identification!F244="","",CMS_Identification!F244)</f>
        <v/>
      </c>
      <c r="T222" s="106" t="str">
        <f>IF(CMS_Identification!D244="","",CMS_Identification!D244)</f>
        <v/>
      </c>
    </row>
    <row r="223" spans="9:20" x14ac:dyDescent="0.3">
      <c r="I223" t="str" cm="1">
        <f t="array" ref="I223">IF(SUMPRODUCT(--(LEN(CMS_Identification!F245:F744)&gt;0))&gt;0,IF(CMS_Identification!F245="","",CMS_Identification!F245),"Add CMS to the CMS_Identification tab")</f>
        <v>Add CMS to the CMS_Identification tab</v>
      </c>
      <c r="J223" t="str">
        <f>IF(CMS_Identification!B245="","",CMS_Identification!B245)</f>
        <v/>
      </c>
      <c r="K223" t="str">
        <f>IF(COUNTIF(I$2:I223,I223)=1,I223,"")</f>
        <v/>
      </c>
      <c r="L223" t="str">
        <f>+IF(K223="","",MAX(L$1:L222)+1)</f>
        <v/>
      </c>
      <c r="M223" t="str">
        <f t="shared" si="4"/>
        <v/>
      </c>
      <c r="R223" t="str">
        <f>IF(CMS_Identification!B245="","",CMS_Identification!B245)</f>
        <v/>
      </c>
      <c r="S223" t="str">
        <f>IF(CMS_Identification!F245="","",CMS_Identification!F245)</f>
        <v/>
      </c>
      <c r="T223" s="106" t="str">
        <f>IF(CMS_Identification!D245="","",CMS_Identification!D245)</f>
        <v/>
      </c>
    </row>
    <row r="224" spans="9:20" x14ac:dyDescent="0.3">
      <c r="I224" t="str" cm="1">
        <f t="array" ref="I224">IF(SUMPRODUCT(--(LEN(CMS_Identification!F246:F745)&gt;0))&gt;0,IF(CMS_Identification!F246="","",CMS_Identification!F246),"Add CMS to the CMS_Identification tab")</f>
        <v>Add CMS to the CMS_Identification tab</v>
      </c>
      <c r="J224" t="str">
        <f>IF(CMS_Identification!B246="","",CMS_Identification!B246)</f>
        <v/>
      </c>
      <c r="K224" t="str">
        <f>IF(COUNTIF(I$2:I224,I224)=1,I224,"")</f>
        <v/>
      </c>
      <c r="L224" t="str">
        <f>+IF(K224="","",MAX(L$1:L223)+1)</f>
        <v/>
      </c>
      <c r="M224" t="str">
        <f t="shared" si="4"/>
        <v/>
      </c>
      <c r="R224" t="str">
        <f>IF(CMS_Identification!B246="","",CMS_Identification!B246)</f>
        <v/>
      </c>
      <c r="S224" t="str">
        <f>IF(CMS_Identification!F246="","",CMS_Identification!F246)</f>
        <v/>
      </c>
      <c r="T224" s="106" t="str">
        <f>IF(CMS_Identification!D246="","",CMS_Identification!D246)</f>
        <v/>
      </c>
    </row>
    <row r="225" spans="9:20" x14ac:dyDescent="0.3">
      <c r="I225" t="str" cm="1">
        <f t="array" ref="I225">IF(SUMPRODUCT(--(LEN(CMS_Identification!F247:F746)&gt;0))&gt;0,IF(CMS_Identification!F247="","",CMS_Identification!F247),"Add CMS to the CMS_Identification tab")</f>
        <v>Add CMS to the CMS_Identification tab</v>
      </c>
      <c r="J225" t="str">
        <f>IF(CMS_Identification!B247="","",CMS_Identification!B247)</f>
        <v/>
      </c>
      <c r="K225" t="str">
        <f>IF(COUNTIF(I$2:I225,I225)=1,I225,"")</f>
        <v/>
      </c>
      <c r="L225" t="str">
        <f>+IF(K225="","",MAX(L$1:L224)+1)</f>
        <v/>
      </c>
      <c r="M225" t="str">
        <f t="shared" si="4"/>
        <v/>
      </c>
      <c r="R225" t="str">
        <f>IF(CMS_Identification!B247="","",CMS_Identification!B247)</f>
        <v/>
      </c>
      <c r="S225" t="str">
        <f>IF(CMS_Identification!F247="","",CMS_Identification!F247)</f>
        <v/>
      </c>
      <c r="T225" s="106" t="str">
        <f>IF(CMS_Identification!D247="","",CMS_Identification!D247)</f>
        <v/>
      </c>
    </row>
    <row r="226" spans="9:20" x14ac:dyDescent="0.3">
      <c r="I226" t="str" cm="1">
        <f t="array" ref="I226">IF(SUMPRODUCT(--(LEN(CMS_Identification!F248:F747)&gt;0))&gt;0,IF(CMS_Identification!F248="","",CMS_Identification!F248),"Add CMS to the CMS_Identification tab")</f>
        <v>Add CMS to the CMS_Identification tab</v>
      </c>
      <c r="J226" t="str">
        <f>IF(CMS_Identification!B248="","",CMS_Identification!B248)</f>
        <v/>
      </c>
      <c r="K226" t="str">
        <f>IF(COUNTIF(I$2:I226,I226)=1,I226,"")</f>
        <v/>
      </c>
      <c r="L226" t="str">
        <f>+IF(K226="","",MAX(L$1:L225)+1)</f>
        <v/>
      </c>
      <c r="M226" t="str">
        <f t="shared" si="4"/>
        <v/>
      </c>
      <c r="R226" t="str">
        <f>IF(CMS_Identification!B248="","",CMS_Identification!B248)</f>
        <v/>
      </c>
      <c r="S226" t="str">
        <f>IF(CMS_Identification!F248="","",CMS_Identification!F248)</f>
        <v/>
      </c>
      <c r="T226" s="106" t="str">
        <f>IF(CMS_Identification!D248="","",CMS_Identification!D248)</f>
        <v/>
      </c>
    </row>
    <row r="227" spans="9:20" x14ac:dyDescent="0.3">
      <c r="I227" t="str" cm="1">
        <f t="array" ref="I227">IF(SUMPRODUCT(--(LEN(CMS_Identification!F249:F748)&gt;0))&gt;0,IF(CMS_Identification!F249="","",CMS_Identification!F249),"Add CMS to the CMS_Identification tab")</f>
        <v>Add CMS to the CMS_Identification tab</v>
      </c>
      <c r="J227" t="str">
        <f>IF(CMS_Identification!B249="","",CMS_Identification!B249)</f>
        <v/>
      </c>
      <c r="K227" t="str">
        <f>IF(COUNTIF(I$2:I227,I227)=1,I227,"")</f>
        <v/>
      </c>
      <c r="L227" t="str">
        <f>+IF(K227="","",MAX(L$1:L226)+1)</f>
        <v/>
      </c>
      <c r="M227" t="str">
        <f t="shared" si="4"/>
        <v/>
      </c>
      <c r="R227" t="str">
        <f>IF(CMS_Identification!B249="","",CMS_Identification!B249)</f>
        <v/>
      </c>
      <c r="S227" t="str">
        <f>IF(CMS_Identification!F249="","",CMS_Identification!F249)</f>
        <v/>
      </c>
      <c r="T227" s="106" t="str">
        <f>IF(CMS_Identification!D249="","",CMS_Identification!D249)</f>
        <v/>
      </c>
    </row>
    <row r="228" spans="9:20" x14ac:dyDescent="0.3">
      <c r="I228" t="str" cm="1">
        <f t="array" ref="I228">IF(SUMPRODUCT(--(LEN(CMS_Identification!F250:F749)&gt;0))&gt;0,IF(CMS_Identification!F250="","",CMS_Identification!F250),"Add CMS to the CMS_Identification tab")</f>
        <v>Add CMS to the CMS_Identification tab</v>
      </c>
      <c r="J228" t="str">
        <f>IF(CMS_Identification!B250="","",CMS_Identification!B250)</f>
        <v/>
      </c>
      <c r="K228" t="str">
        <f>IF(COUNTIF(I$2:I228,I228)=1,I228,"")</f>
        <v/>
      </c>
      <c r="L228" t="str">
        <f>+IF(K228="","",MAX(L$1:L227)+1)</f>
        <v/>
      </c>
      <c r="M228" t="str">
        <f t="shared" si="4"/>
        <v/>
      </c>
      <c r="R228" t="str">
        <f>IF(CMS_Identification!B250="","",CMS_Identification!B250)</f>
        <v/>
      </c>
      <c r="S228" t="str">
        <f>IF(CMS_Identification!F250="","",CMS_Identification!F250)</f>
        <v/>
      </c>
      <c r="T228" s="106" t="str">
        <f>IF(CMS_Identification!D250="","",CMS_Identification!D250)</f>
        <v/>
      </c>
    </row>
    <row r="229" spans="9:20" x14ac:dyDescent="0.3">
      <c r="I229" t="str" cm="1">
        <f t="array" ref="I229">IF(SUMPRODUCT(--(LEN(CMS_Identification!F251:F750)&gt;0))&gt;0,IF(CMS_Identification!F251="","",CMS_Identification!F251),"Add CMS to the CMS_Identification tab")</f>
        <v>Add CMS to the CMS_Identification tab</v>
      </c>
      <c r="J229" t="str">
        <f>IF(CMS_Identification!B251="","",CMS_Identification!B251)</f>
        <v/>
      </c>
      <c r="K229" t="str">
        <f>IF(COUNTIF(I$2:I229,I229)=1,I229,"")</f>
        <v/>
      </c>
      <c r="L229" t="str">
        <f>+IF(K229="","",MAX(L$1:L228)+1)</f>
        <v/>
      </c>
      <c r="M229" t="str">
        <f t="shared" si="4"/>
        <v/>
      </c>
      <c r="R229" t="str">
        <f>IF(CMS_Identification!B251="","",CMS_Identification!B251)</f>
        <v/>
      </c>
      <c r="S229" t="str">
        <f>IF(CMS_Identification!F251="","",CMS_Identification!F251)</f>
        <v/>
      </c>
      <c r="T229" s="106" t="str">
        <f>IF(CMS_Identification!D251="","",CMS_Identification!D251)</f>
        <v/>
      </c>
    </row>
    <row r="230" spans="9:20" x14ac:dyDescent="0.3">
      <c r="I230" t="str" cm="1">
        <f t="array" ref="I230">IF(SUMPRODUCT(--(LEN(CMS_Identification!F252:F751)&gt;0))&gt;0,IF(CMS_Identification!F252="","",CMS_Identification!F252),"Add CMS to the CMS_Identification tab")</f>
        <v>Add CMS to the CMS_Identification tab</v>
      </c>
      <c r="J230" t="str">
        <f>IF(CMS_Identification!B252="","",CMS_Identification!B252)</f>
        <v/>
      </c>
      <c r="K230" t="str">
        <f>IF(COUNTIF(I$2:I230,I230)=1,I230,"")</f>
        <v/>
      </c>
      <c r="L230" t="str">
        <f>+IF(K230="","",MAX(L$1:L229)+1)</f>
        <v/>
      </c>
      <c r="M230" t="str">
        <f t="shared" si="4"/>
        <v/>
      </c>
      <c r="R230" t="str">
        <f>IF(CMS_Identification!B252="","",CMS_Identification!B252)</f>
        <v/>
      </c>
      <c r="S230" t="str">
        <f>IF(CMS_Identification!F252="","",CMS_Identification!F252)</f>
        <v/>
      </c>
      <c r="T230" s="106" t="str">
        <f>IF(CMS_Identification!D252="","",CMS_Identification!D252)</f>
        <v/>
      </c>
    </row>
    <row r="231" spans="9:20" x14ac:dyDescent="0.3">
      <c r="I231" t="str" cm="1">
        <f t="array" ref="I231">IF(SUMPRODUCT(--(LEN(CMS_Identification!F253:F752)&gt;0))&gt;0,IF(CMS_Identification!F253="","",CMS_Identification!F253),"Add CMS to the CMS_Identification tab")</f>
        <v>Add CMS to the CMS_Identification tab</v>
      </c>
      <c r="J231" t="str">
        <f>IF(CMS_Identification!B253="","",CMS_Identification!B253)</f>
        <v/>
      </c>
      <c r="K231" t="str">
        <f>IF(COUNTIF(I$2:I231,I231)=1,I231,"")</f>
        <v/>
      </c>
      <c r="L231" t="str">
        <f>+IF(K231="","",MAX(L$1:L230)+1)</f>
        <v/>
      </c>
      <c r="M231" t="str">
        <f t="shared" si="4"/>
        <v/>
      </c>
      <c r="R231" t="str">
        <f>IF(CMS_Identification!B253="","",CMS_Identification!B253)</f>
        <v/>
      </c>
      <c r="S231" t="str">
        <f>IF(CMS_Identification!F253="","",CMS_Identification!F253)</f>
        <v/>
      </c>
      <c r="T231" s="106" t="str">
        <f>IF(CMS_Identification!D253="","",CMS_Identification!D253)</f>
        <v/>
      </c>
    </row>
    <row r="232" spans="9:20" x14ac:dyDescent="0.3">
      <c r="I232" t="str" cm="1">
        <f t="array" ref="I232">IF(SUMPRODUCT(--(LEN(CMS_Identification!F254:F753)&gt;0))&gt;0,IF(CMS_Identification!F254="","",CMS_Identification!F254),"Add CMS to the CMS_Identification tab")</f>
        <v>Add CMS to the CMS_Identification tab</v>
      </c>
      <c r="J232" t="str">
        <f>IF(CMS_Identification!B254="","",CMS_Identification!B254)</f>
        <v/>
      </c>
      <c r="K232" t="str">
        <f>IF(COUNTIF(I$2:I232,I232)=1,I232,"")</f>
        <v/>
      </c>
      <c r="L232" t="str">
        <f>+IF(K232="","",MAX(L$1:L231)+1)</f>
        <v/>
      </c>
      <c r="M232" t="str">
        <f t="shared" si="4"/>
        <v/>
      </c>
      <c r="R232" t="str">
        <f>IF(CMS_Identification!B254="","",CMS_Identification!B254)</f>
        <v/>
      </c>
      <c r="S232" t="str">
        <f>IF(CMS_Identification!F254="","",CMS_Identification!F254)</f>
        <v/>
      </c>
      <c r="T232" s="106" t="str">
        <f>IF(CMS_Identification!D254="","",CMS_Identification!D254)</f>
        <v/>
      </c>
    </row>
    <row r="233" spans="9:20" x14ac:dyDescent="0.3">
      <c r="I233" t="str" cm="1">
        <f t="array" ref="I233">IF(SUMPRODUCT(--(LEN(CMS_Identification!F255:F754)&gt;0))&gt;0,IF(CMS_Identification!F255="","",CMS_Identification!F255),"Add CMS to the CMS_Identification tab")</f>
        <v>Add CMS to the CMS_Identification tab</v>
      </c>
      <c r="J233" t="str">
        <f>IF(CMS_Identification!B255="","",CMS_Identification!B255)</f>
        <v/>
      </c>
      <c r="K233" t="str">
        <f>IF(COUNTIF(I$2:I233,I233)=1,I233,"")</f>
        <v/>
      </c>
      <c r="L233" t="str">
        <f>+IF(K233="","",MAX(L$1:L232)+1)</f>
        <v/>
      </c>
      <c r="M233" t="str">
        <f t="shared" si="4"/>
        <v/>
      </c>
      <c r="R233" t="str">
        <f>IF(CMS_Identification!B255="","",CMS_Identification!B255)</f>
        <v/>
      </c>
      <c r="S233" t="str">
        <f>IF(CMS_Identification!F255="","",CMS_Identification!F255)</f>
        <v/>
      </c>
      <c r="T233" s="106" t="str">
        <f>IF(CMS_Identification!D255="","",CMS_Identification!D255)</f>
        <v/>
      </c>
    </row>
    <row r="234" spans="9:20" x14ac:dyDescent="0.3">
      <c r="I234" t="str" cm="1">
        <f t="array" ref="I234">IF(SUMPRODUCT(--(LEN(CMS_Identification!F256:F755)&gt;0))&gt;0,IF(CMS_Identification!F256="","",CMS_Identification!F256),"Add CMS to the CMS_Identification tab")</f>
        <v>Add CMS to the CMS_Identification tab</v>
      </c>
      <c r="J234" t="str">
        <f>IF(CMS_Identification!B256="","",CMS_Identification!B256)</f>
        <v/>
      </c>
      <c r="K234" t="str">
        <f>IF(COUNTIF(I$2:I234,I234)=1,I234,"")</f>
        <v/>
      </c>
      <c r="L234" t="str">
        <f>+IF(K234="","",MAX(L$1:L233)+1)</f>
        <v/>
      </c>
      <c r="M234" t="str">
        <f t="shared" si="4"/>
        <v/>
      </c>
      <c r="R234" t="str">
        <f>IF(CMS_Identification!B256="","",CMS_Identification!B256)</f>
        <v/>
      </c>
      <c r="S234" t="str">
        <f>IF(CMS_Identification!F256="","",CMS_Identification!F256)</f>
        <v/>
      </c>
      <c r="T234" s="106" t="str">
        <f>IF(CMS_Identification!D256="","",CMS_Identification!D256)</f>
        <v/>
      </c>
    </row>
    <row r="235" spans="9:20" x14ac:dyDescent="0.3">
      <c r="I235" t="str" cm="1">
        <f t="array" ref="I235">IF(SUMPRODUCT(--(LEN(CMS_Identification!F257:F756)&gt;0))&gt;0,IF(CMS_Identification!F257="","",CMS_Identification!F257),"Add CMS to the CMS_Identification tab")</f>
        <v>Add CMS to the CMS_Identification tab</v>
      </c>
      <c r="J235" t="str">
        <f>IF(CMS_Identification!B257="","",CMS_Identification!B257)</f>
        <v/>
      </c>
      <c r="K235" t="str">
        <f>IF(COUNTIF(I$2:I235,I235)=1,I235,"")</f>
        <v/>
      </c>
      <c r="L235" t="str">
        <f>+IF(K235="","",MAX(L$1:L234)+1)</f>
        <v/>
      </c>
      <c r="M235" t="str">
        <f t="shared" si="4"/>
        <v/>
      </c>
      <c r="R235" t="str">
        <f>IF(CMS_Identification!B257="","",CMS_Identification!B257)</f>
        <v/>
      </c>
      <c r="S235" t="str">
        <f>IF(CMS_Identification!F257="","",CMS_Identification!F257)</f>
        <v/>
      </c>
      <c r="T235" s="106" t="str">
        <f>IF(CMS_Identification!D257="","",CMS_Identification!D257)</f>
        <v/>
      </c>
    </row>
    <row r="236" spans="9:20" x14ac:dyDescent="0.3">
      <c r="I236" t="str" cm="1">
        <f t="array" ref="I236">IF(SUMPRODUCT(--(LEN(CMS_Identification!F258:F757)&gt;0))&gt;0,IF(CMS_Identification!F258="","",CMS_Identification!F258),"Add CMS to the CMS_Identification tab")</f>
        <v>Add CMS to the CMS_Identification tab</v>
      </c>
      <c r="J236" t="str">
        <f>IF(CMS_Identification!B258="","",CMS_Identification!B258)</f>
        <v/>
      </c>
      <c r="K236" t="str">
        <f>IF(COUNTIF(I$2:I236,I236)=1,I236,"")</f>
        <v/>
      </c>
      <c r="L236" t="str">
        <f>+IF(K236="","",MAX(L$1:L235)+1)</f>
        <v/>
      </c>
      <c r="M236" t="str">
        <f t="shared" si="4"/>
        <v/>
      </c>
      <c r="R236" t="str">
        <f>IF(CMS_Identification!B258="","",CMS_Identification!B258)</f>
        <v/>
      </c>
      <c r="S236" t="str">
        <f>IF(CMS_Identification!F258="","",CMS_Identification!F258)</f>
        <v/>
      </c>
      <c r="T236" s="106" t="str">
        <f>IF(CMS_Identification!D258="","",CMS_Identification!D258)</f>
        <v/>
      </c>
    </row>
    <row r="237" spans="9:20" x14ac:dyDescent="0.3">
      <c r="I237" t="str" cm="1">
        <f t="array" ref="I237">IF(SUMPRODUCT(--(LEN(CMS_Identification!F259:F758)&gt;0))&gt;0,IF(CMS_Identification!F259="","",CMS_Identification!F259),"Add CMS to the CMS_Identification tab")</f>
        <v>Add CMS to the CMS_Identification tab</v>
      </c>
      <c r="J237" t="str">
        <f>IF(CMS_Identification!B259="","",CMS_Identification!B259)</f>
        <v/>
      </c>
      <c r="K237" t="str">
        <f>IF(COUNTIF(I$2:I237,I237)=1,I237,"")</f>
        <v/>
      </c>
      <c r="L237" t="str">
        <f>+IF(K237="","",MAX(L$1:L236)+1)</f>
        <v/>
      </c>
      <c r="M237" t="str">
        <f t="shared" si="4"/>
        <v/>
      </c>
      <c r="R237" t="str">
        <f>IF(CMS_Identification!B259="","",CMS_Identification!B259)</f>
        <v/>
      </c>
      <c r="S237" t="str">
        <f>IF(CMS_Identification!F259="","",CMS_Identification!F259)</f>
        <v/>
      </c>
      <c r="T237" s="106" t="str">
        <f>IF(CMS_Identification!D259="","",CMS_Identification!D259)</f>
        <v/>
      </c>
    </row>
    <row r="238" spans="9:20" x14ac:dyDescent="0.3">
      <c r="I238" t="str" cm="1">
        <f t="array" ref="I238">IF(SUMPRODUCT(--(LEN(CMS_Identification!F260:F759)&gt;0))&gt;0,IF(CMS_Identification!F260="","",CMS_Identification!F260),"Add CMS to the CMS_Identification tab")</f>
        <v>Add CMS to the CMS_Identification tab</v>
      </c>
      <c r="J238" t="str">
        <f>IF(CMS_Identification!B260="","",CMS_Identification!B260)</f>
        <v/>
      </c>
      <c r="K238" t="str">
        <f>IF(COUNTIF(I$2:I238,I238)=1,I238,"")</f>
        <v/>
      </c>
      <c r="L238" t="str">
        <f>+IF(K238="","",MAX(L$1:L237)+1)</f>
        <v/>
      </c>
      <c r="M238" t="str">
        <f t="shared" si="4"/>
        <v/>
      </c>
      <c r="R238" t="str">
        <f>IF(CMS_Identification!B260="","",CMS_Identification!B260)</f>
        <v/>
      </c>
      <c r="S238" t="str">
        <f>IF(CMS_Identification!F260="","",CMS_Identification!F260)</f>
        <v/>
      </c>
      <c r="T238" s="106" t="str">
        <f>IF(CMS_Identification!D260="","",CMS_Identification!D260)</f>
        <v/>
      </c>
    </row>
    <row r="239" spans="9:20" x14ac:dyDescent="0.3">
      <c r="I239" t="str" cm="1">
        <f t="array" ref="I239">IF(SUMPRODUCT(--(LEN(CMS_Identification!F261:F760)&gt;0))&gt;0,IF(CMS_Identification!F261="","",CMS_Identification!F261),"Add CMS to the CMS_Identification tab")</f>
        <v>Add CMS to the CMS_Identification tab</v>
      </c>
      <c r="J239" t="str">
        <f>IF(CMS_Identification!B261="","",CMS_Identification!B261)</f>
        <v/>
      </c>
      <c r="K239" t="str">
        <f>IF(COUNTIF(I$2:I239,I239)=1,I239,"")</f>
        <v/>
      </c>
      <c r="L239" t="str">
        <f>+IF(K239="","",MAX(L$1:L238)+1)</f>
        <v/>
      </c>
      <c r="M239" t="str">
        <f t="shared" si="4"/>
        <v/>
      </c>
      <c r="R239" t="str">
        <f>IF(CMS_Identification!B261="","",CMS_Identification!B261)</f>
        <v/>
      </c>
      <c r="S239" t="str">
        <f>IF(CMS_Identification!F261="","",CMS_Identification!F261)</f>
        <v/>
      </c>
      <c r="T239" s="106" t="str">
        <f>IF(CMS_Identification!D261="","",CMS_Identification!D261)</f>
        <v/>
      </c>
    </row>
    <row r="240" spans="9:20" x14ac:dyDescent="0.3">
      <c r="I240" t="str" cm="1">
        <f t="array" ref="I240">IF(SUMPRODUCT(--(LEN(CMS_Identification!F262:F761)&gt;0))&gt;0,IF(CMS_Identification!F262="","",CMS_Identification!F262),"Add CMS to the CMS_Identification tab")</f>
        <v>Add CMS to the CMS_Identification tab</v>
      </c>
      <c r="J240" t="str">
        <f>IF(CMS_Identification!B262="","",CMS_Identification!B262)</f>
        <v/>
      </c>
      <c r="K240" t="str">
        <f>IF(COUNTIF(I$2:I240,I240)=1,I240,"")</f>
        <v/>
      </c>
      <c r="L240" t="str">
        <f>+IF(K240="","",MAX(L$1:L239)+1)</f>
        <v/>
      </c>
      <c r="M240" t="str">
        <f t="shared" si="4"/>
        <v/>
      </c>
      <c r="R240" t="str">
        <f>IF(CMS_Identification!B262="","",CMS_Identification!B262)</f>
        <v/>
      </c>
      <c r="S240" t="str">
        <f>IF(CMS_Identification!F262="","",CMS_Identification!F262)</f>
        <v/>
      </c>
      <c r="T240" s="106" t="str">
        <f>IF(CMS_Identification!D262="","",CMS_Identification!D262)</f>
        <v/>
      </c>
    </row>
    <row r="241" spans="9:20" x14ac:dyDescent="0.3">
      <c r="I241" t="str" cm="1">
        <f t="array" ref="I241">IF(SUMPRODUCT(--(LEN(CMS_Identification!F263:F762)&gt;0))&gt;0,IF(CMS_Identification!F263="","",CMS_Identification!F263),"Add CMS to the CMS_Identification tab")</f>
        <v>Add CMS to the CMS_Identification tab</v>
      </c>
      <c r="J241" t="str">
        <f>IF(CMS_Identification!B263="","",CMS_Identification!B263)</f>
        <v/>
      </c>
      <c r="K241" t="str">
        <f>IF(COUNTIF(I$2:I241,I241)=1,I241,"")</f>
        <v/>
      </c>
      <c r="L241" t="str">
        <f>+IF(K241="","",MAX(L$1:L240)+1)</f>
        <v/>
      </c>
      <c r="M241" t="str">
        <f t="shared" si="4"/>
        <v/>
      </c>
      <c r="R241" t="str">
        <f>IF(CMS_Identification!B263="","",CMS_Identification!B263)</f>
        <v/>
      </c>
      <c r="S241" t="str">
        <f>IF(CMS_Identification!F263="","",CMS_Identification!F263)</f>
        <v/>
      </c>
      <c r="T241" s="106" t="str">
        <f>IF(CMS_Identification!D263="","",CMS_Identification!D263)</f>
        <v/>
      </c>
    </row>
    <row r="242" spans="9:20" x14ac:dyDescent="0.3">
      <c r="I242" t="str" cm="1">
        <f t="array" ref="I242">IF(SUMPRODUCT(--(LEN(CMS_Identification!F264:F763)&gt;0))&gt;0,IF(CMS_Identification!F264="","",CMS_Identification!F264),"Add CMS to the CMS_Identification tab")</f>
        <v>Add CMS to the CMS_Identification tab</v>
      </c>
      <c r="J242" t="str">
        <f>IF(CMS_Identification!B264="","",CMS_Identification!B264)</f>
        <v/>
      </c>
      <c r="K242" t="str">
        <f>IF(COUNTIF(I$2:I242,I242)=1,I242,"")</f>
        <v/>
      </c>
      <c r="L242" t="str">
        <f>+IF(K242="","",MAX(L$1:L241)+1)</f>
        <v/>
      </c>
      <c r="M242" t="str">
        <f t="shared" si="4"/>
        <v/>
      </c>
      <c r="R242" t="str">
        <f>IF(CMS_Identification!B264="","",CMS_Identification!B264)</f>
        <v/>
      </c>
      <c r="S242" t="str">
        <f>IF(CMS_Identification!F264="","",CMS_Identification!F264)</f>
        <v/>
      </c>
      <c r="T242" s="106" t="str">
        <f>IF(CMS_Identification!D264="","",CMS_Identification!D264)</f>
        <v/>
      </c>
    </row>
    <row r="243" spans="9:20" x14ac:dyDescent="0.3">
      <c r="I243" t="str" cm="1">
        <f t="array" ref="I243">IF(SUMPRODUCT(--(LEN(CMS_Identification!F265:F764)&gt;0))&gt;0,IF(CMS_Identification!F265="","",CMS_Identification!F265),"Add CMS to the CMS_Identification tab")</f>
        <v>Add CMS to the CMS_Identification tab</v>
      </c>
      <c r="J243" t="str">
        <f>IF(CMS_Identification!B265="","",CMS_Identification!B265)</f>
        <v/>
      </c>
      <c r="K243" t="str">
        <f>IF(COUNTIF(I$2:I243,I243)=1,I243,"")</f>
        <v/>
      </c>
      <c r="L243" t="str">
        <f>+IF(K243="","",MAX(L$1:L242)+1)</f>
        <v/>
      </c>
      <c r="M243" t="str">
        <f t="shared" si="4"/>
        <v/>
      </c>
      <c r="R243" t="str">
        <f>IF(CMS_Identification!B265="","",CMS_Identification!B265)</f>
        <v/>
      </c>
      <c r="S243" t="str">
        <f>IF(CMS_Identification!F265="","",CMS_Identification!F265)</f>
        <v/>
      </c>
      <c r="T243" s="106" t="str">
        <f>IF(CMS_Identification!D265="","",CMS_Identification!D265)</f>
        <v/>
      </c>
    </row>
    <row r="244" spans="9:20" x14ac:dyDescent="0.3">
      <c r="I244" t="str" cm="1">
        <f t="array" ref="I244">IF(SUMPRODUCT(--(LEN(CMS_Identification!F266:F765)&gt;0))&gt;0,IF(CMS_Identification!F266="","",CMS_Identification!F266),"Add CMS to the CMS_Identification tab")</f>
        <v>Add CMS to the CMS_Identification tab</v>
      </c>
      <c r="J244" t="str">
        <f>IF(CMS_Identification!B266="","",CMS_Identification!B266)</f>
        <v/>
      </c>
      <c r="K244" t="str">
        <f>IF(COUNTIF(I$2:I244,I244)=1,I244,"")</f>
        <v/>
      </c>
      <c r="L244" t="str">
        <f>+IF(K244="","",MAX(L$1:L243)+1)</f>
        <v/>
      </c>
      <c r="M244" t="str">
        <f t="shared" si="4"/>
        <v/>
      </c>
      <c r="R244" t="str">
        <f>IF(CMS_Identification!B266="","",CMS_Identification!B266)</f>
        <v/>
      </c>
      <c r="S244" t="str">
        <f>IF(CMS_Identification!F266="","",CMS_Identification!F266)</f>
        <v/>
      </c>
      <c r="T244" s="106" t="str">
        <f>IF(CMS_Identification!D266="","",CMS_Identification!D266)</f>
        <v/>
      </c>
    </row>
    <row r="245" spans="9:20" x14ac:dyDescent="0.3">
      <c r="I245" t="str" cm="1">
        <f t="array" ref="I245">IF(SUMPRODUCT(--(LEN(CMS_Identification!F267:F766)&gt;0))&gt;0,IF(CMS_Identification!F267="","",CMS_Identification!F267),"Add CMS to the CMS_Identification tab")</f>
        <v>Add CMS to the CMS_Identification tab</v>
      </c>
      <c r="J245" t="str">
        <f>IF(CMS_Identification!B267="","",CMS_Identification!B267)</f>
        <v/>
      </c>
      <c r="K245" t="str">
        <f>IF(COUNTIF(I$2:I245,I245)=1,I245,"")</f>
        <v/>
      </c>
      <c r="L245" t="str">
        <f>+IF(K245="","",MAX(L$1:L244)+1)</f>
        <v/>
      </c>
      <c r="M245" t="str">
        <f t="shared" si="4"/>
        <v/>
      </c>
      <c r="R245" t="str">
        <f>IF(CMS_Identification!B267="","",CMS_Identification!B267)</f>
        <v/>
      </c>
      <c r="S245" t="str">
        <f>IF(CMS_Identification!F267="","",CMS_Identification!F267)</f>
        <v/>
      </c>
      <c r="T245" s="106" t="str">
        <f>IF(CMS_Identification!D267="","",CMS_Identification!D267)</f>
        <v/>
      </c>
    </row>
    <row r="246" spans="9:20" x14ac:dyDescent="0.3">
      <c r="I246" t="str" cm="1">
        <f t="array" ref="I246">IF(SUMPRODUCT(--(LEN(CMS_Identification!F268:F767)&gt;0))&gt;0,IF(CMS_Identification!F268="","",CMS_Identification!F268),"Add CMS to the CMS_Identification tab")</f>
        <v>Add CMS to the CMS_Identification tab</v>
      </c>
      <c r="J246" t="str">
        <f>IF(CMS_Identification!B268="","",CMS_Identification!B268)</f>
        <v/>
      </c>
      <c r="K246" t="str">
        <f>IF(COUNTIF(I$2:I246,I246)=1,I246,"")</f>
        <v/>
      </c>
      <c r="L246" t="str">
        <f>+IF(K246="","",MAX(L$1:L245)+1)</f>
        <v/>
      </c>
      <c r="M246" t="str">
        <f t="shared" si="4"/>
        <v/>
      </c>
      <c r="R246" t="str">
        <f>IF(CMS_Identification!B268="","",CMS_Identification!B268)</f>
        <v/>
      </c>
      <c r="S246" t="str">
        <f>IF(CMS_Identification!F268="","",CMS_Identification!F268)</f>
        <v/>
      </c>
      <c r="T246" s="106" t="str">
        <f>IF(CMS_Identification!D268="","",CMS_Identification!D268)</f>
        <v/>
      </c>
    </row>
    <row r="247" spans="9:20" x14ac:dyDescent="0.3">
      <c r="I247" t="str" cm="1">
        <f t="array" ref="I247">IF(SUMPRODUCT(--(LEN(CMS_Identification!F269:F768)&gt;0))&gt;0,IF(CMS_Identification!F269="","",CMS_Identification!F269),"Add CMS to the CMS_Identification tab")</f>
        <v>Add CMS to the CMS_Identification tab</v>
      </c>
      <c r="J247" t="str">
        <f>IF(CMS_Identification!B269="","",CMS_Identification!B269)</f>
        <v/>
      </c>
      <c r="K247" t="str">
        <f>IF(COUNTIF(I$2:I247,I247)=1,I247,"")</f>
        <v/>
      </c>
      <c r="L247" t="str">
        <f>+IF(K247="","",MAX(L$1:L246)+1)</f>
        <v/>
      </c>
      <c r="M247" t="str">
        <f t="shared" si="4"/>
        <v/>
      </c>
      <c r="R247" t="str">
        <f>IF(CMS_Identification!B269="","",CMS_Identification!B269)</f>
        <v/>
      </c>
      <c r="S247" t="str">
        <f>IF(CMS_Identification!F269="","",CMS_Identification!F269)</f>
        <v/>
      </c>
      <c r="T247" s="106" t="str">
        <f>IF(CMS_Identification!D269="","",CMS_Identification!D269)</f>
        <v/>
      </c>
    </row>
    <row r="248" spans="9:20" x14ac:dyDescent="0.3">
      <c r="I248" t="str" cm="1">
        <f t="array" ref="I248">IF(SUMPRODUCT(--(LEN(CMS_Identification!F270:F769)&gt;0))&gt;0,IF(CMS_Identification!F270="","",CMS_Identification!F270),"Add CMS to the CMS_Identification tab")</f>
        <v>Add CMS to the CMS_Identification tab</v>
      </c>
      <c r="J248" t="str">
        <f>IF(CMS_Identification!B270="","",CMS_Identification!B270)</f>
        <v/>
      </c>
      <c r="K248" t="str">
        <f>IF(COUNTIF(I$2:I248,I248)=1,I248,"")</f>
        <v/>
      </c>
      <c r="L248" t="str">
        <f>+IF(K248="","",MAX(L$1:L247)+1)</f>
        <v/>
      </c>
      <c r="M248" t="str">
        <f t="shared" si="4"/>
        <v/>
      </c>
      <c r="R248" t="str">
        <f>IF(CMS_Identification!B270="","",CMS_Identification!B270)</f>
        <v/>
      </c>
      <c r="S248" t="str">
        <f>IF(CMS_Identification!F270="","",CMS_Identification!F270)</f>
        <v/>
      </c>
      <c r="T248" s="106" t="str">
        <f>IF(CMS_Identification!D270="","",CMS_Identification!D270)</f>
        <v/>
      </c>
    </row>
    <row r="249" spans="9:20" x14ac:dyDescent="0.3">
      <c r="I249" t="str" cm="1">
        <f t="array" ref="I249">IF(SUMPRODUCT(--(LEN(CMS_Identification!F271:F770)&gt;0))&gt;0,IF(CMS_Identification!F271="","",CMS_Identification!F271),"Add CMS to the CMS_Identification tab")</f>
        <v>Add CMS to the CMS_Identification tab</v>
      </c>
      <c r="J249" t="str">
        <f>IF(CMS_Identification!B271="","",CMS_Identification!B271)</f>
        <v/>
      </c>
      <c r="K249" t="str">
        <f>IF(COUNTIF(I$2:I249,I249)=1,I249,"")</f>
        <v/>
      </c>
      <c r="L249" t="str">
        <f>+IF(K249="","",MAX(L$1:L248)+1)</f>
        <v/>
      </c>
      <c r="M249" t="str">
        <f t="shared" si="4"/>
        <v/>
      </c>
      <c r="R249" t="str">
        <f>IF(CMS_Identification!B271="","",CMS_Identification!B271)</f>
        <v/>
      </c>
      <c r="S249" t="str">
        <f>IF(CMS_Identification!F271="","",CMS_Identification!F271)</f>
        <v/>
      </c>
      <c r="T249" s="106" t="str">
        <f>IF(CMS_Identification!D271="","",CMS_Identification!D271)</f>
        <v/>
      </c>
    </row>
    <row r="250" spans="9:20" x14ac:dyDescent="0.3">
      <c r="I250" t="str" cm="1">
        <f t="array" ref="I250">IF(SUMPRODUCT(--(LEN(CMS_Identification!F272:F771)&gt;0))&gt;0,IF(CMS_Identification!F272="","",CMS_Identification!F272),"Add CMS to the CMS_Identification tab")</f>
        <v>Add CMS to the CMS_Identification tab</v>
      </c>
      <c r="J250" t="str">
        <f>IF(CMS_Identification!B272="","",CMS_Identification!B272)</f>
        <v/>
      </c>
      <c r="K250" t="str">
        <f>IF(COUNTIF(I$2:I250,I250)=1,I250,"")</f>
        <v/>
      </c>
      <c r="L250" t="str">
        <f>+IF(K250="","",MAX(L$1:L249)+1)</f>
        <v/>
      </c>
      <c r="M250" t="str">
        <f t="shared" si="4"/>
        <v/>
      </c>
      <c r="R250" t="str">
        <f>IF(CMS_Identification!B272="","",CMS_Identification!B272)</f>
        <v/>
      </c>
      <c r="S250" t="str">
        <f>IF(CMS_Identification!F272="","",CMS_Identification!F272)</f>
        <v/>
      </c>
      <c r="T250" s="106" t="str">
        <f>IF(CMS_Identification!D272="","",CMS_Identification!D272)</f>
        <v/>
      </c>
    </row>
    <row r="251" spans="9:20" x14ac:dyDescent="0.3">
      <c r="I251" t="str" cm="1">
        <f t="array" ref="I251">IF(SUMPRODUCT(--(LEN(CMS_Identification!F273:F772)&gt;0))&gt;0,IF(CMS_Identification!F273="","",CMS_Identification!F273),"Add CMS to the CMS_Identification tab")</f>
        <v>Add CMS to the CMS_Identification tab</v>
      </c>
      <c r="J251" t="str">
        <f>IF(CMS_Identification!B273="","",CMS_Identification!B273)</f>
        <v/>
      </c>
      <c r="K251" t="str">
        <f>IF(COUNTIF(I$2:I251,I251)=1,I251,"")</f>
        <v/>
      </c>
      <c r="L251" t="str">
        <f>+IF(K251="","",MAX(L$1:L250)+1)</f>
        <v/>
      </c>
      <c r="M251" t="str">
        <f t="shared" si="4"/>
        <v/>
      </c>
      <c r="R251" t="str">
        <f>IF(CMS_Identification!B273="","",CMS_Identification!B273)</f>
        <v/>
      </c>
      <c r="S251" t="str">
        <f>IF(CMS_Identification!F273="","",CMS_Identification!F273)</f>
        <v/>
      </c>
      <c r="T251" s="106" t="str">
        <f>IF(CMS_Identification!D273="","",CMS_Identification!D273)</f>
        <v/>
      </c>
    </row>
    <row r="252" spans="9:20" x14ac:dyDescent="0.3">
      <c r="I252" t="str" cm="1">
        <f t="array" ref="I252">IF(SUMPRODUCT(--(LEN(CMS_Identification!F274:F773)&gt;0))&gt;0,IF(CMS_Identification!F274="","",CMS_Identification!F274),"Add CMS to the CMS_Identification tab")</f>
        <v>Add CMS to the CMS_Identification tab</v>
      </c>
      <c r="J252" t="str">
        <f>IF(CMS_Identification!B274="","",CMS_Identification!B274)</f>
        <v/>
      </c>
      <c r="K252" t="str">
        <f>IF(COUNTIF(I$2:I252,I252)=1,I252,"")</f>
        <v/>
      </c>
      <c r="L252" t="str">
        <f>+IF(K252="","",MAX(L$1:L251)+1)</f>
        <v/>
      </c>
      <c r="M252" t="str">
        <f t="shared" si="4"/>
        <v/>
      </c>
      <c r="R252" t="str">
        <f>IF(CMS_Identification!B274="","",CMS_Identification!B274)</f>
        <v/>
      </c>
      <c r="S252" t="str">
        <f>IF(CMS_Identification!F274="","",CMS_Identification!F274)</f>
        <v/>
      </c>
      <c r="T252" s="106" t="str">
        <f>IF(CMS_Identification!D274="","",CMS_Identification!D274)</f>
        <v/>
      </c>
    </row>
    <row r="253" spans="9:20" x14ac:dyDescent="0.3">
      <c r="I253" t="str" cm="1">
        <f t="array" ref="I253">IF(SUMPRODUCT(--(LEN(CMS_Identification!F275:F774)&gt;0))&gt;0,IF(CMS_Identification!F275="","",CMS_Identification!F275),"Add CMS to the CMS_Identification tab")</f>
        <v>Add CMS to the CMS_Identification tab</v>
      </c>
      <c r="J253" t="str">
        <f>IF(CMS_Identification!B275="","",CMS_Identification!B275)</f>
        <v/>
      </c>
      <c r="K253" t="str">
        <f>IF(COUNTIF(I$2:I253,I253)=1,I253,"")</f>
        <v/>
      </c>
      <c r="L253" t="str">
        <f>+IF(K253="","",MAX(L$1:L252)+1)</f>
        <v/>
      </c>
      <c r="M253" t="str">
        <f t="shared" si="4"/>
        <v/>
      </c>
      <c r="R253" t="str">
        <f>IF(CMS_Identification!B275="","",CMS_Identification!B275)</f>
        <v/>
      </c>
      <c r="S253" t="str">
        <f>IF(CMS_Identification!F275="","",CMS_Identification!F275)</f>
        <v/>
      </c>
      <c r="T253" s="106" t="str">
        <f>IF(CMS_Identification!D275="","",CMS_Identification!D275)</f>
        <v/>
      </c>
    </row>
    <row r="254" spans="9:20" x14ac:dyDescent="0.3">
      <c r="I254" t="str" cm="1">
        <f t="array" ref="I254">IF(SUMPRODUCT(--(LEN(CMS_Identification!F276:F775)&gt;0))&gt;0,IF(CMS_Identification!F276="","",CMS_Identification!F276),"Add CMS to the CMS_Identification tab")</f>
        <v>Add CMS to the CMS_Identification tab</v>
      </c>
      <c r="J254" t="str">
        <f>IF(CMS_Identification!B276="","",CMS_Identification!B276)</f>
        <v/>
      </c>
      <c r="K254" t="str">
        <f>IF(COUNTIF(I$2:I254,I254)=1,I254,"")</f>
        <v/>
      </c>
      <c r="L254" t="str">
        <f>+IF(K254="","",MAX(L$1:L253)+1)</f>
        <v/>
      </c>
      <c r="M254" t="str">
        <f t="shared" si="4"/>
        <v/>
      </c>
      <c r="R254" t="str">
        <f>IF(CMS_Identification!B276="","",CMS_Identification!B276)</f>
        <v/>
      </c>
      <c r="S254" t="str">
        <f>IF(CMS_Identification!F276="","",CMS_Identification!F276)</f>
        <v/>
      </c>
      <c r="T254" s="106" t="str">
        <f>IF(CMS_Identification!D276="","",CMS_Identification!D276)</f>
        <v/>
      </c>
    </row>
    <row r="255" spans="9:20" x14ac:dyDescent="0.3">
      <c r="I255" t="str" cm="1">
        <f t="array" ref="I255">IF(SUMPRODUCT(--(LEN(CMS_Identification!F277:F776)&gt;0))&gt;0,IF(CMS_Identification!F277="","",CMS_Identification!F277),"Add CMS to the CMS_Identification tab")</f>
        <v>Add CMS to the CMS_Identification tab</v>
      </c>
      <c r="J255" t="str">
        <f>IF(CMS_Identification!B277="","",CMS_Identification!B277)</f>
        <v/>
      </c>
      <c r="K255" t="str">
        <f>IF(COUNTIF(I$2:I255,I255)=1,I255,"")</f>
        <v/>
      </c>
      <c r="L255" t="str">
        <f>+IF(K255="","",MAX(L$1:L254)+1)</f>
        <v/>
      </c>
      <c r="M255" t="str">
        <f t="shared" si="4"/>
        <v/>
      </c>
      <c r="R255" t="str">
        <f>IF(CMS_Identification!B277="","",CMS_Identification!B277)</f>
        <v/>
      </c>
      <c r="S255" t="str">
        <f>IF(CMS_Identification!F277="","",CMS_Identification!F277)</f>
        <v/>
      </c>
      <c r="T255" s="106" t="str">
        <f>IF(CMS_Identification!D277="","",CMS_Identification!D277)</f>
        <v/>
      </c>
    </row>
    <row r="256" spans="9:20" x14ac:dyDescent="0.3">
      <c r="I256" t="str" cm="1">
        <f t="array" ref="I256">IF(SUMPRODUCT(--(LEN(CMS_Identification!F278:F777)&gt;0))&gt;0,IF(CMS_Identification!F278="","",CMS_Identification!F278),"Add CMS to the CMS_Identification tab")</f>
        <v>Add CMS to the CMS_Identification tab</v>
      </c>
      <c r="J256" t="str">
        <f>IF(CMS_Identification!B278="","",CMS_Identification!B278)</f>
        <v/>
      </c>
      <c r="K256" t="str">
        <f>IF(COUNTIF(I$2:I256,I256)=1,I256,"")</f>
        <v/>
      </c>
      <c r="L256" t="str">
        <f>+IF(K256="","",MAX(L$1:L255)+1)</f>
        <v/>
      </c>
      <c r="M256" t="str">
        <f t="shared" si="4"/>
        <v/>
      </c>
      <c r="R256" t="str">
        <f>IF(CMS_Identification!B278="","",CMS_Identification!B278)</f>
        <v/>
      </c>
      <c r="S256" t="str">
        <f>IF(CMS_Identification!F278="","",CMS_Identification!F278)</f>
        <v/>
      </c>
      <c r="T256" s="106" t="str">
        <f>IF(CMS_Identification!D278="","",CMS_Identification!D278)</f>
        <v/>
      </c>
    </row>
    <row r="257" spans="9:20" x14ac:dyDescent="0.3">
      <c r="I257" t="str" cm="1">
        <f t="array" ref="I257">IF(SUMPRODUCT(--(LEN(CMS_Identification!F279:F778)&gt;0))&gt;0,IF(CMS_Identification!F279="","",CMS_Identification!F279),"Add CMS to the CMS_Identification tab")</f>
        <v>Add CMS to the CMS_Identification tab</v>
      </c>
      <c r="J257" t="str">
        <f>IF(CMS_Identification!B279="","",CMS_Identification!B279)</f>
        <v/>
      </c>
      <c r="K257" t="str">
        <f>IF(COUNTIF(I$2:I257,I257)=1,I257,"")</f>
        <v/>
      </c>
      <c r="L257" t="str">
        <f>+IF(K257="","",MAX(L$1:L256)+1)</f>
        <v/>
      </c>
      <c r="M257" t="str">
        <f t="shared" si="4"/>
        <v/>
      </c>
      <c r="R257" t="str">
        <f>IF(CMS_Identification!B279="","",CMS_Identification!B279)</f>
        <v/>
      </c>
      <c r="S257" t="str">
        <f>IF(CMS_Identification!F279="","",CMS_Identification!F279)</f>
        <v/>
      </c>
      <c r="T257" s="106" t="str">
        <f>IF(CMS_Identification!D279="","",CMS_Identification!D279)</f>
        <v/>
      </c>
    </row>
    <row r="258" spans="9:20" x14ac:dyDescent="0.3">
      <c r="I258" t="str" cm="1">
        <f t="array" ref="I258">IF(SUMPRODUCT(--(LEN(CMS_Identification!F280:F779)&gt;0))&gt;0,IF(CMS_Identification!F280="","",CMS_Identification!F280),"Add CMS to the CMS_Identification tab")</f>
        <v>Add CMS to the CMS_Identification tab</v>
      </c>
      <c r="J258" t="str">
        <f>IF(CMS_Identification!B280="","",CMS_Identification!B280)</f>
        <v/>
      </c>
      <c r="K258" t="str">
        <f>IF(COUNTIF(I$2:I258,I258)=1,I258,"")</f>
        <v/>
      </c>
      <c r="L258" t="str">
        <f>+IF(K258="","",MAX(L$1:L257)+1)</f>
        <v/>
      </c>
      <c r="M258" t="str">
        <f t="shared" ref="M258:M321" si="5">+IFERROR(INDEX($I$2:$I$501,MATCH(ROW()-ROW($L$1),$L$2:$L$501,0)),"")</f>
        <v/>
      </c>
      <c r="R258" t="str">
        <f>IF(CMS_Identification!B280="","",CMS_Identification!B280)</f>
        <v/>
      </c>
      <c r="S258" t="str">
        <f>IF(CMS_Identification!F280="","",CMS_Identification!F280)</f>
        <v/>
      </c>
      <c r="T258" s="106" t="str">
        <f>IF(CMS_Identification!D280="","",CMS_Identification!D280)</f>
        <v/>
      </c>
    </row>
    <row r="259" spans="9:20" x14ac:dyDescent="0.3">
      <c r="I259" t="str" cm="1">
        <f t="array" ref="I259">IF(SUMPRODUCT(--(LEN(CMS_Identification!F281:F780)&gt;0))&gt;0,IF(CMS_Identification!F281="","",CMS_Identification!F281),"Add CMS to the CMS_Identification tab")</f>
        <v>Add CMS to the CMS_Identification tab</v>
      </c>
      <c r="J259" t="str">
        <f>IF(CMS_Identification!B281="","",CMS_Identification!B281)</f>
        <v/>
      </c>
      <c r="K259" t="str">
        <f>IF(COUNTIF(I$2:I259,I259)=1,I259,"")</f>
        <v/>
      </c>
      <c r="L259" t="str">
        <f>+IF(K259="","",MAX(L$1:L258)+1)</f>
        <v/>
      </c>
      <c r="M259" t="str">
        <f t="shared" si="5"/>
        <v/>
      </c>
      <c r="R259" t="str">
        <f>IF(CMS_Identification!B281="","",CMS_Identification!B281)</f>
        <v/>
      </c>
      <c r="S259" t="str">
        <f>IF(CMS_Identification!F281="","",CMS_Identification!F281)</f>
        <v/>
      </c>
      <c r="T259" s="106" t="str">
        <f>IF(CMS_Identification!D281="","",CMS_Identification!D281)</f>
        <v/>
      </c>
    </row>
    <row r="260" spans="9:20" x14ac:dyDescent="0.3">
      <c r="I260" t="str" cm="1">
        <f t="array" ref="I260">IF(SUMPRODUCT(--(LEN(CMS_Identification!F282:F781)&gt;0))&gt;0,IF(CMS_Identification!F282="","",CMS_Identification!F282),"Add CMS to the CMS_Identification tab")</f>
        <v>Add CMS to the CMS_Identification tab</v>
      </c>
      <c r="J260" t="str">
        <f>IF(CMS_Identification!B282="","",CMS_Identification!B282)</f>
        <v/>
      </c>
      <c r="K260" t="str">
        <f>IF(COUNTIF(I$2:I260,I260)=1,I260,"")</f>
        <v/>
      </c>
      <c r="L260" t="str">
        <f>+IF(K260="","",MAX(L$1:L259)+1)</f>
        <v/>
      </c>
      <c r="M260" t="str">
        <f t="shared" si="5"/>
        <v/>
      </c>
      <c r="R260" t="str">
        <f>IF(CMS_Identification!B282="","",CMS_Identification!B282)</f>
        <v/>
      </c>
      <c r="S260" t="str">
        <f>IF(CMS_Identification!F282="","",CMS_Identification!F282)</f>
        <v/>
      </c>
      <c r="T260" s="106" t="str">
        <f>IF(CMS_Identification!D282="","",CMS_Identification!D282)</f>
        <v/>
      </c>
    </row>
    <row r="261" spans="9:20" x14ac:dyDescent="0.3">
      <c r="I261" t="str" cm="1">
        <f t="array" ref="I261">IF(SUMPRODUCT(--(LEN(CMS_Identification!F283:F782)&gt;0))&gt;0,IF(CMS_Identification!F283="","",CMS_Identification!F283),"Add CMS to the CMS_Identification tab")</f>
        <v>Add CMS to the CMS_Identification tab</v>
      </c>
      <c r="J261" t="str">
        <f>IF(CMS_Identification!B283="","",CMS_Identification!B283)</f>
        <v/>
      </c>
      <c r="K261" t="str">
        <f>IF(COUNTIF(I$2:I261,I261)=1,I261,"")</f>
        <v/>
      </c>
      <c r="L261" t="str">
        <f>+IF(K261="","",MAX(L$1:L260)+1)</f>
        <v/>
      </c>
      <c r="M261" t="str">
        <f t="shared" si="5"/>
        <v/>
      </c>
      <c r="R261" t="str">
        <f>IF(CMS_Identification!B283="","",CMS_Identification!B283)</f>
        <v/>
      </c>
      <c r="S261" t="str">
        <f>IF(CMS_Identification!F283="","",CMS_Identification!F283)</f>
        <v/>
      </c>
      <c r="T261" s="106" t="str">
        <f>IF(CMS_Identification!D283="","",CMS_Identification!D283)</f>
        <v/>
      </c>
    </row>
    <row r="262" spans="9:20" x14ac:dyDescent="0.3">
      <c r="I262" t="str" cm="1">
        <f t="array" ref="I262">IF(SUMPRODUCT(--(LEN(CMS_Identification!F284:F783)&gt;0))&gt;0,IF(CMS_Identification!F284="","",CMS_Identification!F284),"Add CMS to the CMS_Identification tab")</f>
        <v>Add CMS to the CMS_Identification tab</v>
      </c>
      <c r="J262" t="str">
        <f>IF(CMS_Identification!B284="","",CMS_Identification!B284)</f>
        <v/>
      </c>
      <c r="K262" t="str">
        <f>IF(COUNTIF(I$2:I262,I262)=1,I262,"")</f>
        <v/>
      </c>
      <c r="L262" t="str">
        <f>+IF(K262="","",MAX(L$1:L261)+1)</f>
        <v/>
      </c>
      <c r="M262" t="str">
        <f t="shared" si="5"/>
        <v/>
      </c>
      <c r="R262" t="str">
        <f>IF(CMS_Identification!B284="","",CMS_Identification!B284)</f>
        <v/>
      </c>
      <c r="S262" t="str">
        <f>IF(CMS_Identification!F284="","",CMS_Identification!F284)</f>
        <v/>
      </c>
      <c r="T262" s="106" t="str">
        <f>IF(CMS_Identification!D284="","",CMS_Identification!D284)</f>
        <v/>
      </c>
    </row>
    <row r="263" spans="9:20" x14ac:dyDescent="0.3">
      <c r="I263" t="str" cm="1">
        <f t="array" ref="I263">IF(SUMPRODUCT(--(LEN(CMS_Identification!F285:F784)&gt;0))&gt;0,IF(CMS_Identification!F285="","",CMS_Identification!F285),"Add CMS to the CMS_Identification tab")</f>
        <v>Add CMS to the CMS_Identification tab</v>
      </c>
      <c r="J263" t="str">
        <f>IF(CMS_Identification!B285="","",CMS_Identification!B285)</f>
        <v/>
      </c>
      <c r="K263" t="str">
        <f>IF(COUNTIF(I$2:I263,I263)=1,I263,"")</f>
        <v/>
      </c>
      <c r="L263" t="str">
        <f>+IF(K263="","",MAX(L$1:L262)+1)</f>
        <v/>
      </c>
      <c r="M263" t="str">
        <f t="shared" si="5"/>
        <v/>
      </c>
      <c r="R263" t="str">
        <f>IF(CMS_Identification!B285="","",CMS_Identification!B285)</f>
        <v/>
      </c>
      <c r="S263" t="str">
        <f>IF(CMS_Identification!F285="","",CMS_Identification!F285)</f>
        <v/>
      </c>
      <c r="T263" s="106" t="str">
        <f>IF(CMS_Identification!D285="","",CMS_Identification!D285)</f>
        <v/>
      </c>
    </row>
    <row r="264" spans="9:20" x14ac:dyDescent="0.3">
      <c r="I264" t="str" cm="1">
        <f t="array" ref="I264">IF(SUMPRODUCT(--(LEN(CMS_Identification!F286:F785)&gt;0))&gt;0,IF(CMS_Identification!F286="","",CMS_Identification!F286),"Add CMS to the CMS_Identification tab")</f>
        <v>Add CMS to the CMS_Identification tab</v>
      </c>
      <c r="J264" t="str">
        <f>IF(CMS_Identification!B286="","",CMS_Identification!B286)</f>
        <v/>
      </c>
      <c r="K264" t="str">
        <f>IF(COUNTIF(I$2:I264,I264)=1,I264,"")</f>
        <v/>
      </c>
      <c r="L264" t="str">
        <f>+IF(K264="","",MAX(L$1:L263)+1)</f>
        <v/>
      </c>
      <c r="M264" t="str">
        <f t="shared" si="5"/>
        <v/>
      </c>
      <c r="R264" t="str">
        <f>IF(CMS_Identification!B286="","",CMS_Identification!B286)</f>
        <v/>
      </c>
      <c r="S264" t="str">
        <f>IF(CMS_Identification!F286="","",CMS_Identification!F286)</f>
        <v/>
      </c>
      <c r="T264" s="106" t="str">
        <f>IF(CMS_Identification!D286="","",CMS_Identification!D286)</f>
        <v/>
      </c>
    </row>
    <row r="265" spans="9:20" x14ac:dyDescent="0.3">
      <c r="I265" t="str" cm="1">
        <f t="array" ref="I265">IF(SUMPRODUCT(--(LEN(CMS_Identification!F287:F786)&gt;0))&gt;0,IF(CMS_Identification!F287="","",CMS_Identification!F287),"Add CMS to the CMS_Identification tab")</f>
        <v>Add CMS to the CMS_Identification tab</v>
      </c>
      <c r="J265" t="str">
        <f>IF(CMS_Identification!B287="","",CMS_Identification!B287)</f>
        <v/>
      </c>
      <c r="K265" t="str">
        <f>IF(COUNTIF(I$2:I265,I265)=1,I265,"")</f>
        <v/>
      </c>
      <c r="L265" t="str">
        <f>+IF(K265="","",MAX(L$1:L264)+1)</f>
        <v/>
      </c>
      <c r="M265" t="str">
        <f t="shared" si="5"/>
        <v/>
      </c>
      <c r="R265" t="str">
        <f>IF(CMS_Identification!B287="","",CMS_Identification!B287)</f>
        <v/>
      </c>
      <c r="S265" t="str">
        <f>IF(CMS_Identification!F287="","",CMS_Identification!F287)</f>
        <v/>
      </c>
      <c r="T265" s="106" t="str">
        <f>IF(CMS_Identification!D287="","",CMS_Identification!D287)</f>
        <v/>
      </c>
    </row>
    <row r="266" spans="9:20" x14ac:dyDescent="0.3">
      <c r="I266" t="str" cm="1">
        <f t="array" ref="I266">IF(SUMPRODUCT(--(LEN(CMS_Identification!F288:F787)&gt;0))&gt;0,IF(CMS_Identification!F288="","",CMS_Identification!F288),"Add CMS to the CMS_Identification tab")</f>
        <v>Add CMS to the CMS_Identification tab</v>
      </c>
      <c r="J266" t="str">
        <f>IF(CMS_Identification!B288="","",CMS_Identification!B288)</f>
        <v/>
      </c>
      <c r="K266" t="str">
        <f>IF(COUNTIF(I$2:I266,I266)=1,I266,"")</f>
        <v/>
      </c>
      <c r="L266" t="str">
        <f>+IF(K266="","",MAX(L$1:L265)+1)</f>
        <v/>
      </c>
      <c r="M266" t="str">
        <f t="shared" si="5"/>
        <v/>
      </c>
      <c r="R266" t="str">
        <f>IF(CMS_Identification!B288="","",CMS_Identification!B288)</f>
        <v/>
      </c>
      <c r="S266" t="str">
        <f>IF(CMS_Identification!F288="","",CMS_Identification!F288)</f>
        <v/>
      </c>
      <c r="T266" s="106" t="str">
        <f>IF(CMS_Identification!D288="","",CMS_Identification!D288)</f>
        <v/>
      </c>
    </row>
    <row r="267" spans="9:20" x14ac:dyDescent="0.3">
      <c r="I267" t="str" cm="1">
        <f t="array" ref="I267">IF(SUMPRODUCT(--(LEN(CMS_Identification!F289:F788)&gt;0))&gt;0,IF(CMS_Identification!F289="","",CMS_Identification!F289),"Add CMS to the CMS_Identification tab")</f>
        <v>Add CMS to the CMS_Identification tab</v>
      </c>
      <c r="J267" t="str">
        <f>IF(CMS_Identification!B289="","",CMS_Identification!B289)</f>
        <v/>
      </c>
      <c r="K267" t="str">
        <f>IF(COUNTIF(I$2:I267,I267)=1,I267,"")</f>
        <v/>
      </c>
      <c r="L267" t="str">
        <f>+IF(K267="","",MAX(L$1:L266)+1)</f>
        <v/>
      </c>
      <c r="M267" t="str">
        <f t="shared" si="5"/>
        <v/>
      </c>
      <c r="R267" t="str">
        <f>IF(CMS_Identification!B289="","",CMS_Identification!B289)</f>
        <v/>
      </c>
      <c r="S267" t="str">
        <f>IF(CMS_Identification!F289="","",CMS_Identification!F289)</f>
        <v/>
      </c>
      <c r="T267" s="106" t="str">
        <f>IF(CMS_Identification!D289="","",CMS_Identification!D289)</f>
        <v/>
      </c>
    </row>
    <row r="268" spans="9:20" x14ac:dyDescent="0.3">
      <c r="I268" t="str" cm="1">
        <f t="array" ref="I268">IF(SUMPRODUCT(--(LEN(CMS_Identification!F290:F789)&gt;0))&gt;0,IF(CMS_Identification!F290="","",CMS_Identification!F290),"Add CMS to the CMS_Identification tab")</f>
        <v>Add CMS to the CMS_Identification tab</v>
      </c>
      <c r="J268" t="str">
        <f>IF(CMS_Identification!B290="","",CMS_Identification!B290)</f>
        <v/>
      </c>
      <c r="K268" t="str">
        <f>IF(COUNTIF(I$2:I268,I268)=1,I268,"")</f>
        <v/>
      </c>
      <c r="L268" t="str">
        <f>+IF(K268="","",MAX(L$1:L267)+1)</f>
        <v/>
      </c>
      <c r="M268" t="str">
        <f t="shared" si="5"/>
        <v/>
      </c>
      <c r="R268" t="str">
        <f>IF(CMS_Identification!B290="","",CMS_Identification!B290)</f>
        <v/>
      </c>
      <c r="S268" t="str">
        <f>IF(CMS_Identification!F290="","",CMS_Identification!F290)</f>
        <v/>
      </c>
      <c r="T268" s="106" t="str">
        <f>IF(CMS_Identification!D290="","",CMS_Identification!D290)</f>
        <v/>
      </c>
    </row>
    <row r="269" spans="9:20" x14ac:dyDescent="0.3">
      <c r="I269" t="str" cm="1">
        <f t="array" ref="I269">IF(SUMPRODUCT(--(LEN(CMS_Identification!F291:F790)&gt;0))&gt;0,IF(CMS_Identification!F291="","",CMS_Identification!F291),"Add CMS to the CMS_Identification tab")</f>
        <v>Add CMS to the CMS_Identification tab</v>
      </c>
      <c r="J269" t="str">
        <f>IF(CMS_Identification!B291="","",CMS_Identification!B291)</f>
        <v/>
      </c>
      <c r="K269" t="str">
        <f>IF(COUNTIF(I$2:I269,I269)=1,I269,"")</f>
        <v/>
      </c>
      <c r="L269" t="str">
        <f>+IF(K269="","",MAX(L$1:L268)+1)</f>
        <v/>
      </c>
      <c r="M269" t="str">
        <f t="shared" si="5"/>
        <v/>
      </c>
      <c r="R269" t="str">
        <f>IF(CMS_Identification!B291="","",CMS_Identification!B291)</f>
        <v/>
      </c>
      <c r="S269" t="str">
        <f>IF(CMS_Identification!F291="","",CMS_Identification!F291)</f>
        <v/>
      </c>
      <c r="T269" s="106" t="str">
        <f>IF(CMS_Identification!D291="","",CMS_Identification!D291)</f>
        <v/>
      </c>
    </row>
    <row r="270" spans="9:20" x14ac:dyDescent="0.3">
      <c r="I270" t="str" cm="1">
        <f t="array" ref="I270">IF(SUMPRODUCT(--(LEN(CMS_Identification!F292:F791)&gt;0))&gt;0,IF(CMS_Identification!F292="","",CMS_Identification!F292),"Add CMS to the CMS_Identification tab")</f>
        <v>Add CMS to the CMS_Identification tab</v>
      </c>
      <c r="J270" t="str">
        <f>IF(CMS_Identification!B292="","",CMS_Identification!B292)</f>
        <v/>
      </c>
      <c r="K270" t="str">
        <f>IF(COUNTIF(I$2:I270,I270)=1,I270,"")</f>
        <v/>
      </c>
      <c r="L270" t="str">
        <f>+IF(K270="","",MAX(L$1:L269)+1)</f>
        <v/>
      </c>
      <c r="M270" t="str">
        <f t="shared" si="5"/>
        <v/>
      </c>
      <c r="R270" t="str">
        <f>IF(CMS_Identification!B292="","",CMS_Identification!B292)</f>
        <v/>
      </c>
      <c r="S270" t="str">
        <f>IF(CMS_Identification!F292="","",CMS_Identification!F292)</f>
        <v/>
      </c>
      <c r="T270" s="106" t="str">
        <f>IF(CMS_Identification!D292="","",CMS_Identification!D292)</f>
        <v/>
      </c>
    </row>
    <row r="271" spans="9:20" x14ac:dyDescent="0.3">
      <c r="I271" t="str" cm="1">
        <f t="array" ref="I271">IF(SUMPRODUCT(--(LEN(CMS_Identification!F293:F792)&gt;0))&gt;0,IF(CMS_Identification!F293="","",CMS_Identification!F293),"Add CMS to the CMS_Identification tab")</f>
        <v>Add CMS to the CMS_Identification tab</v>
      </c>
      <c r="J271" t="str">
        <f>IF(CMS_Identification!B293="","",CMS_Identification!B293)</f>
        <v/>
      </c>
      <c r="K271" t="str">
        <f>IF(COUNTIF(I$2:I271,I271)=1,I271,"")</f>
        <v/>
      </c>
      <c r="L271" t="str">
        <f>+IF(K271="","",MAX(L$1:L270)+1)</f>
        <v/>
      </c>
      <c r="M271" t="str">
        <f t="shared" si="5"/>
        <v/>
      </c>
      <c r="R271" t="str">
        <f>IF(CMS_Identification!B293="","",CMS_Identification!B293)</f>
        <v/>
      </c>
      <c r="S271" t="str">
        <f>IF(CMS_Identification!F293="","",CMS_Identification!F293)</f>
        <v/>
      </c>
      <c r="T271" s="106" t="str">
        <f>IF(CMS_Identification!D293="","",CMS_Identification!D293)</f>
        <v/>
      </c>
    </row>
    <row r="272" spans="9:20" x14ac:dyDescent="0.3">
      <c r="I272" t="str" cm="1">
        <f t="array" ref="I272">IF(SUMPRODUCT(--(LEN(CMS_Identification!F294:F793)&gt;0))&gt;0,IF(CMS_Identification!F294="","",CMS_Identification!F294),"Add CMS to the CMS_Identification tab")</f>
        <v>Add CMS to the CMS_Identification tab</v>
      </c>
      <c r="J272" t="str">
        <f>IF(CMS_Identification!B294="","",CMS_Identification!B294)</f>
        <v/>
      </c>
      <c r="K272" t="str">
        <f>IF(COUNTIF(I$2:I272,I272)=1,I272,"")</f>
        <v/>
      </c>
      <c r="L272" t="str">
        <f>+IF(K272="","",MAX(L$1:L271)+1)</f>
        <v/>
      </c>
      <c r="M272" t="str">
        <f t="shared" si="5"/>
        <v/>
      </c>
      <c r="R272" t="str">
        <f>IF(CMS_Identification!B294="","",CMS_Identification!B294)</f>
        <v/>
      </c>
      <c r="S272" t="str">
        <f>IF(CMS_Identification!F294="","",CMS_Identification!F294)</f>
        <v/>
      </c>
      <c r="T272" s="106" t="str">
        <f>IF(CMS_Identification!D294="","",CMS_Identification!D294)</f>
        <v/>
      </c>
    </row>
    <row r="273" spans="9:20" x14ac:dyDescent="0.3">
      <c r="I273" t="str" cm="1">
        <f t="array" ref="I273">IF(SUMPRODUCT(--(LEN(CMS_Identification!F295:F794)&gt;0))&gt;0,IF(CMS_Identification!F295="","",CMS_Identification!F295),"Add CMS to the CMS_Identification tab")</f>
        <v>Add CMS to the CMS_Identification tab</v>
      </c>
      <c r="J273" t="str">
        <f>IF(CMS_Identification!B295="","",CMS_Identification!B295)</f>
        <v/>
      </c>
      <c r="K273" t="str">
        <f>IF(COUNTIF(I$2:I273,I273)=1,I273,"")</f>
        <v/>
      </c>
      <c r="L273" t="str">
        <f>+IF(K273="","",MAX(L$1:L272)+1)</f>
        <v/>
      </c>
      <c r="M273" t="str">
        <f t="shared" si="5"/>
        <v/>
      </c>
      <c r="R273" t="str">
        <f>IF(CMS_Identification!B295="","",CMS_Identification!B295)</f>
        <v/>
      </c>
      <c r="S273" t="str">
        <f>IF(CMS_Identification!F295="","",CMS_Identification!F295)</f>
        <v/>
      </c>
      <c r="T273" s="106" t="str">
        <f>IF(CMS_Identification!D295="","",CMS_Identification!D295)</f>
        <v/>
      </c>
    </row>
    <row r="274" spans="9:20" x14ac:dyDescent="0.3">
      <c r="I274" t="str" cm="1">
        <f t="array" ref="I274">IF(SUMPRODUCT(--(LEN(CMS_Identification!F296:F795)&gt;0))&gt;0,IF(CMS_Identification!F296="","",CMS_Identification!F296),"Add CMS to the CMS_Identification tab")</f>
        <v>Add CMS to the CMS_Identification tab</v>
      </c>
      <c r="J274" t="str">
        <f>IF(CMS_Identification!B296="","",CMS_Identification!B296)</f>
        <v/>
      </c>
      <c r="K274" t="str">
        <f>IF(COUNTIF(I$2:I274,I274)=1,I274,"")</f>
        <v/>
      </c>
      <c r="L274" t="str">
        <f>+IF(K274="","",MAX(L$1:L273)+1)</f>
        <v/>
      </c>
      <c r="M274" t="str">
        <f t="shared" si="5"/>
        <v/>
      </c>
      <c r="R274" t="str">
        <f>IF(CMS_Identification!B296="","",CMS_Identification!B296)</f>
        <v/>
      </c>
      <c r="S274" t="str">
        <f>IF(CMS_Identification!F296="","",CMS_Identification!F296)</f>
        <v/>
      </c>
      <c r="T274" s="106" t="str">
        <f>IF(CMS_Identification!D296="","",CMS_Identification!D296)</f>
        <v/>
      </c>
    </row>
    <row r="275" spans="9:20" x14ac:dyDescent="0.3">
      <c r="I275" t="str" cm="1">
        <f t="array" ref="I275">IF(SUMPRODUCT(--(LEN(CMS_Identification!F297:F796)&gt;0))&gt;0,IF(CMS_Identification!F297="","",CMS_Identification!F297),"Add CMS to the CMS_Identification tab")</f>
        <v>Add CMS to the CMS_Identification tab</v>
      </c>
      <c r="J275" t="str">
        <f>IF(CMS_Identification!B297="","",CMS_Identification!B297)</f>
        <v/>
      </c>
      <c r="K275" t="str">
        <f>IF(COUNTIF(I$2:I275,I275)=1,I275,"")</f>
        <v/>
      </c>
      <c r="L275" t="str">
        <f>+IF(K275="","",MAX(L$1:L274)+1)</f>
        <v/>
      </c>
      <c r="M275" t="str">
        <f t="shared" si="5"/>
        <v/>
      </c>
      <c r="R275" t="str">
        <f>IF(CMS_Identification!B297="","",CMS_Identification!B297)</f>
        <v/>
      </c>
      <c r="S275" t="str">
        <f>IF(CMS_Identification!F297="","",CMS_Identification!F297)</f>
        <v/>
      </c>
      <c r="T275" s="106" t="str">
        <f>IF(CMS_Identification!D297="","",CMS_Identification!D297)</f>
        <v/>
      </c>
    </row>
    <row r="276" spans="9:20" x14ac:dyDescent="0.3">
      <c r="I276" t="str" cm="1">
        <f t="array" ref="I276">IF(SUMPRODUCT(--(LEN(CMS_Identification!F298:F797)&gt;0))&gt;0,IF(CMS_Identification!F298="","",CMS_Identification!F298),"Add CMS to the CMS_Identification tab")</f>
        <v>Add CMS to the CMS_Identification tab</v>
      </c>
      <c r="J276" t="str">
        <f>IF(CMS_Identification!B298="","",CMS_Identification!B298)</f>
        <v/>
      </c>
      <c r="K276" t="str">
        <f>IF(COUNTIF(I$2:I276,I276)=1,I276,"")</f>
        <v/>
      </c>
      <c r="L276" t="str">
        <f>+IF(K276="","",MAX(L$1:L275)+1)</f>
        <v/>
      </c>
      <c r="M276" t="str">
        <f t="shared" si="5"/>
        <v/>
      </c>
      <c r="R276" t="str">
        <f>IF(CMS_Identification!B298="","",CMS_Identification!B298)</f>
        <v/>
      </c>
      <c r="S276" t="str">
        <f>IF(CMS_Identification!F298="","",CMS_Identification!F298)</f>
        <v/>
      </c>
      <c r="T276" s="106" t="str">
        <f>IF(CMS_Identification!D298="","",CMS_Identification!D298)</f>
        <v/>
      </c>
    </row>
    <row r="277" spans="9:20" x14ac:dyDescent="0.3">
      <c r="I277" t="str" cm="1">
        <f t="array" ref="I277">IF(SUMPRODUCT(--(LEN(CMS_Identification!F299:F798)&gt;0))&gt;0,IF(CMS_Identification!F299="","",CMS_Identification!F299),"Add CMS to the CMS_Identification tab")</f>
        <v>Add CMS to the CMS_Identification tab</v>
      </c>
      <c r="J277" t="str">
        <f>IF(CMS_Identification!B299="","",CMS_Identification!B299)</f>
        <v/>
      </c>
      <c r="K277" t="str">
        <f>IF(COUNTIF(I$2:I277,I277)=1,I277,"")</f>
        <v/>
      </c>
      <c r="L277" t="str">
        <f>+IF(K277="","",MAX(L$1:L276)+1)</f>
        <v/>
      </c>
      <c r="M277" t="str">
        <f t="shared" si="5"/>
        <v/>
      </c>
      <c r="R277" t="str">
        <f>IF(CMS_Identification!B299="","",CMS_Identification!B299)</f>
        <v/>
      </c>
      <c r="S277" t="str">
        <f>IF(CMS_Identification!F299="","",CMS_Identification!F299)</f>
        <v/>
      </c>
      <c r="T277" s="106" t="str">
        <f>IF(CMS_Identification!D299="","",CMS_Identification!D299)</f>
        <v/>
      </c>
    </row>
    <row r="278" spans="9:20" x14ac:dyDescent="0.3">
      <c r="I278" t="str" cm="1">
        <f t="array" ref="I278">IF(SUMPRODUCT(--(LEN(CMS_Identification!F300:F799)&gt;0))&gt;0,IF(CMS_Identification!F300="","",CMS_Identification!F300),"Add CMS to the CMS_Identification tab")</f>
        <v>Add CMS to the CMS_Identification tab</v>
      </c>
      <c r="J278" t="str">
        <f>IF(CMS_Identification!B300="","",CMS_Identification!B300)</f>
        <v/>
      </c>
      <c r="K278" t="str">
        <f>IF(COUNTIF(I$2:I278,I278)=1,I278,"")</f>
        <v/>
      </c>
      <c r="L278" t="str">
        <f>+IF(K278="","",MAX(L$1:L277)+1)</f>
        <v/>
      </c>
      <c r="M278" t="str">
        <f t="shared" si="5"/>
        <v/>
      </c>
      <c r="R278" t="str">
        <f>IF(CMS_Identification!B300="","",CMS_Identification!B300)</f>
        <v/>
      </c>
      <c r="S278" t="str">
        <f>IF(CMS_Identification!F300="","",CMS_Identification!F300)</f>
        <v/>
      </c>
      <c r="T278" s="106" t="str">
        <f>IF(CMS_Identification!D300="","",CMS_Identification!D300)</f>
        <v/>
      </c>
    </row>
    <row r="279" spans="9:20" x14ac:dyDescent="0.3">
      <c r="I279" t="str" cm="1">
        <f t="array" ref="I279">IF(SUMPRODUCT(--(LEN(CMS_Identification!F301:F800)&gt;0))&gt;0,IF(CMS_Identification!F301="","",CMS_Identification!F301),"Add CMS to the CMS_Identification tab")</f>
        <v>Add CMS to the CMS_Identification tab</v>
      </c>
      <c r="J279" t="str">
        <f>IF(CMS_Identification!B301="","",CMS_Identification!B301)</f>
        <v/>
      </c>
      <c r="K279" t="str">
        <f>IF(COUNTIF(I$2:I279,I279)=1,I279,"")</f>
        <v/>
      </c>
      <c r="L279" t="str">
        <f>+IF(K279="","",MAX(L$1:L278)+1)</f>
        <v/>
      </c>
      <c r="M279" t="str">
        <f t="shared" si="5"/>
        <v/>
      </c>
      <c r="R279" t="str">
        <f>IF(CMS_Identification!B301="","",CMS_Identification!B301)</f>
        <v/>
      </c>
      <c r="S279" t="str">
        <f>IF(CMS_Identification!F301="","",CMS_Identification!F301)</f>
        <v/>
      </c>
      <c r="T279" s="106" t="str">
        <f>IF(CMS_Identification!D301="","",CMS_Identification!D301)</f>
        <v/>
      </c>
    </row>
    <row r="280" spans="9:20" x14ac:dyDescent="0.3">
      <c r="I280" t="str" cm="1">
        <f t="array" ref="I280">IF(SUMPRODUCT(--(LEN(CMS_Identification!F302:F801)&gt;0))&gt;0,IF(CMS_Identification!F302="","",CMS_Identification!F302),"Add CMS to the CMS_Identification tab")</f>
        <v>Add CMS to the CMS_Identification tab</v>
      </c>
      <c r="J280" t="str">
        <f>IF(CMS_Identification!B302="","",CMS_Identification!B302)</f>
        <v/>
      </c>
      <c r="K280" t="str">
        <f>IF(COUNTIF(I$2:I280,I280)=1,I280,"")</f>
        <v/>
      </c>
      <c r="L280" t="str">
        <f>+IF(K280="","",MAX(L$1:L279)+1)</f>
        <v/>
      </c>
      <c r="M280" t="str">
        <f t="shared" si="5"/>
        <v/>
      </c>
      <c r="R280" t="str">
        <f>IF(CMS_Identification!B302="","",CMS_Identification!B302)</f>
        <v/>
      </c>
      <c r="S280" t="str">
        <f>IF(CMS_Identification!F302="","",CMS_Identification!F302)</f>
        <v/>
      </c>
      <c r="T280" s="106" t="str">
        <f>IF(CMS_Identification!D302="","",CMS_Identification!D302)</f>
        <v/>
      </c>
    </row>
    <row r="281" spans="9:20" x14ac:dyDescent="0.3">
      <c r="I281" t="str" cm="1">
        <f t="array" ref="I281">IF(SUMPRODUCT(--(LEN(CMS_Identification!F303:F802)&gt;0))&gt;0,IF(CMS_Identification!F303="","",CMS_Identification!F303),"Add CMS to the CMS_Identification tab")</f>
        <v>Add CMS to the CMS_Identification tab</v>
      </c>
      <c r="J281" t="str">
        <f>IF(CMS_Identification!B303="","",CMS_Identification!B303)</f>
        <v/>
      </c>
      <c r="K281" t="str">
        <f>IF(COUNTIF(I$2:I281,I281)=1,I281,"")</f>
        <v/>
      </c>
      <c r="L281" t="str">
        <f>+IF(K281="","",MAX(L$1:L280)+1)</f>
        <v/>
      </c>
      <c r="M281" t="str">
        <f t="shared" si="5"/>
        <v/>
      </c>
      <c r="R281" t="str">
        <f>IF(CMS_Identification!B303="","",CMS_Identification!B303)</f>
        <v/>
      </c>
      <c r="S281" t="str">
        <f>IF(CMS_Identification!F303="","",CMS_Identification!F303)</f>
        <v/>
      </c>
      <c r="T281" s="106" t="str">
        <f>IF(CMS_Identification!D303="","",CMS_Identification!D303)</f>
        <v/>
      </c>
    </row>
    <row r="282" spans="9:20" x14ac:dyDescent="0.3">
      <c r="I282" t="str" cm="1">
        <f t="array" ref="I282">IF(SUMPRODUCT(--(LEN(CMS_Identification!F304:F803)&gt;0))&gt;0,IF(CMS_Identification!F304="","",CMS_Identification!F304),"Add CMS to the CMS_Identification tab")</f>
        <v>Add CMS to the CMS_Identification tab</v>
      </c>
      <c r="J282" t="str">
        <f>IF(CMS_Identification!B304="","",CMS_Identification!B304)</f>
        <v/>
      </c>
      <c r="K282" t="str">
        <f>IF(COUNTIF(I$2:I282,I282)=1,I282,"")</f>
        <v/>
      </c>
      <c r="L282" t="str">
        <f>+IF(K282="","",MAX(L$1:L281)+1)</f>
        <v/>
      </c>
      <c r="M282" t="str">
        <f t="shared" si="5"/>
        <v/>
      </c>
      <c r="R282" t="str">
        <f>IF(CMS_Identification!B304="","",CMS_Identification!B304)</f>
        <v/>
      </c>
      <c r="S282" t="str">
        <f>IF(CMS_Identification!F304="","",CMS_Identification!F304)</f>
        <v/>
      </c>
      <c r="T282" s="106" t="str">
        <f>IF(CMS_Identification!D304="","",CMS_Identification!D304)</f>
        <v/>
      </c>
    </row>
    <row r="283" spans="9:20" x14ac:dyDescent="0.3">
      <c r="I283" t="str" cm="1">
        <f t="array" ref="I283">IF(SUMPRODUCT(--(LEN(CMS_Identification!F305:F804)&gt;0))&gt;0,IF(CMS_Identification!F305="","",CMS_Identification!F305),"Add CMS to the CMS_Identification tab")</f>
        <v>Add CMS to the CMS_Identification tab</v>
      </c>
      <c r="J283" t="str">
        <f>IF(CMS_Identification!B305="","",CMS_Identification!B305)</f>
        <v/>
      </c>
      <c r="K283" t="str">
        <f>IF(COUNTIF(I$2:I283,I283)=1,I283,"")</f>
        <v/>
      </c>
      <c r="L283" t="str">
        <f>+IF(K283="","",MAX(L$1:L282)+1)</f>
        <v/>
      </c>
      <c r="M283" t="str">
        <f t="shared" si="5"/>
        <v/>
      </c>
      <c r="R283" t="str">
        <f>IF(CMS_Identification!B305="","",CMS_Identification!B305)</f>
        <v/>
      </c>
      <c r="S283" t="str">
        <f>IF(CMS_Identification!F305="","",CMS_Identification!F305)</f>
        <v/>
      </c>
      <c r="T283" s="106" t="str">
        <f>IF(CMS_Identification!D305="","",CMS_Identification!D305)</f>
        <v/>
      </c>
    </row>
    <row r="284" spans="9:20" x14ac:dyDescent="0.3">
      <c r="I284" t="str" cm="1">
        <f t="array" ref="I284">IF(SUMPRODUCT(--(LEN(CMS_Identification!F306:F805)&gt;0))&gt;0,IF(CMS_Identification!F306="","",CMS_Identification!F306),"Add CMS to the CMS_Identification tab")</f>
        <v>Add CMS to the CMS_Identification tab</v>
      </c>
      <c r="J284" t="str">
        <f>IF(CMS_Identification!B306="","",CMS_Identification!B306)</f>
        <v/>
      </c>
      <c r="K284" t="str">
        <f>IF(COUNTIF(I$2:I284,I284)=1,I284,"")</f>
        <v/>
      </c>
      <c r="L284" t="str">
        <f>+IF(K284="","",MAX(L$1:L283)+1)</f>
        <v/>
      </c>
      <c r="M284" t="str">
        <f t="shared" si="5"/>
        <v/>
      </c>
      <c r="R284" t="str">
        <f>IF(CMS_Identification!B306="","",CMS_Identification!B306)</f>
        <v/>
      </c>
      <c r="S284" t="str">
        <f>IF(CMS_Identification!F306="","",CMS_Identification!F306)</f>
        <v/>
      </c>
      <c r="T284" s="106" t="str">
        <f>IF(CMS_Identification!D306="","",CMS_Identification!D306)</f>
        <v/>
      </c>
    </row>
    <row r="285" spans="9:20" x14ac:dyDescent="0.3">
      <c r="I285" t="str" cm="1">
        <f t="array" ref="I285">IF(SUMPRODUCT(--(LEN(CMS_Identification!F307:F806)&gt;0))&gt;0,IF(CMS_Identification!F307="","",CMS_Identification!F307),"Add CMS to the CMS_Identification tab")</f>
        <v>Add CMS to the CMS_Identification tab</v>
      </c>
      <c r="J285" t="str">
        <f>IF(CMS_Identification!B307="","",CMS_Identification!B307)</f>
        <v/>
      </c>
      <c r="K285" t="str">
        <f>IF(COUNTIF(I$2:I285,I285)=1,I285,"")</f>
        <v/>
      </c>
      <c r="L285" t="str">
        <f>+IF(K285="","",MAX(L$1:L284)+1)</f>
        <v/>
      </c>
      <c r="M285" t="str">
        <f t="shared" si="5"/>
        <v/>
      </c>
      <c r="R285" t="str">
        <f>IF(CMS_Identification!B307="","",CMS_Identification!B307)</f>
        <v/>
      </c>
      <c r="S285" t="str">
        <f>IF(CMS_Identification!F307="","",CMS_Identification!F307)</f>
        <v/>
      </c>
      <c r="T285" s="106" t="str">
        <f>IF(CMS_Identification!D307="","",CMS_Identification!D307)</f>
        <v/>
      </c>
    </row>
    <row r="286" spans="9:20" x14ac:dyDescent="0.3">
      <c r="I286" t="str" cm="1">
        <f t="array" ref="I286">IF(SUMPRODUCT(--(LEN(CMS_Identification!F308:F807)&gt;0))&gt;0,IF(CMS_Identification!F308="","",CMS_Identification!F308),"Add CMS to the CMS_Identification tab")</f>
        <v>Add CMS to the CMS_Identification tab</v>
      </c>
      <c r="J286" t="str">
        <f>IF(CMS_Identification!B308="","",CMS_Identification!B308)</f>
        <v/>
      </c>
      <c r="K286" t="str">
        <f>IF(COUNTIF(I$2:I286,I286)=1,I286,"")</f>
        <v/>
      </c>
      <c r="L286" t="str">
        <f>+IF(K286="","",MAX(L$1:L285)+1)</f>
        <v/>
      </c>
      <c r="M286" t="str">
        <f t="shared" si="5"/>
        <v/>
      </c>
      <c r="R286" t="str">
        <f>IF(CMS_Identification!B308="","",CMS_Identification!B308)</f>
        <v/>
      </c>
      <c r="S286" t="str">
        <f>IF(CMS_Identification!F308="","",CMS_Identification!F308)</f>
        <v/>
      </c>
      <c r="T286" s="106" t="str">
        <f>IF(CMS_Identification!D308="","",CMS_Identification!D308)</f>
        <v/>
      </c>
    </row>
    <row r="287" spans="9:20" x14ac:dyDescent="0.3">
      <c r="I287" t="str" cm="1">
        <f t="array" ref="I287">IF(SUMPRODUCT(--(LEN(CMS_Identification!F309:F808)&gt;0))&gt;0,IF(CMS_Identification!F309="","",CMS_Identification!F309),"Add CMS to the CMS_Identification tab")</f>
        <v>Add CMS to the CMS_Identification tab</v>
      </c>
      <c r="J287" t="str">
        <f>IF(CMS_Identification!B309="","",CMS_Identification!B309)</f>
        <v/>
      </c>
      <c r="K287" t="str">
        <f>IF(COUNTIF(I$2:I287,I287)=1,I287,"")</f>
        <v/>
      </c>
      <c r="L287" t="str">
        <f>+IF(K287="","",MAX(L$1:L286)+1)</f>
        <v/>
      </c>
      <c r="M287" t="str">
        <f t="shared" si="5"/>
        <v/>
      </c>
      <c r="R287" t="str">
        <f>IF(CMS_Identification!B309="","",CMS_Identification!B309)</f>
        <v/>
      </c>
      <c r="S287" t="str">
        <f>IF(CMS_Identification!F309="","",CMS_Identification!F309)</f>
        <v/>
      </c>
      <c r="T287" s="106" t="str">
        <f>IF(CMS_Identification!D309="","",CMS_Identification!D309)</f>
        <v/>
      </c>
    </row>
    <row r="288" spans="9:20" x14ac:dyDescent="0.3">
      <c r="I288" t="str" cm="1">
        <f t="array" ref="I288">IF(SUMPRODUCT(--(LEN(CMS_Identification!F310:F809)&gt;0))&gt;0,IF(CMS_Identification!F310="","",CMS_Identification!F310),"Add CMS to the CMS_Identification tab")</f>
        <v>Add CMS to the CMS_Identification tab</v>
      </c>
      <c r="J288" t="str">
        <f>IF(CMS_Identification!B310="","",CMS_Identification!B310)</f>
        <v/>
      </c>
      <c r="K288" t="str">
        <f>IF(COUNTIF(I$2:I288,I288)=1,I288,"")</f>
        <v/>
      </c>
      <c r="L288" t="str">
        <f>+IF(K288="","",MAX(L$1:L287)+1)</f>
        <v/>
      </c>
      <c r="M288" t="str">
        <f t="shared" si="5"/>
        <v/>
      </c>
      <c r="R288" t="str">
        <f>IF(CMS_Identification!B310="","",CMS_Identification!B310)</f>
        <v/>
      </c>
      <c r="S288" t="str">
        <f>IF(CMS_Identification!F310="","",CMS_Identification!F310)</f>
        <v/>
      </c>
      <c r="T288" s="106" t="str">
        <f>IF(CMS_Identification!D310="","",CMS_Identification!D310)</f>
        <v/>
      </c>
    </row>
    <row r="289" spans="9:20" x14ac:dyDescent="0.3">
      <c r="I289" t="str" cm="1">
        <f t="array" ref="I289">IF(SUMPRODUCT(--(LEN(CMS_Identification!F311:F810)&gt;0))&gt;0,IF(CMS_Identification!F311="","",CMS_Identification!F311),"Add CMS to the CMS_Identification tab")</f>
        <v>Add CMS to the CMS_Identification tab</v>
      </c>
      <c r="J289" t="str">
        <f>IF(CMS_Identification!B311="","",CMS_Identification!B311)</f>
        <v/>
      </c>
      <c r="K289" t="str">
        <f>IF(COUNTIF(I$2:I289,I289)=1,I289,"")</f>
        <v/>
      </c>
      <c r="L289" t="str">
        <f>+IF(K289="","",MAX(L$1:L288)+1)</f>
        <v/>
      </c>
      <c r="M289" t="str">
        <f t="shared" si="5"/>
        <v/>
      </c>
      <c r="R289" t="str">
        <f>IF(CMS_Identification!B311="","",CMS_Identification!B311)</f>
        <v/>
      </c>
      <c r="S289" t="str">
        <f>IF(CMS_Identification!F311="","",CMS_Identification!F311)</f>
        <v/>
      </c>
      <c r="T289" s="106" t="str">
        <f>IF(CMS_Identification!D311="","",CMS_Identification!D311)</f>
        <v/>
      </c>
    </row>
    <row r="290" spans="9:20" x14ac:dyDescent="0.3">
      <c r="I290" t="str" cm="1">
        <f t="array" ref="I290">IF(SUMPRODUCT(--(LEN(CMS_Identification!F312:F811)&gt;0))&gt;0,IF(CMS_Identification!F312="","",CMS_Identification!F312),"Add CMS to the CMS_Identification tab")</f>
        <v>Add CMS to the CMS_Identification tab</v>
      </c>
      <c r="J290" t="str">
        <f>IF(CMS_Identification!B312="","",CMS_Identification!B312)</f>
        <v/>
      </c>
      <c r="K290" t="str">
        <f>IF(COUNTIF(I$2:I290,I290)=1,I290,"")</f>
        <v/>
      </c>
      <c r="L290" t="str">
        <f>+IF(K290="","",MAX(L$1:L289)+1)</f>
        <v/>
      </c>
      <c r="M290" t="str">
        <f t="shared" si="5"/>
        <v/>
      </c>
      <c r="R290" t="str">
        <f>IF(CMS_Identification!B312="","",CMS_Identification!B312)</f>
        <v/>
      </c>
      <c r="S290" t="str">
        <f>IF(CMS_Identification!F312="","",CMS_Identification!F312)</f>
        <v/>
      </c>
      <c r="T290" s="106" t="str">
        <f>IF(CMS_Identification!D312="","",CMS_Identification!D312)</f>
        <v/>
      </c>
    </row>
    <row r="291" spans="9:20" x14ac:dyDescent="0.3">
      <c r="I291" t="str" cm="1">
        <f t="array" ref="I291">IF(SUMPRODUCT(--(LEN(CMS_Identification!F313:F812)&gt;0))&gt;0,IF(CMS_Identification!F313="","",CMS_Identification!F313),"Add CMS to the CMS_Identification tab")</f>
        <v>Add CMS to the CMS_Identification tab</v>
      </c>
      <c r="J291" t="str">
        <f>IF(CMS_Identification!B313="","",CMS_Identification!B313)</f>
        <v/>
      </c>
      <c r="K291" t="str">
        <f>IF(COUNTIF(I$2:I291,I291)=1,I291,"")</f>
        <v/>
      </c>
      <c r="L291" t="str">
        <f>+IF(K291="","",MAX(L$1:L290)+1)</f>
        <v/>
      </c>
      <c r="M291" t="str">
        <f t="shared" si="5"/>
        <v/>
      </c>
      <c r="R291" t="str">
        <f>IF(CMS_Identification!B313="","",CMS_Identification!B313)</f>
        <v/>
      </c>
      <c r="S291" t="str">
        <f>IF(CMS_Identification!F313="","",CMS_Identification!F313)</f>
        <v/>
      </c>
      <c r="T291" s="106" t="str">
        <f>IF(CMS_Identification!D313="","",CMS_Identification!D313)</f>
        <v/>
      </c>
    </row>
    <row r="292" spans="9:20" x14ac:dyDescent="0.3">
      <c r="I292" t="str" cm="1">
        <f t="array" ref="I292">IF(SUMPRODUCT(--(LEN(CMS_Identification!F314:F813)&gt;0))&gt;0,IF(CMS_Identification!F314="","",CMS_Identification!F314),"Add CMS to the CMS_Identification tab")</f>
        <v>Add CMS to the CMS_Identification tab</v>
      </c>
      <c r="J292" t="str">
        <f>IF(CMS_Identification!B314="","",CMS_Identification!B314)</f>
        <v/>
      </c>
      <c r="K292" t="str">
        <f>IF(COUNTIF(I$2:I292,I292)=1,I292,"")</f>
        <v/>
      </c>
      <c r="L292" t="str">
        <f>+IF(K292="","",MAX(L$1:L291)+1)</f>
        <v/>
      </c>
      <c r="M292" t="str">
        <f t="shared" si="5"/>
        <v/>
      </c>
      <c r="R292" t="str">
        <f>IF(CMS_Identification!B314="","",CMS_Identification!B314)</f>
        <v/>
      </c>
      <c r="S292" t="str">
        <f>IF(CMS_Identification!F314="","",CMS_Identification!F314)</f>
        <v/>
      </c>
      <c r="T292" s="106" t="str">
        <f>IF(CMS_Identification!D314="","",CMS_Identification!D314)</f>
        <v/>
      </c>
    </row>
    <row r="293" spans="9:20" x14ac:dyDescent="0.3">
      <c r="I293" t="str" cm="1">
        <f t="array" ref="I293">IF(SUMPRODUCT(--(LEN(CMS_Identification!F315:F814)&gt;0))&gt;0,IF(CMS_Identification!F315="","",CMS_Identification!F315),"Add CMS to the CMS_Identification tab")</f>
        <v>Add CMS to the CMS_Identification tab</v>
      </c>
      <c r="J293" t="str">
        <f>IF(CMS_Identification!B315="","",CMS_Identification!B315)</f>
        <v/>
      </c>
      <c r="K293" t="str">
        <f>IF(COUNTIF(I$2:I293,I293)=1,I293,"")</f>
        <v/>
      </c>
      <c r="L293" t="str">
        <f>+IF(K293="","",MAX(L$1:L292)+1)</f>
        <v/>
      </c>
      <c r="M293" t="str">
        <f t="shared" si="5"/>
        <v/>
      </c>
      <c r="R293" t="str">
        <f>IF(CMS_Identification!B315="","",CMS_Identification!B315)</f>
        <v/>
      </c>
      <c r="S293" t="str">
        <f>IF(CMS_Identification!F315="","",CMS_Identification!F315)</f>
        <v/>
      </c>
      <c r="T293" s="106" t="str">
        <f>IF(CMS_Identification!D315="","",CMS_Identification!D315)</f>
        <v/>
      </c>
    </row>
    <row r="294" spans="9:20" x14ac:dyDescent="0.3">
      <c r="I294" t="str" cm="1">
        <f t="array" ref="I294">IF(SUMPRODUCT(--(LEN(CMS_Identification!F316:F815)&gt;0))&gt;0,IF(CMS_Identification!F316="","",CMS_Identification!F316),"Add CMS to the CMS_Identification tab")</f>
        <v>Add CMS to the CMS_Identification tab</v>
      </c>
      <c r="J294" t="str">
        <f>IF(CMS_Identification!B316="","",CMS_Identification!B316)</f>
        <v/>
      </c>
      <c r="K294" t="str">
        <f>IF(COUNTIF(I$2:I294,I294)=1,I294,"")</f>
        <v/>
      </c>
      <c r="L294" t="str">
        <f>+IF(K294="","",MAX(L$1:L293)+1)</f>
        <v/>
      </c>
      <c r="M294" t="str">
        <f t="shared" si="5"/>
        <v/>
      </c>
      <c r="R294" t="str">
        <f>IF(CMS_Identification!B316="","",CMS_Identification!B316)</f>
        <v/>
      </c>
      <c r="S294" t="str">
        <f>IF(CMS_Identification!F316="","",CMS_Identification!F316)</f>
        <v/>
      </c>
      <c r="T294" s="106" t="str">
        <f>IF(CMS_Identification!D316="","",CMS_Identification!D316)</f>
        <v/>
      </c>
    </row>
    <row r="295" spans="9:20" x14ac:dyDescent="0.3">
      <c r="I295" t="str" cm="1">
        <f t="array" ref="I295">IF(SUMPRODUCT(--(LEN(CMS_Identification!F317:F816)&gt;0))&gt;0,IF(CMS_Identification!F317="","",CMS_Identification!F317),"Add CMS to the CMS_Identification tab")</f>
        <v>Add CMS to the CMS_Identification tab</v>
      </c>
      <c r="J295" t="str">
        <f>IF(CMS_Identification!B317="","",CMS_Identification!B317)</f>
        <v/>
      </c>
      <c r="K295" t="str">
        <f>IF(COUNTIF(I$2:I295,I295)=1,I295,"")</f>
        <v/>
      </c>
      <c r="L295" t="str">
        <f>+IF(K295="","",MAX(L$1:L294)+1)</f>
        <v/>
      </c>
      <c r="M295" t="str">
        <f t="shared" si="5"/>
        <v/>
      </c>
      <c r="R295" t="str">
        <f>IF(CMS_Identification!B317="","",CMS_Identification!B317)</f>
        <v/>
      </c>
      <c r="S295" t="str">
        <f>IF(CMS_Identification!F317="","",CMS_Identification!F317)</f>
        <v/>
      </c>
      <c r="T295" s="106" t="str">
        <f>IF(CMS_Identification!D317="","",CMS_Identification!D317)</f>
        <v/>
      </c>
    </row>
    <row r="296" spans="9:20" x14ac:dyDescent="0.3">
      <c r="I296" t="str" cm="1">
        <f t="array" ref="I296">IF(SUMPRODUCT(--(LEN(CMS_Identification!F318:F817)&gt;0))&gt;0,IF(CMS_Identification!F318="","",CMS_Identification!F318),"Add CMS to the CMS_Identification tab")</f>
        <v>Add CMS to the CMS_Identification tab</v>
      </c>
      <c r="J296" t="str">
        <f>IF(CMS_Identification!B318="","",CMS_Identification!B318)</f>
        <v/>
      </c>
      <c r="K296" t="str">
        <f>IF(COUNTIF(I$2:I296,I296)=1,I296,"")</f>
        <v/>
      </c>
      <c r="L296" t="str">
        <f>+IF(K296="","",MAX(L$1:L295)+1)</f>
        <v/>
      </c>
      <c r="M296" t="str">
        <f t="shared" si="5"/>
        <v/>
      </c>
      <c r="R296" t="str">
        <f>IF(CMS_Identification!B318="","",CMS_Identification!B318)</f>
        <v/>
      </c>
      <c r="S296" t="str">
        <f>IF(CMS_Identification!F318="","",CMS_Identification!F318)</f>
        <v/>
      </c>
      <c r="T296" s="106" t="str">
        <f>IF(CMS_Identification!D318="","",CMS_Identification!D318)</f>
        <v/>
      </c>
    </row>
    <row r="297" spans="9:20" x14ac:dyDescent="0.3">
      <c r="I297" t="str" cm="1">
        <f t="array" ref="I297">IF(SUMPRODUCT(--(LEN(CMS_Identification!F319:F818)&gt;0))&gt;0,IF(CMS_Identification!F319="","",CMS_Identification!F319),"Add CMS to the CMS_Identification tab")</f>
        <v>Add CMS to the CMS_Identification tab</v>
      </c>
      <c r="J297" t="str">
        <f>IF(CMS_Identification!B319="","",CMS_Identification!B319)</f>
        <v/>
      </c>
      <c r="K297" t="str">
        <f>IF(COUNTIF(I$2:I297,I297)=1,I297,"")</f>
        <v/>
      </c>
      <c r="L297" t="str">
        <f>+IF(K297="","",MAX(L$1:L296)+1)</f>
        <v/>
      </c>
      <c r="M297" t="str">
        <f t="shared" si="5"/>
        <v/>
      </c>
      <c r="R297" t="str">
        <f>IF(CMS_Identification!B319="","",CMS_Identification!B319)</f>
        <v/>
      </c>
      <c r="S297" t="str">
        <f>IF(CMS_Identification!F319="","",CMS_Identification!F319)</f>
        <v/>
      </c>
      <c r="T297" s="106" t="str">
        <f>IF(CMS_Identification!D319="","",CMS_Identification!D319)</f>
        <v/>
      </c>
    </row>
    <row r="298" spans="9:20" x14ac:dyDescent="0.3">
      <c r="I298" t="str" cm="1">
        <f t="array" ref="I298">IF(SUMPRODUCT(--(LEN(CMS_Identification!F320:F819)&gt;0))&gt;0,IF(CMS_Identification!F320="","",CMS_Identification!F320),"Add CMS to the CMS_Identification tab")</f>
        <v>Add CMS to the CMS_Identification tab</v>
      </c>
      <c r="J298" t="str">
        <f>IF(CMS_Identification!B320="","",CMS_Identification!B320)</f>
        <v/>
      </c>
      <c r="K298" t="str">
        <f>IF(COUNTIF(I$2:I298,I298)=1,I298,"")</f>
        <v/>
      </c>
      <c r="L298" t="str">
        <f>+IF(K298="","",MAX(L$1:L297)+1)</f>
        <v/>
      </c>
      <c r="M298" t="str">
        <f t="shared" si="5"/>
        <v/>
      </c>
      <c r="R298" t="str">
        <f>IF(CMS_Identification!B320="","",CMS_Identification!B320)</f>
        <v/>
      </c>
      <c r="S298" t="str">
        <f>IF(CMS_Identification!F320="","",CMS_Identification!F320)</f>
        <v/>
      </c>
      <c r="T298" s="106" t="str">
        <f>IF(CMS_Identification!D320="","",CMS_Identification!D320)</f>
        <v/>
      </c>
    </row>
    <row r="299" spans="9:20" x14ac:dyDescent="0.3">
      <c r="I299" t="str" cm="1">
        <f t="array" ref="I299">IF(SUMPRODUCT(--(LEN(CMS_Identification!F321:F820)&gt;0))&gt;0,IF(CMS_Identification!F321="","",CMS_Identification!F321),"Add CMS to the CMS_Identification tab")</f>
        <v>Add CMS to the CMS_Identification tab</v>
      </c>
      <c r="J299" t="str">
        <f>IF(CMS_Identification!B321="","",CMS_Identification!B321)</f>
        <v/>
      </c>
      <c r="K299" t="str">
        <f>IF(COUNTIF(I$2:I299,I299)=1,I299,"")</f>
        <v/>
      </c>
      <c r="L299" t="str">
        <f>+IF(K299="","",MAX(L$1:L298)+1)</f>
        <v/>
      </c>
      <c r="M299" t="str">
        <f t="shared" si="5"/>
        <v/>
      </c>
      <c r="R299" t="str">
        <f>IF(CMS_Identification!B321="","",CMS_Identification!B321)</f>
        <v/>
      </c>
      <c r="S299" t="str">
        <f>IF(CMS_Identification!F321="","",CMS_Identification!F321)</f>
        <v/>
      </c>
      <c r="T299" s="106" t="str">
        <f>IF(CMS_Identification!D321="","",CMS_Identification!D321)</f>
        <v/>
      </c>
    </row>
    <row r="300" spans="9:20" x14ac:dyDescent="0.3">
      <c r="I300" t="str" cm="1">
        <f t="array" ref="I300">IF(SUMPRODUCT(--(LEN(CMS_Identification!F322:F821)&gt;0))&gt;0,IF(CMS_Identification!F322="","",CMS_Identification!F322),"Add CMS to the CMS_Identification tab")</f>
        <v>Add CMS to the CMS_Identification tab</v>
      </c>
      <c r="J300" t="str">
        <f>IF(CMS_Identification!B322="","",CMS_Identification!B322)</f>
        <v/>
      </c>
      <c r="K300" t="str">
        <f>IF(COUNTIF(I$2:I300,I300)=1,I300,"")</f>
        <v/>
      </c>
      <c r="L300" t="str">
        <f>+IF(K300="","",MAX(L$1:L299)+1)</f>
        <v/>
      </c>
      <c r="M300" t="str">
        <f t="shared" si="5"/>
        <v/>
      </c>
      <c r="R300" t="str">
        <f>IF(CMS_Identification!B322="","",CMS_Identification!B322)</f>
        <v/>
      </c>
      <c r="S300" t="str">
        <f>IF(CMS_Identification!F322="","",CMS_Identification!F322)</f>
        <v/>
      </c>
      <c r="T300" s="106" t="str">
        <f>IF(CMS_Identification!D322="","",CMS_Identification!D322)</f>
        <v/>
      </c>
    </row>
    <row r="301" spans="9:20" x14ac:dyDescent="0.3">
      <c r="I301" t="str" cm="1">
        <f t="array" ref="I301">IF(SUMPRODUCT(--(LEN(CMS_Identification!F323:F822)&gt;0))&gt;0,IF(CMS_Identification!F323="","",CMS_Identification!F323),"Add CMS to the CMS_Identification tab")</f>
        <v>Add CMS to the CMS_Identification tab</v>
      </c>
      <c r="J301" t="str">
        <f>IF(CMS_Identification!B323="","",CMS_Identification!B323)</f>
        <v/>
      </c>
      <c r="K301" t="str">
        <f>IF(COUNTIF(I$2:I301,I301)=1,I301,"")</f>
        <v/>
      </c>
      <c r="L301" t="str">
        <f>+IF(K301="","",MAX(L$1:L300)+1)</f>
        <v/>
      </c>
      <c r="M301" t="str">
        <f t="shared" si="5"/>
        <v/>
      </c>
      <c r="R301" t="str">
        <f>IF(CMS_Identification!B323="","",CMS_Identification!B323)</f>
        <v/>
      </c>
      <c r="S301" t="str">
        <f>IF(CMS_Identification!F323="","",CMS_Identification!F323)</f>
        <v/>
      </c>
      <c r="T301" s="106" t="str">
        <f>IF(CMS_Identification!D323="","",CMS_Identification!D323)</f>
        <v/>
      </c>
    </row>
    <row r="302" spans="9:20" x14ac:dyDescent="0.3">
      <c r="I302" t="str" cm="1">
        <f t="array" ref="I302">IF(SUMPRODUCT(--(LEN(CMS_Identification!F324:F823)&gt;0))&gt;0,IF(CMS_Identification!F324="","",CMS_Identification!F324),"Add CMS to the CMS_Identification tab")</f>
        <v>Add CMS to the CMS_Identification tab</v>
      </c>
      <c r="J302" t="str">
        <f>IF(CMS_Identification!B324="","",CMS_Identification!B324)</f>
        <v/>
      </c>
      <c r="K302" t="str">
        <f>IF(COUNTIF(I$2:I302,I302)=1,I302,"")</f>
        <v/>
      </c>
      <c r="L302" t="str">
        <f>+IF(K302="","",MAX(L$1:L301)+1)</f>
        <v/>
      </c>
      <c r="M302" t="str">
        <f t="shared" si="5"/>
        <v/>
      </c>
      <c r="R302" t="str">
        <f>IF(CMS_Identification!B324="","",CMS_Identification!B324)</f>
        <v/>
      </c>
      <c r="S302" t="str">
        <f>IF(CMS_Identification!F324="","",CMS_Identification!F324)</f>
        <v/>
      </c>
      <c r="T302" s="106" t="str">
        <f>IF(CMS_Identification!D324="","",CMS_Identification!D324)</f>
        <v/>
      </c>
    </row>
    <row r="303" spans="9:20" x14ac:dyDescent="0.3">
      <c r="I303" t="str" cm="1">
        <f t="array" ref="I303">IF(SUMPRODUCT(--(LEN(CMS_Identification!F325:F824)&gt;0))&gt;0,IF(CMS_Identification!F325="","",CMS_Identification!F325),"Add CMS to the CMS_Identification tab")</f>
        <v>Add CMS to the CMS_Identification tab</v>
      </c>
      <c r="J303" t="str">
        <f>IF(CMS_Identification!B325="","",CMS_Identification!B325)</f>
        <v/>
      </c>
      <c r="K303" t="str">
        <f>IF(COUNTIF(I$2:I303,I303)=1,I303,"")</f>
        <v/>
      </c>
      <c r="L303" t="str">
        <f>+IF(K303="","",MAX(L$1:L302)+1)</f>
        <v/>
      </c>
      <c r="M303" t="str">
        <f t="shared" si="5"/>
        <v/>
      </c>
      <c r="R303" t="str">
        <f>IF(CMS_Identification!B325="","",CMS_Identification!B325)</f>
        <v/>
      </c>
      <c r="S303" t="str">
        <f>IF(CMS_Identification!F325="","",CMS_Identification!F325)</f>
        <v/>
      </c>
      <c r="T303" s="106" t="str">
        <f>IF(CMS_Identification!D325="","",CMS_Identification!D325)</f>
        <v/>
      </c>
    </row>
    <row r="304" spans="9:20" x14ac:dyDescent="0.3">
      <c r="I304" t="str" cm="1">
        <f t="array" ref="I304">IF(SUMPRODUCT(--(LEN(CMS_Identification!F326:F825)&gt;0))&gt;0,IF(CMS_Identification!F326="","",CMS_Identification!F326),"Add CMS to the CMS_Identification tab")</f>
        <v>Add CMS to the CMS_Identification tab</v>
      </c>
      <c r="J304" t="str">
        <f>IF(CMS_Identification!B326="","",CMS_Identification!B326)</f>
        <v/>
      </c>
      <c r="K304" t="str">
        <f>IF(COUNTIF(I$2:I304,I304)=1,I304,"")</f>
        <v/>
      </c>
      <c r="L304" t="str">
        <f>+IF(K304="","",MAX(L$1:L303)+1)</f>
        <v/>
      </c>
      <c r="M304" t="str">
        <f t="shared" si="5"/>
        <v/>
      </c>
      <c r="R304" t="str">
        <f>IF(CMS_Identification!B326="","",CMS_Identification!B326)</f>
        <v/>
      </c>
      <c r="S304" t="str">
        <f>IF(CMS_Identification!F326="","",CMS_Identification!F326)</f>
        <v/>
      </c>
      <c r="T304" s="106" t="str">
        <f>IF(CMS_Identification!D326="","",CMS_Identification!D326)</f>
        <v/>
      </c>
    </row>
    <row r="305" spans="9:20" x14ac:dyDescent="0.3">
      <c r="I305" t="str" cm="1">
        <f t="array" ref="I305">IF(SUMPRODUCT(--(LEN(CMS_Identification!F327:F826)&gt;0))&gt;0,IF(CMS_Identification!F327="","",CMS_Identification!F327),"Add CMS to the CMS_Identification tab")</f>
        <v>Add CMS to the CMS_Identification tab</v>
      </c>
      <c r="J305" t="str">
        <f>IF(CMS_Identification!B327="","",CMS_Identification!B327)</f>
        <v/>
      </c>
      <c r="K305" t="str">
        <f>IF(COUNTIF(I$2:I305,I305)=1,I305,"")</f>
        <v/>
      </c>
      <c r="L305" t="str">
        <f>+IF(K305="","",MAX(L$1:L304)+1)</f>
        <v/>
      </c>
      <c r="M305" t="str">
        <f t="shared" si="5"/>
        <v/>
      </c>
      <c r="R305" t="str">
        <f>IF(CMS_Identification!B327="","",CMS_Identification!B327)</f>
        <v/>
      </c>
      <c r="S305" t="str">
        <f>IF(CMS_Identification!F327="","",CMS_Identification!F327)</f>
        <v/>
      </c>
      <c r="T305" s="106" t="str">
        <f>IF(CMS_Identification!D327="","",CMS_Identification!D327)</f>
        <v/>
      </c>
    </row>
    <row r="306" spans="9:20" x14ac:dyDescent="0.3">
      <c r="I306" t="str" cm="1">
        <f t="array" ref="I306">IF(SUMPRODUCT(--(LEN(CMS_Identification!F328:F827)&gt;0))&gt;0,IF(CMS_Identification!F328="","",CMS_Identification!F328),"Add CMS to the CMS_Identification tab")</f>
        <v>Add CMS to the CMS_Identification tab</v>
      </c>
      <c r="J306" t="str">
        <f>IF(CMS_Identification!B328="","",CMS_Identification!B328)</f>
        <v/>
      </c>
      <c r="K306" t="str">
        <f>IF(COUNTIF(I$2:I306,I306)=1,I306,"")</f>
        <v/>
      </c>
      <c r="L306" t="str">
        <f>+IF(K306="","",MAX(L$1:L305)+1)</f>
        <v/>
      </c>
      <c r="M306" t="str">
        <f t="shared" si="5"/>
        <v/>
      </c>
      <c r="R306" t="str">
        <f>IF(CMS_Identification!B328="","",CMS_Identification!B328)</f>
        <v/>
      </c>
      <c r="S306" t="str">
        <f>IF(CMS_Identification!F328="","",CMS_Identification!F328)</f>
        <v/>
      </c>
      <c r="T306" s="106" t="str">
        <f>IF(CMS_Identification!D328="","",CMS_Identification!D328)</f>
        <v/>
      </c>
    </row>
    <row r="307" spans="9:20" x14ac:dyDescent="0.3">
      <c r="I307" t="str" cm="1">
        <f t="array" ref="I307">IF(SUMPRODUCT(--(LEN(CMS_Identification!F329:F828)&gt;0))&gt;0,IF(CMS_Identification!F329="","",CMS_Identification!F329),"Add CMS to the CMS_Identification tab")</f>
        <v>Add CMS to the CMS_Identification tab</v>
      </c>
      <c r="J307" t="str">
        <f>IF(CMS_Identification!B329="","",CMS_Identification!B329)</f>
        <v/>
      </c>
      <c r="K307" t="str">
        <f>IF(COUNTIF(I$2:I307,I307)=1,I307,"")</f>
        <v/>
      </c>
      <c r="L307" t="str">
        <f>+IF(K307="","",MAX(L$1:L306)+1)</f>
        <v/>
      </c>
      <c r="M307" t="str">
        <f t="shared" si="5"/>
        <v/>
      </c>
      <c r="R307" t="str">
        <f>IF(CMS_Identification!B329="","",CMS_Identification!B329)</f>
        <v/>
      </c>
      <c r="S307" t="str">
        <f>IF(CMS_Identification!F329="","",CMS_Identification!F329)</f>
        <v/>
      </c>
      <c r="T307" s="106" t="str">
        <f>IF(CMS_Identification!D329="","",CMS_Identification!D329)</f>
        <v/>
      </c>
    </row>
    <row r="308" spans="9:20" x14ac:dyDescent="0.3">
      <c r="I308" t="str" cm="1">
        <f t="array" ref="I308">IF(SUMPRODUCT(--(LEN(CMS_Identification!F330:F829)&gt;0))&gt;0,IF(CMS_Identification!F330="","",CMS_Identification!F330),"Add CMS to the CMS_Identification tab")</f>
        <v>Add CMS to the CMS_Identification tab</v>
      </c>
      <c r="J308" t="str">
        <f>IF(CMS_Identification!B330="","",CMS_Identification!B330)</f>
        <v/>
      </c>
      <c r="K308" t="str">
        <f>IF(COUNTIF(I$2:I308,I308)=1,I308,"")</f>
        <v/>
      </c>
      <c r="L308" t="str">
        <f>+IF(K308="","",MAX(L$1:L307)+1)</f>
        <v/>
      </c>
      <c r="M308" t="str">
        <f t="shared" si="5"/>
        <v/>
      </c>
      <c r="R308" t="str">
        <f>IF(CMS_Identification!B330="","",CMS_Identification!B330)</f>
        <v/>
      </c>
      <c r="S308" t="str">
        <f>IF(CMS_Identification!F330="","",CMS_Identification!F330)</f>
        <v/>
      </c>
      <c r="T308" s="106" t="str">
        <f>IF(CMS_Identification!D330="","",CMS_Identification!D330)</f>
        <v/>
      </c>
    </row>
    <row r="309" spans="9:20" x14ac:dyDescent="0.3">
      <c r="I309" t="str" cm="1">
        <f t="array" ref="I309">IF(SUMPRODUCT(--(LEN(CMS_Identification!F331:F830)&gt;0))&gt;0,IF(CMS_Identification!F331="","",CMS_Identification!F331),"Add CMS to the CMS_Identification tab")</f>
        <v>Add CMS to the CMS_Identification tab</v>
      </c>
      <c r="J309" t="str">
        <f>IF(CMS_Identification!B331="","",CMS_Identification!B331)</f>
        <v/>
      </c>
      <c r="K309" t="str">
        <f>IF(COUNTIF(I$2:I309,I309)=1,I309,"")</f>
        <v/>
      </c>
      <c r="L309" t="str">
        <f>+IF(K309="","",MAX(L$1:L308)+1)</f>
        <v/>
      </c>
      <c r="M309" t="str">
        <f t="shared" si="5"/>
        <v/>
      </c>
      <c r="R309" t="str">
        <f>IF(CMS_Identification!B331="","",CMS_Identification!B331)</f>
        <v/>
      </c>
      <c r="S309" t="str">
        <f>IF(CMS_Identification!F331="","",CMS_Identification!F331)</f>
        <v/>
      </c>
      <c r="T309" s="106" t="str">
        <f>IF(CMS_Identification!D331="","",CMS_Identification!D331)</f>
        <v/>
      </c>
    </row>
    <row r="310" spans="9:20" x14ac:dyDescent="0.3">
      <c r="I310" t="str" cm="1">
        <f t="array" ref="I310">IF(SUMPRODUCT(--(LEN(CMS_Identification!F332:F831)&gt;0))&gt;0,IF(CMS_Identification!F332="","",CMS_Identification!F332),"Add CMS to the CMS_Identification tab")</f>
        <v>Add CMS to the CMS_Identification tab</v>
      </c>
      <c r="J310" t="str">
        <f>IF(CMS_Identification!B332="","",CMS_Identification!B332)</f>
        <v/>
      </c>
      <c r="K310" t="str">
        <f>IF(COUNTIF(I$2:I310,I310)=1,I310,"")</f>
        <v/>
      </c>
      <c r="L310" t="str">
        <f>+IF(K310="","",MAX(L$1:L309)+1)</f>
        <v/>
      </c>
      <c r="M310" t="str">
        <f t="shared" si="5"/>
        <v/>
      </c>
      <c r="R310" t="str">
        <f>IF(CMS_Identification!B332="","",CMS_Identification!B332)</f>
        <v/>
      </c>
      <c r="S310" t="str">
        <f>IF(CMS_Identification!F332="","",CMS_Identification!F332)</f>
        <v/>
      </c>
      <c r="T310" s="106" t="str">
        <f>IF(CMS_Identification!D332="","",CMS_Identification!D332)</f>
        <v/>
      </c>
    </row>
    <row r="311" spans="9:20" x14ac:dyDescent="0.3">
      <c r="I311" t="str" cm="1">
        <f t="array" ref="I311">IF(SUMPRODUCT(--(LEN(CMS_Identification!F333:F832)&gt;0))&gt;0,IF(CMS_Identification!F333="","",CMS_Identification!F333),"Add CMS to the CMS_Identification tab")</f>
        <v>Add CMS to the CMS_Identification tab</v>
      </c>
      <c r="J311" t="str">
        <f>IF(CMS_Identification!B333="","",CMS_Identification!B333)</f>
        <v/>
      </c>
      <c r="K311" t="str">
        <f>IF(COUNTIF(I$2:I311,I311)=1,I311,"")</f>
        <v/>
      </c>
      <c r="L311" t="str">
        <f>+IF(K311="","",MAX(L$1:L310)+1)</f>
        <v/>
      </c>
      <c r="M311" t="str">
        <f t="shared" si="5"/>
        <v/>
      </c>
      <c r="R311" t="str">
        <f>IF(CMS_Identification!B333="","",CMS_Identification!B333)</f>
        <v/>
      </c>
      <c r="S311" t="str">
        <f>IF(CMS_Identification!F333="","",CMS_Identification!F333)</f>
        <v/>
      </c>
      <c r="T311" s="106" t="str">
        <f>IF(CMS_Identification!D333="","",CMS_Identification!D333)</f>
        <v/>
      </c>
    </row>
    <row r="312" spans="9:20" x14ac:dyDescent="0.3">
      <c r="I312" t="str" cm="1">
        <f t="array" ref="I312">IF(SUMPRODUCT(--(LEN(CMS_Identification!F334:F833)&gt;0))&gt;0,IF(CMS_Identification!F334="","",CMS_Identification!F334),"Add CMS to the CMS_Identification tab")</f>
        <v>Add CMS to the CMS_Identification tab</v>
      </c>
      <c r="J312" t="str">
        <f>IF(CMS_Identification!B334="","",CMS_Identification!B334)</f>
        <v/>
      </c>
      <c r="K312" t="str">
        <f>IF(COUNTIF(I$2:I312,I312)=1,I312,"")</f>
        <v/>
      </c>
      <c r="L312" t="str">
        <f>+IF(K312="","",MAX(L$1:L311)+1)</f>
        <v/>
      </c>
      <c r="M312" t="str">
        <f t="shared" si="5"/>
        <v/>
      </c>
      <c r="R312" t="str">
        <f>IF(CMS_Identification!B334="","",CMS_Identification!B334)</f>
        <v/>
      </c>
      <c r="S312" t="str">
        <f>IF(CMS_Identification!F334="","",CMS_Identification!F334)</f>
        <v/>
      </c>
      <c r="T312" s="106" t="str">
        <f>IF(CMS_Identification!D334="","",CMS_Identification!D334)</f>
        <v/>
      </c>
    </row>
    <row r="313" spans="9:20" x14ac:dyDescent="0.3">
      <c r="I313" t="str" cm="1">
        <f t="array" ref="I313">IF(SUMPRODUCT(--(LEN(CMS_Identification!F335:F834)&gt;0))&gt;0,IF(CMS_Identification!F335="","",CMS_Identification!F335),"Add CMS to the CMS_Identification tab")</f>
        <v>Add CMS to the CMS_Identification tab</v>
      </c>
      <c r="J313" t="str">
        <f>IF(CMS_Identification!B335="","",CMS_Identification!B335)</f>
        <v/>
      </c>
      <c r="K313" t="str">
        <f>IF(COUNTIF(I$2:I313,I313)=1,I313,"")</f>
        <v/>
      </c>
      <c r="L313" t="str">
        <f>+IF(K313="","",MAX(L$1:L312)+1)</f>
        <v/>
      </c>
      <c r="M313" t="str">
        <f t="shared" si="5"/>
        <v/>
      </c>
      <c r="R313" t="str">
        <f>IF(CMS_Identification!B335="","",CMS_Identification!B335)</f>
        <v/>
      </c>
      <c r="S313" t="str">
        <f>IF(CMS_Identification!F335="","",CMS_Identification!F335)</f>
        <v/>
      </c>
      <c r="T313" s="106" t="str">
        <f>IF(CMS_Identification!D335="","",CMS_Identification!D335)</f>
        <v/>
      </c>
    </row>
    <row r="314" spans="9:20" x14ac:dyDescent="0.3">
      <c r="I314" t="str" cm="1">
        <f t="array" ref="I314">IF(SUMPRODUCT(--(LEN(CMS_Identification!F336:F835)&gt;0))&gt;0,IF(CMS_Identification!F336="","",CMS_Identification!F336),"Add CMS to the CMS_Identification tab")</f>
        <v>Add CMS to the CMS_Identification tab</v>
      </c>
      <c r="J314" t="str">
        <f>IF(CMS_Identification!B336="","",CMS_Identification!B336)</f>
        <v/>
      </c>
      <c r="K314" t="str">
        <f>IF(COUNTIF(I$2:I314,I314)=1,I314,"")</f>
        <v/>
      </c>
      <c r="L314" t="str">
        <f>+IF(K314="","",MAX(L$1:L313)+1)</f>
        <v/>
      </c>
      <c r="M314" t="str">
        <f t="shared" si="5"/>
        <v/>
      </c>
      <c r="R314" t="str">
        <f>IF(CMS_Identification!B336="","",CMS_Identification!B336)</f>
        <v/>
      </c>
      <c r="S314" t="str">
        <f>IF(CMS_Identification!F336="","",CMS_Identification!F336)</f>
        <v/>
      </c>
      <c r="T314" s="106" t="str">
        <f>IF(CMS_Identification!D336="","",CMS_Identification!D336)</f>
        <v/>
      </c>
    </row>
    <row r="315" spans="9:20" x14ac:dyDescent="0.3">
      <c r="I315" t="str" cm="1">
        <f t="array" ref="I315">IF(SUMPRODUCT(--(LEN(CMS_Identification!F337:F836)&gt;0))&gt;0,IF(CMS_Identification!F337="","",CMS_Identification!F337),"Add CMS to the CMS_Identification tab")</f>
        <v>Add CMS to the CMS_Identification tab</v>
      </c>
      <c r="J315" t="str">
        <f>IF(CMS_Identification!B337="","",CMS_Identification!B337)</f>
        <v/>
      </c>
      <c r="K315" t="str">
        <f>IF(COUNTIF(I$2:I315,I315)=1,I315,"")</f>
        <v/>
      </c>
      <c r="L315" t="str">
        <f>+IF(K315="","",MAX(L$1:L314)+1)</f>
        <v/>
      </c>
      <c r="M315" t="str">
        <f t="shared" si="5"/>
        <v/>
      </c>
      <c r="R315" t="str">
        <f>IF(CMS_Identification!B337="","",CMS_Identification!B337)</f>
        <v/>
      </c>
      <c r="S315" t="str">
        <f>IF(CMS_Identification!F337="","",CMS_Identification!F337)</f>
        <v/>
      </c>
      <c r="T315" s="106" t="str">
        <f>IF(CMS_Identification!D337="","",CMS_Identification!D337)</f>
        <v/>
      </c>
    </row>
    <row r="316" spans="9:20" x14ac:dyDescent="0.3">
      <c r="I316" t="str" cm="1">
        <f t="array" ref="I316">IF(SUMPRODUCT(--(LEN(CMS_Identification!F338:F837)&gt;0))&gt;0,IF(CMS_Identification!F338="","",CMS_Identification!F338),"Add CMS to the CMS_Identification tab")</f>
        <v>Add CMS to the CMS_Identification tab</v>
      </c>
      <c r="J316" t="str">
        <f>IF(CMS_Identification!B338="","",CMS_Identification!B338)</f>
        <v/>
      </c>
      <c r="K316" t="str">
        <f>IF(COUNTIF(I$2:I316,I316)=1,I316,"")</f>
        <v/>
      </c>
      <c r="L316" t="str">
        <f>+IF(K316="","",MAX(L$1:L315)+1)</f>
        <v/>
      </c>
      <c r="M316" t="str">
        <f t="shared" si="5"/>
        <v/>
      </c>
      <c r="R316" t="str">
        <f>IF(CMS_Identification!B338="","",CMS_Identification!B338)</f>
        <v/>
      </c>
      <c r="S316" t="str">
        <f>IF(CMS_Identification!F338="","",CMS_Identification!F338)</f>
        <v/>
      </c>
      <c r="T316" s="106" t="str">
        <f>IF(CMS_Identification!D338="","",CMS_Identification!D338)</f>
        <v/>
      </c>
    </row>
    <row r="317" spans="9:20" x14ac:dyDescent="0.3">
      <c r="I317" t="str" cm="1">
        <f t="array" ref="I317">IF(SUMPRODUCT(--(LEN(CMS_Identification!F339:F838)&gt;0))&gt;0,IF(CMS_Identification!F339="","",CMS_Identification!F339),"Add CMS to the CMS_Identification tab")</f>
        <v>Add CMS to the CMS_Identification tab</v>
      </c>
      <c r="J317" t="str">
        <f>IF(CMS_Identification!B339="","",CMS_Identification!B339)</f>
        <v/>
      </c>
      <c r="K317" t="str">
        <f>IF(COUNTIF(I$2:I317,I317)=1,I317,"")</f>
        <v/>
      </c>
      <c r="L317" t="str">
        <f>+IF(K317="","",MAX(L$1:L316)+1)</f>
        <v/>
      </c>
      <c r="M317" t="str">
        <f t="shared" si="5"/>
        <v/>
      </c>
      <c r="R317" t="str">
        <f>IF(CMS_Identification!B339="","",CMS_Identification!B339)</f>
        <v/>
      </c>
      <c r="S317" t="str">
        <f>IF(CMS_Identification!F339="","",CMS_Identification!F339)</f>
        <v/>
      </c>
      <c r="T317" s="106" t="str">
        <f>IF(CMS_Identification!D339="","",CMS_Identification!D339)</f>
        <v/>
      </c>
    </row>
    <row r="318" spans="9:20" x14ac:dyDescent="0.3">
      <c r="I318" t="str" cm="1">
        <f t="array" ref="I318">IF(SUMPRODUCT(--(LEN(CMS_Identification!F340:F839)&gt;0))&gt;0,IF(CMS_Identification!F340="","",CMS_Identification!F340),"Add CMS to the CMS_Identification tab")</f>
        <v>Add CMS to the CMS_Identification tab</v>
      </c>
      <c r="J318" t="str">
        <f>IF(CMS_Identification!B340="","",CMS_Identification!B340)</f>
        <v/>
      </c>
      <c r="K318" t="str">
        <f>IF(COUNTIF(I$2:I318,I318)=1,I318,"")</f>
        <v/>
      </c>
      <c r="L318" t="str">
        <f>+IF(K318="","",MAX(L$1:L317)+1)</f>
        <v/>
      </c>
      <c r="M318" t="str">
        <f t="shared" si="5"/>
        <v/>
      </c>
      <c r="R318" t="str">
        <f>IF(CMS_Identification!B340="","",CMS_Identification!B340)</f>
        <v/>
      </c>
      <c r="S318" t="str">
        <f>IF(CMS_Identification!F340="","",CMS_Identification!F340)</f>
        <v/>
      </c>
      <c r="T318" s="106" t="str">
        <f>IF(CMS_Identification!D340="","",CMS_Identification!D340)</f>
        <v/>
      </c>
    </row>
    <row r="319" spans="9:20" x14ac:dyDescent="0.3">
      <c r="I319" t="str" cm="1">
        <f t="array" ref="I319">IF(SUMPRODUCT(--(LEN(CMS_Identification!F341:F840)&gt;0))&gt;0,IF(CMS_Identification!F341="","",CMS_Identification!F341),"Add CMS to the CMS_Identification tab")</f>
        <v>Add CMS to the CMS_Identification tab</v>
      </c>
      <c r="J319" t="str">
        <f>IF(CMS_Identification!B341="","",CMS_Identification!B341)</f>
        <v/>
      </c>
      <c r="K319" t="str">
        <f>IF(COUNTIF(I$2:I319,I319)=1,I319,"")</f>
        <v/>
      </c>
      <c r="L319" t="str">
        <f>+IF(K319="","",MAX(L$1:L318)+1)</f>
        <v/>
      </c>
      <c r="M319" t="str">
        <f t="shared" si="5"/>
        <v/>
      </c>
      <c r="R319" t="str">
        <f>IF(CMS_Identification!B341="","",CMS_Identification!B341)</f>
        <v/>
      </c>
      <c r="S319" t="str">
        <f>IF(CMS_Identification!F341="","",CMS_Identification!F341)</f>
        <v/>
      </c>
      <c r="T319" s="106" t="str">
        <f>IF(CMS_Identification!D341="","",CMS_Identification!D341)</f>
        <v/>
      </c>
    </row>
    <row r="320" spans="9:20" x14ac:dyDescent="0.3">
      <c r="I320" t="str" cm="1">
        <f t="array" ref="I320">IF(SUMPRODUCT(--(LEN(CMS_Identification!F342:F841)&gt;0))&gt;0,IF(CMS_Identification!F342="","",CMS_Identification!F342),"Add CMS to the CMS_Identification tab")</f>
        <v>Add CMS to the CMS_Identification tab</v>
      </c>
      <c r="J320" t="str">
        <f>IF(CMS_Identification!B342="","",CMS_Identification!B342)</f>
        <v/>
      </c>
      <c r="K320" t="str">
        <f>IF(COUNTIF(I$2:I320,I320)=1,I320,"")</f>
        <v/>
      </c>
      <c r="L320" t="str">
        <f>+IF(K320="","",MAX(L$1:L319)+1)</f>
        <v/>
      </c>
      <c r="M320" t="str">
        <f t="shared" si="5"/>
        <v/>
      </c>
      <c r="R320" t="str">
        <f>IF(CMS_Identification!B342="","",CMS_Identification!B342)</f>
        <v/>
      </c>
      <c r="S320" t="str">
        <f>IF(CMS_Identification!F342="","",CMS_Identification!F342)</f>
        <v/>
      </c>
      <c r="T320" s="106" t="str">
        <f>IF(CMS_Identification!D342="","",CMS_Identification!D342)</f>
        <v/>
      </c>
    </row>
    <row r="321" spans="9:20" x14ac:dyDescent="0.3">
      <c r="I321" t="str" cm="1">
        <f t="array" ref="I321">IF(SUMPRODUCT(--(LEN(CMS_Identification!F343:F842)&gt;0))&gt;0,IF(CMS_Identification!F343="","",CMS_Identification!F343),"Add CMS to the CMS_Identification tab")</f>
        <v>Add CMS to the CMS_Identification tab</v>
      </c>
      <c r="J321" t="str">
        <f>IF(CMS_Identification!B343="","",CMS_Identification!B343)</f>
        <v/>
      </c>
      <c r="K321" t="str">
        <f>IF(COUNTIF(I$2:I321,I321)=1,I321,"")</f>
        <v/>
      </c>
      <c r="L321" t="str">
        <f>+IF(K321="","",MAX(L$1:L320)+1)</f>
        <v/>
      </c>
      <c r="M321" t="str">
        <f t="shared" si="5"/>
        <v/>
      </c>
      <c r="R321" t="str">
        <f>IF(CMS_Identification!B343="","",CMS_Identification!B343)</f>
        <v/>
      </c>
      <c r="S321" t="str">
        <f>IF(CMS_Identification!F343="","",CMS_Identification!F343)</f>
        <v/>
      </c>
      <c r="T321" s="106" t="str">
        <f>IF(CMS_Identification!D343="","",CMS_Identification!D343)</f>
        <v/>
      </c>
    </row>
    <row r="322" spans="9:20" x14ac:dyDescent="0.3">
      <c r="I322" t="str" cm="1">
        <f t="array" ref="I322">IF(SUMPRODUCT(--(LEN(CMS_Identification!F344:F843)&gt;0))&gt;0,IF(CMS_Identification!F344="","",CMS_Identification!F344),"Add CMS to the CMS_Identification tab")</f>
        <v>Add CMS to the CMS_Identification tab</v>
      </c>
      <c r="J322" t="str">
        <f>IF(CMS_Identification!B344="","",CMS_Identification!B344)</f>
        <v/>
      </c>
      <c r="K322" t="str">
        <f>IF(COUNTIF(I$2:I322,I322)=1,I322,"")</f>
        <v/>
      </c>
      <c r="L322" t="str">
        <f>+IF(K322="","",MAX(L$1:L321)+1)</f>
        <v/>
      </c>
      <c r="M322" t="str">
        <f t="shared" ref="M322:M385" si="6">+IFERROR(INDEX($I$2:$I$501,MATCH(ROW()-ROW($L$1),$L$2:$L$501,0)),"")</f>
        <v/>
      </c>
      <c r="R322" t="str">
        <f>IF(CMS_Identification!B344="","",CMS_Identification!B344)</f>
        <v/>
      </c>
      <c r="S322" t="str">
        <f>IF(CMS_Identification!F344="","",CMS_Identification!F344)</f>
        <v/>
      </c>
      <c r="T322" s="106" t="str">
        <f>IF(CMS_Identification!D344="","",CMS_Identification!D344)</f>
        <v/>
      </c>
    </row>
    <row r="323" spans="9:20" x14ac:dyDescent="0.3">
      <c r="I323" t="str" cm="1">
        <f t="array" ref="I323">IF(SUMPRODUCT(--(LEN(CMS_Identification!F345:F844)&gt;0))&gt;0,IF(CMS_Identification!F345="","",CMS_Identification!F345),"Add CMS to the CMS_Identification tab")</f>
        <v>Add CMS to the CMS_Identification tab</v>
      </c>
      <c r="J323" t="str">
        <f>IF(CMS_Identification!B345="","",CMS_Identification!B345)</f>
        <v/>
      </c>
      <c r="K323" t="str">
        <f>IF(COUNTIF(I$2:I323,I323)=1,I323,"")</f>
        <v/>
      </c>
      <c r="L323" t="str">
        <f>+IF(K323="","",MAX(L$1:L322)+1)</f>
        <v/>
      </c>
      <c r="M323" t="str">
        <f t="shared" si="6"/>
        <v/>
      </c>
      <c r="R323" t="str">
        <f>IF(CMS_Identification!B345="","",CMS_Identification!B345)</f>
        <v/>
      </c>
      <c r="S323" t="str">
        <f>IF(CMS_Identification!F345="","",CMS_Identification!F345)</f>
        <v/>
      </c>
      <c r="T323" s="106" t="str">
        <f>IF(CMS_Identification!D345="","",CMS_Identification!D345)</f>
        <v/>
      </c>
    </row>
    <row r="324" spans="9:20" x14ac:dyDescent="0.3">
      <c r="I324" t="str" cm="1">
        <f t="array" ref="I324">IF(SUMPRODUCT(--(LEN(CMS_Identification!F346:F845)&gt;0))&gt;0,IF(CMS_Identification!F346="","",CMS_Identification!F346),"Add CMS to the CMS_Identification tab")</f>
        <v>Add CMS to the CMS_Identification tab</v>
      </c>
      <c r="J324" t="str">
        <f>IF(CMS_Identification!B346="","",CMS_Identification!B346)</f>
        <v/>
      </c>
      <c r="K324" t="str">
        <f>IF(COUNTIF(I$2:I324,I324)=1,I324,"")</f>
        <v/>
      </c>
      <c r="L324" t="str">
        <f>+IF(K324="","",MAX(L$1:L323)+1)</f>
        <v/>
      </c>
      <c r="M324" t="str">
        <f t="shared" si="6"/>
        <v/>
      </c>
      <c r="R324" t="str">
        <f>IF(CMS_Identification!B346="","",CMS_Identification!B346)</f>
        <v/>
      </c>
      <c r="S324" t="str">
        <f>IF(CMS_Identification!F346="","",CMS_Identification!F346)</f>
        <v/>
      </c>
      <c r="T324" s="106" t="str">
        <f>IF(CMS_Identification!D346="","",CMS_Identification!D346)</f>
        <v/>
      </c>
    </row>
    <row r="325" spans="9:20" x14ac:dyDescent="0.3">
      <c r="I325" t="str" cm="1">
        <f t="array" ref="I325">IF(SUMPRODUCT(--(LEN(CMS_Identification!F347:F846)&gt;0))&gt;0,IF(CMS_Identification!F347="","",CMS_Identification!F347),"Add CMS to the CMS_Identification tab")</f>
        <v>Add CMS to the CMS_Identification tab</v>
      </c>
      <c r="J325" t="str">
        <f>IF(CMS_Identification!B347="","",CMS_Identification!B347)</f>
        <v/>
      </c>
      <c r="K325" t="str">
        <f>IF(COUNTIF(I$2:I325,I325)=1,I325,"")</f>
        <v/>
      </c>
      <c r="L325" t="str">
        <f>+IF(K325="","",MAX(L$1:L324)+1)</f>
        <v/>
      </c>
      <c r="M325" t="str">
        <f t="shared" si="6"/>
        <v/>
      </c>
      <c r="R325" t="str">
        <f>IF(CMS_Identification!B347="","",CMS_Identification!B347)</f>
        <v/>
      </c>
      <c r="S325" t="str">
        <f>IF(CMS_Identification!F347="","",CMS_Identification!F347)</f>
        <v/>
      </c>
      <c r="T325" s="106" t="str">
        <f>IF(CMS_Identification!D347="","",CMS_Identification!D347)</f>
        <v/>
      </c>
    </row>
    <row r="326" spans="9:20" x14ac:dyDescent="0.3">
      <c r="I326" t="str" cm="1">
        <f t="array" ref="I326">IF(SUMPRODUCT(--(LEN(CMS_Identification!F348:F847)&gt;0))&gt;0,IF(CMS_Identification!F348="","",CMS_Identification!F348),"Add CMS to the CMS_Identification tab")</f>
        <v>Add CMS to the CMS_Identification tab</v>
      </c>
      <c r="J326" t="str">
        <f>IF(CMS_Identification!B348="","",CMS_Identification!B348)</f>
        <v/>
      </c>
      <c r="K326" t="str">
        <f>IF(COUNTIF(I$2:I326,I326)=1,I326,"")</f>
        <v/>
      </c>
      <c r="L326" t="str">
        <f>+IF(K326="","",MAX(L$1:L325)+1)</f>
        <v/>
      </c>
      <c r="M326" t="str">
        <f t="shared" si="6"/>
        <v/>
      </c>
      <c r="R326" t="str">
        <f>IF(CMS_Identification!B348="","",CMS_Identification!B348)</f>
        <v/>
      </c>
      <c r="S326" t="str">
        <f>IF(CMS_Identification!F348="","",CMS_Identification!F348)</f>
        <v/>
      </c>
      <c r="T326" s="106" t="str">
        <f>IF(CMS_Identification!D348="","",CMS_Identification!D348)</f>
        <v/>
      </c>
    </row>
    <row r="327" spans="9:20" x14ac:dyDescent="0.3">
      <c r="I327" t="str" cm="1">
        <f t="array" ref="I327">IF(SUMPRODUCT(--(LEN(CMS_Identification!F349:F848)&gt;0))&gt;0,IF(CMS_Identification!F349="","",CMS_Identification!F349),"Add CMS to the CMS_Identification tab")</f>
        <v>Add CMS to the CMS_Identification tab</v>
      </c>
      <c r="J327" t="str">
        <f>IF(CMS_Identification!B349="","",CMS_Identification!B349)</f>
        <v/>
      </c>
      <c r="K327" t="str">
        <f>IF(COUNTIF(I$2:I327,I327)=1,I327,"")</f>
        <v/>
      </c>
      <c r="L327" t="str">
        <f>+IF(K327="","",MAX(L$1:L326)+1)</f>
        <v/>
      </c>
      <c r="M327" t="str">
        <f t="shared" si="6"/>
        <v/>
      </c>
      <c r="R327" t="str">
        <f>IF(CMS_Identification!B349="","",CMS_Identification!B349)</f>
        <v/>
      </c>
      <c r="S327" t="str">
        <f>IF(CMS_Identification!F349="","",CMS_Identification!F349)</f>
        <v/>
      </c>
      <c r="T327" s="106" t="str">
        <f>IF(CMS_Identification!D349="","",CMS_Identification!D349)</f>
        <v/>
      </c>
    </row>
    <row r="328" spans="9:20" x14ac:dyDescent="0.3">
      <c r="I328" t="str" cm="1">
        <f t="array" ref="I328">IF(SUMPRODUCT(--(LEN(CMS_Identification!F350:F849)&gt;0))&gt;0,IF(CMS_Identification!F350="","",CMS_Identification!F350),"Add CMS to the CMS_Identification tab")</f>
        <v>Add CMS to the CMS_Identification tab</v>
      </c>
      <c r="J328" t="str">
        <f>IF(CMS_Identification!B350="","",CMS_Identification!B350)</f>
        <v/>
      </c>
      <c r="K328" t="str">
        <f>IF(COUNTIF(I$2:I328,I328)=1,I328,"")</f>
        <v/>
      </c>
      <c r="L328" t="str">
        <f>+IF(K328="","",MAX(L$1:L327)+1)</f>
        <v/>
      </c>
      <c r="M328" t="str">
        <f t="shared" si="6"/>
        <v/>
      </c>
      <c r="R328" t="str">
        <f>IF(CMS_Identification!B350="","",CMS_Identification!B350)</f>
        <v/>
      </c>
      <c r="S328" t="str">
        <f>IF(CMS_Identification!F350="","",CMS_Identification!F350)</f>
        <v/>
      </c>
      <c r="T328" s="106" t="str">
        <f>IF(CMS_Identification!D350="","",CMS_Identification!D350)</f>
        <v/>
      </c>
    </row>
    <row r="329" spans="9:20" x14ac:dyDescent="0.3">
      <c r="I329" t="str" cm="1">
        <f t="array" ref="I329">IF(SUMPRODUCT(--(LEN(CMS_Identification!F351:F850)&gt;0))&gt;0,IF(CMS_Identification!F351="","",CMS_Identification!F351),"Add CMS to the CMS_Identification tab")</f>
        <v>Add CMS to the CMS_Identification tab</v>
      </c>
      <c r="J329" t="str">
        <f>IF(CMS_Identification!B351="","",CMS_Identification!B351)</f>
        <v/>
      </c>
      <c r="K329" t="str">
        <f>IF(COUNTIF(I$2:I329,I329)=1,I329,"")</f>
        <v/>
      </c>
      <c r="L329" t="str">
        <f>+IF(K329="","",MAX(L$1:L328)+1)</f>
        <v/>
      </c>
      <c r="M329" t="str">
        <f t="shared" si="6"/>
        <v/>
      </c>
      <c r="R329" t="str">
        <f>IF(CMS_Identification!B351="","",CMS_Identification!B351)</f>
        <v/>
      </c>
      <c r="S329" t="str">
        <f>IF(CMS_Identification!F351="","",CMS_Identification!F351)</f>
        <v/>
      </c>
      <c r="T329" s="106" t="str">
        <f>IF(CMS_Identification!D351="","",CMS_Identification!D351)</f>
        <v/>
      </c>
    </row>
    <row r="330" spans="9:20" x14ac:dyDescent="0.3">
      <c r="I330" t="str" cm="1">
        <f t="array" ref="I330">IF(SUMPRODUCT(--(LEN(CMS_Identification!F352:F851)&gt;0))&gt;0,IF(CMS_Identification!F352="","",CMS_Identification!F352),"Add CMS to the CMS_Identification tab")</f>
        <v>Add CMS to the CMS_Identification tab</v>
      </c>
      <c r="J330" t="str">
        <f>IF(CMS_Identification!B352="","",CMS_Identification!B352)</f>
        <v/>
      </c>
      <c r="K330" t="str">
        <f>IF(COUNTIF(I$2:I330,I330)=1,I330,"")</f>
        <v/>
      </c>
      <c r="L330" t="str">
        <f>+IF(K330="","",MAX(L$1:L329)+1)</f>
        <v/>
      </c>
      <c r="M330" t="str">
        <f t="shared" si="6"/>
        <v/>
      </c>
      <c r="R330" t="str">
        <f>IF(CMS_Identification!B352="","",CMS_Identification!B352)</f>
        <v/>
      </c>
      <c r="S330" t="str">
        <f>IF(CMS_Identification!F352="","",CMS_Identification!F352)</f>
        <v/>
      </c>
      <c r="T330" s="106" t="str">
        <f>IF(CMS_Identification!D352="","",CMS_Identification!D352)</f>
        <v/>
      </c>
    </row>
    <row r="331" spans="9:20" x14ac:dyDescent="0.3">
      <c r="I331" t="str" cm="1">
        <f t="array" ref="I331">IF(SUMPRODUCT(--(LEN(CMS_Identification!F353:F852)&gt;0))&gt;0,IF(CMS_Identification!F353="","",CMS_Identification!F353),"Add CMS to the CMS_Identification tab")</f>
        <v>Add CMS to the CMS_Identification tab</v>
      </c>
      <c r="J331" t="str">
        <f>IF(CMS_Identification!B353="","",CMS_Identification!B353)</f>
        <v/>
      </c>
      <c r="K331" t="str">
        <f>IF(COUNTIF(I$2:I331,I331)=1,I331,"")</f>
        <v/>
      </c>
      <c r="L331" t="str">
        <f>+IF(K331="","",MAX(L$1:L330)+1)</f>
        <v/>
      </c>
      <c r="M331" t="str">
        <f t="shared" si="6"/>
        <v/>
      </c>
      <c r="R331" t="str">
        <f>IF(CMS_Identification!B353="","",CMS_Identification!B353)</f>
        <v/>
      </c>
      <c r="S331" t="str">
        <f>IF(CMS_Identification!F353="","",CMS_Identification!F353)</f>
        <v/>
      </c>
      <c r="T331" s="106" t="str">
        <f>IF(CMS_Identification!D353="","",CMS_Identification!D353)</f>
        <v/>
      </c>
    </row>
    <row r="332" spans="9:20" x14ac:dyDescent="0.3">
      <c r="I332" t="str" cm="1">
        <f t="array" ref="I332">IF(SUMPRODUCT(--(LEN(CMS_Identification!F354:F853)&gt;0))&gt;0,IF(CMS_Identification!F354="","",CMS_Identification!F354),"Add CMS to the CMS_Identification tab")</f>
        <v>Add CMS to the CMS_Identification tab</v>
      </c>
      <c r="J332" t="str">
        <f>IF(CMS_Identification!B354="","",CMS_Identification!B354)</f>
        <v/>
      </c>
      <c r="K332" t="str">
        <f>IF(COUNTIF(I$2:I332,I332)=1,I332,"")</f>
        <v/>
      </c>
      <c r="L332" t="str">
        <f>+IF(K332="","",MAX(L$1:L331)+1)</f>
        <v/>
      </c>
      <c r="M332" t="str">
        <f t="shared" si="6"/>
        <v/>
      </c>
      <c r="R332" t="str">
        <f>IF(CMS_Identification!B354="","",CMS_Identification!B354)</f>
        <v/>
      </c>
      <c r="S332" t="str">
        <f>IF(CMS_Identification!F354="","",CMS_Identification!F354)</f>
        <v/>
      </c>
      <c r="T332" s="106" t="str">
        <f>IF(CMS_Identification!D354="","",CMS_Identification!D354)</f>
        <v/>
      </c>
    </row>
    <row r="333" spans="9:20" x14ac:dyDescent="0.3">
      <c r="I333" t="str" cm="1">
        <f t="array" ref="I333">IF(SUMPRODUCT(--(LEN(CMS_Identification!F355:F854)&gt;0))&gt;0,IF(CMS_Identification!F355="","",CMS_Identification!F355),"Add CMS to the CMS_Identification tab")</f>
        <v>Add CMS to the CMS_Identification tab</v>
      </c>
      <c r="J333" t="str">
        <f>IF(CMS_Identification!B355="","",CMS_Identification!B355)</f>
        <v/>
      </c>
      <c r="K333" t="str">
        <f>IF(COUNTIF(I$2:I333,I333)=1,I333,"")</f>
        <v/>
      </c>
      <c r="L333" t="str">
        <f>+IF(K333="","",MAX(L$1:L332)+1)</f>
        <v/>
      </c>
      <c r="M333" t="str">
        <f t="shared" si="6"/>
        <v/>
      </c>
      <c r="R333" t="str">
        <f>IF(CMS_Identification!B355="","",CMS_Identification!B355)</f>
        <v/>
      </c>
      <c r="S333" t="str">
        <f>IF(CMS_Identification!F355="","",CMS_Identification!F355)</f>
        <v/>
      </c>
      <c r="T333" s="106" t="str">
        <f>IF(CMS_Identification!D355="","",CMS_Identification!D355)</f>
        <v/>
      </c>
    </row>
    <row r="334" spans="9:20" x14ac:dyDescent="0.3">
      <c r="I334" t="str" cm="1">
        <f t="array" ref="I334">IF(SUMPRODUCT(--(LEN(CMS_Identification!F356:F855)&gt;0))&gt;0,IF(CMS_Identification!F356="","",CMS_Identification!F356),"Add CMS to the CMS_Identification tab")</f>
        <v>Add CMS to the CMS_Identification tab</v>
      </c>
      <c r="J334" t="str">
        <f>IF(CMS_Identification!B356="","",CMS_Identification!B356)</f>
        <v/>
      </c>
      <c r="K334" t="str">
        <f>IF(COUNTIF(I$2:I334,I334)=1,I334,"")</f>
        <v/>
      </c>
      <c r="L334" t="str">
        <f>+IF(K334="","",MAX(L$1:L333)+1)</f>
        <v/>
      </c>
      <c r="M334" t="str">
        <f t="shared" si="6"/>
        <v/>
      </c>
      <c r="R334" t="str">
        <f>IF(CMS_Identification!B356="","",CMS_Identification!B356)</f>
        <v/>
      </c>
      <c r="S334" t="str">
        <f>IF(CMS_Identification!F356="","",CMS_Identification!F356)</f>
        <v/>
      </c>
      <c r="T334" s="106" t="str">
        <f>IF(CMS_Identification!D356="","",CMS_Identification!D356)</f>
        <v/>
      </c>
    </row>
    <row r="335" spans="9:20" x14ac:dyDescent="0.3">
      <c r="I335" t="str" cm="1">
        <f t="array" ref="I335">IF(SUMPRODUCT(--(LEN(CMS_Identification!F357:F856)&gt;0))&gt;0,IF(CMS_Identification!F357="","",CMS_Identification!F357),"Add CMS to the CMS_Identification tab")</f>
        <v>Add CMS to the CMS_Identification tab</v>
      </c>
      <c r="J335" t="str">
        <f>IF(CMS_Identification!B357="","",CMS_Identification!B357)</f>
        <v/>
      </c>
      <c r="K335" t="str">
        <f>IF(COUNTIF(I$2:I335,I335)=1,I335,"")</f>
        <v/>
      </c>
      <c r="L335" t="str">
        <f>+IF(K335="","",MAX(L$1:L334)+1)</f>
        <v/>
      </c>
      <c r="M335" t="str">
        <f t="shared" si="6"/>
        <v/>
      </c>
      <c r="R335" t="str">
        <f>IF(CMS_Identification!B357="","",CMS_Identification!B357)</f>
        <v/>
      </c>
      <c r="S335" t="str">
        <f>IF(CMS_Identification!F357="","",CMS_Identification!F357)</f>
        <v/>
      </c>
      <c r="T335" s="106" t="str">
        <f>IF(CMS_Identification!D357="","",CMS_Identification!D357)</f>
        <v/>
      </c>
    </row>
    <row r="336" spans="9:20" x14ac:dyDescent="0.3">
      <c r="I336" t="str" cm="1">
        <f t="array" ref="I336">IF(SUMPRODUCT(--(LEN(CMS_Identification!F358:F857)&gt;0))&gt;0,IF(CMS_Identification!F358="","",CMS_Identification!F358),"Add CMS to the CMS_Identification tab")</f>
        <v>Add CMS to the CMS_Identification tab</v>
      </c>
      <c r="J336" t="str">
        <f>IF(CMS_Identification!B358="","",CMS_Identification!B358)</f>
        <v/>
      </c>
      <c r="K336" t="str">
        <f>IF(COUNTIF(I$2:I336,I336)=1,I336,"")</f>
        <v/>
      </c>
      <c r="L336" t="str">
        <f>+IF(K336="","",MAX(L$1:L335)+1)</f>
        <v/>
      </c>
      <c r="M336" t="str">
        <f t="shared" si="6"/>
        <v/>
      </c>
      <c r="R336" t="str">
        <f>IF(CMS_Identification!B358="","",CMS_Identification!B358)</f>
        <v/>
      </c>
      <c r="S336" t="str">
        <f>IF(CMS_Identification!F358="","",CMS_Identification!F358)</f>
        <v/>
      </c>
      <c r="T336" s="106" t="str">
        <f>IF(CMS_Identification!D358="","",CMS_Identification!D358)</f>
        <v/>
      </c>
    </row>
    <row r="337" spans="9:20" x14ac:dyDescent="0.3">
      <c r="I337" t="str" cm="1">
        <f t="array" ref="I337">IF(SUMPRODUCT(--(LEN(CMS_Identification!F359:F858)&gt;0))&gt;0,IF(CMS_Identification!F359="","",CMS_Identification!F359),"Add CMS to the CMS_Identification tab")</f>
        <v>Add CMS to the CMS_Identification tab</v>
      </c>
      <c r="J337" t="str">
        <f>IF(CMS_Identification!B359="","",CMS_Identification!B359)</f>
        <v/>
      </c>
      <c r="K337" t="str">
        <f>IF(COUNTIF(I$2:I337,I337)=1,I337,"")</f>
        <v/>
      </c>
      <c r="L337" t="str">
        <f>+IF(K337="","",MAX(L$1:L336)+1)</f>
        <v/>
      </c>
      <c r="M337" t="str">
        <f t="shared" si="6"/>
        <v/>
      </c>
      <c r="R337" t="str">
        <f>IF(CMS_Identification!B359="","",CMS_Identification!B359)</f>
        <v/>
      </c>
      <c r="S337" t="str">
        <f>IF(CMS_Identification!F359="","",CMS_Identification!F359)</f>
        <v/>
      </c>
      <c r="T337" s="106" t="str">
        <f>IF(CMS_Identification!D359="","",CMS_Identification!D359)</f>
        <v/>
      </c>
    </row>
    <row r="338" spans="9:20" x14ac:dyDescent="0.3">
      <c r="I338" t="str" cm="1">
        <f t="array" ref="I338">IF(SUMPRODUCT(--(LEN(CMS_Identification!F360:F859)&gt;0))&gt;0,IF(CMS_Identification!F360="","",CMS_Identification!F360),"Add CMS to the CMS_Identification tab")</f>
        <v>Add CMS to the CMS_Identification tab</v>
      </c>
      <c r="J338" t="str">
        <f>IF(CMS_Identification!B360="","",CMS_Identification!B360)</f>
        <v/>
      </c>
      <c r="K338" t="str">
        <f>IF(COUNTIF(I$2:I338,I338)=1,I338,"")</f>
        <v/>
      </c>
      <c r="L338" t="str">
        <f>+IF(K338="","",MAX(L$1:L337)+1)</f>
        <v/>
      </c>
      <c r="M338" t="str">
        <f t="shared" si="6"/>
        <v/>
      </c>
      <c r="R338" t="str">
        <f>IF(CMS_Identification!B360="","",CMS_Identification!B360)</f>
        <v/>
      </c>
      <c r="S338" t="str">
        <f>IF(CMS_Identification!F360="","",CMS_Identification!F360)</f>
        <v/>
      </c>
      <c r="T338" s="106" t="str">
        <f>IF(CMS_Identification!D360="","",CMS_Identification!D360)</f>
        <v/>
      </c>
    </row>
    <row r="339" spans="9:20" x14ac:dyDescent="0.3">
      <c r="I339" t="str" cm="1">
        <f t="array" ref="I339">IF(SUMPRODUCT(--(LEN(CMS_Identification!F361:F860)&gt;0))&gt;0,IF(CMS_Identification!F361="","",CMS_Identification!F361),"Add CMS to the CMS_Identification tab")</f>
        <v>Add CMS to the CMS_Identification tab</v>
      </c>
      <c r="J339" t="str">
        <f>IF(CMS_Identification!B361="","",CMS_Identification!B361)</f>
        <v/>
      </c>
      <c r="K339" t="str">
        <f>IF(COUNTIF(I$2:I339,I339)=1,I339,"")</f>
        <v/>
      </c>
      <c r="L339" t="str">
        <f>+IF(K339="","",MAX(L$1:L338)+1)</f>
        <v/>
      </c>
      <c r="M339" t="str">
        <f t="shared" si="6"/>
        <v/>
      </c>
      <c r="R339" t="str">
        <f>IF(CMS_Identification!B361="","",CMS_Identification!B361)</f>
        <v/>
      </c>
      <c r="S339" t="str">
        <f>IF(CMS_Identification!F361="","",CMS_Identification!F361)</f>
        <v/>
      </c>
      <c r="T339" s="106" t="str">
        <f>IF(CMS_Identification!D361="","",CMS_Identification!D361)</f>
        <v/>
      </c>
    </row>
    <row r="340" spans="9:20" x14ac:dyDescent="0.3">
      <c r="I340" t="str" cm="1">
        <f t="array" ref="I340">IF(SUMPRODUCT(--(LEN(CMS_Identification!F362:F861)&gt;0))&gt;0,IF(CMS_Identification!F362="","",CMS_Identification!F362),"Add CMS to the CMS_Identification tab")</f>
        <v>Add CMS to the CMS_Identification tab</v>
      </c>
      <c r="J340" t="str">
        <f>IF(CMS_Identification!B362="","",CMS_Identification!B362)</f>
        <v/>
      </c>
      <c r="K340" t="str">
        <f>IF(COUNTIF(I$2:I340,I340)=1,I340,"")</f>
        <v/>
      </c>
      <c r="L340" t="str">
        <f>+IF(K340="","",MAX(L$1:L339)+1)</f>
        <v/>
      </c>
      <c r="M340" t="str">
        <f t="shared" si="6"/>
        <v/>
      </c>
      <c r="R340" t="str">
        <f>IF(CMS_Identification!B362="","",CMS_Identification!B362)</f>
        <v/>
      </c>
      <c r="S340" t="str">
        <f>IF(CMS_Identification!F362="","",CMS_Identification!F362)</f>
        <v/>
      </c>
      <c r="T340" s="106" t="str">
        <f>IF(CMS_Identification!D362="","",CMS_Identification!D362)</f>
        <v/>
      </c>
    </row>
    <row r="341" spans="9:20" x14ac:dyDescent="0.3">
      <c r="I341" t="str" cm="1">
        <f t="array" ref="I341">IF(SUMPRODUCT(--(LEN(CMS_Identification!F363:F862)&gt;0))&gt;0,IF(CMS_Identification!F363="","",CMS_Identification!F363),"Add CMS to the CMS_Identification tab")</f>
        <v>Add CMS to the CMS_Identification tab</v>
      </c>
      <c r="J341" t="str">
        <f>IF(CMS_Identification!B363="","",CMS_Identification!B363)</f>
        <v/>
      </c>
      <c r="K341" t="str">
        <f>IF(COUNTIF(I$2:I341,I341)=1,I341,"")</f>
        <v/>
      </c>
      <c r="L341" t="str">
        <f>+IF(K341="","",MAX(L$1:L340)+1)</f>
        <v/>
      </c>
      <c r="M341" t="str">
        <f t="shared" si="6"/>
        <v/>
      </c>
      <c r="R341" t="str">
        <f>IF(CMS_Identification!B363="","",CMS_Identification!B363)</f>
        <v/>
      </c>
      <c r="S341" t="str">
        <f>IF(CMS_Identification!F363="","",CMS_Identification!F363)</f>
        <v/>
      </c>
      <c r="T341" s="106" t="str">
        <f>IF(CMS_Identification!D363="","",CMS_Identification!D363)</f>
        <v/>
      </c>
    </row>
    <row r="342" spans="9:20" x14ac:dyDescent="0.3">
      <c r="I342" t="str" cm="1">
        <f t="array" ref="I342">IF(SUMPRODUCT(--(LEN(CMS_Identification!F364:F863)&gt;0))&gt;0,IF(CMS_Identification!F364="","",CMS_Identification!F364),"Add CMS to the CMS_Identification tab")</f>
        <v>Add CMS to the CMS_Identification tab</v>
      </c>
      <c r="J342" t="str">
        <f>IF(CMS_Identification!B364="","",CMS_Identification!B364)</f>
        <v/>
      </c>
      <c r="K342" t="str">
        <f>IF(COUNTIF(I$2:I342,I342)=1,I342,"")</f>
        <v/>
      </c>
      <c r="L342" t="str">
        <f>+IF(K342="","",MAX(L$1:L341)+1)</f>
        <v/>
      </c>
      <c r="M342" t="str">
        <f t="shared" si="6"/>
        <v/>
      </c>
      <c r="R342" t="str">
        <f>IF(CMS_Identification!B364="","",CMS_Identification!B364)</f>
        <v/>
      </c>
      <c r="S342" t="str">
        <f>IF(CMS_Identification!F364="","",CMS_Identification!F364)</f>
        <v/>
      </c>
      <c r="T342" s="106" t="str">
        <f>IF(CMS_Identification!D364="","",CMS_Identification!D364)</f>
        <v/>
      </c>
    </row>
    <row r="343" spans="9:20" x14ac:dyDescent="0.3">
      <c r="I343" t="str" cm="1">
        <f t="array" ref="I343">IF(SUMPRODUCT(--(LEN(CMS_Identification!F365:F864)&gt;0))&gt;0,IF(CMS_Identification!F365="","",CMS_Identification!F365),"Add CMS to the CMS_Identification tab")</f>
        <v>Add CMS to the CMS_Identification tab</v>
      </c>
      <c r="J343" t="str">
        <f>IF(CMS_Identification!B365="","",CMS_Identification!B365)</f>
        <v/>
      </c>
      <c r="K343" t="str">
        <f>IF(COUNTIF(I$2:I343,I343)=1,I343,"")</f>
        <v/>
      </c>
      <c r="L343" t="str">
        <f>+IF(K343="","",MAX(L$1:L342)+1)</f>
        <v/>
      </c>
      <c r="M343" t="str">
        <f t="shared" si="6"/>
        <v/>
      </c>
      <c r="R343" t="str">
        <f>IF(CMS_Identification!B365="","",CMS_Identification!B365)</f>
        <v/>
      </c>
      <c r="S343" t="str">
        <f>IF(CMS_Identification!F365="","",CMS_Identification!F365)</f>
        <v/>
      </c>
      <c r="T343" s="106" t="str">
        <f>IF(CMS_Identification!D365="","",CMS_Identification!D365)</f>
        <v/>
      </c>
    </row>
    <row r="344" spans="9:20" x14ac:dyDescent="0.3">
      <c r="I344" t="str" cm="1">
        <f t="array" ref="I344">IF(SUMPRODUCT(--(LEN(CMS_Identification!F366:F865)&gt;0))&gt;0,IF(CMS_Identification!F366="","",CMS_Identification!F366),"Add CMS to the CMS_Identification tab")</f>
        <v>Add CMS to the CMS_Identification tab</v>
      </c>
      <c r="J344" t="str">
        <f>IF(CMS_Identification!B366="","",CMS_Identification!B366)</f>
        <v/>
      </c>
      <c r="K344" t="str">
        <f>IF(COUNTIF(I$2:I344,I344)=1,I344,"")</f>
        <v/>
      </c>
      <c r="L344" t="str">
        <f>+IF(K344="","",MAX(L$1:L343)+1)</f>
        <v/>
      </c>
      <c r="M344" t="str">
        <f t="shared" si="6"/>
        <v/>
      </c>
      <c r="R344" t="str">
        <f>IF(CMS_Identification!B366="","",CMS_Identification!B366)</f>
        <v/>
      </c>
      <c r="S344" t="str">
        <f>IF(CMS_Identification!F366="","",CMS_Identification!F366)</f>
        <v/>
      </c>
      <c r="T344" s="106" t="str">
        <f>IF(CMS_Identification!D366="","",CMS_Identification!D366)</f>
        <v/>
      </c>
    </row>
    <row r="345" spans="9:20" x14ac:dyDescent="0.3">
      <c r="I345" t="str" cm="1">
        <f t="array" ref="I345">IF(SUMPRODUCT(--(LEN(CMS_Identification!F367:F866)&gt;0))&gt;0,IF(CMS_Identification!F367="","",CMS_Identification!F367),"Add CMS to the CMS_Identification tab")</f>
        <v>Add CMS to the CMS_Identification tab</v>
      </c>
      <c r="J345" t="str">
        <f>IF(CMS_Identification!B367="","",CMS_Identification!B367)</f>
        <v/>
      </c>
      <c r="K345" t="str">
        <f>IF(COUNTIF(I$2:I345,I345)=1,I345,"")</f>
        <v/>
      </c>
      <c r="L345" t="str">
        <f>+IF(K345="","",MAX(L$1:L344)+1)</f>
        <v/>
      </c>
      <c r="M345" t="str">
        <f t="shared" si="6"/>
        <v/>
      </c>
      <c r="R345" t="str">
        <f>IF(CMS_Identification!B367="","",CMS_Identification!B367)</f>
        <v/>
      </c>
      <c r="S345" t="str">
        <f>IF(CMS_Identification!F367="","",CMS_Identification!F367)</f>
        <v/>
      </c>
      <c r="T345" s="106" t="str">
        <f>IF(CMS_Identification!D367="","",CMS_Identification!D367)</f>
        <v/>
      </c>
    </row>
    <row r="346" spans="9:20" x14ac:dyDescent="0.3">
      <c r="I346" t="str" cm="1">
        <f t="array" ref="I346">IF(SUMPRODUCT(--(LEN(CMS_Identification!F368:F867)&gt;0))&gt;0,IF(CMS_Identification!F368="","",CMS_Identification!F368),"Add CMS to the CMS_Identification tab")</f>
        <v>Add CMS to the CMS_Identification tab</v>
      </c>
      <c r="J346" t="str">
        <f>IF(CMS_Identification!B368="","",CMS_Identification!B368)</f>
        <v/>
      </c>
      <c r="K346" t="str">
        <f>IF(COUNTIF(I$2:I346,I346)=1,I346,"")</f>
        <v/>
      </c>
      <c r="L346" t="str">
        <f>+IF(K346="","",MAX(L$1:L345)+1)</f>
        <v/>
      </c>
      <c r="M346" t="str">
        <f t="shared" si="6"/>
        <v/>
      </c>
      <c r="R346" t="str">
        <f>IF(CMS_Identification!B368="","",CMS_Identification!B368)</f>
        <v/>
      </c>
      <c r="S346" t="str">
        <f>IF(CMS_Identification!F368="","",CMS_Identification!F368)</f>
        <v/>
      </c>
      <c r="T346" s="106" t="str">
        <f>IF(CMS_Identification!D368="","",CMS_Identification!D368)</f>
        <v/>
      </c>
    </row>
    <row r="347" spans="9:20" x14ac:dyDescent="0.3">
      <c r="I347" t="str" cm="1">
        <f t="array" ref="I347">IF(SUMPRODUCT(--(LEN(CMS_Identification!F369:F868)&gt;0))&gt;0,IF(CMS_Identification!F369="","",CMS_Identification!F369),"Add CMS to the CMS_Identification tab")</f>
        <v>Add CMS to the CMS_Identification tab</v>
      </c>
      <c r="J347" t="str">
        <f>IF(CMS_Identification!B369="","",CMS_Identification!B369)</f>
        <v/>
      </c>
      <c r="K347" t="str">
        <f>IF(COUNTIF(I$2:I347,I347)=1,I347,"")</f>
        <v/>
      </c>
      <c r="L347" t="str">
        <f>+IF(K347="","",MAX(L$1:L346)+1)</f>
        <v/>
      </c>
      <c r="M347" t="str">
        <f t="shared" si="6"/>
        <v/>
      </c>
      <c r="R347" t="str">
        <f>IF(CMS_Identification!B369="","",CMS_Identification!B369)</f>
        <v/>
      </c>
      <c r="S347" t="str">
        <f>IF(CMS_Identification!F369="","",CMS_Identification!F369)</f>
        <v/>
      </c>
      <c r="T347" s="106" t="str">
        <f>IF(CMS_Identification!D369="","",CMS_Identification!D369)</f>
        <v/>
      </c>
    </row>
    <row r="348" spans="9:20" x14ac:dyDescent="0.3">
      <c r="I348" t="str" cm="1">
        <f t="array" ref="I348">IF(SUMPRODUCT(--(LEN(CMS_Identification!F370:F869)&gt;0))&gt;0,IF(CMS_Identification!F370="","",CMS_Identification!F370),"Add CMS to the CMS_Identification tab")</f>
        <v>Add CMS to the CMS_Identification tab</v>
      </c>
      <c r="J348" t="str">
        <f>IF(CMS_Identification!B370="","",CMS_Identification!B370)</f>
        <v/>
      </c>
      <c r="K348" t="str">
        <f>IF(COUNTIF(I$2:I348,I348)=1,I348,"")</f>
        <v/>
      </c>
      <c r="L348" t="str">
        <f>+IF(K348="","",MAX(L$1:L347)+1)</f>
        <v/>
      </c>
      <c r="M348" t="str">
        <f t="shared" si="6"/>
        <v/>
      </c>
      <c r="R348" t="str">
        <f>IF(CMS_Identification!B370="","",CMS_Identification!B370)</f>
        <v/>
      </c>
      <c r="S348" t="str">
        <f>IF(CMS_Identification!F370="","",CMS_Identification!F370)</f>
        <v/>
      </c>
      <c r="T348" s="106" t="str">
        <f>IF(CMS_Identification!D370="","",CMS_Identification!D370)</f>
        <v/>
      </c>
    </row>
    <row r="349" spans="9:20" x14ac:dyDescent="0.3">
      <c r="I349" t="str" cm="1">
        <f t="array" ref="I349">IF(SUMPRODUCT(--(LEN(CMS_Identification!F371:F870)&gt;0))&gt;0,IF(CMS_Identification!F371="","",CMS_Identification!F371),"Add CMS to the CMS_Identification tab")</f>
        <v>Add CMS to the CMS_Identification tab</v>
      </c>
      <c r="J349" t="str">
        <f>IF(CMS_Identification!B371="","",CMS_Identification!B371)</f>
        <v/>
      </c>
      <c r="K349" t="str">
        <f>IF(COUNTIF(I$2:I349,I349)=1,I349,"")</f>
        <v/>
      </c>
      <c r="L349" t="str">
        <f>+IF(K349="","",MAX(L$1:L348)+1)</f>
        <v/>
      </c>
      <c r="M349" t="str">
        <f t="shared" si="6"/>
        <v/>
      </c>
      <c r="R349" t="str">
        <f>IF(CMS_Identification!B371="","",CMS_Identification!B371)</f>
        <v/>
      </c>
      <c r="S349" t="str">
        <f>IF(CMS_Identification!F371="","",CMS_Identification!F371)</f>
        <v/>
      </c>
      <c r="T349" s="106" t="str">
        <f>IF(CMS_Identification!D371="","",CMS_Identification!D371)</f>
        <v/>
      </c>
    </row>
    <row r="350" spans="9:20" x14ac:dyDescent="0.3">
      <c r="I350" t="str" cm="1">
        <f t="array" ref="I350">IF(SUMPRODUCT(--(LEN(CMS_Identification!F372:F871)&gt;0))&gt;0,IF(CMS_Identification!F372="","",CMS_Identification!F372),"Add CMS to the CMS_Identification tab")</f>
        <v>Add CMS to the CMS_Identification tab</v>
      </c>
      <c r="J350" t="str">
        <f>IF(CMS_Identification!B372="","",CMS_Identification!B372)</f>
        <v/>
      </c>
      <c r="K350" t="str">
        <f>IF(COUNTIF(I$2:I350,I350)=1,I350,"")</f>
        <v/>
      </c>
      <c r="L350" t="str">
        <f>+IF(K350="","",MAX(L$1:L349)+1)</f>
        <v/>
      </c>
      <c r="M350" t="str">
        <f t="shared" si="6"/>
        <v/>
      </c>
      <c r="R350" t="str">
        <f>IF(CMS_Identification!B372="","",CMS_Identification!B372)</f>
        <v/>
      </c>
      <c r="S350" t="str">
        <f>IF(CMS_Identification!F372="","",CMS_Identification!F372)</f>
        <v/>
      </c>
      <c r="T350" s="106" t="str">
        <f>IF(CMS_Identification!D372="","",CMS_Identification!D372)</f>
        <v/>
      </c>
    </row>
    <row r="351" spans="9:20" x14ac:dyDescent="0.3">
      <c r="I351" t="str" cm="1">
        <f t="array" ref="I351">IF(SUMPRODUCT(--(LEN(CMS_Identification!F373:F872)&gt;0))&gt;0,IF(CMS_Identification!F373="","",CMS_Identification!F373),"Add CMS to the CMS_Identification tab")</f>
        <v>Add CMS to the CMS_Identification tab</v>
      </c>
      <c r="J351" t="str">
        <f>IF(CMS_Identification!B373="","",CMS_Identification!B373)</f>
        <v/>
      </c>
      <c r="K351" t="str">
        <f>IF(COUNTIF(I$2:I351,I351)=1,I351,"")</f>
        <v/>
      </c>
      <c r="L351" t="str">
        <f>+IF(K351="","",MAX(L$1:L350)+1)</f>
        <v/>
      </c>
      <c r="M351" t="str">
        <f t="shared" si="6"/>
        <v/>
      </c>
      <c r="R351" t="str">
        <f>IF(CMS_Identification!B373="","",CMS_Identification!B373)</f>
        <v/>
      </c>
      <c r="S351" t="str">
        <f>IF(CMS_Identification!F373="","",CMS_Identification!F373)</f>
        <v/>
      </c>
      <c r="T351" s="106" t="str">
        <f>IF(CMS_Identification!D373="","",CMS_Identification!D373)</f>
        <v/>
      </c>
    </row>
    <row r="352" spans="9:20" x14ac:dyDescent="0.3">
      <c r="I352" t="str" cm="1">
        <f t="array" ref="I352">IF(SUMPRODUCT(--(LEN(CMS_Identification!F374:F873)&gt;0))&gt;0,IF(CMS_Identification!F374="","",CMS_Identification!F374),"Add CMS to the CMS_Identification tab")</f>
        <v>Add CMS to the CMS_Identification tab</v>
      </c>
      <c r="J352" t="str">
        <f>IF(CMS_Identification!B374="","",CMS_Identification!B374)</f>
        <v/>
      </c>
      <c r="K352" t="str">
        <f>IF(COUNTIF(I$2:I352,I352)=1,I352,"")</f>
        <v/>
      </c>
      <c r="L352" t="str">
        <f>+IF(K352="","",MAX(L$1:L351)+1)</f>
        <v/>
      </c>
      <c r="M352" t="str">
        <f t="shared" si="6"/>
        <v/>
      </c>
      <c r="R352" t="str">
        <f>IF(CMS_Identification!B374="","",CMS_Identification!B374)</f>
        <v/>
      </c>
      <c r="S352" t="str">
        <f>IF(CMS_Identification!F374="","",CMS_Identification!F374)</f>
        <v/>
      </c>
      <c r="T352" s="106" t="str">
        <f>IF(CMS_Identification!D374="","",CMS_Identification!D374)</f>
        <v/>
      </c>
    </row>
    <row r="353" spans="9:20" x14ac:dyDescent="0.3">
      <c r="I353" t="str" cm="1">
        <f t="array" ref="I353">IF(SUMPRODUCT(--(LEN(CMS_Identification!F375:F874)&gt;0))&gt;0,IF(CMS_Identification!F375="","",CMS_Identification!F375),"Add CMS to the CMS_Identification tab")</f>
        <v>Add CMS to the CMS_Identification tab</v>
      </c>
      <c r="J353" t="str">
        <f>IF(CMS_Identification!B375="","",CMS_Identification!B375)</f>
        <v/>
      </c>
      <c r="K353" t="str">
        <f>IF(COUNTIF(I$2:I353,I353)=1,I353,"")</f>
        <v/>
      </c>
      <c r="L353" t="str">
        <f>+IF(K353="","",MAX(L$1:L352)+1)</f>
        <v/>
      </c>
      <c r="M353" t="str">
        <f t="shared" si="6"/>
        <v/>
      </c>
      <c r="R353" t="str">
        <f>IF(CMS_Identification!B375="","",CMS_Identification!B375)</f>
        <v/>
      </c>
      <c r="S353" t="str">
        <f>IF(CMS_Identification!F375="","",CMS_Identification!F375)</f>
        <v/>
      </c>
      <c r="T353" s="106" t="str">
        <f>IF(CMS_Identification!D375="","",CMS_Identification!D375)</f>
        <v/>
      </c>
    </row>
    <row r="354" spans="9:20" x14ac:dyDescent="0.3">
      <c r="I354" t="str" cm="1">
        <f t="array" ref="I354">IF(SUMPRODUCT(--(LEN(CMS_Identification!F376:F875)&gt;0))&gt;0,IF(CMS_Identification!F376="","",CMS_Identification!F376),"Add CMS to the CMS_Identification tab")</f>
        <v>Add CMS to the CMS_Identification tab</v>
      </c>
      <c r="J354" t="str">
        <f>IF(CMS_Identification!B376="","",CMS_Identification!B376)</f>
        <v/>
      </c>
      <c r="K354" t="str">
        <f>IF(COUNTIF(I$2:I354,I354)=1,I354,"")</f>
        <v/>
      </c>
      <c r="L354" t="str">
        <f>+IF(K354="","",MAX(L$1:L353)+1)</f>
        <v/>
      </c>
      <c r="M354" t="str">
        <f t="shared" si="6"/>
        <v/>
      </c>
      <c r="R354" t="str">
        <f>IF(CMS_Identification!B376="","",CMS_Identification!B376)</f>
        <v/>
      </c>
      <c r="S354" t="str">
        <f>IF(CMS_Identification!F376="","",CMS_Identification!F376)</f>
        <v/>
      </c>
      <c r="T354" s="106" t="str">
        <f>IF(CMS_Identification!D376="","",CMS_Identification!D376)</f>
        <v/>
      </c>
    </row>
    <row r="355" spans="9:20" x14ac:dyDescent="0.3">
      <c r="I355" t="str" cm="1">
        <f t="array" ref="I355">IF(SUMPRODUCT(--(LEN(CMS_Identification!F377:F876)&gt;0))&gt;0,IF(CMS_Identification!F377="","",CMS_Identification!F377),"Add CMS to the CMS_Identification tab")</f>
        <v>Add CMS to the CMS_Identification tab</v>
      </c>
      <c r="J355" t="str">
        <f>IF(CMS_Identification!B377="","",CMS_Identification!B377)</f>
        <v/>
      </c>
      <c r="K355" t="str">
        <f>IF(COUNTIF(I$2:I355,I355)=1,I355,"")</f>
        <v/>
      </c>
      <c r="L355" t="str">
        <f>+IF(K355="","",MAX(L$1:L354)+1)</f>
        <v/>
      </c>
      <c r="M355" t="str">
        <f t="shared" si="6"/>
        <v/>
      </c>
      <c r="R355" t="str">
        <f>IF(CMS_Identification!B377="","",CMS_Identification!B377)</f>
        <v/>
      </c>
      <c r="S355" t="str">
        <f>IF(CMS_Identification!F377="","",CMS_Identification!F377)</f>
        <v/>
      </c>
      <c r="T355" s="106" t="str">
        <f>IF(CMS_Identification!D377="","",CMS_Identification!D377)</f>
        <v/>
      </c>
    </row>
    <row r="356" spans="9:20" x14ac:dyDescent="0.3">
      <c r="I356" t="str" cm="1">
        <f t="array" ref="I356">IF(SUMPRODUCT(--(LEN(CMS_Identification!F378:F877)&gt;0))&gt;0,IF(CMS_Identification!F378="","",CMS_Identification!F378),"Add CMS to the CMS_Identification tab")</f>
        <v>Add CMS to the CMS_Identification tab</v>
      </c>
      <c r="J356" t="str">
        <f>IF(CMS_Identification!B378="","",CMS_Identification!B378)</f>
        <v/>
      </c>
      <c r="K356" t="str">
        <f>IF(COUNTIF(I$2:I356,I356)=1,I356,"")</f>
        <v/>
      </c>
      <c r="L356" t="str">
        <f>+IF(K356="","",MAX(L$1:L355)+1)</f>
        <v/>
      </c>
      <c r="M356" t="str">
        <f t="shared" si="6"/>
        <v/>
      </c>
      <c r="R356" t="str">
        <f>IF(CMS_Identification!B378="","",CMS_Identification!B378)</f>
        <v/>
      </c>
      <c r="S356" t="str">
        <f>IF(CMS_Identification!F378="","",CMS_Identification!F378)</f>
        <v/>
      </c>
      <c r="T356" s="106" t="str">
        <f>IF(CMS_Identification!D378="","",CMS_Identification!D378)</f>
        <v/>
      </c>
    </row>
    <row r="357" spans="9:20" x14ac:dyDescent="0.3">
      <c r="I357" t="str" cm="1">
        <f t="array" ref="I357">IF(SUMPRODUCT(--(LEN(CMS_Identification!F379:F878)&gt;0))&gt;0,IF(CMS_Identification!F379="","",CMS_Identification!F379),"Add CMS to the CMS_Identification tab")</f>
        <v>Add CMS to the CMS_Identification tab</v>
      </c>
      <c r="J357" t="str">
        <f>IF(CMS_Identification!B379="","",CMS_Identification!B379)</f>
        <v/>
      </c>
      <c r="K357" t="str">
        <f>IF(COUNTIF(I$2:I357,I357)=1,I357,"")</f>
        <v/>
      </c>
      <c r="L357" t="str">
        <f>+IF(K357="","",MAX(L$1:L356)+1)</f>
        <v/>
      </c>
      <c r="M357" t="str">
        <f t="shared" si="6"/>
        <v/>
      </c>
      <c r="R357" t="str">
        <f>IF(CMS_Identification!B379="","",CMS_Identification!B379)</f>
        <v/>
      </c>
      <c r="S357" t="str">
        <f>IF(CMS_Identification!F379="","",CMS_Identification!F379)</f>
        <v/>
      </c>
      <c r="T357" s="106" t="str">
        <f>IF(CMS_Identification!D379="","",CMS_Identification!D379)</f>
        <v/>
      </c>
    </row>
    <row r="358" spans="9:20" x14ac:dyDescent="0.3">
      <c r="I358" t="str" cm="1">
        <f t="array" ref="I358">IF(SUMPRODUCT(--(LEN(CMS_Identification!F380:F879)&gt;0))&gt;0,IF(CMS_Identification!F380="","",CMS_Identification!F380),"Add CMS to the CMS_Identification tab")</f>
        <v>Add CMS to the CMS_Identification tab</v>
      </c>
      <c r="J358" t="str">
        <f>IF(CMS_Identification!B380="","",CMS_Identification!B380)</f>
        <v/>
      </c>
      <c r="K358" t="str">
        <f>IF(COUNTIF(I$2:I358,I358)=1,I358,"")</f>
        <v/>
      </c>
      <c r="L358" t="str">
        <f>+IF(K358="","",MAX(L$1:L357)+1)</f>
        <v/>
      </c>
      <c r="M358" t="str">
        <f t="shared" si="6"/>
        <v/>
      </c>
      <c r="R358" t="str">
        <f>IF(CMS_Identification!B380="","",CMS_Identification!B380)</f>
        <v/>
      </c>
      <c r="S358" t="str">
        <f>IF(CMS_Identification!F380="","",CMS_Identification!F380)</f>
        <v/>
      </c>
      <c r="T358" s="106" t="str">
        <f>IF(CMS_Identification!D380="","",CMS_Identification!D380)</f>
        <v/>
      </c>
    </row>
    <row r="359" spans="9:20" x14ac:dyDescent="0.3">
      <c r="I359" t="str" cm="1">
        <f t="array" ref="I359">IF(SUMPRODUCT(--(LEN(CMS_Identification!F381:F880)&gt;0))&gt;0,IF(CMS_Identification!F381="","",CMS_Identification!F381),"Add CMS to the CMS_Identification tab")</f>
        <v>Add CMS to the CMS_Identification tab</v>
      </c>
      <c r="J359" t="str">
        <f>IF(CMS_Identification!B381="","",CMS_Identification!B381)</f>
        <v/>
      </c>
      <c r="K359" t="str">
        <f>IF(COUNTIF(I$2:I359,I359)=1,I359,"")</f>
        <v/>
      </c>
      <c r="L359" t="str">
        <f>+IF(K359="","",MAX(L$1:L358)+1)</f>
        <v/>
      </c>
      <c r="M359" t="str">
        <f t="shared" si="6"/>
        <v/>
      </c>
      <c r="R359" t="str">
        <f>IF(CMS_Identification!B381="","",CMS_Identification!B381)</f>
        <v/>
      </c>
      <c r="S359" t="str">
        <f>IF(CMS_Identification!F381="","",CMS_Identification!F381)</f>
        <v/>
      </c>
      <c r="T359" s="106" t="str">
        <f>IF(CMS_Identification!D381="","",CMS_Identification!D381)</f>
        <v/>
      </c>
    </row>
    <row r="360" spans="9:20" x14ac:dyDescent="0.3">
      <c r="I360" t="str" cm="1">
        <f t="array" ref="I360">IF(SUMPRODUCT(--(LEN(CMS_Identification!F382:F881)&gt;0))&gt;0,IF(CMS_Identification!F382="","",CMS_Identification!F382),"Add CMS to the CMS_Identification tab")</f>
        <v>Add CMS to the CMS_Identification tab</v>
      </c>
      <c r="J360" t="str">
        <f>IF(CMS_Identification!B382="","",CMS_Identification!B382)</f>
        <v/>
      </c>
      <c r="K360" t="str">
        <f>IF(COUNTIF(I$2:I360,I360)=1,I360,"")</f>
        <v/>
      </c>
      <c r="L360" t="str">
        <f>+IF(K360="","",MAX(L$1:L359)+1)</f>
        <v/>
      </c>
      <c r="M360" t="str">
        <f t="shared" si="6"/>
        <v/>
      </c>
      <c r="R360" t="str">
        <f>IF(CMS_Identification!B382="","",CMS_Identification!B382)</f>
        <v/>
      </c>
      <c r="S360" t="str">
        <f>IF(CMS_Identification!F382="","",CMS_Identification!F382)</f>
        <v/>
      </c>
      <c r="T360" s="106" t="str">
        <f>IF(CMS_Identification!D382="","",CMS_Identification!D382)</f>
        <v/>
      </c>
    </row>
    <row r="361" spans="9:20" x14ac:dyDescent="0.3">
      <c r="I361" t="str" cm="1">
        <f t="array" ref="I361">IF(SUMPRODUCT(--(LEN(CMS_Identification!F383:F882)&gt;0))&gt;0,IF(CMS_Identification!F383="","",CMS_Identification!F383),"Add CMS to the CMS_Identification tab")</f>
        <v>Add CMS to the CMS_Identification tab</v>
      </c>
      <c r="J361" t="str">
        <f>IF(CMS_Identification!B383="","",CMS_Identification!B383)</f>
        <v/>
      </c>
      <c r="K361" t="str">
        <f>IF(COUNTIF(I$2:I361,I361)=1,I361,"")</f>
        <v/>
      </c>
      <c r="L361" t="str">
        <f>+IF(K361="","",MAX(L$1:L360)+1)</f>
        <v/>
      </c>
      <c r="M361" t="str">
        <f t="shared" si="6"/>
        <v/>
      </c>
      <c r="R361" t="str">
        <f>IF(CMS_Identification!B383="","",CMS_Identification!B383)</f>
        <v/>
      </c>
      <c r="S361" t="str">
        <f>IF(CMS_Identification!F383="","",CMS_Identification!F383)</f>
        <v/>
      </c>
      <c r="T361" s="106" t="str">
        <f>IF(CMS_Identification!D383="","",CMS_Identification!D383)</f>
        <v/>
      </c>
    </row>
    <row r="362" spans="9:20" x14ac:dyDescent="0.3">
      <c r="I362" t="str" cm="1">
        <f t="array" ref="I362">IF(SUMPRODUCT(--(LEN(CMS_Identification!F384:F883)&gt;0))&gt;0,IF(CMS_Identification!F384="","",CMS_Identification!F384),"Add CMS to the CMS_Identification tab")</f>
        <v>Add CMS to the CMS_Identification tab</v>
      </c>
      <c r="J362" t="str">
        <f>IF(CMS_Identification!B384="","",CMS_Identification!B384)</f>
        <v/>
      </c>
      <c r="K362" t="str">
        <f>IF(COUNTIF(I$2:I362,I362)=1,I362,"")</f>
        <v/>
      </c>
      <c r="L362" t="str">
        <f>+IF(K362="","",MAX(L$1:L361)+1)</f>
        <v/>
      </c>
      <c r="M362" t="str">
        <f t="shared" si="6"/>
        <v/>
      </c>
      <c r="R362" t="str">
        <f>IF(CMS_Identification!B384="","",CMS_Identification!B384)</f>
        <v/>
      </c>
      <c r="S362" t="str">
        <f>IF(CMS_Identification!F384="","",CMS_Identification!F384)</f>
        <v/>
      </c>
      <c r="T362" s="106" t="str">
        <f>IF(CMS_Identification!D384="","",CMS_Identification!D384)</f>
        <v/>
      </c>
    </row>
    <row r="363" spans="9:20" x14ac:dyDescent="0.3">
      <c r="I363" t="str" cm="1">
        <f t="array" ref="I363">IF(SUMPRODUCT(--(LEN(CMS_Identification!F385:F884)&gt;0))&gt;0,IF(CMS_Identification!F385="","",CMS_Identification!F385),"Add CMS to the CMS_Identification tab")</f>
        <v>Add CMS to the CMS_Identification tab</v>
      </c>
      <c r="J363" t="str">
        <f>IF(CMS_Identification!B385="","",CMS_Identification!B385)</f>
        <v/>
      </c>
      <c r="K363" t="str">
        <f>IF(COUNTIF(I$2:I363,I363)=1,I363,"")</f>
        <v/>
      </c>
      <c r="L363" t="str">
        <f>+IF(K363="","",MAX(L$1:L362)+1)</f>
        <v/>
      </c>
      <c r="M363" t="str">
        <f t="shared" si="6"/>
        <v/>
      </c>
      <c r="R363" t="str">
        <f>IF(CMS_Identification!B385="","",CMS_Identification!B385)</f>
        <v/>
      </c>
      <c r="S363" t="str">
        <f>IF(CMS_Identification!F385="","",CMS_Identification!F385)</f>
        <v/>
      </c>
      <c r="T363" s="106" t="str">
        <f>IF(CMS_Identification!D385="","",CMS_Identification!D385)</f>
        <v/>
      </c>
    </row>
    <row r="364" spans="9:20" x14ac:dyDescent="0.3">
      <c r="I364" t="str" cm="1">
        <f t="array" ref="I364">IF(SUMPRODUCT(--(LEN(CMS_Identification!F386:F885)&gt;0))&gt;0,IF(CMS_Identification!F386="","",CMS_Identification!F386),"Add CMS to the CMS_Identification tab")</f>
        <v>Add CMS to the CMS_Identification tab</v>
      </c>
      <c r="J364" t="str">
        <f>IF(CMS_Identification!B386="","",CMS_Identification!B386)</f>
        <v/>
      </c>
      <c r="K364" t="str">
        <f>IF(COUNTIF(I$2:I364,I364)=1,I364,"")</f>
        <v/>
      </c>
      <c r="L364" t="str">
        <f>+IF(K364="","",MAX(L$1:L363)+1)</f>
        <v/>
      </c>
      <c r="M364" t="str">
        <f t="shared" si="6"/>
        <v/>
      </c>
      <c r="R364" t="str">
        <f>IF(CMS_Identification!B386="","",CMS_Identification!B386)</f>
        <v/>
      </c>
      <c r="S364" t="str">
        <f>IF(CMS_Identification!F386="","",CMS_Identification!F386)</f>
        <v/>
      </c>
      <c r="T364" s="106" t="str">
        <f>IF(CMS_Identification!D386="","",CMS_Identification!D386)</f>
        <v/>
      </c>
    </row>
    <row r="365" spans="9:20" x14ac:dyDescent="0.3">
      <c r="I365" t="str" cm="1">
        <f t="array" ref="I365">IF(SUMPRODUCT(--(LEN(CMS_Identification!F387:F886)&gt;0))&gt;0,IF(CMS_Identification!F387="","",CMS_Identification!F387),"Add CMS to the CMS_Identification tab")</f>
        <v>Add CMS to the CMS_Identification tab</v>
      </c>
      <c r="J365" t="str">
        <f>IF(CMS_Identification!B387="","",CMS_Identification!B387)</f>
        <v/>
      </c>
      <c r="K365" t="str">
        <f>IF(COUNTIF(I$2:I365,I365)=1,I365,"")</f>
        <v/>
      </c>
      <c r="L365" t="str">
        <f>+IF(K365="","",MAX(L$1:L364)+1)</f>
        <v/>
      </c>
      <c r="M365" t="str">
        <f t="shared" si="6"/>
        <v/>
      </c>
      <c r="R365" t="str">
        <f>IF(CMS_Identification!B387="","",CMS_Identification!B387)</f>
        <v/>
      </c>
      <c r="S365" t="str">
        <f>IF(CMS_Identification!F387="","",CMS_Identification!F387)</f>
        <v/>
      </c>
      <c r="T365" s="106" t="str">
        <f>IF(CMS_Identification!D387="","",CMS_Identification!D387)</f>
        <v/>
      </c>
    </row>
    <row r="366" spans="9:20" x14ac:dyDescent="0.3">
      <c r="I366" t="str" cm="1">
        <f t="array" ref="I366">IF(SUMPRODUCT(--(LEN(CMS_Identification!F388:F887)&gt;0))&gt;0,IF(CMS_Identification!F388="","",CMS_Identification!F388),"Add CMS to the CMS_Identification tab")</f>
        <v>Add CMS to the CMS_Identification tab</v>
      </c>
      <c r="J366" t="str">
        <f>IF(CMS_Identification!B388="","",CMS_Identification!B388)</f>
        <v/>
      </c>
      <c r="K366" t="str">
        <f>IF(COUNTIF(I$2:I366,I366)=1,I366,"")</f>
        <v/>
      </c>
      <c r="L366" t="str">
        <f>+IF(K366="","",MAX(L$1:L365)+1)</f>
        <v/>
      </c>
      <c r="M366" t="str">
        <f t="shared" si="6"/>
        <v/>
      </c>
      <c r="R366" t="str">
        <f>IF(CMS_Identification!B388="","",CMS_Identification!B388)</f>
        <v/>
      </c>
      <c r="S366" t="str">
        <f>IF(CMS_Identification!F388="","",CMS_Identification!F388)</f>
        <v/>
      </c>
      <c r="T366" s="106" t="str">
        <f>IF(CMS_Identification!D388="","",CMS_Identification!D388)</f>
        <v/>
      </c>
    </row>
    <row r="367" spans="9:20" x14ac:dyDescent="0.3">
      <c r="I367" t="str" cm="1">
        <f t="array" ref="I367">IF(SUMPRODUCT(--(LEN(CMS_Identification!F389:F888)&gt;0))&gt;0,IF(CMS_Identification!F389="","",CMS_Identification!F389),"Add CMS to the CMS_Identification tab")</f>
        <v>Add CMS to the CMS_Identification tab</v>
      </c>
      <c r="J367" t="str">
        <f>IF(CMS_Identification!B389="","",CMS_Identification!B389)</f>
        <v/>
      </c>
      <c r="K367" t="str">
        <f>IF(COUNTIF(I$2:I367,I367)=1,I367,"")</f>
        <v/>
      </c>
      <c r="L367" t="str">
        <f>+IF(K367="","",MAX(L$1:L366)+1)</f>
        <v/>
      </c>
      <c r="M367" t="str">
        <f t="shared" si="6"/>
        <v/>
      </c>
      <c r="R367" t="str">
        <f>IF(CMS_Identification!B389="","",CMS_Identification!B389)</f>
        <v/>
      </c>
      <c r="S367" t="str">
        <f>IF(CMS_Identification!F389="","",CMS_Identification!F389)</f>
        <v/>
      </c>
      <c r="T367" s="106" t="str">
        <f>IF(CMS_Identification!D389="","",CMS_Identification!D389)</f>
        <v/>
      </c>
    </row>
    <row r="368" spans="9:20" x14ac:dyDescent="0.3">
      <c r="I368" t="str" cm="1">
        <f t="array" ref="I368">IF(SUMPRODUCT(--(LEN(CMS_Identification!F390:F889)&gt;0))&gt;0,IF(CMS_Identification!F390="","",CMS_Identification!F390),"Add CMS to the CMS_Identification tab")</f>
        <v>Add CMS to the CMS_Identification tab</v>
      </c>
      <c r="J368" t="str">
        <f>IF(CMS_Identification!B390="","",CMS_Identification!B390)</f>
        <v/>
      </c>
      <c r="K368" t="str">
        <f>IF(COUNTIF(I$2:I368,I368)=1,I368,"")</f>
        <v/>
      </c>
      <c r="L368" t="str">
        <f>+IF(K368="","",MAX(L$1:L367)+1)</f>
        <v/>
      </c>
      <c r="M368" t="str">
        <f t="shared" si="6"/>
        <v/>
      </c>
      <c r="R368" t="str">
        <f>IF(CMS_Identification!B390="","",CMS_Identification!B390)</f>
        <v/>
      </c>
      <c r="S368" t="str">
        <f>IF(CMS_Identification!F390="","",CMS_Identification!F390)</f>
        <v/>
      </c>
      <c r="T368" s="106" t="str">
        <f>IF(CMS_Identification!D390="","",CMS_Identification!D390)</f>
        <v/>
      </c>
    </row>
    <row r="369" spans="9:20" x14ac:dyDescent="0.3">
      <c r="I369" t="str" cm="1">
        <f t="array" ref="I369">IF(SUMPRODUCT(--(LEN(CMS_Identification!F391:F890)&gt;0))&gt;0,IF(CMS_Identification!F391="","",CMS_Identification!F391),"Add CMS to the CMS_Identification tab")</f>
        <v>Add CMS to the CMS_Identification tab</v>
      </c>
      <c r="J369" t="str">
        <f>IF(CMS_Identification!B391="","",CMS_Identification!B391)</f>
        <v/>
      </c>
      <c r="K369" t="str">
        <f>IF(COUNTIF(I$2:I369,I369)=1,I369,"")</f>
        <v/>
      </c>
      <c r="L369" t="str">
        <f>+IF(K369="","",MAX(L$1:L368)+1)</f>
        <v/>
      </c>
      <c r="M369" t="str">
        <f t="shared" si="6"/>
        <v/>
      </c>
      <c r="R369" t="str">
        <f>IF(CMS_Identification!B391="","",CMS_Identification!B391)</f>
        <v/>
      </c>
      <c r="S369" t="str">
        <f>IF(CMS_Identification!F391="","",CMS_Identification!F391)</f>
        <v/>
      </c>
      <c r="T369" s="106" t="str">
        <f>IF(CMS_Identification!D391="","",CMS_Identification!D391)</f>
        <v/>
      </c>
    </row>
    <row r="370" spans="9:20" x14ac:dyDescent="0.3">
      <c r="I370" t="str" cm="1">
        <f t="array" ref="I370">IF(SUMPRODUCT(--(LEN(CMS_Identification!F392:F891)&gt;0))&gt;0,IF(CMS_Identification!F392="","",CMS_Identification!F392),"Add CMS to the CMS_Identification tab")</f>
        <v>Add CMS to the CMS_Identification tab</v>
      </c>
      <c r="J370" t="str">
        <f>IF(CMS_Identification!B392="","",CMS_Identification!B392)</f>
        <v/>
      </c>
      <c r="K370" t="str">
        <f>IF(COUNTIF(I$2:I370,I370)=1,I370,"")</f>
        <v/>
      </c>
      <c r="L370" t="str">
        <f>+IF(K370="","",MAX(L$1:L369)+1)</f>
        <v/>
      </c>
      <c r="M370" t="str">
        <f t="shared" si="6"/>
        <v/>
      </c>
      <c r="R370" t="str">
        <f>IF(CMS_Identification!B392="","",CMS_Identification!B392)</f>
        <v/>
      </c>
      <c r="S370" t="str">
        <f>IF(CMS_Identification!F392="","",CMS_Identification!F392)</f>
        <v/>
      </c>
      <c r="T370" s="106" t="str">
        <f>IF(CMS_Identification!D392="","",CMS_Identification!D392)</f>
        <v/>
      </c>
    </row>
    <row r="371" spans="9:20" x14ac:dyDescent="0.3">
      <c r="I371" t="str" cm="1">
        <f t="array" ref="I371">IF(SUMPRODUCT(--(LEN(CMS_Identification!F393:F892)&gt;0))&gt;0,IF(CMS_Identification!F393="","",CMS_Identification!F393),"Add CMS to the CMS_Identification tab")</f>
        <v>Add CMS to the CMS_Identification tab</v>
      </c>
      <c r="J371" t="str">
        <f>IF(CMS_Identification!B393="","",CMS_Identification!B393)</f>
        <v/>
      </c>
      <c r="K371" t="str">
        <f>IF(COUNTIF(I$2:I371,I371)=1,I371,"")</f>
        <v/>
      </c>
      <c r="L371" t="str">
        <f>+IF(K371="","",MAX(L$1:L370)+1)</f>
        <v/>
      </c>
      <c r="M371" t="str">
        <f t="shared" si="6"/>
        <v/>
      </c>
      <c r="R371" t="str">
        <f>IF(CMS_Identification!B393="","",CMS_Identification!B393)</f>
        <v/>
      </c>
      <c r="S371" t="str">
        <f>IF(CMS_Identification!F393="","",CMS_Identification!F393)</f>
        <v/>
      </c>
      <c r="T371" s="106" t="str">
        <f>IF(CMS_Identification!D393="","",CMS_Identification!D393)</f>
        <v/>
      </c>
    </row>
    <row r="372" spans="9:20" x14ac:dyDescent="0.3">
      <c r="I372" t="str" cm="1">
        <f t="array" ref="I372">IF(SUMPRODUCT(--(LEN(CMS_Identification!F394:F893)&gt;0))&gt;0,IF(CMS_Identification!F394="","",CMS_Identification!F394),"Add CMS to the CMS_Identification tab")</f>
        <v>Add CMS to the CMS_Identification tab</v>
      </c>
      <c r="J372" t="str">
        <f>IF(CMS_Identification!B394="","",CMS_Identification!B394)</f>
        <v/>
      </c>
      <c r="K372" t="str">
        <f>IF(COUNTIF(I$2:I372,I372)=1,I372,"")</f>
        <v/>
      </c>
      <c r="L372" t="str">
        <f>+IF(K372="","",MAX(L$1:L371)+1)</f>
        <v/>
      </c>
      <c r="M372" t="str">
        <f t="shared" si="6"/>
        <v/>
      </c>
      <c r="R372" t="str">
        <f>IF(CMS_Identification!B394="","",CMS_Identification!B394)</f>
        <v/>
      </c>
      <c r="S372" t="str">
        <f>IF(CMS_Identification!F394="","",CMS_Identification!F394)</f>
        <v/>
      </c>
      <c r="T372" s="106" t="str">
        <f>IF(CMS_Identification!D394="","",CMS_Identification!D394)</f>
        <v/>
      </c>
    </row>
    <row r="373" spans="9:20" x14ac:dyDescent="0.3">
      <c r="I373" t="str" cm="1">
        <f t="array" ref="I373">IF(SUMPRODUCT(--(LEN(CMS_Identification!F395:F894)&gt;0))&gt;0,IF(CMS_Identification!F395="","",CMS_Identification!F395),"Add CMS to the CMS_Identification tab")</f>
        <v>Add CMS to the CMS_Identification tab</v>
      </c>
      <c r="J373" t="str">
        <f>IF(CMS_Identification!B395="","",CMS_Identification!B395)</f>
        <v/>
      </c>
      <c r="K373" t="str">
        <f>IF(COUNTIF(I$2:I373,I373)=1,I373,"")</f>
        <v/>
      </c>
      <c r="L373" t="str">
        <f>+IF(K373="","",MAX(L$1:L372)+1)</f>
        <v/>
      </c>
      <c r="M373" t="str">
        <f t="shared" si="6"/>
        <v/>
      </c>
      <c r="R373" t="str">
        <f>IF(CMS_Identification!B395="","",CMS_Identification!B395)</f>
        <v/>
      </c>
      <c r="S373" t="str">
        <f>IF(CMS_Identification!F395="","",CMS_Identification!F395)</f>
        <v/>
      </c>
      <c r="T373" s="106" t="str">
        <f>IF(CMS_Identification!D395="","",CMS_Identification!D395)</f>
        <v/>
      </c>
    </row>
    <row r="374" spans="9:20" x14ac:dyDescent="0.3">
      <c r="I374" t="str" cm="1">
        <f t="array" ref="I374">IF(SUMPRODUCT(--(LEN(CMS_Identification!F396:F895)&gt;0))&gt;0,IF(CMS_Identification!F396="","",CMS_Identification!F396),"Add CMS to the CMS_Identification tab")</f>
        <v>Add CMS to the CMS_Identification tab</v>
      </c>
      <c r="J374" t="str">
        <f>IF(CMS_Identification!B396="","",CMS_Identification!B396)</f>
        <v/>
      </c>
      <c r="K374" t="str">
        <f>IF(COUNTIF(I$2:I374,I374)=1,I374,"")</f>
        <v/>
      </c>
      <c r="L374" t="str">
        <f>+IF(K374="","",MAX(L$1:L373)+1)</f>
        <v/>
      </c>
      <c r="M374" t="str">
        <f t="shared" si="6"/>
        <v/>
      </c>
      <c r="R374" t="str">
        <f>IF(CMS_Identification!B396="","",CMS_Identification!B396)</f>
        <v/>
      </c>
      <c r="S374" t="str">
        <f>IF(CMS_Identification!F396="","",CMS_Identification!F396)</f>
        <v/>
      </c>
      <c r="T374" s="106" t="str">
        <f>IF(CMS_Identification!D396="","",CMS_Identification!D396)</f>
        <v/>
      </c>
    </row>
    <row r="375" spans="9:20" x14ac:dyDescent="0.3">
      <c r="I375" t="str" cm="1">
        <f t="array" ref="I375">IF(SUMPRODUCT(--(LEN(CMS_Identification!F397:F896)&gt;0))&gt;0,IF(CMS_Identification!F397="","",CMS_Identification!F397),"Add CMS to the CMS_Identification tab")</f>
        <v>Add CMS to the CMS_Identification tab</v>
      </c>
      <c r="J375" t="str">
        <f>IF(CMS_Identification!B397="","",CMS_Identification!B397)</f>
        <v/>
      </c>
      <c r="K375" t="str">
        <f>IF(COUNTIF(I$2:I375,I375)=1,I375,"")</f>
        <v/>
      </c>
      <c r="L375" t="str">
        <f>+IF(K375="","",MAX(L$1:L374)+1)</f>
        <v/>
      </c>
      <c r="M375" t="str">
        <f t="shared" si="6"/>
        <v/>
      </c>
      <c r="R375" t="str">
        <f>IF(CMS_Identification!B397="","",CMS_Identification!B397)</f>
        <v/>
      </c>
      <c r="S375" t="str">
        <f>IF(CMS_Identification!F397="","",CMS_Identification!F397)</f>
        <v/>
      </c>
      <c r="T375" s="106" t="str">
        <f>IF(CMS_Identification!D397="","",CMS_Identification!D397)</f>
        <v/>
      </c>
    </row>
    <row r="376" spans="9:20" x14ac:dyDescent="0.3">
      <c r="I376" t="str" cm="1">
        <f t="array" ref="I376">IF(SUMPRODUCT(--(LEN(CMS_Identification!F398:F897)&gt;0))&gt;0,IF(CMS_Identification!F398="","",CMS_Identification!F398),"Add CMS to the CMS_Identification tab")</f>
        <v>Add CMS to the CMS_Identification tab</v>
      </c>
      <c r="J376" t="str">
        <f>IF(CMS_Identification!B398="","",CMS_Identification!B398)</f>
        <v/>
      </c>
      <c r="K376" t="str">
        <f>IF(COUNTIF(I$2:I376,I376)=1,I376,"")</f>
        <v/>
      </c>
      <c r="L376" t="str">
        <f>+IF(K376="","",MAX(L$1:L375)+1)</f>
        <v/>
      </c>
      <c r="M376" t="str">
        <f t="shared" si="6"/>
        <v/>
      </c>
      <c r="R376" t="str">
        <f>IF(CMS_Identification!B398="","",CMS_Identification!B398)</f>
        <v/>
      </c>
      <c r="S376" t="str">
        <f>IF(CMS_Identification!F398="","",CMS_Identification!F398)</f>
        <v/>
      </c>
      <c r="T376" s="106" t="str">
        <f>IF(CMS_Identification!D398="","",CMS_Identification!D398)</f>
        <v/>
      </c>
    </row>
    <row r="377" spans="9:20" x14ac:dyDescent="0.3">
      <c r="I377" t="str" cm="1">
        <f t="array" ref="I377">IF(SUMPRODUCT(--(LEN(CMS_Identification!F399:F898)&gt;0))&gt;0,IF(CMS_Identification!F399="","",CMS_Identification!F399),"Add CMS to the CMS_Identification tab")</f>
        <v>Add CMS to the CMS_Identification tab</v>
      </c>
      <c r="J377" t="str">
        <f>IF(CMS_Identification!B399="","",CMS_Identification!B399)</f>
        <v/>
      </c>
      <c r="K377" t="str">
        <f>IF(COUNTIF(I$2:I377,I377)=1,I377,"")</f>
        <v/>
      </c>
      <c r="L377" t="str">
        <f>+IF(K377="","",MAX(L$1:L376)+1)</f>
        <v/>
      </c>
      <c r="M377" t="str">
        <f t="shared" si="6"/>
        <v/>
      </c>
      <c r="R377" t="str">
        <f>IF(CMS_Identification!B399="","",CMS_Identification!B399)</f>
        <v/>
      </c>
      <c r="S377" t="str">
        <f>IF(CMS_Identification!F399="","",CMS_Identification!F399)</f>
        <v/>
      </c>
      <c r="T377" s="106" t="str">
        <f>IF(CMS_Identification!D399="","",CMS_Identification!D399)</f>
        <v/>
      </c>
    </row>
    <row r="378" spans="9:20" x14ac:dyDescent="0.3">
      <c r="I378" t="str" cm="1">
        <f t="array" ref="I378">IF(SUMPRODUCT(--(LEN(CMS_Identification!F400:F899)&gt;0))&gt;0,IF(CMS_Identification!F400="","",CMS_Identification!F400),"Add CMS to the CMS_Identification tab")</f>
        <v>Add CMS to the CMS_Identification tab</v>
      </c>
      <c r="J378" t="str">
        <f>IF(CMS_Identification!B400="","",CMS_Identification!B400)</f>
        <v/>
      </c>
      <c r="K378" t="str">
        <f>IF(COUNTIF(I$2:I378,I378)=1,I378,"")</f>
        <v/>
      </c>
      <c r="L378" t="str">
        <f>+IF(K378="","",MAX(L$1:L377)+1)</f>
        <v/>
      </c>
      <c r="M378" t="str">
        <f t="shared" si="6"/>
        <v/>
      </c>
      <c r="R378" t="str">
        <f>IF(CMS_Identification!B400="","",CMS_Identification!B400)</f>
        <v/>
      </c>
      <c r="S378" t="str">
        <f>IF(CMS_Identification!F400="","",CMS_Identification!F400)</f>
        <v/>
      </c>
      <c r="T378" s="106" t="str">
        <f>IF(CMS_Identification!D400="","",CMS_Identification!D400)</f>
        <v/>
      </c>
    </row>
    <row r="379" spans="9:20" x14ac:dyDescent="0.3">
      <c r="I379" t="str" cm="1">
        <f t="array" ref="I379">IF(SUMPRODUCT(--(LEN(CMS_Identification!F401:F900)&gt;0))&gt;0,IF(CMS_Identification!F401="","",CMS_Identification!F401),"Add CMS to the CMS_Identification tab")</f>
        <v>Add CMS to the CMS_Identification tab</v>
      </c>
      <c r="J379" t="str">
        <f>IF(CMS_Identification!B401="","",CMS_Identification!B401)</f>
        <v/>
      </c>
      <c r="K379" t="str">
        <f>IF(COUNTIF(I$2:I379,I379)=1,I379,"")</f>
        <v/>
      </c>
      <c r="L379" t="str">
        <f>+IF(K379="","",MAX(L$1:L378)+1)</f>
        <v/>
      </c>
      <c r="M379" t="str">
        <f t="shared" si="6"/>
        <v/>
      </c>
      <c r="R379" t="str">
        <f>IF(CMS_Identification!B401="","",CMS_Identification!B401)</f>
        <v/>
      </c>
      <c r="S379" t="str">
        <f>IF(CMS_Identification!F401="","",CMS_Identification!F401)</f>
        <v/>
      </c>
      <c r="T379" s="106" t="str">
        <f>IF(CMS_Identification!D401="","",CMS_Identification!D401)</f>
        <v/>
      </c>
    </row>
    <row r="380" spans="9:20" x14ac:dyDescent="0.3">
      <c r="I380" t="str" cm="1">
        <f t="array" ref="I380">IF(SUMPRODUCT(--(LEN(CMS_Identification!F402:F901)&gt;0))&gt;0,IF(CMS_Identification!F402="","",CMS_Identification!F402),"Add CMS to the CMS_Identification tab")</f>
        <v>Add CMS to the CMS_Identification tab</v>
      </c>
      <c r="J380" t="str">
        <f>IF(CMS_Identification!B402="","",CMS_Identification!B402)</f>
        <v/>
      </c>
      <c r="K380" t="str">
        <f>IF(COUNTIF(I$2:I380,I380)=1,I380,"")</f>
        <v/>
      </c>
      <c r="L380" t="str">
        <f>+IF(K380="","",MAX(L$1:L379)+1)</f>
        <v/>
      </c>
      <c r="M380" t="str">
        <f t="shared" si="6"/>
        <v/>
      </c>
      <c r="R380" t="str">
        <f>IF(CMS_Identification!B402="","",CMS_Identification!B402)</f>
        <v/>
      </c>
      <c r="S380" t="str">
        <f>IF(CMS_Identification!F402="","",CMS_Identification!F402)</f>
        <v/>
      </c>
      <c r="T380" s="106" t="str">
        <f>IF(CMS_Identification!D402="","",CMS_Identification!D402)</f>
        <v/>
      </c>
    </row>
    <row r="381" spans="9:20" x14ac:dyDescent="0.3">
      <c r="I381" t="str" cm="1">
        <f t="array" ref="I381">IF(SUMPRODUCT(--(LEN(CMS_Identification!F403:F902)&gt;0))&gt;0,IF(CMS_Identification!F403="","",CMS_Identification!F403),"Add CMS to the CMS_Identification tab")</f>
        <v>Add CMS to the CMS_Identification tab</v>
      </c>
      <c r="J381" t="str">
        <f>IF(CMS_Identification!B403="","",CMS_Identification!B403)</f>
        <v/>
      </c>
      <c r="K381" t="str">
        <f>IF(COUNTIF(I$2:I381,I381)=1,I381,"")</f>
        <v/>
      </c>
      <c r="L381" t="str">
        <f>+IF(K381="","",MAX(L$1:L380)+1)</f>
        <v/>
      </c>
      <c r="M381" t="str">
        <f t="shared" si="6"/>
        <v/>
      </c>
      <c r="R381" t="str">
        <f>IF(CMS_Identification!B403="","",CMS_Identification!B403)</f>
        <v/>
      </c>
      <c r="S381" t="str">
        <f>IF(CMS_Identification!F403="","",CMS_Identification!F403)</f>
        <v/>
      </c>
      <c r="T381" s="106" t="str">
        <f>IF(CMS_Identification!D403="","",CMS_Identification!D403)</f>
        <v/>
      </c>
    </row>
    <row r="382" spans="9:20" x14ac:dyDescent="0.3">
      <c r="I382" t="str" cm="1">
        <f t="array" ref="I382">IF(SUMPRODUCT(--(LEN(CMS_Identification!F404:F903)&gt;0))&gt;0,IF(CMS_Identification!F404="","",CMS_Identification!F404),"Add CMS to the CMS_Identification tab")</f>
        <v>Add CMS to the CMS_Identification tab</v>
      </c>
      <c r="J382" t="str">
        <f>IF(CMS_Identification!B404="","",CMS_Identification!B404)</f>
        <v/>
      </c>
      <c r="K382" t="str">
        <f>IF(COUNTIF(I$2:I382,I382)=1,I382,"")</f>
        <v/>
      </c>
      <c r="L382" t="str">
        <f>+IF(K382="","",MAX(L$1:L381)+1)</f>
        <v/>
      </c>
      <c r="M382" t="str">
        <f t="shared" si="6"/>
        <v/>
      </c>
      <c r="R382" t="str">
        <f>IF(CMS_Identification!B404="","",CMS_Identification!B404)</f>
        <v/>
      </c>
      <c r="S382" t="str">
        <f>IF(CMS_Identification!F404="","",CMS_Identification!F404)</f>
        <v/>
      </c>
      <c r="T382" s="106" t="str">
        <f>IF(CMS_Identification!D404="","",CMS_Identification!D404)</f>
        <v/>
      </c>
    </row>
    <row r="383" spans="9:20" x14ac:dyDescent="0.3">
      <c r="I383" t="str" cm="1">
        <f t="array" ref="I383">IF(SUMPRODUCT(--(LEN(CMS_Identification!F405:F904)&gt;0))&gt;0,IF(CMS_Identification!F405="","",CMS_Identification!F405),"Add CMS to the CMS_Identification tab")</f>
        <v>Add CMS to the CMS_Identification tab</v>
      </c>
      <c r="J383" t="str">
        <f>IF(CMS_Identification!B405="","",CMS_Identification!B405)</f>
        <v/>
      </c>
      <c r="K383" t="str">
        <f>IF(COUNTIF(I$2:I383,I383)=1,I383,"")</f>
        <v/>
      </c>
      <c r="L383" t="str">
        <f>+IF(K383="","",MAX(L$1:L382)+1)</f>
        <v/>
      </c>
      <c r="M383" t="str">
        <f t="shared" si="6"/>
        <v/>
      </c>
      <c r="R383" t="str">
        <f>IF(CMS_Identification!B405="","",CMS_Identification!B405)</f>
        <v/>
      </c>
      <c r="S383" t="str">
        <f>IF(CMS_Identification!F405="","",CMS_Identification!F405)</f>
        <v/>
      </c>
      <c r="T383" s="106" t="str">
        <f>IF(CMS_Identification!D405="","",CMS_Identification!D405)</f>
        <v/>
      </c>
    </row>
    <row r="384" spans="9:20" x14ac:dyDescent="0.3">
      <c r="I384" t="str" cm="1">
        <f t="array" ref="I384">IF(SUMPRODUCT(--(LEN(CMS_Identification!F406:F905)&gt;0))&gt;0,IF(CMS_Identification!F406="","",CMS_Identification!F406),"Add CMS to the CMS_Identification tab")</f>
        <v>Add CMS to the CMS_Identification tab</v>
      </c>
      <c r="J384" t="str">
        <f>IF(CMS_Identification!B406="","",CMS_Identification!B406)</f>
        <v/>
      </c>
      <c r="K384" t="str">
        <f>IF(COUNTIF(I$2:I384,I384)=1,I384,"")</f>
        <v/>
      </c>
      <c r="L384" t="str">
        <f>+IF(K384="","",MAX(L$1:L383)+1)</f>
        <v/>
      </c>
      <c r="M384" t="str">
        <f t="shared" si="6"/>
        <v/>
      </c>
      <c r="R384" t="str">
        <f>IF(CMS_Identification!B406="","",CMS_Identification!B406)</f>
        <v/>
      </c>
      <c r="S384" t="str">
        <f>IF(CMS_Identification!F406="","",CMS_Identification!F406)</f>
        <v/>
      </c>
      <c r="T384" s="106" t="str">
        <f>IF(CMS_Identification!D406="","",CMS_Identification!D406)</f>
        <v/>
      </c>
    </row>
    <row r="385" spans="9:20" x14ac:dyDescent="0.3">
      <c r="I385" t="str" cm="1">
        <f t="array" ref="I385">IF(SUMPRODUCT(--(LEN(CMS_Identification!F407:F906)&gt;0))&gt;0,IF(CMS_Identification!F407="","",CMS_Identification!F407),"Add CMS to the CMS_Identification tab")</f>
        <v>Add CMS to the CMS_Identification tab</v>
      </c>
      <c r="J385" t="str">
        <f>IF(CMS_Identification!B407="","",CMS_Identification!B407)</f>
        <v/>
      </c>
      <c r="K385" t="str">
        <f>IF(COUNTIF(I$2:I385,I385)=1,I385,"")</f>
        <v/>
      </c>
      <c r="L385" t="str">
        <f>+IF(K385="","",MAX(L$1:L384)+1)</f>
        <v/>
      </c>
      <c r="M385" t="str">
        <f t="shared" si="6"/>
        <v/>
      </c>
      <c r="R385" t="str">
        <f>IF(CMS_Identification!B407="","",CMS_Identification!B407)</f>
        <v/>
      </c>
      <c r="S385" t="str">
        <f>IF(CMS_Identification!F407="","",CMS_Identification!F407)</f>
        <v/>
      </c>
      <c r="T385" s="106" t="str">
        <f>IF(CMS_Identification!D407="","",CMS_Identification!D407)</f>
        <v/>
      </c>
    </row>
    <row r="386" spans="9:20" x14ac:dyDescent="0.3">
      <c r="I386" t="str" cm="1">
        <f t="array" ref="I386">IF(SUMPRODUCT(--(LEN(CMS_Identification!F408:F907)&gt;0))&gt;0,IF(CMS_Identification!F408="","",CMS_Identification!F408),"Add CMS to the CMS_Identification tab")</f>
        <v>Add CMS to the CMS_Identification tab</v>
      </c>
      <c r="J386" t="str">
        <f>IF(CMS_Identification!B408="","",CMS_Identification!B408)</f>
        <v/>
      </c>
      <c r="K386" t="str">
        <f>IF(COUNTIF(I$2:I386,I386)=1,I386,"")</f>
        <v/>
      </c>
      <c r="L386" t="str">
        <f>+IF(K386="","",MAX(L$1:L385)+1)</f>
        <v/>
      </c>
      <c r="M386" t="str">
        <f t="shared" ref="M386:M449" si="7">+IFERROR(INDEX($I$2:$I$501,MATCH(ROW()-ROW($L$1),$L$2:$L$501,0)),"")</f>
        <v/>
      </c>
      <c r="R386" t="str">
        <f>IF(CMS_Identification!B408="","",CMS_Identification!B408)</f>
        <v/>
      </c>
      <c r="S386" t="str">
        <f>IF(CMS_Identification!F408="","",CMS_Identification!F408)</f>
        <v/>
      </c>
      <c r="T386" s="106" t="str">
        <f>IF(CMS_Identification!D408="","",CMS_Identification!D408)</f>
        <v/>
      </c>
    </row>
    <row r="387" spans="9:20" x14ac:dyDescent="0.3">
      <c r="I387" t="str" cm="1">
        <f t="array" ref="I387">IF(SUMPRODUCT(--(LEN(CMS_Identification!F409:F908)&gt;0))&gt;0,IF(CMS_Identification!F409="","",CMS_Identification!F409),"Add CMS to the CMS_Identification tab")</f>
        <v>Add CMS to the CMS_Identification tab</v>
      </c>
      <c r="J387" t="str">
        <f>IF(CMS_Identification!B409="","",CMS_Identification!B409)</f>
        <v/>
      </c>
      <c r="K387" t="str">
        <f>IF(COUNTIF(I$2:I387,I387)=1,I387,"")</f>
        <v/>
      </c>
      <c r="L387" t="str">
        <f>+IF(K387="","",MAX(L$1:L386)+1)</f>
        <v/>
      </c>
      <c r="M387" t="str">
        <f t="shared" si="7"/>
        <v/>
      </c>
      <c r="R387" t="str">
        <f>IF(CMS_Identification!B409="","",CMS_Identification!B409)</f>
        <v/>
      </c>
      <c r="S387" t="str">
        <f>IF(CMS_Identification!F409="","",CMS_Identification!F409)</f>
        <v/>
      </c>
      <c r="T387" s="106" t="str">
        <f>IF(CMS_Identification!D409="","",CMS_Identification!D409)</f>
        <v/>
      </c>
    </row>
    <row r="388" spans="9:20" x14ac:dyDescent="0.3">
      <c r="I388" t="str" cm="1">
        <f t="array" ref="I388">IF(SUMPRODUCT(--(LEN(CMS_Identification!F410:F909)&gt;0))&gt;0,IF(CMS_Identification!F410="","",CMS_Identification!F410),"Add CMS to the CMS_Identification tab")</f>
        <v>Add CMS to the CMS_Identification tab</v>
      </c>
      <c r="J388" t="str">
        <f>IF(CMS_Identification!B410="","",CMS_Identification!B410)</f>
        <v/>
      </c>
      <c r="K388" t="str">
        <f>IF(COUNTIF(I$2:I388,I388)=1,I388,"")</f>
        <v/>
      </c>
      <c r="L388" t="str">
        <f>+IF(K388="","",MAX(L$1:L387)+1)</f>
        <v/>
      </c>
      <c r="M388" t="str">
        <f t="shared" si="7"/>
        <v/>
      </c>
      <c r="R388" t="str">
        <f>IF(CMS_Identification!B410="","",CMS_Identification!B410)</f>
        <v/>
      </c>
      <c r="S388" t="str">
        <f>IF(CMS_Identification!F410="","",CMS_Identification!F410)</f>
        <v/>
      </c>
      <c r="T388" s="106" t="str">
        <f>IF(CMS_Identification!D410="","",CMS_Identification!D410)</f>
        <v/>
      </c>
    </row>
    <row r="389" spans="9:20" x14ac:dyDescent="0.3">
      <c r="I389" t="str" cm="1">
        <f t="array" ref="I389">IF(SUMPRODUCT(--(LEN(CMS_Identification!F411:F910)&gt;0))&gt;0,IF(CMS_Identification!F411="","",CMS_Identification!F411),"Add CMS to the CMS_Identification tab")</f>
        <v>Add CMS to the CMS_Identification tab</v>
      </c>
      <c r="J389" t="str">
        <f>IF(CMS_Identification!B411="","",CMS_Identification!B411)</f>
        <v/>
      </c>
      <c r="K389" t="str">
        <f>IF(COUNTIF(I$2:I389,I389)=1,I389,"")</f>
        <v/>
      </c>
      <c r="L389" t="str">
        <f>+IF(K389="","",MAX(L$1:L388)+1)</f>
        <v/>
      </c>
      <c r="M389" t="str">
        <f t="shared" si="7"/>
        <v/>
      </c>
      <c r="R389" t="str">
        <f>IF(CMS_Identification!B411="","",CMS_Identification!B411)</f>
        <v/>
      </c>
      <c r="S389" t="str">
        <f>IF(CMS_Identification!F411="","",CMS_Identification!F411)</f>
        <v/>
      </c>
      <c r="T389" s="106" t="str">
        <f>IF(CMS_Identification!D411="","",CMS_Identification!D411)</f>
        <v/>
      </c>
    </row>
    <row r="390" spans="9:20" x14ac:dyDescent="0.3">
      <c r="I390" t="str" cm="1">
        <f t="array" ref="I390">IF(SUMPRODUCT(--(LEN(CMS_Identification!F412:F911)&gt;0))&gt;0,IF(CMS_Identification!F412="","",CMS_Identification!F412),"Add CMS to the CMS_Identification tab")</f>
        <v>Add CMS to the CMS_Identification tab</v>
      </c>
      <c r="J390" t="str">
        <f>IF(CMS_Identification!B412="","",CMS_Identification!B412)</f>
        <v/>
      </c>
      <c r="K390" t="str">
        <f>IF(COUNTIF(I$2:I390,I390)=1,I390,"")</f>
        <v/>
      </c>
      <c r="L390" t="str">
        <f>+IF(K390="","",MAX(L$1:L389)+1)</f>
        <v/>
      </c>
      <c r="M390" t="str">
        <f t="shared" si="7"/>
        <v/>
      </c>
      <c r="R390" t="str">
        <f>IF(CMS_Identification!B412="","",CMS_Identification!B412)</f>
        <v/>
      </c>
      <c r="S390" t="str">
        <f>IF(CMS_Identification!F412="","",CMS_Identification!F412)</f>
        <v/>
      </c>
      <c r="T390" s="106" t="str">
        <f>IF(CMS_Identification!D412="","",CMS_Identification!D412)</f>
        <v/>
      </c>
    </row>
    <row r="391" spans="9:20" x14ac:dyDescent="0.3">
      <c r="I391" t="str" cm="1">
        <f t="array" ref="I391">IF(SUMPRODUCT(--(LEN(CMS_Identification!F413:F912)&gt;0))&gt;0,IF(CMS_Identification!F413="","",CMS_Identification!F413),"Add CMS to the CMS_Identification tab")</f>
        <v>Add CMS to the CMS_Identification tab</v>
      </c>
      <c r="J391" t="str">
        <f>IF(CMS_Identification!B413="","",CMS_Identification!B413)</f>
        <v/>
      </c>
      <c r="K391" t="str">
        <f>IF(COUNTIF(I$2:I391,I391)=1,I391,"")</f>
        <v/>
      </c>
      <c r="L391" t="str">
        <f>+IF(K391="","",MAX(L$1:L390)+1)</f>
        <v/>
      </c>
      <c r="M391" t="str">
        <f t="shared" si="7"/>
        <v/>
      </c>
      <c r="R391" t="str">
        <f>IF(CMS_Identification!B413="","",CMS_Identification!B413)</f>
        <v/>
      </c>
      <c r="S391" t="str">
        <f>IF(CMS_Identification!F413="","",CMS_Identification!F413)</f>
        <v/>
      </c>
      <c r="T391" s="106" t="str">
        <f>IF(CMS_Identification!D413="","",CMS_Identification!D413)</f>
        <v/>
      </c>
    </row>
    <row r="392" spans="9:20" x14ac:dyDescent="0.3">
      <c r="I392" t="str" cm="1">
        <f t="array" ref="I392">IF(SUMPRODUCT(--(LEN(CMS_Identification!F414:F913)&gt;0))&gt;0,IF(CMS_Identification!F414="","",CMS_Identification!F414),"Add CMS to the CMS_Identification tab")</f>
        <v>Add CMS to the CMS_Identification tab</v>
      </c>
      <c r="J392" t="str">
        <f>IF(CMS_Identification!B414="","",CMS_Identification!B414)</f>
        <v/>
      </c>
      <c r="K392" t="str">
        <f>IF(COUNTIF(I$2:I392,I392)=1,I392,"")</f>
        <v/>
      </c>
      <c r="L392" t="str">
        <f>+IF(K392="","",MAX(L$1:L391)+1)</f>
        <v/>
      </c>
      <c r="M392" t="str">
        <f t="shared" si="7"/>
        <v/>
      </c>
      <c r="R392" t="str">
        <f>IF(CMS_Identification!B414="","",CMS_Identification!B414)</f>
        <v/>
      </c>
      <c r="S392" t="str">
        <f>IF(CMS_Identification!F414="","",CMS_Identification!F414)</f>
        <v/>
      </c>
      <c r="T392" s="106" t="str">
        <f>IF(CMS_Identification!D414="","",CMS_Identification!D414)</f>
        <v/>
      </c>
    </row>
    <row r="393" spans="9:20" x14ac:dyDescent="0.3">
      <c r="I393" t="str" cm="1">
        <f t="array" ref="I393">IF(SUMPRODUCT(--(LEN(CMS_Identification!F415:F914)&gt;0))&gt;0,IF(CMS_Identification!F415="","",CMS_Identification!F415),"Add CMS to the CMS_Identification tab")</f>
        <v>Add CMS to the CMS_Identification tab</v>
      </c>
      <c r="J393" t="str">
        <f>IF(CMS_Identification!B415="","",CMS_Identification!B415)</f>
        <v/>
      </c>
      <c r="K393" t="str">
        <f>IF(COUNTIF(I$2:I393,I393)=1,I393,"")</f>
        <v/>
      </c>
      <c r="L393" t="str">
        <f>+IF(K393="","",MAX(L$1:L392)+1)</f>
        <v/>
      </c>
      <c r="M393" t="str">
        <f t="shared" si="7"/>
        <v/>
      </c>
      <c r="R393" t="str">
        <f>IF(CMS_Identification!B415="","",CMS_Identification!B415)</f>
        <v/>
      </c>
      <c r="S393" t="str">
        <f>IF(CMS_Identification!F415="","",CMS_Identification!F415)</f>
        <v/>
      </c>
      <c r="T393" s="106" t="str">
        <f>IF(CMS_Identification!D415="","",CMS_Identification!D415)</f>
        <v/>
      </c>
    </row>
    <row r="394" spans="9:20" x14ac:dyDescent="0.3">
      <c r="I394" t="str" cm="1">
        <f t="array" ref="I394">IF(SUMPRODUCT(--(LEN(CMS_Identification!F416:F915)&gt;0))&gt;0,IF(CMS_Identification!F416="","",CMS_Identification!F416),"Add CMS to the CMS_Identification tab")</f>
        <v>Add CMS to the CMS_Identification tab</v>
      </c>
      <c r="J394" t="str">
        <f>IF(CMS_Identification!B416="","",CMS_Identification!B416)</f>
        <v/>
      </c>
      <c r="K394" t="str">
        <f>IF(COUNTIF(I$2:I394,I394)=1,I394,"")</f>
        <v/>
      </c>
      <c r="L394" t="str">
        <f>+IF(K394="","",MAX(L$1:L393)+1)</f>
        <v/>
      </c>
      <c r="M394" t="str">
        <f t="shared" si="7"/>
        <v/>
      </c>
      <c r="R394" t="str">
        <f>IF(CMS_Identification!B416="","",CMS_Identification!B416)</f>
        <v/>
      </c>
      <c r="S394" t="str">
        <f>IF(CMS_Identification!F416="","",CMS_Identification!F416)</f>
        <v/>
      </c>
      <c r="T394" s="106" t="str">
        <f>IF(CMS_Identification!D416="","",CMS_Identification!D416)</f>
        <v/>
      </c>
    </row>
    <row r="395" spans="9:20" x14ac:dyDescent="0.3">
      <c r="I395" t="str" cm="1">
        <f t="array" ref="I395">IF(SUMPRODUCT(--(LEN(CMS_Identification!F417:F916)&gt;0))&gt;0,IF(CMS_Identification!F417="","",CMS_Identification!F417),"Add CMS to the CMS_Identification tab")</f>
        <v>Add CMS to the CMS_Identification tab</v>
      </c>
      <c r="J395" t="str">
        <f>IF(CMS_Identification!B417="","",CMS_Identification!B417)</f>
        <v/>
      </c>
      <c r="K395" t="str">
        <f>IF(COUNTIF(I$2:I395,I395)=1,I395,"")</f>
        <v/>
      </c>
      <c r="L395" t="str">
        <f>+IF(K395="","",MAX(L$1:L394)+1)</f>
        <v/>
      </c>
      <c r="M395" t="str">
        <f t="shared" si="7"/>
        <v/>
      </c>
      <c r="R395" t="str">
        <f>IF(CMS_Identification!B417="","",CMS_Identification!B417)</f>
        <v/>
      </c>
      <c r="S395" t="str">
        <f>IF(CMS_Identification!F417="","",CMS_Identification!F417)</f>
        <v/>
      </c>
      <c r="T395" s="106" t="str">
        <f>IF(CMS_Identification!D417="","",CMS_Identification!D417)</f>
        <v/>
      </c>
    </row>
    <row r="396" spans="9:20" x14ac:dyDescent="0.3">
      <c r="I396" t="str" cm="1">
        <f t="array" ref="I396">IF(SUMPRODUCT(--(LEN(CMS_Identification!F418:F917)&gt;0))&gt;0,IF(CMS_Identification!F418="","",CMS_Identification!F418),"Add CMS to the CMS_Identification tab")</f>
        <v>Add CMS to the CMS_Identification tab</v>
      </c>
      <c r="J396" t="str">
        <f>IF(CMS_Identification!B418="","",CMS_Identification!B418)</f>
        <v/>
      </c>
      <c r="K396" t="str">
        <f>IF(COUNTIF(I$2:I396,I396)=1,I396,"")</f>
        <v/>
      </c>
      <c r="L396" t="str">
        <f>+IF(K396="","",MAX(L$1:L395)+1)</f>
        <v/>
      </c>
      <c r="M396" t="str">
        <f t="shared" si="7"/>
        <v/>
      </c>
      <c r="R396" t="str">
        <f>IF(CMS_Identification!B418="","",CMS_Identification!B418)</f>
        <v/>
      </c>
      <c r="S396" t="str">
        <f>IF(CMS_Identification!F418="","",CMS_Identification!F418)</f>
        <v/>
      </c>
      <c r="T396" s="106" t="str">
        <f>IF(CMS_Identification!D418="","",CMS_Identification!D418)</f>
        <v/>
      </c>
    </row>
    <row r="397" spans="9:20" x14ac:dyDescent="0.3">
      <c r="I397" t="str" cm="1">
        <f t="array" ref="I397">IF(SUMPRODUCT(--(LEN(CMS_Identification!F419:F918)&gt;0))&gt;0,IF(CMS_Identification!F419="","",CMS_Identification!F419),"Add CMS to the CMS_Identification tab")</f>
        <v>Add CMS to the CMS_Identification tab</v>
      </c>
      <c r="J397" t="str">
        <f>IF(CMS_Identification!B419="","",CMS_Identification!B419)</f>
        <v/>
      </c>
      <c r="K397" t="str">
        <f>IF(COUNTIF(I$2:I397,I397)=1,I397,"")</f>
        <v/>
      </c>
      <c r="L397" t="str">
        <f>+IF(K397="","",MAX(L$1:L396)+1)</f>
        <v/>
      </c>
      <c r="M397" t="str">
        <f t="shared" si="7"/>
        <v/>
      </c>
      <c r="R397" t="str">
        <f>IF(CMS_Identification!B419="","",CMS_Identification!B419)</f>
        <v/>
      </c>
      <c r="S397" t="str">
        <f>IF(CMS_Identification!F419="","",CMS_Identification!F419)</f>
        <v/>
      </c>
      <c r="T397" s="106" t="str">
        <f>IF(CMS_Identification!D419="","",CMS_Identification!D419)</f>
        <v/>
      </c>
    </row>
    <row r="398" spans="9:20" x14ac:dyDescent="0.3">
      <c r="I398" t="str" cm="1">
        <f t="array" ref="I398">IF(SUMPRODUCT(--(LEN(CMS_Identification!F420:F919)&gt;0))&gt;0,IF(CMS_Identification!F420="","",CMS_Identification!F420),"Add CMS to the CMS_Identification tab")</f>
        <v>Add CMS to the CMS_Identification tab</v>
      </c>
      <c r="J398" t="str">
        <f>IF(CMS_Identification!B420="","",CMS_Identification!B420)</f>
        <v/>
      </c>
      <c r="K398" t="str">
        <f>IF(COUNTIF(I$2:I398,I398)=1,I398,"")</f>
        <v/>
      </c>
      <c r="L398" t="str">
        <f>+IF(K398="","",MAX(L$1:L397)+1)</f>
        <v/>
      </c>
      <c r="M398" t="str">
        <f t="shared" si="7"/>
        <v/>
      </c>
      <c r="R398" t="str">
        <f>IF(CMS_Identification!B420="","",CMS_Identification!B420)</f>
        <v/>
      </c>
      <c r="S398" t="str">
        <f>IF(CMS_Identification!F420="","",CMS_Identification!F420)</f>
        <v/>
      </c>
      <c r="T398" s="106" t="str">
        <f>IF(CMS_Identification!D420="","",CMS_Identification!D420)</f>
        <v/>
      </c>
    </row>
    <row r="399" spans="9:20" x14ac:dyDescent="0.3">
      <c r="I399" t="str" cm="1">
        <f t="array" ref="I399">IF(SUMPRODUCT(--(LEN(CMS_Identification!F421:F920)&gt;0))&gt;0,IF(CMS_Identification!F421="","",CMS_Identification!F421),"Add CMS to the CMS_Identification tab")</f>
        <v>Add CMS to the CMS_Identification tab</v>
      </c>
      <c r="J399" t="str">
        <f>IF(CMS_Identification!B421="","",CMS_Identification!B421)</f>
        <v/>
      </c>
      <c r="K399" t="str">
        <f>IF(COUNTIF(I$2:I399,I399)=1,I399,"")</f>
        <v/>
      </c>
      <c r="L399" t="str">
        <f>+IF(K399="","",MAX(L$1:L398)+1)</f>
        <v/>
      </c>
      <c r="M399" t="str">
        <f t="shared" si="7"/>
        <v/>
      </c>
      <c r="R399" t="str">
        <f>IF(CMS_Identification!B421="","",CMS_Identification!B421)</f>
        <v/>
      </c>
      <c r="S399" t="str">
        <f>IF(CMS_Identification!F421="","",CMS_Identification!F421)</f>
        <v/>
      </c>
      <c r="T399" s="106" t="str">
        <f>IF(CMS_Identification!D421="","",CMS_Identification!D421)</f>
        <v/>
      </c>
    </row>
    <row r="400" spans="9:20" x14ac:dyDescent="0.3">
      <c r="I400" t="str" cm="1">
        <f t="array" ref="I400">IF(SUMPRODUCT(--(LEN(CMS_Identification!F422:F921)&gt;0))&gt;0,IF(CMS_Identification!F422="","",CMS_Identification!F422),"Add CMS to the CMS_Identification tab")</f>
        <v>Add CMS to the CMS_Identification tab</v>
      </c>
      <c r="J400" t="str">
        <f>IF(CMS_Identification!B422="","",CMS_Identification!B422)</f>
        <v/>
      </c>
      <c r="K400" t="str">
        <f>IF(COUNTIF(I$2:I400,I400)=1,I400,"")</f>
        <v/>
      </c>
      <c r="L400" t="str">
        <f>+IF(K400="","",MAX(L$1:L399)+1)</f>
        <v/>
      </c>
      <c r="M400" t="str">
        <f t="shared" si="7"/>
        <v/>
      </c>
      <c r="R400" t="str">
        <f>IF(CMS_Identification!B422="","",CMS_Identification!B422)</f>
        <v/>
      </c>
      <c r="S400" t="str">
        <f>IF(CMS_Identification!F422="","",CMS_Identification!F422)</f>
        <v/>
      </c>
      <c r="T400" s="106" t="str">
        <f>IF(CMS_Identification!D422="","",CMS_Identification!D422)</f>
        <v/>
      </c>
    </row>
    <row r="401" spans="9:20" x14ac:dyDescent="0.3">
      <c r="I401" t="str" cm="1">
        <f t="array" ref="I401">IF(SUMPRODUCT(--(LEN(CMS_Identification!F423:F922)&gt;0))&gt;0,IF(CMS_Identification!F423="","",CMS_Identification!F423),"Add CMS to the CMS_Identification tab")</f>
        <v>Add CMS to the CMS_Identification tab</v>
      </c>
      <c r="J401" t="str">
        <f>IF(CMS_Identification!B423="","",CMS_Identification!B423)</f>
        <v/>
      </c>
      <c r="K401" t="str">
        <f>IF(COUNTIF(I$2:I401,I401)=1,I401,"")</f>
        <v/>
      </c>
      <c r="L401" t="str">
        <f>+IF(K401="","",MAX(L$1:L400)+1)</f>
        <v/>
      </c>
      <c r="M401" t="str">
        <f t="shared" si="7"/>
        <v/>
      </c>
      <c r="R401" t="str">
        <f>IF(CMS_Identification!B423="","",CMS_Identification!B423)</f>
        <v/>
      </c>
      <c r="S401" t="str">
        <f>IF(CMS_Identification!F423="","",CMS_Identification!F423)</f>
        <v/>
      </c>
      <c r="T401" s="106" t="str">
        <f>IF(CMS_Identification!D423="","",CMS_Identification!D423)</f>
        <v/>
      </c>
    </row>
    <row r="402" spans="9:20" x14ac:dyDescent="0.3">
      <c r="I402" t="str" cm="1">
        <f t="array" ref="I402">IF(SUMPRODUCT(--(LEN(CMS_Identification!F424:F923)&gt;0))&gt;0,IF(CMS_Identification!F424="","",CMS_Identification!F424),"Add CMS to the CMS_Identification tab")</f>
        <v>Add CMS to the CMS_Identification tab</v>
      </c>
      <c r="J402" t="str">
        <f>IF(CMS_Identification!B424="","",CMS_Identification!B424)</f>
        <v/>
      </c>
      <c r="K402" t="str">
        <f>IF(COUNTIF(I$2:I402,I402)=1,I402,"")</f>
        <v/>
      </c>
      <c r="L402" t="str">
        <f>+IF(K402="","",MAX(L$1:L401)+1)</f>
        <v/>
      </c>
      <c r="M402" t="str">
        <f t="shared" si="7"/>
        <v/>
      </c>
      <c r="R402" t="str">
        <f>IF(CMS_Identification!B424="","",CMS_Identification!B424)</f>
        <v/>
      </c>
      <c r="S402" t="str">
        <f>IF(CMS_Identification!F424="","",CMS_Identification!F424)</f>
        <v/>
      </c>
      <c r="T402" s="106" t="str">
        <f>IF(CMS_Identification!D424="","",CMS_Identification!D424)</f>
        <v/>
      </c>
    </row>
    <row r="403" spans="9:20" x14ac:dyDescent="0.3">
      <c r="I403" t="str" cm="1">
        <f t="array" ref="I403">IF(SUMPRODUCT(--(LEN(CMS_Identification!F425:F924)&gt;0))&gt;0,IF(CMS_Identification!F425="","",CMS_Identification!F425),"Add CMS to the CMS_Identification tab")</f>
        <v>Add CMS to the CMS_Identification tab</v>
      </c>
      <c r="J403" t="str">
        <f>IF(CMS_Identification!B425="","",CMS_Identification!B425)</f>
        <v/>
      </c>
      <c r="K403" t="str">
        <f>IF(COUNTIF(I$2:I403,I403)=1,I403,"")</f>
        <v/>
      </c>
      <c r="L403" t="str">
        <f>+IF(K403="","",MAX(L$1:L402)+1)</f>
        <v/>
      </c>
      <c r="M403" t="str">
        <f t="shared" si="7"/>
        <v/>
      </c>
      <c r="R403" t="str">
        <f>IF(CMS_Identification!B425="","",CMS_Identification!B425)</f>
        <v/>
      </c>
      <c r="S403" t="str">
        <f>IF(CMS_Identification!F425="","",CMS_Identification!F425)</f>
        <v/>
      </c>
      <c r="T403" s="106" t="str">
        <f>IF(CMS_Identification!D425="","",CMS_Identification!D425)</f>
        <v/>
      </c>
    </row>
    <row r="404" spans="9:20" x14ac:dyDescent="0.3">
      <c r="I404" t="str" cm="1">
        <f t="array" ref="I404">IF(SUMPRODUCT(--(LEN(CMS_Identification!F426:F925)&gt;0))&gt;0,IF(CMS_Identification!F426="","",CMS_Identification!F426),"Add CMS to the CMS_Identification tab")</f>
        <v>Add CMS to the CMS_Identification tab</v>
      </c>
      <c r="J404" t="str">
        <f>IF(CMS_Identification!B426="","",CMS_Identification!B426)</f>
        <v/>
      </c>
      <c r="K404" t="str">
        <f>IF(COUNTIF(I$2:I404,I404)=1,I404,"")</f>
        <v/>
      </c>
      <c r="L404" t="str">
        <f>+IF(K404="","",MAX(L$1:L403)+1)</f>
        <v/>
      </c>
      <c r="M404" t="str">
        <f t="shared" si="7"/>
        <v/>
      </c>
      <c r="R404" t="str">
        <f>IF(CMS_Identification!B426="","",CMS_Identification!B426)</f>
        <v/>
      </c>
      <c r="S404" t="str">
        <f>IF(CMS_Identification!F426="","",CMS_Identification!F426)</f>
        <v/>
      </c>
      <c r="T404" s="106" t="str">
        <f>IF(CMS_Identification!D426="","",CMS_Identification!D426)</f>
        <v/>
      </c>
    </row>
    <row r="405" spans="9:20" x14ac:dyDescent="0.3">
      <c r="I405" t="str" cm="1">
        <f t="array" ref="I405">IF(SUMPRODUCT(--(LEN(CMS_Identification!F427:F926)&gt;0))&gt;0,IF(CMS_Identification!F427="","",CMS_Identification!F427),"Add CMS to the CMS_Identification tab")</f>
        <v>Add CMS to the CMS_Identification tab</v>
      </c>
      <c r="J405" t="str">
        <f>IF(CMS_Identification!B427="","",CMS_Identification!B427)</f>
        <v/>
      </c>
      <c r="K405" t="str">
        <f>IF(COUNTIF(I$2:I405,I405)=1,I405,"")</f>
        <v/>
      </c>
      <c r="L405" t="str">
        <f>+IF(K405="","",MAX(L$1:L404)+1)</f>
        <v/>
      </c>
      <c r="M405" t="str">
        <f t="shared" si="7"/>
        <v/>
      </c>
      <c r="R405" t="str">
        <f>IF(CMS_Identification!B427="","",CMS_Identification!B427)</f>
        <v/>
      </c>
      <c r="S405" t="str">
        <f>IF(CMS_Identification!F427="","",CMS_Identification!F427)</f>
        <v/>
      </c>
      <c r="T405" s="106" t="str">
        <f>IF(CMS_Identification!D427="","",CMS_Identification!D427)</f>
        <v/>
      </c>
    </row>
    <row r="406" spans="9:20" x14ac:dyDescent="0.3">
      <c r="I406" t="str" cm="1">
        <f t="array" ref="I406">IF(SUMPRODUCT(--(LEN(CMS_Identification!F428:F927)&gt;0))&gt;0,IF(CMS_Identification!F428="","",CMS_Identification!F428),"Add CMS to the CMS_Identification tab")</f>
        <v>Add CMS to the CMS_Identification tab</v>
      </c>
      <c r="J406" t="str">
        <f>IF(CMS_Identification!B428="","",CMS_Identification!B428)</f>
        <v/>
      </c>
      <c r="K406" t="str">
        <f>IF(COUNTIF(I$2:I406,I406)=1,I406,"")</f>
        <v/>
      </c>
      <c r="L406" t="str">
        <f>+IF(K406="","",MAX(L$1:L405)+1)</f>
        <v/>
      </c>
      <c r="M406" t="str">
        <f t="shared" si="7"/>
        <v/>
      </c>
      <c r="R406" t="str">
        <f>IF(CMS_Identification!B428="","",CMS_Identification!B428)</f>
        <v/>
      </c>
      <c r="S406" t="str">
        <f>IF(CMS_Identification!F428="","",CMS_Identification!F428)</f>
        <v/>
      </c>
      <c r="T406" s="106" t="str">
        <f>IF(CMS_Identification!D428="","",CMS_Identification!D428)</f>
        <v/>
      </c>
    </row>
    <row r="407" spans="9:20" x14ac:dyDescent="0.3">
      <c r="I407" t="str" cm="1">
        <f t="array" ref="I407">IF(SUMPRODUCT(--(LEN(CMS_Identification!F429:F928)&gt;0))&gt;0,IF(CMS_Identification!F429="","",CMS_Identification!F429),"Add CMS to the CMS_Identification tab")</f>
        <v>Add CMS to the CMS_Identification tab</v>
      </c>
      <c r="J407" t="str">
        <f>IF(CMS_Identification!B429="","",CMS_Identification!B429)</f>
        <v/>
      </c>
      <c r="K407" t="str">
        <f>IF(COUNTIF(I$2:I407,I407)=1,I407,"")</f>
        <v/>
      </c>
      <c r="L407" t="str">
        <f>+IF(K407="","",MAX(L$1:L406)+1)</f>
        <v/>
      </c>
      <c r="M407" t="str">
        <f t="shared" si="7"/>
        <v/>
      </c>
      <c r="R407" t="str">
        <f>IF(CMS_Identification!B429="","",CMS_Identification!B429)</f>
        <v/>
      </c>
      <c r="S407" t="str">
        <f>IF(CMS_Identification!F429="","",CMS_Identification!F429)</f>
        <v/>
      </c>
      <c r="T407" s="106" t="str">
        <f>IF(CMS_Identification!D429="","",CMS_Identification!D429)</f>
        <v/>
      </c>
    </row>
    <row r="408" spans="9:20" x14ac:dyDescent="0.3">
      <c r="I408" t="str" cm="1">
        <f t="array" ref="I408">IF(SUMPRODUCT(--(LEN(CMS_Identification!F430:F929)&gt;0))&gt;0,IF(CMS_Identification!F430="","",CMS_Identification!F430),"Add CMS to the CMS_Identification tab")</f>
        <v>Add CMS to the CMS_Identification tab</v>
      </c>
      <c r="J408" t="str">
        <f>IF(CMS_Identification!B430="","",CMS_Identification!B430)</f>
        <v/>
      </c>
      <c r="K408" t="str">
        <f>IF(COUNTIF(I$2:I408,I408)=1,I408,"")</f>
        <v/>
      </c>
      <c r="L408" t="str">
        <f>+IF(K408="","",MAX(L$1:L407)+1)</f>
        <v/>
      </c>
      <c r="M408" t="str">
        <f t="shared" si="7"/>
        <v/>
      </c>
      <c r="R408" t="str">
        <f>IF(CMS_Identification!B430="","",CMS_Identification!B430)</f>
        <v/>
      </c>
      <c r="S408" t="str">
        <f>IF(CMS_Identification!F430="","",CMS_Identification!F430)</f>
        <v/>
      </c>
      <c r="T408" s="106" t="str">
        <f>IF(CMS_Identification!D430="","",CMS_Identification!D430)</f>
        <v/>
      </c>
    </row>
    <row r="409" spans="9:20" x14ac:dyDescent="0.3">
      <c r="I409" t="str" cm="1">
        <f t="array" ref="I409">IF(SUMPRODUCT(--(LEN(CMS_Identification!F431:F930)&gt;0))&gt;0,IF(CMS_Identification!F431="","",CMS_Identification!F431),"Add CMS to the CMS_Identification tab")</f>
        <v>Add CMS to the CMS_Identification tab</v>
      </c>
      <c r="J409" t="str">
        <f>IF(CMS_Identification!B431="","",CMS_Identification!B431)</f>
        <v/>
      </c>
      <c r="K409" t="str">
        <f>IF(COUNTIF(I$2:I409,I409)=1,I409,"")</f>
        <v/>
      </c>
      <c r="L409" t="str">
        <f>+IF(K409="","",MAX(L$1:L408)+1)</f>
        <v/>
      </c>
      <c r="M409" t="str">
        <f t="shared" si="7"/>
        <v/>
      </c>
      <c r="R409" t="str">
        <f>IF(CMS_Identification!B431="","",CMS_Identification!B431)</f>
        <v/>
      </c>
      <c r="S409" t="str">
        <f>IF(CMS_Identification!F431="","",CMS_Identification!F431)</f>
        <v/>
      </c>
      <c r="T409" s="106" t="str">
        <f>IF(CMS_Identification!D431="","",CMS_Identification!D431)</f>
        <v/>
      </c>
    </row>
    <row r="410" spans="9:20" x14ac:dyDescent="0.3">
      <c r="I410" t="str" cm="1">
        <f t="array" ref="I410">IF(SUMPRODUCT(--(LEN(CMS_Identification!F432:F931)&gt;0))&gt;0,IF(CMS_Identification!F432="","",CMS_Identification!F432),"Add CMS to the CMS_Identification tab")</f>
        <v>Add CMS to the CMS_Identification tab</v>
      </c>
      <c r="J410" t="str">
        <f>IF(CMS_Identification!B432="","",CMS_Identification!B432)</f>
        <v/>
      </c>
      <c r="K410" t="str">
        <f>IF(COUNTIF(I$2:I410,I410)=1,I410,"")</f>
        <v/>
      </c>
      <c r="L410" t="str">
        <f>+IF(K410="","",MAX(L$1:L409)+1)</f>
        <v/>
      </c>
      <c r="M410" t="str">
        <f t="shared" si="7"/>
        <v/>
      </c>
      <c r="R410" t="str">
        <f>IF(CMS_Identification!B432="","",CMS_Identification!B432)</f>
        <v/>
      </c>
      <c r="S410" t="str">
        <f>IF(CMS_Identification!F432="","",CMS_Identification!F432)</f>
        <v/>
      </c>
      <c r="T410" s="106" t="str">
        <f>IF(CMS_Identification!D432="","",CMS_Identification!D432)</f>
        <v/>
      </c>
    </row>
    <row r="411" spans="9:20" x14ac:dyDescent="0.3">
      <c r="I411" t="str" cm="1">
        <f t="array" ref="I411">IF(SUMPRODUCT(--(LEN(CMS_Identification!F433:F932)&gt;0))&gt;0,IF(CMS_Identification!F433="","",CMS_Identification!F433),"Add CMS to the CMS_Identification tab")</f>
        <v>Add CMS to the CMS_Identification tab</v>
      </c>
      <c r="J411" t="str">
        <f>IF(CMS_Identification!B433="","",CMS_Identification!B433)</f>
        <v/>
      </c>
      <c r="K411" t="str">
        <f>IF(COUNTIF(I$2:I411,I411)=1,I411,"")</f>
        <v/>
      </c>
      <c r="L411" t="str">
        <f>+IF(K411="","",MAX(L$1:L410)+1)</f>
        <v/>
      </c>
      <c r="M411" t="str">
        <f t="shared" si="7"/>
        <v/>
      </c>
      <c r="R411" t="str">
        <f>IF(CMS_Identification!B433="","",CMS_Identification!B433)</f>
        <v/>
      </c>
      <c r="S411" t="str">
        <f>IF(CMS_Identification!F433="","",CMS_Identification!F433)</f>
        <v/>
      </c>
      <c r="T411" s="106" t="str">
        <f>IF(CMS_Identification!D433="","",CMS_Identification!D433)</f>
        <v/>
      </c>
    </row>
    <row r="412" spans="9:20" x14ac:dyDescent="0.3">
      <c r="I412" t="str" cm="1">
        <f t="array" ref="I412">IF(SUMPRODUCT(--(LEN(CMS_Identification!F434:F933)&gt;0))&gt;0,IF(CMS_Identification!F434="","",CMS_Identification!F434),"Add CMS to the CMS_Identification tab")</f>
        <v>Add CMS to the CMS_Identification tab</v>
      </c>
      <c r="J412" t="str">
        <f>IF(CMS_Identification!B434="","",CMS_Identification!B434)</f>
        <v/>
      </c>
      <c r="K412" t="str">
        <f>IF(COUNTIF(I$2:I412,I412)=1,I412,"")</f>
        <v/>
      </c>
      <c r="L412" t="str">
        <f>+IF(K412="","",MAX(L$1:L411)+1)</f>
        <v/>
      </c>
      <c r="M412" t="str">
        <f t="shared" si="7"/>
        <v/>
      </c>
      <c r="R412" t="str">
        <f>IF(CMS_Identification!B434="","",CMS_Identification!B434)</f>
        <v/>
      </c>
      <c r="S412" t="str">
        <f>IF(CMS_Identification!F434="","",CMS_Identification!F434)</f>
        <v/>
      </c>
      <c r="T412" s="106" t="str">
        <f>IF(CMS_Identification!D434="","",CMS_Identification!D434)</f>
        <v/>
      </c>
    </row>
    <row r="413" spans="9:20" x14ac:dyDescent="0.3">
      <c r="I413" t="str" cm="1">
        <f t="array" ref="I413">IF(SUMPRODUCT(--(LEN(CMS_Identification!F435:F934)&gt;0))&gt;0,IF(CMS_Identification!F435="","",CMS_Identification!F435),"Add CMS to the CMS_Identification tab")</f>
        <v>Add CMS to the CMS_Identification tab</v>
      </c>
      <c r="J413" t="str">
        <f>IF(CMS_Identification!B435="","",CMS_Identification!B435)</f>
        <v/>
      </c>
      <c r="K413" t="str">
        <f>IF(COUNTIF(I$2:I413,I413)=1,I413,"")</f>
        <v/>
      </c>
      <c r="L413" t="str">
        <f>+IF(K413="","",MAX(L$1:L412)+1)</f>
        <v/>
      </c>
      <c r="M413" t="str">
        <f t="shared" si="7"/>
        <v/>
      </c>
      <c r="R413" t="str">
        <f>IF(CMS_Identification!B435="","",CMS_Identification!B435)</f>
        <v/>
      </c>
      <c r="S413" t="str">
        <f>IF(CMS_Identification!F435="","",CMS_Identification!F435)</f>
        <v/>
      </c>
      <c r="T413" s="106" t="str">
        <f>IF(CMS_Identification!D435="","",CMS_Identification!D435)</f>
        <v/>
      </c>
    </row>
    <row r="414" spans="9:20" x14ac:dyDescent="0.3">
      <c r="I414" t="str" cm="1">
        <f t="array" ref="I414">IF(SUMPRODUCT(--(LEN(CMS_Identification!F436:F935)&gt;0))&gt;0,IF(CMS_Identification!F436="","",CMS_Identification!F436),"Add CMS to the CMS_Identification tab")</f>
        <v>Add CMS to the CMS_Identification tab</v>
      </c>
      <c r="J414" t="str">
        <f>IF(CMS_Identification!B436="","",CMS_Identification!B436)</f>
        <v/>
      </c>
      <c r="K414" t="str">
        <f>IF(COUNTIF(I$2:I414,I414)=1,I414,"")</f>
        <v/>
      </c>
      <c r="L414" t="str">
        <f>+IF(K414="","",MAX(L$1:L413)+1)</f>
        <v/>
      </c>
      <c r="M414" t="str">
        <f t="shared" si="7"/>
        <v/>
      </c>
      <c r="R414" t="str">
        <f>IF(CMS_Identification!B436="","",CMS_Identification!B436)</f>
        <v/>
      </c>
      <c r="S414" t="str">
        <f>IF(CMS_Identification!F436="","",CMS_Identification!F436)</f>
        <v/>
      </c>
      <c r="T414" s="106" t="str">
        <f>IF(CMS_Identification!D436="","",CMS_Identification!D436)</f>
        <v/>
      </c>
    </row>
    <row r="415" spans="9:20" x14ac:dyDescent="0.3">
      <c r="I415" t="str" cm="1">
        <f t="array" ref="I415">IF(SUMPRODUCT(--(LEN(CMS_Identification!F437:F936)&gt;0))&gt;0,IF(CMS_Identification!F437="","",CMS_Identification!F437),"Add CMS to the CMS_Identification tab")</f>
        <v>Add CMS to the CMS_Identification tab</v>
      </c>
      <c r="J415" t="str">
        <f>IF(CMS_Identification!B437="","",CMS_Identification!B437)</f>
        <v/>
      </c>
      <c r="K415" t="str">
        <f>IF(COUNTIF(I$2:I415,I415)=1,I415,"")</f>
        <v/>
      </c>
      <c r="L415" t="str">
        <f>+IF(K415="","",MAX(L$1:L414)+1)</f>
        <v/>
      </c>
      <c r="M415" t="str">
        <f t="shared" si="7"/>
        <v/>
      </c>
      <c r="R415" t="str">
        <f>IF(CMS_Identification!B437="","",CMS_Identification!B437)</f>
        <v/>
      </c>
      <c r="S415" t="str">
        <f>IF(CMS_Identification!F437="","",CMS_Identification!F437)</f>
        <v/>
      </c>
      <c r="T415" s="106" t="str">
        <f>IF(CMS_Identification!D437="","",CMS_Identification!D437)</f>
        <v/>
      </c>
    </row>
    <row r="416" spans="9:20" x14ac:dyDescent="0.3">
      <c r="I416" t="str" cm="1">
        <f t="array" ref="I416">IF(SUMPRODUCT(--(LEN(CMS_Identification!F438:F937)&gt;0))&gt;0,IF(CMS_Identification!F438="","",CMS_Identification!F438),"Add CMS to the CMS_Identification tab")</f>
        <v>Add CMS to the CMS_Identification tab</v>
      </c>
      <c r="J416" t="str">
        <f>IF(CMS_Identification!B438="","",CMS_Identification!B438)</f>
        <v/>
      </c>
      <c r="K416" t="str">
        <f>IF(COUNTIF(I$2:I416,I416)=1,I416,"")</f>
        <v/>
      </c>
      <c r="L416" t="str">
        <f>+IF(K416="","",MAX(L$1:L415)+1)</f>
        <v/>
      </c>
      <c r="M416" t="str">
        <f t="shared" si="7"/>
        <v/>
      </c>
      <c r="R416" t="str">
        <f>IF(CMS_Identification!B438="","",CMS_Identification!B438)</f>
        <v/>
      </c>
      <c r="S416" t="str">
        <f>IF(CMS_Identification!F438="","",CMS_Identification!F438)</f>
        <v/>
      </c>
      <c r="T416" s="106" t="str">
        <f>IF(CMS_Identification!D438="","",CMS_Identification!D438)</f>
        <v/>
      </c>
    </row>
    <row r="417" spans="9:20" x14ac:dyDescent="0.3">
      <c r="I417" t="str" cm="1">
        <f t="array" ref="I417">IF(SUMPRODUCT(--(LEN(CMS_Identification!F439:F938)&gt;0))&gt;0,IF(CMS_Identification!F439="","",CMS_Identification!F439),"Add CMS to the CMS_Identification tab")</f>
        <v>Add CMS to the CMS_Identification tab</v>
      </c>
      <c r="J417" t="str">
        <f>IF(CMS_Identification!B439="","",CMS_Identification!B439)</f>
        <v/>
      </c>
      <c r="K417" t="str">
        <f>IF(COUNTIF(I$2:I417,I417)=1,I417,"")</f>
        <v/>
      </c>
      <c r="L417" t="str">
        <f>+IF(K417="","",MAX(L$1:L416)+1)</f>
        <v/>
      </c>
      <c r="M417" t="str">
        <f t="shared" si="7"/>
        <v/>
      </c>
      <c r="R417" t="str">
        <f>IF(CMS_Identification!B439="","",CMS_Identification!B439)</f>
        <v/>
      </c>
      <c r="S417" t="str">
        <f>IF(CMS_Identification!F439="","",CMS_Identification!F439)</f>
        <v/>
      </c>
      <c r="T417" s="106" t="str">
        <f>IF(CMS_Identification!D439="","",CMS_Identification!D439)</f>
        <v/>
      </c>
    </row>
    <row r="418" spans="9:20" x14ac:dyDescent="0.3">
      <c r="I418" t="str" cm="1">
        <f t="array" ref="I418">IF(SUMPRODUCT(--(LEN(CMS_Identification!F440:F939)&gt;0))&gt;0,IF(CMS_Identification!F440="","",CMS_Identification!F440),"Add CMS to the CMS_Identification tab")</f>
        <v>Add CMS to the CMS_Identification tab</v>
      </c>
      <c r="J418" t="str">
        <f>IF(CMS_Identification!B440="","",CMS_Identification!B440)</f>
        <v/>
      </c>
      <c r="K418" t="str">
        <f>IF(COUNTIF(I$2:I418,I418)=1,I418,"")</f>
        <v/>
      </c>
      <c r="L418" t="str">
        <f>+IF(K418="","",MAX(L$1:L417)+1)</f>
        <v/>
      </c>
      <c r="M418" t="str">
        <f t="shared" si="7"/>
        <v/>
      </c>
      <c r="R418" t="str">
        <f>IF(CMS_Identification!B440="","",CMS_Identification!B440)</f>
        <v/>
      </c>
      <c r="S418" t="str">
        <f>IF(CMS_Identification!F440="","",CMS_Identification!F440)</f>
        <v/>
      </c>
      <c r="T418" s="106" t="str">
        <f>IF(CMS_Identification!D440="","",CMS_Identification!D440)</f>
        <v/>
      </c>
    </row>
    <row r="419" spans="9:20" x14ac:dyDescent="0.3">
      <c r="I419" t="str" cm="1">
        <f t="array" ref="I419">IF(SUMPRODUCT(--(LEN(CMS_Identification!F441:F940)&gt;0))&gt;0,IF(CMS_Identification!F441="","",CMS_Identification!F441),"Add CMS to the CMS_Identification tab")</f>
        <v>Add CMS to the CMS_Identification tab</v>
      </c>
      <c r="J419" t="str">
        <f>IF(CMS_Identification!B441="","",CMS_Identification!B441)</f>
        <v/>
      </c>
      <c r="K419" t="str">
        <f>IF(COUNTIF(I$2:I419,I419)=1,I419,"")</f>
        <v/>
      </c>
      <c r="L419" t="str">
        <f>+IF(K419="","",MAX(L$1:L418)+1)</f>
        <v/>
      </c>
      <c r="M419" t="str">
        <f t="shared" si="7"/>
        <v/>
      </c>
      <c r="R419" t="str">
        <f>IF(CMS_Identification!B441="","",CMS_Identification!B441)</f>
        <v/>
      </c>
      <c r="S419" t="str">
        <f>IF(CMS_Identification!F441="","",CMS_Identification!F441)</f>
        <v/>
      </c>
      <c r="T419" s="106" t="str">
        <f>IF(CMS_Identification!D441="","",CMS_Identification!D441)</f>
        <v/>
      </c>
    </row>
    <row r="420" spans="9:20" x14ac:dyDescent="0.3">
      <c r="I420" t="str" cm="1">
        <f t="array" ref="I420">IF(SUMPRODUCT(--(LEN(CMS_Identification!F442:F941)&gt;0))&gt;0,IF(CMS_Identification!F442="","",CMS_Identification!F442),"Add CMS to the CMS_Identification tab")</f>
        <v>Add CMS to the CMS_Identification tab</v>
      </c>
      <c r="J420" t="str">
        <f>IF(CMS_Identification!B442="","",CMS_Identification!B442)</f>
        <v/>
      </c>
      <c r="K420" t="str">
        <f>IF(COUNTIF(I$2:I420,I420)=1,I420,"")</f>
        <v/>
      </c>
      <c r="L420" t="str">
        <f>+IF(K420="","",MAX(L$1:L419)+1)</f>
        <v/>
      </c>
      <c r="M420" t="str">
        <f t="shared" si="7"/>
        <v/>
      </c>
      <c r="R420" t="str">
        <f>IF(CMS_Identification!B442="","",CMS_Identification!B442)</f>
        <v/>
      </c>
      <c r="S420" t="str">
        <f>IF(CMS_Identification!F442="","",CMS_Identification!F442)</f>
        <v/>
      </c>
      <c r="T420" s="106" t="str">
        <f>IF(CMS_Identification!D442="","",CMS_Identification!D442)</f>
        <v/>
      </c>
    </row>
    <row r="421" spans="9:20" x14ac:dyDescent="0.3">
      <c r="I421" t="str" cm="1">
        <f t="array" ref="I421">IF(SUMPRODUCT(--(LEN(CMS_Identification!F443:F942)&gt;0))&gt;0,IF(CMS_Identification!F443="","",CMS_Identification!F443),"Add CMS to the CMS_Identification tab")</f>
        <v>Add CMS to the CMS_Identification tab</v>
      </c>
      <c r="J421" t="str">
        <f>IF(CMS_Identification!B443="","",CMS_Identification!B443)</f>
        <v/>
      </c>
      <c r="K421" t="str">
        <f>IF(COUNTIF(I$2:I421,I421)=1,I421,"")</f>
        <v/>
      </c>
      <c r="L421" t="str">
        <f>+IF(K421="","",MAX(L$1:L420)+1)</f>
        <v/>
      </c>
      <c r="M421" t="str">
        <f t="shared" si="7"/>
        <v/>
      </c>
      <c r="R421" t="str">
        <f>IF(CMS_Identification!B443="","",CMS_Identification!B443)</f>
        <v/>
      </c>
      <c r="S421" t="str">
        <f>IF(CMS_Identification!F443="","",CMS_Identification!F443)</f>
        <v/>
      </c>
      <c r="T421" s="106" t="str">
        <f>IF(CMS_Identification!D443="","",CMS_Identification!D443)</f>
        <v/>
      </c>
    </row>
    <row r="422" spans="9:20" x14ac:dyDescent="0.3">
      <c r="I422" t="str" cm="1">
        <f t="array" ref="I422">IF(SUMPRODUCT(--(LEN(CMS_Identification!F444:F943)&gt;0))&gt;0,IF(CMS_Identification!F444="","",CMS_Identification!F444),"Add CMS to the CMS_Identification tab")</f>
        <v>Add CMS to the CMS_Identification tab</v>
      </c>
      <c r="J422" t="str">
        <f>IF(CMS_Identification!B444="","",CMS_Identification!B444)</f>
        <v/>
      </c>
      <c r="K422" t="str">
        <f>IF(COUNTIF(I$2:I422,I422)=1,I422,"")</f>
        <v/>
      </c>
      <c r="L422" t="str">
        <f>+IF(K422="","",MAX(L$1:L421)+1)</f>
        <v/>
      </c>
      <c r="M422" t="str">
        <f t="shared" si="7"/>
        <v/>
      </c>
      <c r="R422" t="str">
        <f>IF(CMS_Identification!B444="","",CMS_Identification!B444)</f>
        <v/>
      </c>
      <c r="S422" t="str">
        <f>IF(CMS_Identification!F444="","",CMS_Identification!F444)</f>
        <v/>
      </c>
      <c r="T422" s="106" t="str">
        <f>IF(CMS_Identification!D444="","",CMS_Identification!D444)</f>
        <v/>
      </c>
    </row>
    <row r="423" spans="9:20" x14ac:dyDescent="0.3">
      <c r="I423" t="str" cm="1">
        <f t="array" ref="I423">IF(SUMPRODUCT(--(LEN(CMS_Identification!F445:F944)&gt;0))&gt;0,IF(CMS_Identification!F445="","",CMS_Identification!F445),"Add CMS to the CMS_Identification tab")</f>
        <v>Add CMS to the CMS_Identification tab</v>
      </c>
      <c r="J423" t="str">
        <f>IF(CMS_Identification!B445="","",CMS_Identification!B445)</f>
        <v/>
      </c>
      <c r="K423" t="str">
        <f>IF(COUNTIF(I$2:I423,I423)=1,I423,"")</f>
        <v/>
      </c>
      <c r="L423" t="str">
        <f>+IF(K423="","",MAX(L$1:L422)+1)</f>
        <v/>
      </c>
      <c r="M423" t="str">
        <f t="shared" si="7"/>
        <v/>
      </c>
      <c r="R423" t="str">
        <f>IF(CMS_Identification!B445="","",CMS_Identification!B445)</f>
        <v/>
      </c>
      <c r="S423" t="str">
        <f>IF(CMS_Identification!F445="","",CMS_Identification!F445)</f>
        <v/>
      </c>
      <c r="T423" s="106" t="str">
        <f>IF(CMS_Identification!D445="","",CMS_Identification!D445)</f>
        <v/>
      </c>
    </row>
    <row r="424" spans="9:20" x14ac:dyDescent="0.3">
      <c r="I424" t="str" cm="1">
        <f t="array" ref="I424">IF(SUMPRODUCT(--(LEN(CMS_Identification!F446:F945)&gt;0))&gt;0,IF(CMS_Identification!F446="","",CMS_Identification!F446),"Add CMS to the CMS_Identification tab")</f>
        <v>Add CMS to the CMS_Identification tab</v>
      </c>
      <c r="J424" t="str">
        <f>IF(CMS_Identification!B446="","",CMS_Identification!B446)</f>
        <v/>
      </c>
      <c r="K424" t="str">
        <f>IF(COUNTIF(I$2:I424,I424)=1,I424,"")</f>
        <v/>
      </c>
      <c r="L424" t="str">
        <f>+IF(K424="","",MAX(L$1:L423)+1)</f>
        <v/>
      </c>
      <c r="M424" t="str">
        <f t="shared" si="7"/>
        <v/>
      </c>
      <c r="R424" t="str">
        <f>IF(CMS_Identification!B446="","",CMS_Identification!B446)</f>
        <v/>
      </c>
      <c r="S424" t="str">
        <f>IF(CMS_Identification!F446="","",CMS_Identification!F446)</f>
        <v/>
      </c>
      <c r="T424" s="106" t="str">
        <f>IF(CMS_Identification!D446="","",CMS_Identification!D446)</f>
        <v/>
      </c>
    </row>
    <row r="425" spans="9:20" x14ac:dyDescent="0.3">
      <c r="I425" t="str" cm="1">
        <f t="array" ref="I425">IF(SUMPRODUCT(--(LEN(CMS_Identification!F447:F946)&gt;0))&gt;0,IF(CMS_Identification!F447="","",CMS_Identification!F447),"Add CMS to the CMS_Identification tab")</f>
        <v>Add CMS to the CMS_Identification tab</v>
      </c>
      <c r="J425" t="str">
        <f>IF(CMS_Identification!B447="","",CMS_Identification!B447)</f>
        <v/>
      </c>
      <c r="K425" t="str">
        <f>IF(COUNTIF(I$2:I425,I425)=1,I425,"")</f>
        <v/>
      </c>
      <c r="L425" t="str">
        <f>+IF(K425="","",MAX(L$1:L424)+1)</f>
        <v/>
      </c>
      <c r="M425" t="str">
        <f t="shared" si="7"/>
        <v/>
      </c>
      <c r="R425" t="str">
        <f>IF(CMS_Identification!B447="","",CMS_Identification!B447)</f>
        <v/>
      </c>
      <c r="S425" t="str">
        <f>IF(CMS_Identification!F447="","",CMS_Identification!F447)</f>
        <v/>
      </c>
      <c r="T425" s="106" t="str">
        <f>IF(CMS_Identification!D447="","",CMS_Identification!D447)</f>
        <v/>
      </c>
    </row>
    <row r="426" spans="9:20" x14ac:dyDescent="0.3">
      <c r="I426" t="str" cm="1">
        <f t="array" ref="I426">IF(SUMPRODUCT(--(LEN(CMS_Identification!F448:F947)&gt;0))&gt;0,IF(CMS_Identification!F448="","",CMS_Identification!F448),"Add CMS to the CMS_Identification tab")</f>
        <v>Add CMS to the CMS_Identification tab</v>
      </c>
      <c r="J426" t="str">
        <f>IF(CMS_Identification!B448="","",CMS_Identification!B448)</f>
        <v/>
      </c>
      <c r="K426" t="str">
        <f>IF(COUNTIF(I$2:I426,I426)=1,I426,"")</f>
        <v/>
      </c>
      <c r="L426" t="str">
        <f>+IF(K426="","",MAX(L$1:L425)+1)</f>
        <v/>
      </c>
      <c r="M426" t="str">
        <f t="shared" si="7"/>
        <v/>
      </c>
      <c r="R426" t="str">
        <f>IF(CMS_Identification!B448="","",CMS_Identification!B448)</f>
        <v/>
      </c>
      <c r="S426" t="str">
        <f>IF(CMS_Identification!F448="","",CMS_Identification!F448)</f>
        <v/>
      </c>
      <c r="T426" s="106" t="str">
        <f>IF(CMS_Identification!D448="","",CMS_Identification!D448)</f>
        <v/>
      </c>
    </row>
    <row r="427" spans="9:20" x14ac:dyDescent="0.3">
      <c r="I427" t="str" cm="1">
        <f t="array" ref="I427">IF(SUMPRODUCT(--(LEN(CMS_Identification!F449:F948)&gt;0))&gt;0,IF(CMS_Identification!F449="","",CMS_Identification!F449),"Add CMS to the CMS_Identification tab")</f>
        <v>Add CMS to the CMS_Identification tab</v>
      </c>
      <c r="J427" t="str">
        <f>IF(CMS_Identification!B449="","",CMS_Identification!B449)</f>
        <v/>
      </c>
      <c r="K427" t="str">
        <f>IF(COUNTIF(I$2:I427,I427)=1,I427,"")</f>
        <v/>
      </c>
      <c r="L427" t="str">
        <f>+IF(K427="","",MAX(L$1:L426)+1)</f>
        <v/>
      </c>
      <c r="M427" t="str">
        <f t="shared" si="7"/>
        <v/>
      </c>
      <c r="R427" t="str">
        <f>IF(CMS_Identification!B449="","",CMS_Identification!B449)</f>
        <v/>
      </c>
      <c r="S427" t="str">
        <f>IF(CMS_Identification!F449="","",CMS_Identification!F449)</f>
        <v/>
      </c>
      <c r="T427" s="106" t="str">
        <f>IF(CMS_Identification!D449="","",CMS_Identification!D449)</f>
        <v/>
      </c>
    </row>
    <row r="428" spans="9:20" x14ac:dyDescent="0.3">
      <c r="I428" t="str" cm="1">
        <f t="array" ref="I428">IF(SUMPRODUCT(--(LEN(CMS_Identification!F450:F949)&gt;0))&gt;0,IF(CMS_Identification!F450="","",CMS_Identification!F450),"Add CMS to the CMS_Identification tab")</f>
        <v>Add CMS to the CMS_Identification tab</v>
      </c>
      <c r="J428" t="str">
        <f>IF(CMS_Identification!B450="","",CMS_Identification!B450)</f>
        <v/>
      </c>
      <c r="K428" t="str">
        <f>IF(COUNTIF(I$2:I428,I428)=1,I428,"")</f>
        <v/>
      </c>
      <c r="L428" t="str">
        <f>+IF(K428="","",MAX(L$1:L427)+1)</f>
        <v/>
      </c>
      <c r="M428" t="str">
        <f t="shared" si="7"/>
        <v/>
      </c>
      <c r="R428" t="str">
        <f>IF(CMS_Identification!B450="","",CMS_Identification!B450)</f>
        <v/>
      </c>
      <c r="S428" t="str">
        <f>IF(CMS_Identification!F450="","",CMS_Identification!F450)</f>
        <v/>
      </c>
      <c r="T428" s="106" t="str">
        <f>IF(CMS_Identification!D450="","",CMS_Identification!D450)</f>
        <v/>
      </c>
    </row>
    <row r="429" spans="9:20" x14ac:dyDescent="0.3">
      <c r="I429" t="str" cm="1">
        <f t="array" ref="I429">IF(SUMPRODUCT(--(LEN(CMS_Identification!F451:F950)&gt;0))&gt;0,IF(CMS_Identification!F451="","",CMS_Identification!F451),"Add CMS to the CMS_Identification tab")</f>
        <v>Add CMS to the CMS_Identification tab</v>
      </c>
      <c r="J429" t="str">
        <f>IF(CMS_Identification!B451="","",CMS_Identification!B451)</f>
        <v/>
      </c>
      <c r="K429" t="str">
        <f>IF(COUNTIF(I$2:I429,I429)=1,I429,"")</f>
        <v/>
      </c>
      <c r="L429" t="str">
        <f>+IF(K429="","",MAX(L$1:L428)+1)</f>
        <v/>
      </c>
      <c r="M429" t="str">
        <f t="shared" si="7"/>
        <v/>
      </c>
      <c r="R429" t="str">
        <f>IF(CMS_Identification!B451="","",CMS_Identification!B451)</f>
        <v/>
      </c>
      <c r="S429" t="str">
        <f>IF(CMS_Identification!F451="","",CMS_Identification!F451)</f>
        <v/>
      </c>
      <c r="T429" s="106" t="str">
        <f>IF(CMS_Identification!D451="","",CMS_Identification!D451)</f>
        <v/>
      </c>
    </row>
    <row r="430" spans="9:20" x14ac:dyDescent="0.3">
      <c r="I430" t="str" cm="1">
        <f t="array" ref="I430">IF(SUMPRODUCT(--(LEN(CMS_Identification!F452:F951)&gt;0))&gt;0,IF(CMS_Identification!F452="","",CMS_Identification!F452),"Add CMS to the CMS_Identification tab")</f>
        <v>Add CMS to the CMS_Identification tab</v>
      </c>
      <c r="J430" t="str">
        <f>IF(CMS_Identification!B452="","",CMS_Identification!B452)</f>
        <v/>
      </c>
      <c r="K430" t="str">
        <f>IF(COUNTIF(I$2:I430,I430)=1,I430,"")</f>
        <v/>
      </c>
      <c r="L430" t="str">
        <f>+IF(K430="","",MAX(L$1:L429)+1)</f>
        <v/>
      </c>
      <c r="M430" t="str">
        <f t="shared" si="7"/>
        <v/>
      </c>
      <c r="R430" t="str">
        <f>IF(CMS_Identification!B452="","",CMS_Identification!B452)</f>
        <v/>
      </c>
      <c r="S430" t="str">
        <f>IF(CMS_Identification!F452="","",CMS_Identification!F452)</f>
        <v/>
      </c>
      <c r="T430" s="106" t="str">
        <f>IF(CMS_Identification!D452="","",CMS_Identification!D452)</f>
        <v/>
      </c>
    </row>
    <row r="431" spans="9:20" x14ac:dyDescent="0.3">
      <c r="I431" t="str" cm="1">
        <f t="array" ref="I431">IF(SUMPRODUCT(--(LEN(CMS_Identification!F453:F952)&gt;0))&gt;0,IF(CMS_Identification!F453="","",CMS_Identification!F453),"Add CMS to the CMS_Identification tab")</f>
        <v>Add CMS to the CMS_Identification tab</v>
      </c>
      <c r="J431" t="str">
        <f>IF(CMS_Identification!B453="","",CMS_Identification!B453)</f>
        <v/>
      </c>
      <c r="K431" t="str">
        <f>IF(COUNTIF(I$2:I431,I431)=1,I431,"")</f>
        <v/>
      </c>
      <c r="L431" t="str">
        <f>+IF(K431="","",MAX(L$1:L430)+1)</f>
        <v/>
      </c>
      <c r="M431" t="str">
        <f t="shared" si="7"/>
        <v/>
      </c>
      <c r="R431" t="str">
        <f>IF(CMS_Identification!B453="","",CMS_Identification!B453)</f>
        <v/>
      </c>
      <c r="S431" t="str">
        <f>IF(CMS_Identification!F453="","",CMS_Identification!F453)</f>
        <v/>
      </c>
      <c r="T431" s="106" t="str">
        <f>IF(CMS_Identification!D453="","",CMS_Identification!D453)</f>
        <v/>
      </c>
    </row>
    <row r="432" spans="9:20" x14ac:dyDescent="0.3">
      <c r="I432" t="str" cm="1">
        <f t="array" ref="I432">IF(SUMPRODUCT(--(LEN(CMS_Identification!F454:F953)&gt;0))&gt;0,IF(CMS_Identification!F454="","",CMS_Identification!F454),"Add CMS to the CMS_Identification tab")</f>
        <v>Add CMS to the CMS_Identification tab</v>
      </c>
      <c r="J432" t="str">
        <f>IF(CMS_Identification!B454="","",CMS_Identification!B454)</f>
        <v/>
      </c>
      <c r="K432" t="str">
        <f>IF(COUNTIF(I$2:I432,I432)=1,I432,"")</f>
        <v/>
      </c>
      <c r="L432" t="str">
        <f>+IF(K432="","",MAX(L$1:L431)+1)</f>
        <v/>
      </c>
      <c r="M432" t="str">
        <f t="shared" si="7"/>
        <v/>
      </c>
      <c r="R432" t="str">
        <f>IF(CMS_Identification!B454="","",CMS_Identification!B454)</f>
        <v/>
      </c>
      <c r="S432" t="str">
        <f>IF(CMS_Identification!F454="","",CMS_Identification!F454)</f>
        <v/>
      </c>
      <c r="T432" s="106" t="str">
        <f>IF(CMS_Identification!D454="","",CMS_Identification!D454)</f>
        <v/>
      </c>
    </row>
    <row r="433" spans="9:20" x14ac:dyDescent="0.3">
      <c r="I433" t="str" cm="1">
        <f t="array" ref="I433">IF(SUMPRODUCT(--(LEN(CMS_Identification!F455:F954)&gt;0))&gt;0,IF(CMS_Identification!F455="","",CMS_Identification!F455),"Add CMS to the CMS_Identification tab")</f>
        <v>Add CMS to the CMS_Identification tab</v>
      </c>
      <c r="J433" t="str">
        <f>IF(CMS_Identification!B455="","",CMS_Identification!B455)</f>
        <v/>
      </c>
      <c r="K433" t="str">
        <f>IF(COUNTIF(I$2:I433,I433)=1,I433,"")</f>
        <v/>
      </c>
      <c r="L433" t="str">
        <f>+IF(K433="","",MAX(L$1:L432)+1)</f>
        <v/>
      </c>
      <c r="M433" t="str">
        <f t="shared" si="7"/>
        <v/>
      </c>
      <c r="R433" t="str">
        <f>IF(CMS_Identification!B455="","",CMS_Identification!B455)</f>
        <v/>
      </c>
      <c r="S433" t="str">
        <f>IF(CMS_Identification!F455="","",CMS_Identification!F455)</f>
        <v/>
      </c>
      <c r="T433" s="106" t="str">
        <f>IF(CMS_Identification!D455="","",CMS_Identification!D455)</f>
        <v/>
      </c>
    </row>
    <row r="434" spans="9:20" x14ac:dyDescent="0.3">
      <c r="I434" t="str" cm="1">
        <f t="array" ref="I434">IF(SUMPRODUCT(--(LEN(CMS_Identification!F456:F955)&gt;0))&gt;0,IF(CMS_Identification!F456="","",CMS_Identification!F456),"Add CMS to the CMS_Identification tab")</f>
        <v>Add CMS to the CMS_Identification tab</v>
      </c>
      <c r="J434" t="str">
        <f>IF(CMS_Identification!B456="","",CMS_Identification!B456)</f>
        <v/>
      </c>
      <c r="K434" t="str">
        <f>IF(COUNTIF(I$2:I434,I434)=1,I434,"")</f>
        <v/>
      </c>
      <c r="L434" t="str">
        <f>+IF(K434="","",MAX(L$1:L433)+1)</f>
        <v/>
      </c>
      <c r="M434" t="str">
        <f t="shared" si="7"/>
        <v/>
      </c>
      <c r="R434" t="str">
        <f>IF(CMS_Identification!B456="","",CMS_Identification!B456)</f>
        <v/>
      </c>
      <c r="S434" t="str">
        <f>IF(CMS_Identification!F456="","",CMS_Identification!F456)</f>
        <v/>
      </c>
      <c r="T434" s="106" t="str">
        <f>IF(CMS_Identification!D456="","",CMS_Identification!D456)</f>
        <v/>
      </c>
    </row>
    <row r="435" spans="9:20" x14ac:dyDescent="0.3">
      <c r="I435" t="str" cm="1">
        <f t="array" ref="I435">IF(SUMPRODUCT(--(LEN(CMS_Identification!F457:F956)&gt;0))&gt;0,IF(CMS_Identification!F457="","",CMS_Identification!F457),"Add CMS to the CMS_Identification tab")</f>
        <v>Add CMS to the CMS_Identification tab</v>
      </c>
      <c r="J435" t="str">
        <f>IF(CMS_Identification!B457="","",CMS_Identification!B457)</f>
        <v/>
      </c>
      <c r="K435" t="str">
        <f>IF(COUNTIF(I$2:I435,I435)=1,I435,"")</f>
        <v/>
      </c>
      <c r="L435" t="str">
        <f>+IF(K435="","",MAX(L$1:L434)+1)</f>
        <v/>
      </c>
      <c r="M435" t="str">
        <f t="shared" si="7"/>
        <v/>
      </c>
      <c r="R435" t="str">
        <f>IF(CMS_Identification!B457="","",CMS_Identification!B457)</f>
        <v/>
      </c>
      <c r="S435" t="str">
        <f>IF(CMS_Identification!F457="","",CMS_Identification!F457)</f>
        <v/>
      </c>
      <c r="T435" s="106" t="str">
        <f>IF(CMS_Identification!D457="","",CMS_Identification!D457)</f>
        <v/>
      </c>
    </row>
    <row r="436" spans="9:20" x14ac:dyDescent="0.3">
      <c r="I436" t="str" cm="1">
        <f t="array" ref="I436">IF(SUMPRODUCT(--(LEN(CMS_Identification!F458:F957)&gt;0))&gt;0,IF(CMS_Identification!F458="","",CMS_Identification!F458),"Add CMS to the CMS_Identification tab")</f>
        <v>Add CMS to the CMS_Identification tab</v>
      </c>
      <c r="J436" t="str">
        <f>IF(CMS_Identification!B458="","",CMS_Identification!B458)</f>
        <v/>
      </c>
      <c r="K436" t="str">
        <f>IF(COUNTIF(I$2:I436,I436)=1,I436,"")</f>
        <v/>
      </c>
      <c r="L436" t="str">
        <f>+IF(K436="","",MAX(L$1:L435)+1)</f>
        <v/>
      </c>
      <c r="M436" t="str">
        <f t="shared" si="7"/>
        <v/>
      </c>
      <c r="R436" t="str">
        <f>IF(CMS_Identification!B458="","",CMS_Identification!B458)</f>
        <v/>
      </c>
      <c r="S436" t="str">
        <f>IF(CMS_Identification!F458="","",CMS_Identification!F458)</f>
        <v/>
      </c>
      <c r="T436" s="106" t="str">
        <f>IF(CMS_Identification!D458="","",CMS_Identification!D458)</f>
        <v/>
      </c>
    </row>
    <row r="437" spans="9:20" x14ac:dyDescent="0.3">
      <c r="I437" t="str" cm="1">
        <f t="array" ref="I437">IF(SUMPRODUCT(--(LEN(CMS_Identification!F459:F958)&gt;0))&gt;0,IF(CMS_Identification!F459="","",CMS_Identification!F459),"Add CMS to the CMS_Identification tab")</f>
        <v>Add CMS to the CMS_Identification tab</v>
      </c>
      <c r="J437" t="str">
        <f>IF(CMS_Identification!B459="","",CMS_Identification!B459)</f>
        <v/>
      </c>
      <c r="K437" t="str">
        <f>IF(COUNTIF(I$2:I437,I437)=1,I437,"")</f>
        <v/>
      </c>
      <c r="L437" t="str">
        <f>+IF(K437="","",MAX(L$1:L436)+1)</f>
        <v/>
      </c>
      <c r="M437" t="str">
        <f t="shared" si="7"/>
        <v/>
      </c>
      <c r="R437" t="str">
        <f>IF(CMS_Identification!B459="","",CMS_Identification!B459)</f>
        <v/>
      </c>
      <c r="S437" t="str">
        <f>IF(CMS_Identification!F459="","",CMS_Identification!F459)</f>
        <v/>
      </c>
      <c r="T437" s="106" t="str">
        <f>IF(CMS_Identification!D459="","",CMS_Identification!D459)</f>
        <v/>
      </c>
    </row>
    <row r="438" spans="9:20" x14ac:dyDescent="0.3">
      <c r="I438" t="str" cm="1">
        <f t="array" ref="I438">IF(SUMPRODUCT(--(LEN(CMS_Identification!F460:F959)&gt;0))&gt;0,IF(CMS_Identification!F460="","",CMS_Identification!F460),"Add CMS to the CMS_Identification tab")</f>
        <v>Add CMS to the CMS_Identification tab</v>
      </c>
      <c r="J438" t="str">
        <f>IF(CMS_Identification!B460="","",CMS_Identification!B460)</f>
        <v/>
      </c>
      <c r="K438" t="str">
        <f>IF(COUNTIF(I$2:I438,I438)=1,I438,"")</f>
        <v/>
      </c>
      <c r="L438" t="str">
        <f>+IF(K438="","",MAX(L$1:L437)+1)</f>
        <v/>
      </c>
      <c r="M438" t="str">
        <f t="shared" si="7"/>
        <v/>
      </c>
      <c r="R438" t="str">
        <f>IF(CMS_Identification!B460="","",CMS_Identification!B460)</f>
        <v/>
      </c>
      <c r="S438" t="str">
        <f>IF(CMS_Identification!F460="","",CMS_Identification!F460)</f>
        <v/>
      </c>
      <c r="T438" s="106" t="str">
        <f>IF(CMS_Identification!D460="","",CMS_Identification!D460)</f>
        <v/>
      </c>
    </row>
    <row r="439" spans="9:20" x14ac:dyDescent="0.3">
      <c r="I439" t="str" cm="1">
        <f t="array" ref="I439">IF(SUMPRODUCT(--(LEN(CMS_Identification!F461:F960)&gt;0))&gt;0,IF(CMS_Identification!F461="","",CMS_Identification!F461),"Add CMS to the CMS_Identification tab")</f>
        <v>Add CMS to the CMS_Identification tab</v>
      </c>
      <c r="J439" t="str">
        <f>IF(CMS_Identification!B461="","",CMS_Identification!B461)</f>
        <v/>
      </c>
      <c r="K439" t="str">
        <f>IF(COUNTIF(I$2:I439,I439)=1,I439,"")</f>
        <v/>
      </c>
      <c r="L439" t="str">
        <f>+IF(K439="","",MAX(L$1:L438)+1)</f>
        <v/>
      </c>
      <c r="M439" t="str">
        <f t="shared" si="7"/>
        <v/>
      </c>
      <c r="R439" t="str">
        <f>IF(CMS_Identification!B461="","",CMS_Identification!B461)</f>
        <v/>
      </c>
      <c r="S439" t="str">
        <f>IF(CMS_Identification!F461="","",CMS_Identification!F461)</f>
        <v/>
      </c>
      <c r="T439" s="106" t="str">
        <f>IF(CMS_Identification!D461="","",CMS_Identification!D461)</f>
        <v/>
      </c>
    </row>
    <row r="440" spans="9:20" x14ac:dyDescent="0.3">
      <c r="I440" t="str" cm="1">
        <f t="array" ref="I440">IF(SUMPRODUCT(--(LEN(CMS_Identification!F462:F961)&gt;0))&gt;0,IF(CMS_Identification!F462="","",CMS_Identification!F462),"Add CMS to the CMS_Identification tab")</f>
        <v>Add CMS to the CMS_Identification tab</v>
      </c>
      <c r="J440" t="str">
        <f>IF(CMS_Identification!B462="","",CMS_Identification!B462)</f>
        <v/>
      </c>
      <c r="K440" t="str">
        <f>IF(COUNTIF(I$2:I440,I440)=1,I440,"")</f>
        <v/>
      </c>
      <c r="L440" t="str">
        <f>+IF(K440="","",MAX(L$1:L439)+1)</f>
        <v/>
      </c>
      <c r="M440" t="str">
        <f t="shared" si="7"/>
        <v/>
      </c>
      <c r="R440" t="str">
        <f>IF(CMS_Identification!B462="","",CMS_Identification!B462)</f>
        <v/>
      </c>
      <c r="S440" t="str">
        <f>IF(CMS_Identification!F462="","",CMS_Identification!F462)</f>
        <v/>
      </c>
      <c r="T440" s="106" t="str">
        <f>IF(CMS_Identification!D462="","",CMS_Identification!D462)</f>
        <v/>
      </c>
    </row>
    <row r="441" spans="9:20" x14ac:dyDescent="0.3">
      <c r="I441" t="str" cm="1">
        <f t="array" ref="I441">IF(SUMPRODUCT(--(LEN(CMS_Identification!F463:F962)&gt;0))&gt;0,IF(CMS_Identification!F463="","",CMS_Identification!F463),"Add CMS to the CMS_Identification tab")</f>
        <v>Add CMS to the CMS_Identification tab</v>
      </c>
      <c r="J441" t="str">
        <f>IF(CMS_Identification!B463="","",CMS_Identification!B463)</f>
        <v/>
      </c>
      <c r="K441" t="str">
        <f>IF(COUNTIF(I$2:I441,I441)=1,I441,"")</f>
        <v/>
      </c>
      <c r="L441" t="str">
        <f>+IF(K441="","",MAX(L$1:L440)+1)</f>
        <v/>
      </c>
      <c r="M441" t="str">
        <f t="shared" si="7"/>
        <v/>
      </c>
      <c r="R441" t="str">
        <f>IF(CMS_Identification!B463="","",CMS_Identification!B463)</f>
        <v/>
      </c>
      <c r="S441" t="str">
        <f>IF(CMS_Identification!F463="","",CMS_Identification!F463)</f>
        <v/>
      </c>
      <c r="T441" s="106" t="str">
        <f>IF(CMS_Identification!D463="","",CMS_Identification!D463)</f>
        <v/>
      </c>
    </row>
    <row r="442" spans="9:20" x14ac:dyDescent="0.3">
      <c r="I442" t="str" cm="1">
        <f t="array" ref="I442">IF(SUMPRODUCT(--(LEN(CMS_Identification!F464:F963)&gt;0))&gt;0,IF(CMS_Identification!F464="","",CMS_Identification!F464),"Add CMS to the CMS_Identification tab")</f>
        <v>Add CMS to the CMS_Identification tab</v>
      </c>
      <c r="J442" t="str">
        <f>IF(CMS_Identification!B464="","",CMS_Identification!B464)</f>
        <v/>
      </c>
      <c r="K442" t="str">
        <f>IF(COUNTIF(I$2:I442,I442)=1,I442,"")</f>
        <v/>
      </c>
      <c r="L442" t="str">
        <f>+IF(K442="","",MAX(L$1:L441)+1)</f>
        <v/>
      </c>
      <c r="M442" t="str">
        <f t="shared" si="7"/>
        <v/>
      </c>
      <c r="R442" t="str">
        <f>IF(CMS_Identification!B464="","",CMS_Identification!B464)</f>
        <v/>
      </c>
      <c r="S442" t="str">
        <f>IF(CMS_Identification!F464="","",CMS_Identification!F464)</f>
        <v/>
      </c>
      <c r="T442" s="106" t="str">
        <f>IF(CMS_Identification!D464="","",CMS_Identification!D464)</f>
        <v/>
      </c>
    </row>
    <row r="443" spans="9:20" x14ac:dyDescent="0.3">
      <c r="I443" t="str" cm="1">
        <f t="array" ref="I443">IF(SUMPRODUCT(--(LEN(CMS_Identification!F465:F964)&gt;0))&gt;0,IF(CMS_Identification!F465="","",CMS_Identification!F465),"Add CMS to the CMS_Identification tab")</f>
        <v>Add CMS to the CMS_Identification tab</v>
      </c>
      <c r="J443" t="str">
        <f>IF(CMS_Identification!B465="","",CMS_Identification!B465)</f>
        <v/>
      </c>
      <c r="K443" t="str">
        <f>IF(COUNTIF(I$2:I443,I443)=1,I443,"")</f>
        <v/>
      </c>
      <c r="L443" t="str">
        <f>+IF(K443="","",MAX(L$1:L442)+1)</f>
        <v/>
      </c>
      <c r="M443" t="str">
        <f t="shared" si="7"/>
        <v/>
      </c>
      <c r="R443" t="str">
        <f>IF(CMS_Identification!B465="","",CMS_Identification!B465)</f>
        <v/>
      </c>
      <c r="S443" t="str">
        <f>IF(CMS_Identification!F465="","",CMS_Identification!F465)</f>
        <v/>
      </c>
      <c r="T443" s="106" t="str">
        <f>IF(CMS_Identification!D465="","",CMS_Identification!D465)</f>
        <v/>
      </c>
    </row>
    <row r="444" spans="9:20" x14ac:dyDescent="0.3">
      <c r="I444" t="str" cm="1">
        <f t="array" ref="I444">IF(SUMPRODUCT(--(LEN(CMS_Identification!F466:F965)&gt;0))&gt;0,IF(CMS_Identification!F466="","",CMS_Identification!F466),"Add CMS to the CMS_Identification tab")</f>
        <v>Add CMS to the CMS_Identification tab</v>
      </c>
      <c r="J444" t="str">
        <f>IF(CMS_Identification!B466="","",CMS_Identification!B466)</f>
        <v/>
      </c>
      <c r="K444" t="str">
        <f>IF(COUNTIF(I$2:I444,I444)=1,I444,"")</f>
        <v/>
      </c>
      <c r="L444" t="str">
        <f>+IF(K444="","",MAX(L$1:L443)+1)</f>
        <v/>
      </c>
      <c r="M444" t="str">
        <f t="shared" si="7"/>
        <v/>
      </c>
      <c r="R444" t="str">
        <f>IF(CMS_Identification!B466="","",CMS_Identification!B466)</f>
        <v/>
      </c>
      <c r="S444" t="str">
        <f>IF(CMS_Identification!F466="","",CMS_Identification!F466)</f>
        <v/>
      </c>
      <c r="T444" s="106" t="str">
        <f>IF(CMS_Identification!D466="","",CMS_Identification!D466)</f>
        <v/>
      </c>
    </row>
    <row r="445" spans="9:20" x14ac:dyDescent="0.3">
      <c r="I445" t="str" cm="1">
        <f t="array" ref="I445">IF(SUMPRODUCT(--(LEN(CMS_Identification!F467:F966)&gt;0))&gt;0,IF(CMS_Identification!F467="","",CMS_Identification!F467),"Add CMS to the CMS_Identification tab")</f>
        <v>Add CMS to the CMS_Identification tab</v>
      </c>
      <c r="J445" t="str">
        <f>IF(CMS_Identification!B467="","",CMS_Identification!B467)</f>
        <v/>
      </c>
      <c r="K445" t="str">
        <f>IF(COUNTIF(I$2:I445,I445)=1,I445,"")</f>
        <v/>
      </c>
      <c r="L445" t="str">
        <f>+IF(K445="","",MAX(L$1:L444)+1)</f>
        <v/>
      </c>
      <c r="M445" t="str">
        <f t="shared" si="7"/>
        <v/>
      </c>
      <c r="R445" t="str">
        <f>IF(CMS_Identification!B467="","",CMS_Identification!B467)</f>
        <v/>
      </c>
      <c r="S445" t="str">
        <f>IF(CMS_Identification!F467="","",CMS_Identification!F467)</f>
        <v/>
      </c>
      <c r="T445" s="106" t="str">
        <f>IF(CMS_Identification!D467="","",CMS_Identification!D467)</f>
        <v/>
      </c>
    </row>
    <row r="446" spans="9:20" x14ac:dyDescent="0.3">
      <c r="I446" t="str" cm="1">
        <f t="array" ref="I446">IF(SUMPRODUCT(--(LEN(CMS_Identification!F468:F967)&gt;0))&gt;0,IF(CMS_Identification!F468="","",CMS_Identification!F468),"Add CMS to the CMS_Identification tab")</f>
        <v>Add CMS to the CMS_Identification tab</v>
      </c>
      <c r="J446" t="str">
        <f>IF(CMS_Identification!B468="","",CMS_Identification!B468)</f>
        <v/>
      </c>
      <c r="K446" t="str">
        <f>IF(COUNTIF(I$2:I446,I446)=1,I446,"")</f>
        <v/>
      </c>
      <c r="L446" t="str">
        <f>+IF(K446="","",MAX(L$1:L445)+1)</f>
        <v/>
      </c>
      <c r="M446" t="str">
        <f t="shared" si="7"/>
        <v/>
      </c>
      <c r="R446" t="str">
        <f>IF(CMS_Identification!B468="","",CMS_Identification!B468)</f>
        <v/>
      </c>
      <c r="S446" t="str">
        <f>IF(CMS_Identification!F468="","",CMS_Identification!F468)</f>
        <v/>
      </c>
      <c r="T446" s="106" t="str">
        <f>IF(CMS_Identification!D468="","",CMS_Identification!D468)</f>
        <v/>
      </c>
    </row>
    <row r="447" spans="9:20" x14ac:dyDescent="0.3">
      <c r="I447" t="str" cm="1">
        <f t="array" ref="I447">IF(SUMPRODUCT(--(LEN(CMS_Identification!F469:F968)&gt;0))&gt;0,IF(CMS_Identification!F469="","",CMS_Identification!F469),"Add CMS to the CMS_Identification tab")</f>
        <v>Add CMS to the CMS_Identification tab</v>
      </c>
      <c r="J447" t="str">
        <f>IF(CMS_Identification!B469="","",CMS_Identification!B469)</f>
        <v/>
      </c>
      <c r="K447" t="str">
        <f>IF(COUNTIF(I$2:I447,I447)=1,I447,"")</f>
        <v/>
      </c>
      <c r="L447" t="str">
        <f>+IF(K447="","",MAX(L$1:L446)+1)</f>
        <v/>
      </c>
      <c r="M447" t="str">
        <f t="shared" si="7"/>
        <v/>
      </c>
      <c r="R447" t="str">
        <f>IF(CMS_Identification!B469="","",CMS_Identification!B469)</f>
        <v/>
      </c>
      <c r="S447" t="str">
        <f>IF(CMS_Identification!F469="","",CMS_Identification!F469)</f>
        <v/>
      </c>
      <c r="T447" s="106" t="str">
        <f>IF(CMS_Identification!D469="","",CMS_Identification!D469)</f>
        <v/>
      </c>
    </row>
    <row r="448" spans="9:20" x14ac:dyDescent="0.3">
      <c r="I448" t="str" cm="1">
        <f t="array" ref="I448">IF(SUMPRODUCT(--(LEN(CMS_Identification!F470:F969)&gt;0))&gt;0,IF(CMS_Identification!F470="","",CMS_Identification!F470),"Add CMS to the CMS_Identification tab")</f>
        <v>Add CMS to the CMS_Identification tab</v>
      </c>
      <c r="J448" t="str">
        <f>IF(CMS_Identification!B470="","",CMS_Identification!B470)</f>
        <v/>
      </c>
      <c r="K448" t="str">
        <f>IF(COUNTIF(I$2:I448,I448)=1,I448,"")</f>
        <v/>
      </c>
      <c r="L448" t="str">
        <f>+IF(K448="","",MAX(L$1:L447)+1)</f>
        <v/>
      </c>
      <c r="M448" t="str">
        <f t="shared" si="7"/>
        <v/>
      </c>
      <c r="R448" t="str">
        <f>IF(CMS_Identification!B470="","",CMS_Identification!B470)</f>
        <v/>
      </c>
      <c r="S448" t="str">
        <f>IF(CMS_Identification!F470="","",CMS_Identification!F470)</f>
        <v/>
      </c>
      <c r="T448" s="106" t="str">
        <f>IF(CMS_Identification!D470="","",CMS_Identification!D470)</f>
        <v/>
      </c>
    </row>
    <row r="449" spans="9:20" x14ac:dyDescent="0.3">
      <c r="I449" t="str" cm="1">
        <f t="array" ref="I449">IF(SUMPRODUCT(--(LEN(CMS_Identification!F471:F970)&gt;0))&gt;0,IF(CMS_Identification!F471="","",CMS_Identification!F471),"Add CMS to the CMS_Identification tab")</f>
        <v>Add CMS to the CMS_Identification tab</v>
      </c>
      <c r="J449" t="str">
        <f>IF(CMS_Identification!B471="","",CMS_Identification!B471)</f>
        <v/>
      </c>
      <c r="K449" t="str">
        <f>IF(COUNTIF(I$2:I449,I449)=1,I449,"")</f>
        <v/>
      </c>
      <c r="L449" t="str">
        <f>+IF(K449="","",MAX(L$1:L448)+1)</f>
        <v/>
      </c>
      <c r="M449" t="str">
        <f t="shared" si="7"/>
        <v/>
      </c>
      <c r="R449" t="str">
        <f>IF(CMS_Identification!B471="","",CMS_Identification!B471)</f>
        <v/>
      </c>
      <c r="S449" t="str">
        <f>IF(CMS_Identification!F471="","",CMS_Identification!F471)</f>
        <v/>
      </c>
      <c r="T449" s="106" t="str">
        <f>IF(CMS_Identification!D471="","",CMS_Identification!D471)</f>
        <v/>
      </c>
    </row>
    <row r="450" spans="9:20" x14ac:dyDescent="0.3">
      <c r="I450" t="str" cm="1">
        <f t="array" ref="I450">IF(SUMPRODUCT(--(LEN(CMS_Identification!F472:F971)&gt;0))&gt;0,IF(CMS_Identification!F472="","",CMS_Identification!F472),"Add CMS to the CMS_Identification tab")</f>
        <v>Add CMS to the CMS_Identification tab</v>
      </c>
      <c r="J450" t="str">
        <f>IF(CMS_Identification!B472="","",CMS_Identification!B472)</f>
        <v/>
      </c>
      <c r="K450" t="str">
        <f>IF(COUNTIF(I$2:I450,I450)=1,I450,"")</f>
        <v/>
      </c>
      <c r="L450" t="str">
        <f>+IF(K450="","",MAX(L$1:L449)+1)</f>
        <v/>
      </c>
      <c r="M450" t="str">
        <f t="shared" ref="M450:M501" si="8">+IFERROR(INDEX($I$2:$I$501,MATCH(ROW()-ROW($L$1),$L$2:$L$501,0)),"")</f>
        <v/>
      </c>
      <c r="R450" t="str">
        <f>IF(CMS_Identification!B472="","",CMS_Identification!B472)</f>
        <v/>
      </c>
      <c r="S450" t="str">
        <f>IF(CMS_Identification!F472="","",CMS_Identification!F472)</f>
        <v/>
      </c>
      <c r="T450" s="106" t="str">
        <f>IF(CMS_Identification!D472="","",CMS_Identification!D472)</f>
        <v/>
      </c>
    </row>
    <row r="451" spans="9:20" x14ac:dyDescent="0.3">
      <c r="I451" t="str" cm="1">
        <f t="array" ref="I451">IF(SUMPRODUCT(--(LEN(CMS_Identification!F473:F972)&gt;0))&gt;0,IF(CMS_Identification!F473="","",CMS_Identification!F473),"Add CMS to the CMS_Identification tab")</f>
        <v>Add CMS to the CMS_Identification tab</v>
      </c>
      <c r="J451" t="str">
        <f>IF(CMS_Identification!B473="","",CMS_Identification!B473)</f>
        <v/>
      </c>
      <c r="K451" t="str">
        <f>IF(COUNTIF(I$2:I451,I451)=1,I451,"")</f>
        <v/>
      </c>
      <c r="L451" t="str">
        <f>+IF(K451="","",MAX(L$1:L450)+1)</f>
        <v/>
      </c>
      <c r="M451" t="str">
        <f t="shared" si="8"/>
        <v/>
      </c>
      <c r="R451" t="str">
        <f>IF(CMS_Identification!B473="","",CMS_Identification!B473)</f>
        <v/>
      </c>
      <c r="S451" t="str">
        <f>IF(CMS_Identification!F473="","",CMS_Identification!F473)</f>
        <v/>
      </c>
      <c r="T451" s="106" t="str">
        <f>IF(CMS_Identification!D473="","",CMS_Identification!D473)</f>
        <v/>
      </c>
    </row>
    <row r="452" spans="9:20" x14ac:dyDescent="0.3">
      <c r="I452" t="str" cm="1">
        <f t="array" ref="I452">IF(SUMPRODUCT(--(LEN(CMS_Identification!F474:F973)&gt;0))&gt;0,IF(CMS_Identification!F474="","",CMS_Identification!F474),"Add CMS to the CMS_Identification tab")</f>
        <v>Add CMS to the CMS_Identification tab</v>
      </c>
      <c r="J452" t="str">
        <f>IF(CMS_Identification!B474="","",CMS_Identification!B474)</f>
        <v/>
      </c>
      <c r="K452" t="str">
        <f>IF(COUNTIF(I$2:I452,I452)=1,I452,"")</f>
        <v/>
      </c>
      <c r="L452" t="str">
        <f>+IF(K452="","",MAX(L$1:L451)+1)</f>
        <v/>
      </c>
      <c r="M452" t="str">
        <f t="shared" si="8"/>
        <v/>
      </c>
      <c r="R452" t="str">
        <f>IF(CMS_Identification!B474="","",CMS_Identification!B474)</f>
        <v/>
      </c>
      <c r="S452" t="str">
        <f>IF(CMS_Identification!F474="","",CMS_Identification!F474)</f>
        <v/>
      </c>
      <c r="T452" s="106" t="str">
        <f>IF(CMS_Identification!D474="","",CMS_Identification!D474)</f>
        <v/>
      </c>
    </row>
    <row r="453" spans="9:20" x14ac:dyDescent="0.3">
      <c r="I453" t="str" cm="1">
        <f t="array" ref="I453">IF(SUMPRODUCT(--(LEN(CMS_Identification!F475:F974)&gt;0))&gt;0,IF(CMS_Identification!F475="","",CMS_Identification!F475),"Add CMS to the CMS_Identification tab")</f>
        <v>Add CMS to the CMS_Identification tab</v>
      </c>
      <c r="J453" t="str">
        <f>IF(CMS_Identification!B475="","",CMS_Identification!B475)</f>
        <v/>
      </c>
      <c r="K453" t="str">
        <f>IF(COUNTIF(I$2:I453,I453)=1,I453,"")</f>
        <v/>
      </c>
      <c r="L453" t="str">
        <f>+IF(K453="","",MAX(L$1:L452)+1)</f>
        <v/>
      </c>
      <c r="M453" t="str">
        <f t="shared" si="8"/>
        <v/>
      </c>
      <c r="R453" t="str">
        <f>IF(CMS_Identification!B475="","",CMS_Identification!B475)</f>
        <v/>
      </c>
      <c r="S453" t="str">
        <f>IF(CMS_Identification!F475="","",CMS_Identification!F475)</f>
        <v/>
      </c>
      <c r="T453" s="106" t="str">
        <f>IF(CMS_Identification!D475="","",CMS_Identification!D475)</f>
        <v/>
      </c>
    </row>
    <row r="454" spans="9:20" x14ac:dyDescent="0.3">
      <c r="I454" t="str" cm="1">
        <f t="array" ref="I454">IF(SUMPRODUCT(--(LEN(CMS_Identification!F476:F975)&gt;0))&gt;0,IF(CMS_Identification!F476="","",CMS_Identification!F476),"Add CMS to the CMS_Identification tab")</f>
        <v>Add CMS to the CMS_Identification tab</v>
      </c>
      <c r="J454" t="str">
        <f>IF(CMS_Identification!B476="","",CMS_Identification!B476)</f>
        <v/>
      </c>
      <c r="K454" t="str">
        <f>IF(COUNTIF(I$2:I454,I454)=1,I454,"")</f>
        <v/>
      </c>
      <c r="L454" t="str">
        <f>+IF(K454="","",MAX(L$1:L453)+1)</f>
        <v/>
      </c>
      <c r="M454" t="str">
        <f t="shared" si="8"/>
        <v/>
      </c>
      <c r="R454" t="str">
        <f>IF(CMS_Identification!B476="","",CMS_Identification!B476)</f>
        <v/>
      </c>
      <c r="S454" t="str">
        <f>IF(CMS_Identification!F476="","",CMS_Identification!F476)</f>
        <v/>
      </c>
      <c r="T454" s="106" t="str">
        <f>IF(CMS_Identification!D476="","",CMS_Identification!D476)</f>
        <v/>
      </c>
    </row>
    <row r="455" spans="9:20" x14ac:dyDescent="0.3">
      <c r="I455" t="str" cm="1">
        <f t="array" ref="I455">IF(SUMPRODUCT(--(LEN(CMS_Identification!F477:F976)&gt;0))&gt;0,IF(CMS_Identification!F477="","",CMS_Identification!F477),"Add CMS to the CMS_Identification tab")</f>
        <v>Add CMS to the CMS_Identification tab</v>
      </c>
      <c r="J455" t="str">
        <f>IF(CMS_Identification!B477="","",CMS_Identification!B477)</f>
        <v/>
      </c>
      <c r="K455" t="str">
        <f>IF(COUNTIF(I$2:I455,I455)=1,I455,"")</f>
        <v/>
      </c>
      <c r="L455" t="str">
        <f>+IF(K455="","",MAX(L$1:L454)+1)</f>
        <v/>
      </c>
      <c r="M455" t="str">
        <f t="shared" si="8"/>
        <v/>
      </c>
      <c r="R455" t="str">
        <f>IF(CMS_Identification!B477="","",CMS_Identification!B477)</f>
        <v/>
      </c>
      <c r="S455" t="str">
        <f>IF(CMS_Identification!F477="","",CMS_Identification!F477)</f>
        <v/>
      </c>
      <c r="T455" s="106" t="str">
        <f>IF(CMS_Identification!D477="","",CMS_Identification!D477)</f>
        <v/>
      </c>
    </row>
    <row r="456" spans="9:20" x14ac:dyDescent="0.3">
      <c r="I456" t="str" cm="1">
        <f t="array" ref="I456">IF(SUMPRODUCT(--(LEN(CMS_Identification!F478:F977)&gt;0))&gt;0,IF(CMS_Identification!F478="","",CMS_Identification!F478),"Add CMS to the CMS_Identification tab")</f>
        <v>Add CMS to the CMS_Identification tab</v>
      </c>
      <c r="J456" t="str">
        <f>IF(CMS_Identification!B478="","",CMS_Identification!B478)</f>
        <v/>
      </c>
      <c r="K456" t="str">
        <f>IF(COUNTIF(I$2:I456,I456)=1,I456,"")</f>
        <v/>
      </c>
      <c r="L456" t="str">
        <f>+IF(K456="","",MAX(L$1:L455)+1)</f>
        <v/>
      </c>
      <c r="M456" t="str">
        <f t="shared" si="8"/>
        <v/>
      </c>
      <c r="R456" t="str">
        <f>IF(CMS_Identification!B478="","",CMS_Identification!B478)</f>
        <v/>
      </c>
      <c r="S456" t="str">
        <f>IF(CMS_Identification!F478="","",CMS_Identification!F478)</f>
        <v/>
      </c>
      <c r="T456" s="106" t="str">
        <f>IF(CMS_Identification!D478="","",CMS_Identification!D478)</f>
        <v/>
      </c>
    </row>
    <row r="457" spans="9:20" x14ac:dyDescent="0.3">
      <c r="I457" t="str" cm="1">
        <f t="array" ref="I457">IF(SUMPRODUCT(--(LEN(CMS_Identification!F479:F978)&gt;0))&gt;0,IF(CMS_Identification!F479="","",CMS_Identification!F479),"Add CMS to the CMS_Identification tab")</f>
        <v>Add CMS to the CMS_Identification tab</v>
      </c>
      <c r="J457" t="str">
        <f>IF(CMS_Identification!B479="","",CMS_Identification!B479)</f>
        <v/>
      </c>
      <c r="K457" t="str">
        <f>IF(COUNTIF(I$2:I457,I457)=1,I457,"")</f>
        <v/>
      </c>
      <c r="L457" t="str">
        <f>+IF(K457="","",MAX(L$1:L456)+1)</f>
        <v/>
      </c>
      <c r="M457" t="str">
        <f t="shared" si="8"/>
        <v/>
      </c>
      <c r="R457" t="str">
        <f>IF(CMS_Identification!B479="","",CMS_Identification!B479)</f>
        <v/>
      </c>
      <c r="S457" t="str">
        <f>IF(CMS_Identification!F479="","",CMS_Identification!F479)</f>
        <v/>
      </c>
      <c r="T457" s="106" t="str">
        <f>IF(CMS_Identification!D479="","",CMS_Identification!D479)</f>
        <v/>
      </c>
    </row>
    <row r="458" spans="9:20" x14ac:dyDescent="0.3">
      <c r="I458" t="str" cm="1">
        <f t="array" ref="I458">IF(SUMPRODUCT(--(LEN(CMS_Identification!F480:F979)&gt;0))&gt;0,IF(CMS_Identification!F480="","",CMS_Identification!F480),"Add CMS to the CMS_Identification tab")</f>
        <v>Add CMS to the CMS_Identification tab</v>
      </c>
      <c r="J458" t="str">
        <f>IF(CMS_Identification!B480="","",CMS_Identification!B480)</f>
        <v/>
      </c>
      <c r="K458" t="str">
        <f>IF(COUNTIF(I$2:I458,I458)=1,I458,"")</f>
        <v/>
      </c>
      <c r="L458" t="str">
        <f>+IF(K458="","",MAX(L$1:L457)+1)</f>
        <v/>
      </c>
      <c r="M458" t="str">
        <f t="shared" si="8"/>
        <v/>
      </c>
      <c r="R458" t="str">
        <f>IF(CMS_Identification!B480="","",CMS_Identification!B480)</f>
        <v/>
      </c>
      <c r="S458" t="str">
        <f>IF(CMS_Identification!F480="","",CMS_Identification!F480)</f>
        <v/>
      </c>
      <c r="T458" s="106" t="str">
        <f>IF(CMS_Identification!D480="","",CMS_Identification!D480)</f>
        <v/>
      </c>
    </row>
    <row r="459" spans="9:20" x14ac:dyDescent="0.3">
      <c r="I459" t="str" cm="1">
        <f t="array" ref="I459">IF(SUMPRODUCT(--(LEN(CMS_Identification!F481:F980)&gt;0))&gt;0,IF(CMS_Identification!F481="","",CMS_Identification!F481),"Add CMS to the CMS_Identification tab")</f>
        <v>Add CMS to the CMS_Identification tab</v>
      </c>
      <c r="J459" t="str">
        <f>IF(CMS_Identification!B481="","",CMS_Identification!B481)</f>
        <v/>
      </c>
      <c r="K459" t="str">
        <f>IF(COUNTIF(I$2:I459,I459)=1,I459,"")</f>
        <v/>
      </c>
      <c r="L459" t="str">
        <f>+IF(K459="","",MAX(L$1:L458)+1)</f>
        <v/>
      </c>
      <c r="M459" t="str">
        <f t="shared" si="8"/>
        <v/>
      </c>
      <c r="R459" t="str">
        <f>IF(CMS_Identification!B481="","",CMS_Identification!B481)</f>
        <v/>
      </c>
      <c r="S459" t="str">
        <f>IF(CMS_Identification!F481="","",CMS_Identification!F481)</f>
        <v/>
      </c>
      <c r="T459" s="106" t="str">
        <f>IF(CMS_Identification!D481="","",CMS_Identification!D481)</f>
        <v/>
      </c>
    </row>
    <row r="460" spans="9:20" x14ac:dyDescent="0.3">
      <c r="I460" t="str" cm="1">
        <f t="array" ref="I460">IF(SUMPRODUCT(--(LEN(CMS_Identification!F482:F981)&gt;0))&gt;0,IF(CMS_Identification!F482="","",CMS_Identification!F482),"Add CMS to the CMS_Identification tab")</f>
        <v>Add CMS to the CMS_Identification tab</v>
      </c>
      <c r="J460" t="str">
        <f>IF(CMS_Identification!B482="","",CMS_Identification!B482)</f>
        <v/>
      </c>
      <c r="K460" t="str">
        <f>IF(COUNTIF(I$2:I460,I460)=1,I460,"")</f>
        <v/>
      </c>
      <c r="L460" t="str">
        <f>+IF(K460="","",MAX(L$1:L459)+1)</f>
        <v/>
      </c>
      <c r="M460" t="str">
        <f t="shared" si="8"/>
        <v/>
      </c>
      <c r="R460" t="str">
        <f>IF(CMS_Identification!B482="","",CMS_Identification!B482)</f>
        <v/>
      </c>
      <c r="S460" t="str">
        <f>IF(CMS_Identification!F482="","",CMS_Identification!F482)</f>
        <v/>
      </c>
      <c r="T460" s="106" t="str">
        <f>IF(CMS_Identification!D482="","",CMS_Identification!D482)</f>
        <v/>
      </c>
    </row>
    <row r="461" spans="9:20" x14ac:dyDescent="0.3">
      <c r="I461" t="str" cm="1">
        <f t="array" ref="I461">IF(SUMPRODUCT(--(LEN(CMS_Identification!F483:F982)&gt;0))&gt;0,IF(CMS_Identification!F483="","",CMS_Identification!F483),"Add CMS to the CMS_Identification tab")</f>
        <v>Add CMS to the CMS_Identification tab</v>
      </c>
      <c r="J461" t="str">
        <f>IF(CMS_Identification!B483="","",CMS_Identification!B483)</f>
        <v/>
      </c>
      <c r="K461" t="str">
        <f>IF(COUNTIF(I$2:I461,I461)=1,I461,"")</f>
        <v/>
      </c>
      <c r="L461" t="str">
        <f>+IF(K461="","",MAX(L$1:L460)+1)</f>
        <v/>
      </c>
      <c r="M461" t="str">
        <f t="shared" si="8"/>
        <v/>
      </c>
      <c r="R461" t="str">
        <f>IF(CMS_Identification!B483="","",CMS_Identification!B483)</f>
        <v/>
      </c>
      <c r="S461" t="str">
        <f>IF(CMS_Identification!F483="","",CMS_Identification!F483)</f>
        <v/>
      </c>
      <c r="T461" s="106" t="str">
        <f>IF(CMS_Identification!D483="","",CMS_Identification!D483)</f>
        <v/>
      </c>
    </row>
    <row r="462" spans="9:20" x14ac:dyDescent="0.3">
      <c r="I462" t="str" cm="1">
        <f t="array" ref="I462">IF(SUMPRODUCT(--(LEN(CMS_Identification!F484:F983)&gt;0))&gt;0,IF(CMS_Identification!F484="","",CMS_Identification!F484),"Add CMS to the CMS_Identification tab")</f>
        <v>Add CMS to the CMS_Identification tab</v>
      </c>
      <c r="J462" t="str">
        <f>IF(CMS_Identification!B484="","",CMS_Identification!B484)</f>
        <v/>
      </c>
      <c r="K462" t="str">
        <f>IF(COUNTIF(I$2:I462,I462)=1,I462,"")</f>
        <v/>
      </c>
      <c r="L462" t="str">
        <f>+IF(K462="","",MAX(L$1:L461)+1)</f>
        <v/>
      </c>
      <c r="M462" t="str">
        <f t="shared" si="8"/>
        <v/>
      </c>
      <c r="R462" t="str">
        <f>IF(CMS_Identification!B484="","",CMS_Identification!B484)</f>
        <v/>
      </c>
      <c r="S462" t="str">
        <f>IF(CMS_Identification!F484="","",CMS_Identification!F484)</f>
        <v/>
      </c>
      <c r="T462" s="106" t="str">
        <f>IF(CMS_Identification!D484="","",CMS_Identification!D484)</f>
        <v/>
      </c>
    </row>
    <row r="463" spans="9:20" x14ac:dyDescent="0.3">
      <c r="I463" t="str" cm="1">
        <f t="array" ref="I463">IF(SUMPRODUCT(--(LEN(CMS_Identification!F485:F984)&gt;0))&gt;0,IF(CMS_Identification!F485="","",CMS_Identification!F485),"Add CMS to the CMS_Identification tab")</f>
        <v>Add CMS to the CMS_Identification tab</v>
      </c>
      <c r="J463" t="str">
        <f>IF(CMS_Identification!B485="","",CMS_Identification!B485)</f>
        <v/>
      </c>
      <c r="K463" t="str">
        <f>IF(COUNTIF(I$2:I463,I463)=1,I463,"")</f>
        <v/>
      </c>
      <c r="L463" t="str">
        <f>+IF(K463="","",MAX(L$1:L462)+1)</f>
        <v/>
      </c>
      <c r="M463" t="str">
        <f t="shared" si="8"/>
        <v/>
      </c>
      <c r="R463" t="str">
        <f>IF(CMS_Identification!B485="","",CMS_Identification!B485)</f>
        <v/>
      </c>
      <c r="S463" t="str">
        <f>IF(CMS_Identification!F485="","",CMS_Identification!F485)</f>
        <v/>
      </c>
      <c r="T463" s="106" t="str">
        <f>IF(CMS_Identification!D485="","",CMS_Identification!D485)</f>
        <v/>
      </c>
    </row>
    <row r="464" spans="9:20" x14ac:dyDescent="0.3">
      <c r="I464" t="str" cm="1">
        <f t="array" ref="I464">IF(SUMPRODUCT(--(LEN(CMS_Identification!F486:F985)&gt;0))&gt;0,IF(CMS_Identification!F486="","",CMS_Identification!F486),"Add CMS to the CMS_Identification tab")</f>
        <v>Add CMS to the CMS_Identification tab</v>
      </c>
      <c r="J464" t="str">
        <f>IF(CMS_Identification!B486="","",CMS_Identification!B486)</f>
        <v/>
      </c>
      <c r="K464" t="str">
        <f>IF(COUNTIF(I$2:I464,I464)=1,I464,"")</f>
        <v/>
      </c>
      <c r="L464" t="str">
        <f>+IF(K464="","",MAX(L$1:L463)+1)</f>
        <v/>
      </c>
      <c r="M464" t="str">
        <f t="shared" si="8"/>
        <v/>
      </c>
      <c r="R464" t="str">
        <f>IF(CMS_Identification!B486="","",CMS_Identification!B486)</f>
        <v/>
      </c>
      <c r="S464" t="str">
        <f>IF(CMS_Identification!F486="","",CMS_Identification!F486)</f>
        <v/>
      </c>
      <c r="T464" s="106" t="str">
        <f>IF(CMS_Identification!D486="","",CMS_Identification!D486)</f>
        <v/>
      </c>
    </row>
    <row r="465" spans="9:20" x14ac:dyDescent="0.3">
      <c r="I465" t="str" cm="1">
        <f t="array" ref="I465">IF(SUMPRODUCT(--(LEN(CMS_Identification!F487:F986)&gt;0))&gt;0,IF(CMS_Identification!F487="","",CMS_Identification!F487),"Add CMS to the CMS_Identification tab")</f>
        <v>Add CMS to the CMS_Identification tab</v>
      </c>
      <c r="J465" t="str">
        <f>IF(CMS_Identification!B487="","",CMS_Identification!B487)</f>
        <v/>
      </c>
      <c r="K465" t="str">
        <f>IF(COUNTIF(I$2:I465,I465)=1,I465,"")</f>
        <v/>
      </c>
      <c r="L465" t="str">
        <f>+IF(K465="","",MAX(L$1:L464)+1)</f>
        <v/>
      </c>
      <c r="M465" t="str">
        <f t="shared" si="8"/>
        <v/>
      </c>
      <c r="R465" t="str">
        <f>IF(CMS_Identification!B487="","",CMS_Identification!B487)</f>
        <v/>
      </c>
      <c r="S465" t="str">
        <f>IF(CMS_Identification!F487="","",CMS_Identification!F487)</f>
        <v/>
      </c>
      <c r="T465" s="106" t="str">
        <f>IF(CMS_Identification!D487="","",CMS_Identification!D487)</f>
        <v/>
      </c>
    </row>
    <row r="466" spans="9:20" x14ac:dyDescent="0.3">
      <c r="I466" t="str" cm="1">
        <f t="array" ref="I466">IF(SUMPRODUCT(--(LEN(CMS_Identification!F488:F987)&gt;0))&gt;0,IF(CMS_Identification!F488="","",CMS_Identification!F488),"Add CMS to the CMS_Identification tab")</f>
        <v>Add CMS to the CMS_Identification tab</v>
      </c>
      <c r="J466" t="str">
        <f>IF(CMS_Identification!B488="","",CMS_Identification!B488)</f>
        <v/>
      </c>
      <c r="K466" t="str">
        <f>IF(COUNTIF(I$2:I466,I466)=1,I466,"")</f>
        <v/>
      </c>
      <c r="L466" t="str">
        <f>+IF(K466="","",MAX(L$1:L465)+1)</f>
        <v/>
      </c>
      <c r="M466" t="str">
        <f t="shared" si="8"/>
        <v/>
      </c>
      <c r="R466" t="str">
        <f>IF(CMS_Identification!B488="","",CMS_Identification!B488)</f>
        <v/>
      </c>
      <c r="S466" t="str">
        <f>IF(CMS_Identification!F488="","",CMS_Identification!F488)</f>
        <v/>
      </c>
      <c r="T466" s="106" t="str">
        <f>IF(CMS_Identification!D488="","",CMS_Identification!D488)</f>
        <v/>
      </c>
    </row>
    <row r="467" spans="9:20" x14ac:dyDescent="0.3">
      <c r="I467" t="str" cm="1">
        <f t="array" ref="I467">IF(SUMPRODUCT(--(LEN(CMS_Identification!F489:F988)&gt;0))&gt;0,IF(CMS_Identification!F489="","",CMS_Identification!F489),"Add CMS to the CMS_Identification tab")</f>
        <v>Add CMS to the CMS_Identification tab</v>
      </c>
      <c r="J467" t="str">
        <f>IF(CMS_Identification!B489="","",CMS_Identification!B489)</f>
        <v/>
      </c>
      <c r="K467" t="str">
        <f>IF(COUNTIF(I$2:I467,I467)=1,I467,"")</f>
        <v/>
      </c>
      <c r="L467" t="str">
        <f>+IF(K467="","",MAX(L$1:L466)+1)</f>
        <v/>
      </c>
      <c r="M467" t="str">
        <f t="shared" si="8"/>
        <v/>
      </c>
      <c r="R467" t="str">
        <f>IF(CMS_Identification!B489="","",CMS_Identification!B489)</f>
        <v/>
      </c>
      <c r="S467" t="str">
        <f>IF(CMS_Identification!F489="","",CMS_Identification!F489)</f>
        <v/>
      </c>
      <c r="T467" s="106" t="str">
        <f>IF(CMS_Identification!D489="","",CMS_Identification!D489)</f>
        <v/>
      </c>
    </row>
    <row r="468" spans="9:20" x14ac:dyDescent="0.3">
      <c r="I468" t="str" cm="1">
        <f t="array" ref="I468">IF(SUMPRODUCT(--(LEN(CMS_Identification!F490:F989)&gt;0))&gt;0,IF(CMS_Identification!F490="","",CMS_Identification!F490),"Add CMS to the CMS_Identification tab")</f>
        <v>Add CMS to the CMS_Identification tab</v>
      </c>
      <c r="J468" t="str">
        <f>IF(CMS_Identification!B490="","",CMS_Identification!B490)</f>
        <v/>
      </c>
      <c r="K468" t="str">
        <f>IF(COUNTIF(I$2:I468,I468)=1,I468,"")</f>
        <v/>
      </c>
      <c r="L468" t="str">
        <f>+IF(K468="","",MAX(L$1:L467)+1)</f>
        <v/>
      </c>
      <c r="M468" t="str">
        <f t="shared" si="8"/>
        <v/>
      </c>
      <c r="R468" t="str">
        <f>IF(CMS_Identification!B490="","",CMS_Identification!B490)</f>
        <v/>
      </c>
      <c r="S468" t="str">
        <f>IF(CMS_Identification!F490="","",CMS_Identification!F490)</f>
        <v/>
      </c>
      <c r="T468" s="106" t="str">
        <f>IF(CMS_Identification!D490="","",CMS_Identification!D490)</f>
        <v/>
      </c>
    </row>
    <row r="469" spans="9:20" x14ac:dyDescent="0.3">
      <c r="I469" t="str" cm="1">
        <f t="array" ref="I469">IF(SUMPRODUCT(--(LEN(CMS_Identification!F491:F990)&gt;0))&gt;0,IF(CMS_Identification!F491="","",CMS_Identification!F491),"Add CMS to the CMS_Identification tab")</f>
        <v>Add CMS to the CMS_Identification tab</v>
      </c>
      <c r="J469" t="str">
        <f>IF(CMS_Identification!B491="","",CMS_Identification!B491)</f>
        <v/>
      </c>
      <c r="K469" t="str">
        <f>IF(COUNTIF(I$2:I469,I469)=1,I469,"")</f>
        <v/>
      </c>
      <c r="L469" t="str">
        <f>+IF(K469="","",MAX(L$1:L468)+1)</f>
        <v/>
      </c>
      <c r="M469" t="str">
        <f t="shared" si="8"/>
        <v/>
      </c>
      <c r="R469" t="str">
        <f>IF(CMS_Identification!B491="","",CMS_Identification!B491)</f>
        <v/>
      </c>
      <c r="S469" t="str">
        <f>IF(CMS_Identification!F491="","",CMS_Identification!F491)</f>
        <v/>
      </c>
      <c r="T469" s="106" t="str">
        <f>IF(CMS_Identification!D491="","",CMS_Identification!D491)</f>
        <v/>
      </c>
    </row>
    <row r="470" spans="9:20" x14ac:dyDescent="0.3">
      <c r="I470" t="str" cm="1">
        <f t="array" ref="I470">IF(SUMPRODUCT(--(LEN(CMS_Identification!F492:F991)&gt;0))&gt;0,IF(CMS_Identification!F492="","",CMS_Identification!F492),"Add CMS to the CMS_Identification tab")</f>
        <v>Add CMS to the CMS_Identification tab</v>
      </c>
      <c r="J470" t="str">
        <f>IF(CMS_Identification!B492="","",CMS_Identification!B492)</f>
        <v/>
      </c>
      <c r="K470" t="str">
        <f>IF(COUNTIF(I$2:I470,I470)=1,I470,"")</f>
        <v/>
      </c>
      <c r="L470" t="str">
        <f>+IF(K470="","",MAX(L$1:L469)+1)</f>
        <v/>
      </c>
      <c r="M470" t="str">
        <f t="shared" si="8"/>
        <v/>
      </c>
      <c r="R470" t="str">
        <f>IF(CMS_Identification!B492="","",CMS_Identification!B492)</f>
        <v/>
      </c>
      <c r="S470" t="str">
        <f>IF(CMS_Identification!F492="","",CMS_Identification!F492)</f>
        <v/>
      </c>
      <c r="T470" s="106" t="str">
        <f>IF(CMS_Identification!D492="","",CMS_Identification!D492)</f>
        <v/>
      </c>
    </row>
    <row r="471" spans="9:20" x14ac:dyDescent="0.3">
      <c r="I471" t="str" cm="1">
        <f t="array" ref="I471">IF(SUMPRODUCT(--(LEN(CMS_Identification!F493:F992)&gt;0))&gt;0,IF(CMS_Identification!F493="","",CMS_Identification!F493),"Add CMS to the CMS_Identification tab")</f>
        <v>Add CMS to the CMS_Identification tab</v>
      </c>
      <c r="J471" t="str">
        <f>IF(CMS_Identification!B493="","",CMS_Identification!B493)</f>
        <v/>
      </c>
      <c r="K471" t="str">
        <f>IF(COUNTIF(I$2:I471,I471)=1,I471,"")</f>
        <v/>
      </c>
      <c r="L471" t="str">
        <f>+IF(K471="","",MAX(L$1:L470)+1)</f>
        <v/>
      </c>
      <c r="M471" t="str">
        <f t="shared" si="8"/>
        <v/>
      </c>
      <c r="R471" t="str">
        <f>IF(CMS_Identification!B493="","",CMS_Identification!B493)</f>
        <v/>
      </c>
      <c r="S471" t="str">
        <f>IF(CMS_Identification!F493="","",CMS_Identification!F493)</f>
        <v/>
      </c>
      <c r="T471" s="106" t="str">
        <f>IF(CMS_Identification!D493="","",CMS_Identification!D493)</f>
        <v/>
      </c>
    </row>
    <row r="472" spans="9:20" x14ac:dyDescent="0.3">
      <c r="I472" t="str" cm="1">
        <f t="array" ref="I472">IF(SUMPRODUCT(--(LEN(CMS_Identification!F494:F993)&gt;0))&gt;0,IF(CMS_Identification!F494="","",CMS_Identification!F494),"Add CMS to the CMS_Identification tab")</f>
        <v>Add CMS to the CMS_Identification tab</v>
      </c>
      <c r="J472" t="str">
        <f>IF(CMS_Identification!B494="","",CMS_Identification!B494)</f>
        <v/>
      </c>
      <c r="K472" t="str">
        <f>IF(COUNTIF(I$2:I472,I472)=1,I472,"")</f>
        <v/>
      </c>
      <c r="L472" t="str">
        <f>+IF(K472="","",MAX(L$1:L471)+1)</f>
        <v/>
      </c>
      <c r="M472" t="str">
        <f t="shared" si="8"/>
        <v/>
      </c>
      <c r="R472" t="str">
        <f>IF(CMS_Identification!B494="","",CMS_Identification!B494)</f>
        <v/>
      </c>
      <c r="S472" t="str">
        <f>IF(CMS_Identification!F494="","",CMS_Identification!F494)</f>
        <v/>
      </c>
      <c r="T472" s="106" t="str">
        <f>IF(CMS_Identification!D494="","",CMS_Identification!D494)</f>
        <v/>
      </c>
    </row>
    <row r="473" spans="9:20" x14ac:dyDescent="0.3">
      <c r="I473" t="str" cm="1">
        <f t="array" ref="I473">IF(SUMPRODUCT(--(LEN(CMS_Identification!F495:F994)&gt;0))&gt;0,IF(CMS_Identification!F495="","",CMS_Identification!F495),"Add CMS to the CMS_Identification tab")</f>
        <v>Add CMS to the CMS_Identification tab</v>
      </c>
      <c r="J473" t="str">
        <f>IF(CMS_Identification!B495="","",CMS_Identification!B495)</f>
        <v/>
      </c>
      <c r="K473" t="str">
        <f>IF(COUNTIF(I$2:I473,I473)=1,I473,"")</f>
        <v/>
      </c>
      <c r="L473" t="str">
        <f>+IF(K473="","",MAX(L$1:L472)+1)</f>
        <v/>
      </c>
      <c r="M473" t="str">
        <f t="shared" si="8"/>
        <v/>
      </c>
      <c r="R473" t="str">
        <f>IF(CMS_Identification!B495="","",CMS_Identification!B495)</f>
        <v/>
      </c>
      <c r="S473" t="str">
        <f>IF(CMS_Identification!F495="","",CMS_Identification!F495)</f>
        <v/>
      </c>
      <c r="T473" s="106" t="str">
        <f>IF(CMS_Identification!D495="","",CMS_Identification!D495)</f>
        <v/>
      </c>
    </row>
    <row r="474" spans="9:20" x14ac:dyDescent="0.3">
      <c r="I474" t="str" cm="1">
        <f t="array" ref="I474">IF(SUMPRODUCT(--(LEN(CMS_Identification!F496:F995)&gt;0))&gt;0,IF(CMS_Identification!F496="","",CMS_Identification!F496),"Add CMS to the CMS_Identification tab")</f>
        <v>Add CMS to the CMS_Identification tab</v>
      </c>
      <c r="J474" t="str">
        <f>IF(CMS_Identification!B496="","",CMS_Identification!B496)</f>
        <v/>
      </c>
      <c r="K474" t="str">
        <f>IF(COUNTIF(I$2:I474,I474)=1,I474,"")</f>
        <v/>
      </c>
      <c r="L474" t="str">
        <f>+IF(K474="","",MAX(L$1:L473)+1)</f>
        <v/>
      </c>
      <c r="M474" t="str">
        <f t="shared" si="8"/>
        <v/>
      </c>
      <c r="R474" t="str">
        <f>IF(CMS_Identification!B496="","",CMS_Identification!B496)</f>
        <v/>
      </c>
      <c r="S474" t="str">
        <f>IF(CMS_Identification!F496="","",CMS_Identification!F496)</f>
        <v/>
      </c>
      <c r="T474" s="106" t="str">
        <f>IF(CMS_Identification!D496="","",CMS_Identification!D496)</f>
        <v/>
      </c>
    </row>
    <row r="475" spans="9:20" x14ac:dyDescent="0.3">
      <c r="I475" t="str" cm="1">
        <f t="array" ref="I475">IF(SUMPRODUCT(--(LEN(CMS_Identification!F497:F996)&gt;0))&gt;0,IF(CMS_Identification!F497="","",CMS_Identification!F497),"Add CMS to the CMS_Identification tab")</f>
        <v>Add CMS to the CMS_Identification tab</v>
      </c>
      <c r="J475" t="str">
        <f>IF(CMS_Identification!B497="","",CMS_Identification!B497)</f>
        <v/>
      </c>
      <c r="K475" t="str">
        <f>IF(COUNTIF(I$2:I475,I475)=1,I475,"")</f>
        <v/>
      </c>
      <c r="L475" t="str">
        <f>+IF(K475="","",MAX(L$1:L474)+1)</f>
        <v/>
      </c>
      <c r="M475" t="str">
        <f t="shared" si="8"/>
        <v/>
      </c>
      <c r="R475" t="str">
        <f>IF(CMS_Identification!B497="","",CMS_Identification!B497)</f>
        <v/>
      </c>
      <c r="S475" t="str">
        <f>IF(CMS_Identification!F497="","",CMS_Identification!F497)</f>
        <v/>
      </c>
      <c r="T475" s="106" t="str">
        <f>IF(CMS_Identification!D497="","",CMS_Identification!D497)</f>
        <v/>
      </c>
    </row>
    <row r="476" spans="9:20" x14ac:dyDescent="0.3">
      <c r="I476" t="str" cm="1">
        <f t="array" ref="I476">IF(SUMPRODUCT(--(LEN(CMS_Identification!F498:F997)&gt;0))&gt;0,IF(CMS_Identification!F498="","",CMS_Identification!F498),"Add CMS to the CMS_Identification tab")</f>
        <v>Add CMS to the CMS_Identification tab</v>
      </c>
      <c r="J476" t="str">
        <f>IF(CMS_Identification!B498="","",CMS_Identification!B498)</f>
        <v/>
      </c>
      <c r="K476" t="str">
        <f>IF(COUNTIF(I$2:I476,I476)=1,I476,"")</f>
        <v/>
      </c>
      <c r="L476" t="str">
        <f>+IF(K476="","",MAX(L$1:L475)+1)</f>
        <v/>
      </c>
      <c r="M476" t="str">
        <f t="shared" si="8"/>
        <v/>
      </c>
      <c r="R476" t="str">
        <f>IF(CMS_Identification!B498="","",CMS_Identification!B498)</f>
        <v/>
      </c>
      <c r="S476" t="str">
        <f>IF(CMS_Identification!F498="","",CMS_Identification!F498)</f>
        <v/>
      </c>
      <c r="T476" s="106" t="str">
        <f>IF(CMS_Identification!D498="","",CMS_Identification!D498)</f>
        <v/>
      </c>
    </row>
    <row r="477" spans="9:20" x14ac:dyDescent="0.3">
      <c r="I477" t="str" cm="1">
        <f t="array" ref="I477">IF(SUMPRODUCT(--(LEN(CMS_Identification!F499:F998)&gt;0))&gt;0,IF(CMS_Identification!F499="","",CMS_Identification!F499),"Add CMS to the CMS_Identification tab")</f>
        <v>Add CMS to the CMS_Identification tab</v>
      </c>
      <c r="J477" t="str">
        <f>IF(CMS_Identification!B499="","",CMS_Identification!B499)</f>
        <v/>
      </c>
      <c r="K477" t="str">
        <f>IF(COUNTIF(I$2:I477,I477)=1,I477,"")</f>
        <v/>
      </c>
      <c r="L477" t="str">
        <f>+IF(K477="","",MAX(L$1:L476)+1)</f>
        <v/>
      </c>
      <c r="M477" t="str">
        <f t="shared" si="8"/>
        <v/>
      </c>
      <c r="R477" t="str">
        <f>IF(CMS_Identification!B499="","",CMS_Identification!B499)</f>
        <v/>
      </c>
      <c r="S477" t="str">
        <f>IF(CMS_Identification!F499="","",CMS_Identification!F499)</f>
        <v/>
      </c>
      <c r="T477" s="106" t="str">
        <f>IF(CMS_Identification!D499="","",CMS_Identification!D499)</f>
        <v/>
      </c>
    </row>
    <row r="478" spans="9:20" x14ac:dyDescent="0.3">
      <c r="I478" t="str" cm="1">
        <f t="array" ref="I478">IF(SUMPRODUCT(--(LEN(CMS_Identification!F500:F999)&gt;0))&gt;0,IF(CMS_Identification!F500="","",CMS_Identification!F500),"Add CMS to the CMS_Identification tab")</f>
        <v>Add CMS to the CMS_Identification tab</v>
      </c>
      <c r="J478" t="str">
        <f>IF(CMS_Identification!B500="","",CMS_Identification!B500)</f>
        <v/>
      </c>
      <c r="K478" t="str">
        <f>IF(COUNTIF(I$2:I478,I478)=1,I478,"")</f>
        <v/>
      </c>
      <c r="L478" t="str">
        <f>+IF(K478="","",MAX(L$1:L477)+1)</f>
        <v/>
      </c>
      <c r="M478" t="str">
        <f t="shared" si="8"/>
        <v/>
      </c>
      <c r="R478" t="str">
        <f>IF(CMS_Identification!B500="","",CMS_Identification!B500)</f>
        <v/>
      </c>
      <c r="S478" t="str">
        <f>IF(CMS_Identification!F500="","",CMS_Identification!F500)</f>
        <v/>
      </c>
      <c r="T478" s="106" t="str">
        <f>IF(CMS_Identification!D500="","",CMS_Identification!D500)</f>
        <v/>
      </c>
    </row>
    <row r="479" spans="9:20" x14ac:dyDescent="0.3">
      <c r="I479" t="str" cm="1">
        <f t="array" ref="I479">IF(SUMPRODUCT(--(LEN(CMS_Identification!F501:F1000)&gt;0))&gt;0,IF(CMS_Identification!F501="","",CMS_Identification!F501),"Add CMS to the CMS_Identification tab")</f>
        <v>Add CMS to the CMS_Identification tab</v>
      </c>
      <c r="J479" t="str">
        <f>IF(CMS_Identification!B501="","",CMS_Identification!B501)</f>
        <v/>
      </c>
      <c r="K479" t="str">
        <f>IF(COUNTIF(I$2:I479,I479)=1,I479,"")</f>
        <v/>
      </c>
      <c r="L479" t="str">
        <f>+IF(K479="","",MAX(L$1:L478)+1)</f>
        <v/>
      </c>
      <c r="M479" t="str">
        <f t="shared" si="8"/>
        <v/>
      </c>
      <c r="R479" t="str">
        <f>IF(CMS_Identification!B501="","",CMS_Identification!B501)</f>
        <v/>
      </c>
      <c r="S479" t="str">
        <f>IF(CMS_Identification!F501="","",CMS_Identification!F501)</f>
        <v/>
      </c>
      <c r="T479" s="106" t="str">
        <f>IF(CMS_Identification!D501="","",CMS_Identification!D501)</f>
        <v/>
      </c>
    </row>
    <row r="480" spans="9:20" x14ac:dyDescent="0.3">
      <c r="I480" t="str" cm="1">
        <f t="array" ref="I480">IF(SUMPRODUCT(--(LEN(CMS_Identification!F502:F1001)&gt;0))&gt;0,IF(CMS_Identification!F502="","",CMS_Identification!F502),"Add CMS to the CMS_Identification tab")</f>
        <v>Add CMS to the CMS_Identification tab</v>
      </c>
      <c r="J480" t="str">
        <f>IF(CMS_Identification!B502="","",CMS_Identification!B502)</f>
        <v/>
      </c>
      <c r="K480" t="str">
        <f>IF(COUNTIF(I$2:I480,I480)=1,I480,"")</f>
        <v/>
      </c>
      <c r="L480" t="str">
        <f>+IF(K480="","",MAX(L$1:L479)+1)</f>
        <v/>
      </c>
      <c r="M480" t="str">
        <f t="shared" si="8"/>
        <v/>
      </c>
      <c r="R480" t="str">
        <f>IF(CMS_Identification!B502="","",CMS_Identification!B502)</f>
        <v/>
      </c>
      <c r="S480" t="str">
        <f>IF(CMS_Identification!F502="","",CMS_Identification!F502)</f>
        <v/>
      </c>
      <c r="T480" s="106" t="str">
        <f>IF(CMS_Identification!D502="","",CMS_Identification!D502)</f>
        <v/>
      </c>
    </row>
    <row r="481" spans="9:20" x14ac:dyDescent="0.3">
      <c r="I481" t="str" cm="1">
        <f t="array" ref="I481">IF(SUMPRODUCT(--(LEN(CMS_Identification!F503:F1002)&gt;0))&gt;0,IF(CMS_Identification!F503="","",CMS_Identification!F503),"Add CMS to the CMS_Identification tab")</f>
        <v>Add CMS to the CMS_Identification tab</v>
      </c>
      <c r="J481" t="str">
        <f>IF(CMS_Identification!B503="","",CMS_Identification!B503)</f>
        <v/>
      </c>
      <c r="K481" t="str">
        <f>IF(COUNTIF(I$2:I481,I481)=1,I481,"")</f>
        <v/>
      </c>
      <c r="L481" t="str">
        <f>+IF(K481="","",MAX(L$1:L480)+1)</f>
        <v/>
      </c>
      <c r="M481" t="str">
        <f t="shared" si="8"/>
        <v/>
      </c>
      <c r="R481" t="str">
        <f>IF(CMS_Identification!B503="","",CMS_Identification!B503)</f>
        <v/>
      </c>
      <c r="S481" t="str">
        <f>IF(CMS_Identification!F503="","",CMS_Identification!F503)</f>
        <v/>
      </c>
      <c r="T481" s="106" t="str">
        <f>IF(CMS_Identification!D503="","",CMS_Identification!D503)</f>
        <v/>
      </c>
    </row>
    <row r="482" spans="9:20" x14ac:dyDescent="0.3">
      <c r="I482" t="str" cm="1">
        <f t="array" ref="I482">IF(SUMPRODUCT(--(LEN(CMS_Identification!F504:F1003)&gt;0))&gt;0,IF(CMS_Identification!F504="","",CMS_Identification!F504),"Add CMS to the CMS_Identification tab")</f>
        <v>Add CMS to the CMS_Identification tab</v>
      </c>
      <c r="J482" t="str">
        <f>IF(CMS_Identification!B504="","",CMS_Identification!B504)</f>
        <v/>
      </c>
      <c r="K482" t="str">
        <f>IF(COUNTIF(I$2:I482,I482)=1,I482,"")</f>
        <v/>
      </c>
      <c r="L482" t="str">
        <f>+IF(K482="","",MAX(L$1:L481)+1)</f>
        <v/>
      </c>
      <c r="M482" t="str">
        <f t="shared" si="8"/>
        <v/>
      </c>
      <c r="R482" t="str">
        <f>IF(CMS_Identification!B504="","",CMS_Identification!B504)</f>
        <v/>
      </c>
      <c r="S482" t="str">
        <f>IF(CMS_Identification!F504="","",CMS_Identification!F504)</f>
        <v/>
      </c>
      <c r="T482" s="106" t="str">
        <f>IF(CMS_Identification!D504="","",CMS_Identification!D504)</f>
        <v/>
      </c>
    </row>
    <row r="483" spans="9:20" x14ac:dyDescent="0.3">
      <c r="I483" t="str" cm="1">
        <f t="array" ref="I483">IF(SUMPRODUCT(--(LEN(CMS_Identification!F505:F1004)&gt;0))&gt;0,IF(CMS_Identification!F505="","",CMS_Identification!F505),"Add CMS to the CMS_Identification tab")</f>
        <v>Add CMS to the CMS_Identification tab</v>
      </c>
      <c r="J483" t="str">
        <f>IF(CMS_Identification!B505="","",CMS_Identification!B505)</f>
        <v/>
      </c>
      <c r="K483" t="str">
        <f>IF(COUNTIF(I$2:I483,I483)=1,I483,"")</f>
        <v/>
      </c>
      <c r="L483" t="str">
        <f>+IF(K483="","",MAX(L$1:L482)+1)</f>
        <v/>
      </c>
      <c r="M483" t="str">
        <f t="shared" si="8"/>
        <v/>
      </c>
      <c r="R483" t="str">
        <f>IF(CMS_Identification!B505="","",CMS_Identification!B505)</f>
        <v/>
      </c>
      <c r="S483" t="str">
        <f>IF(CMS_Identification!F505="","",CMS_Identification!F505)</f>
        <v/>
      </c>
      <c r="T483" s="106" t="str">
        <f>IF(CMS_Identification!D505="","",CMS_Identification!D505)</f>
        <v/>
      </c>
    </row>
    <row r="484" spans="9:20" x14ac:dyDescent="0.3">
      <c r="I484" t="str" cm="1">
        <f t="array" ref="I484">IF(SUMPRODUCT(--(LEN(CMS_Identification!F506:F1005)&gt;0))&gt;0,IF(CMS_Identification!F506="","",CMS_Identification!F506),"Add CMS to the CMS_Identification tab")</f>
        <v>Add CMS to the CMS_Identification tab</v>
      </c>
      <c r="J484" t="str">
        <f>IF(CMS_Identification!B506="","",CMS_Identification!B506)</f>
        <v/>
      </c>
      <c r="K484" t="str">
        <f>IF(COUNTIF(I$2:I484,I484)=1,I484,"")</f>
        <v/>
      </c>
      <c r="L484" t="str">
        <f>+IF(K484="","",MAX(L$1:L483)+1)</f>
        <v/>
      </c>
      <c r="M484" t="str">
        <f t="shared" si="8"/>
        <v/>
      </c>
      <c r="R484" t="str">
        <f>IF(CMS_Identification!B506="","",CMS_Identification!B506)</f>
        <v/>
      </c>
      <c r="S484" t="str">
        <f>IF(CMS_Identification!F506="","",CMS_Identification!F506)</f>
        <v/>
      </c>
      <c r="T484" s="106" t="str">
        <f>IF(CMS_Identification!D506="","",CMS_Identification!D506)</f>
        <v/>
      </c>
    </row>
    <row r="485" spans="9:20" x14ac:dyDescent="0.3">
      <c r="I485" t="str" cm="1">
        <f t="array" ref="I485">IF(SUMPRODUCT(--(LEN(CMS_Identification!F507:F1006)&gt;0))&gt;0,IF(CMS_Identification!F507="","",CMS_Identification!F507),"Add CMS to the CMS_Identification tab")</f>
        <v>Add CMS to the CMS_Identification tab</v>
      </c>
      <c r="J485" t="str">
        <f>IF(CMS_Identification!B507="","",CMS_Identification!B507)</f>
        <v/>
      </c>
      <c r="K485" t="str">
        <f>IF(COUNTIF(I$2:I485,I485)=1,I485,"")</f>
        <v/>
      </c>
      <c r="L485" t="str">
        <f>+IF(K485="","",MAX(L$1:L484)+1)</f>
        <v/>
      </c>
      <c r="M485" t="str">
        <f t="shared" si="8"/>
        <v/>
      </c>
      <c r="R485" t="str">
        <f>IF(CMS_Identification!B507="","",CMS_Identification!B507)</f>
        <v/>
      </c>
      <c r="S485" t="str">
        <f>IF(CMS_Identification!F507="","",CMS_Identification!F507)</f>
        <v/>
      </c>
      <c r="T485" s="106" t="str">
        <f>IF(CMS_Identification!D507="","",CMS_Identification!D507)</f>
        <v/>
      </c>
    </row>
    <row r="486" spans="9:20" x14ac:dyDescent="0.3">
      <c r="I486" t="str" cm="1">
        <f t="array" ref="I486">IF(SUMPRODUCT(--(LEN(CMS_Identification!F508:F1007)&gt;0))&gt;0,IF(CMS_Identification!F508="","",CMS_Identification!F508),"Add CMS to the CMS_Identification tab")</f>
        <v>Add CMS to the CMS_Identification tab</v>
      </c>
      <c r="J486" t="str">
        <f>IF(CMS_Identification!B508="","",CMS_Identification!B508)</f>
        <v/>
      </c>
      <c r="K486" t="str">
        <f>IF(COUNTIF(I$2:I486,I486)=1,I486,"")</f>
        <v/>
      </c>
      <c r="L486" t="str">
        <f>+IF(K486="","",MAX(L$1:L485)+1)</f>
        <v/>
      </c>
      <c r="M486" t="str">
        <f t="shared" si="8"/>
        <v/>
      </c>
      <c r="R486" t="str">
        <f>IF(CMS_Identification!B508="","",CMS_Identification!B508)</f>
        <v/>
      </c>
      <c r="S486" t="str">
        <f>IF(CMS_Identification!F508="","",CMS_Identification!F508)</f>
        <v/>
      </c>
      <c r="T486" s="106" t="str">
        <f>IF(CMS_Identification!D508="","",CMS_Identification!D508)</f>
        <v/>
      </c>
    </row>
    <row r="487" spans="9:20" x14ac:dyDescent="0.3">
      <c r="I487" t="str" cm="1">
        <f t="array" ref="I487">IF(SUMPRODUCT(--(LEN(CMS_Identification!F509:F1008)&gt;0))&gt;0,IF(CMS_Identification!F509="","",CMS_Identification!F509),"Add CMS to the CMS_Identification tab")</f>
        <v>Add CMS to the CMS_Identification tab</v>
      </c>
      <c r="J487" t="str">
        <f>IF(CMS_Identification!B509="","",CMS_Identification!B509)</f>
        <v/>
      </c>
      <c r="K487" t="str">
        <f>IF(COUNTIF(I$2:I487,I487)=1,I487,"")</f>
        <v/>
      </c>
      <c r="L487" t="str">
        <f>+IF(K487="","",MAX(L$1:L486)+1)</f>
        <v/>
      </c>
      <c r="M487" t="str">
        <f t="shared" si="8"/>
        <v/>
      </c>
      <c r="R487" t="str">
        <f>IF(CMS_Identification!B509="","",CMS_Identification!B509)</f>
        <v/>
      </c>
      <c r="S487" t="str">
        <f>IF(CMS_Identification!F509="","",CMS_Identification!F509)</f>
        <v/>
      </c>
      <c r="T487" s="106" t="str">
        <f>IF(CMS_Identification!D509="","",CMS_Identification!D509)</f>
        <v/>
      </c>
    </row>
    <row r="488" spans="9:20" x14ac:dyDescent="0.3">
      <c r="I488" t="str" cm="1">
        <f t="array" ref="I488">IF(SUMPRODUCT(--(LEN(CMS_Identification!F510:F1009)&gt;0))&gt;0,IF(CMS_Identification!F510="","",CMS_Identification!F510),"Add CMS to the CMS_Identification tab")</f>
        <v>Add CMS to the CMS_Identification tab</v>
      </c>
      <c r="J488" t="str">
        <f>IF(CMS_Identification!B510="","",CMS_Identification!B510)</f>
        <v/>
      </c>
      <c r="K488" t="str">
        <f>IF(COUNTIF(I$2:I488,I488)=1,I488,"")</f>
        <v/>
      </c>
      <c r="L488" t="str">
        <f>+IF(K488="","",MAX(L$1:L487)+1)</f>
        <v/>
      </c>
      <c r="M488" t="str">
        <f t="shared" si="8"/>
        <v/>
      </c>
      <c r="R488" t="str">
        <f>IF(CMS_Identification!B510="","",CMS_Identification!B510)</f>
        <v/>
      </c>
      <c r="S488" t="str">
        <f>IF(CMS_Identification!F510="","",CMS_Identification!F510)</f>
        <v/>
      </c>
      <c r="T488" s="106" t="str">
        <f>IF(CMS_Identification!D510="","",CMS_Identification!D510)</f>
        <v/>
      </c>
    </row>
    <row r="489" spans="9:20" x14ac:dyDescent="0.3">
      <c r="I489" t="str" cm="1">
        <f t="array" ref="I489">IF(SUMPRODUCT(--(LEN(CMS_Identification!F511:F1010)&gt;0))&gt;0,IF(CMS_Identification!F511="","",CMS_Identification!F511),"Add CMS to the CMS_Identification tab")</f>
        <v>Add CMS to the CMS_Identification tab</v>
      </c>
      <c r="J489" t="str">
        <f>IF(CMS_Identification!B511="","",CMS_Identification!B511)</f>
        <v/>
      </c>
      <c r="K489" t="str">
        <f>IF(COUNTIF(I$2:I489,I489)=1,I489,"")</f>
        <v/>
      </c>
      <c r="L489" t="str">
        <f>+IF(K489="","",MAX(L$1:L488)+1)</f>
        <v/>
      </c>
      <c r="M489" t="str">
        <f t="shared" si="8"/>
        <v/>
      </c>
      <c r="R489" t="str">
        <f>IF(CMS_Identification!B511="","",CMS_Identification!B511)</f>
        <v/>
      </c>
      <c r="S489" t="str">
        <f>IF(CMS_Identification!F511="","",CMS_Identification!F511)</f>
        <v/>
      </c>
      <c r="T489" s="106" t="str">
        <f>IF(CMS_Identification!D511="","",CMS_Identification!D511)</f>
        <v/>
      </c>
    </row>
    <row r="490" spans="9:20" x14ac:dyDescent="0.3">
      <c r="I490" t="str" cm="1">
        <f t="array" ref="I490">IF(SUMPRODUCT(--(LEN(CMS_Identification!F512:F1011)&gt;0))&gt;0,IF(CMS_Identification!F512="","",CMS_Identification!F512),"Add CMS to the CMS_Identification tab")</f>
        <v>Add CMS to the CMS_Identification tab</v>
      </c>
      <c r="J490" t="str">
        <f>IF(CMS_Identification!B512="","",CMS_Identification!B512)</f>
        <v/>
      </c>
      <c r="K490" t="str">
        <f>IF(COUNTIF(I$2:I490,I490)=1,I490,"")</f>
        <v/>
      </c>
      <c r="L490" t="str">
        <f>+IF(K490="","",MAX(L$1:L489)+1)</f>
        <v/>
      </c>
      <c r="M490" t="str">
        <f t="shared" si="8"/>
        <v/>
      </c>
      <c r="R490" t="str">
        <f>IF(CMS_Identification!B512="","",CMS_Identification!B512)</f>
        <v/>
      </c>
      <c r="S490" t="str">
        <f>IF(CMS_Identification!F512="","",CMS_Identification!F512)</f>
        <v/>
      </c>
      <c r="T490" s="106" t="str">
        <f>IF(CMS_Identification!D512="","",CMS_Identification!D512)</f>
        <v/>
      </c>
    </row>
    <row r="491" spans="9:20" x14ac:dyDescent="0.3">
      <c r="I491" t="str" cm="1">
        <f t="array" ref="I491">IF(SUMPRODUCT(--(LEN(CMS_Identification!F513:F1012)&gt;0))&gt;0,IF(CMS_Identification!F513="","",CMS_Identification!F513),"Add CMS to the CMS_Identification tab")</f>
        <v>Add CMS to the CMS_Identification tab</v>
      </c>
      <c r="J491" t="str">
        <f>IF(CMS_Identification!B513="","",CMS_Identification!B513)</f>
        <v/>
      </c>
      <c r="K491" t="str">
        <f>IF(COUNTIF(I$2:I491,I491)=1,I491,"")</f>
        <v/>
      </c>
      <c r="L491" t="str">
        <f>+IF(K491="","",MAX(L$1:L490)+1)</f>
        <v/>
      </c>
      <c r="M491" t="str">
        <f t="shared" si="8"/>
        <v/>
      </c>
      <c r="R491" t="str">
        <f>IF(CMS_Identification!B513="","",CMS_Identification!B513)</f>
        <v/>
      </c>
      <c r="S491" t="str">
        <f>IF(CMS_Identification!F513="","",CMS_Identification!F513)</f>
        <v/>
      </c>
      <c r="T491" s="106" t="str">
        <f>IF(CMS_Identification!D513="","",CMS_Identification!D513)</f>
        <v/>
      </c>
    </row>
    <row r="492" spans="9:20" x14ac:dyDescent="0.3">
      <c r="I492" t="str" cm="1">
        <f t="array" ref="I492">IF(SUMPRODUCT(--(LEN(CMS_Identification!F514:F1013)&gt;0))&gt;0,IF(CMS_Identification!F514="","",CMS_Identification!F514),"Add CMS to the CMS_Identification tab")</f>
        <v>Add CMS to the CMS_Identification tab</v>
      </c>
      <c r="J492" t="str">
        <f>IF(CMS_Identification!B514="","",CMS_Identification!B514)</f>
        <v/>
      </c>
      <c r="K492" t="str">
        <f>IF(COUNTIF(I$2:I492,I492)=1,I492,"")</f>
        <v/>
      </c>
      <c r="L492" t="str">
        <f>+IF(K492="","",MAX(L$1:L491)+1)</f>
        <v/>
      </c>
      <c r="M492" t="str">
        <f t="shared" si="8"/>
        <v/>
      </c>
      <c r="R492" t="str">
        <f>IF(CMS_Identification!B514="","",CMS_Identification!B514)</f>
        <v/>
      </c>
      <c r="S492" t="str">
        <f>IF(CMS_Identification!F514="","",CMS_Identification!F514)</f>
        <v/>
      </c>
      <c r="T492" s="106" t="str">
        <f>IF(CMS_Identification!D514="","",CMS_Identification!D514)</f>
        <v/>
      </c>
    </row>
    <row r="493" spans="9:20" x14ac:dyDescent="0.3">
      <c r="I493" t="str" cm="1">
        <f t="array" ref="I493">IF(SUMPRODUCT(--(LEN(CMS_Identification!F515:F1014)&gt;0))&gt;0,IF(CMS_Identification!F515="","",CMS_Identification!F515),"Add CMS to the CMS_Identification tab")</f>
        <v>Add CMS to the CMS_Identification tab</v>
      </c>
      <c r="J493" t="str">
        <f>IF(CMS_Identification!B515="","",CMS_Identification!B515)</f>
        <v/>
      </c>
      <c r="K493" t="str">
        <f>IF(COUNTIF(I$2:I493,I493)=1,I493,"")</f>
        <v/>
      </c>
      <c r="L493" t="str">
        <f>+IF(K493="","",MAX(L$1:L492)+1)</f>
        <v/>
      </c>
      <c r="M493" t="str">
        <f t="shared" si="8"/>
        <v/>
      </c>
      <c r="R493" t="str">
        <f>IF(CMS_Identification!B515="","",CMS_Identification!B515)</f>
        <v/>
      </c>
      <c r="S493" t="str">
        <f>IF(CMS_Identification!F515="","",CMS_Identification!F515)</f>
        <v/>
      </c>
      <c r="T493" s="106" t="str">
        <f>IF(CMS_Identification!D515="","",CMS_Identification!D515)</f>
        <v/>
      </c>
    </row>
    <row r="494" spans="9:20" x14ac:dyDescent="0.3">
      <c r="I494" t="str" cm="1">
        <f t="array" ref="I494">IF(SUMPRODUCT(--(LEN(CMS_Identification!F516:F1015)&gt;0))&gt;0,IF(CMS_Identification!F516="","",CMS_Identification!F516),"Add CMS to the CMS_Identification tab")</f>
        <v>Add CMS to the CMS_Identification tab</v>
      </c>
      <c r="J494" t="str">
        <f>IF(CMS_Identification!B516="","",CMS_Identification!B516)</f>
        <v/>
      </c>
      <c r="K494" t="str">
        <f>IF(COUNTIF(I$2:I494,I494)=1,I494,"")</f>
        <v/>
      </c>
      <c r="L494" t="str">
        <f>+IF(K494="","",MAX(L$1:L493)+1)</f>
        <v/>
      </c>
      <c r="M494" t="str">
        <f t="shared" si="8"/>
        <v/>
      </c>
      <c r="R494" t="str">
        <f>IF(CMS_Identification!B516="","",CMS_Identification!B516)</f>
        <v/>
      </c>
      <c r="S494" t="str">
        <f>IF(CMS_Identification!F516="","",CMS_Identification!F516)</f>
        <v/>
      </c>
      <c r="T494" s="106" t="str">
        <f>IF(CMS_Identification!D516="","",CMS_Identification!D516)</f>
        <v/>
      </c>
    </row>
    <row r="495" spans="9:20" x14ac:dyDescent="0.3">
      <c r="I495" t="str" cm="1">
        <f t="array" ref="I495">IF(SUMPRODUCT(--(LEN(CMS_Identification!F517:F1016)&gt;0))&gt;0,IF(CMS_Identification!F517="","",CMS_Identification!F517),"Add CMS to the CMS_Identification tab")</f>
        <v>Add CMS to the CMS_Identification tab</v>
      </c>
      <c r="J495" t="str">
        <f>IF(CMS_Identification!B517="","",CMS_Identification!B517)</f>
        <v/>
      </c>
      <c r="K495" t="str">
        <f>IF(COUNTIF(I$2:I495,I495)=1,I495,"")</f>
        <v/>
      </c>
      <c r="L495" t="str">
        <f>+IF(K495="","",MAX(L$1:L494)+1)</f>
        <v/>
      </c>
      <c r="M495" t="str">
        <f t="shared" si="8"/>
        <v/>
      </c>
      <c r="R495" t="str">
        <f>IF(CMS_Identification!B517="","",CMS_Identification!B517)</f>
        <v/>
      </c>
      <c r="S495" t="str">
        <f>IF(CMS_Identification!F517="","",CMS_Identification!F517)</f>
        <v/>
      </c>
      <c r="T495" s="106" t="str">
        <f>IF(CMS_Identification!D517="","",CMS_Identification!D517)</f>
        <v/>
      </c>
    </row>
    <row r="496" spans="9:20" x14ac:dyDescent="0.3">
      <c r="I496" t="str" cm="1">
        <f t="array" ref="I496">IF(SUMPRODUCT(--(LEN(CMS_Identification!F518:F1017)&gt;0))&gt;0,IF(CMS_Identification!F518="","",CMS_Identification!F518),"Add CMS to the CMS_Identification tab")</f>
        <v>Add CMS to the CMS_Identification tab</v>
      </c>
      <c r="J496" t="str">
        <f>IF(CMS_Identification!B518="","",CMS_Identification!B518)</f>
        <v/>
      </c>
      <c r="K496" t="str">
        <f>IF(COUNTIF(I$2:I496,I496)=1,I496,"")</f>
        <v/>
      </c>
      <c r="L496" t="str">
        <f>+IF(K496="","",MAX(L$1:L495)+1)</f>
        <v/>
      </c>
      <c r="M496" t="str">
        <f t="shared" si="8"/>
        <v/>
      </c>
      <c r="R496" t="str">
        <f>IF(CMS_Identification!B518="","",CMS_Identification!B518)</f>
        <v/>
      </c>
      <c r="S496" t="str">
        <f>IF(CMS_Identification!F518="","",CMS_Identification!F518)</f>
        <v/>
      </c>
      <c r="T496" s="106" t="str">
        <f>IF(CMS_Identification!D518="","",CMS_Identification!D518)</f>
        <v/>
      </c>
    </row>
    <row r="497" spans="9:20" x14ac:dyDescent="0.3">
      <c r="I497" t="str" cm="1">
        <f t="array" ref="I497">IF(SUMPRODUCT(--(LEN(CMS_Identification!F519:F1018)&gt;0))&gt;0,IF(CMS_Identification!F519="","",CMS_Identification!F519),"Add CMS to the CMS_Identification tab")</f>
        <v>Add CMS to the CMS_Identification tab</v>
      </c>
      <c r="J497" t="str">
        <f>IF(CMS_Identification!B519="","",CMS_Identification!B519)</f>
        <v/>
      </c>
      <c r="K497" t="str">
        <f>IF(COUNTIF(I$2:I497,I497)=1,I497,"")</f>
        <v/>
      </c>
      <c r="L497" t="str">
        <f>+IF(K497="","",MAX(L$1:L496)+1)</f>
        <v/>
      </c>
      <c r="M497" t="str">
        <f t="shared" si="8"/>
        <v/>
      </c>
      <c r="R497" t="str">
        <f>IF(CMS_Identification!B519="","",CMS_Identification!B519)</f>
        <v/>
      </c>
      <c r="S497" t="str">
        <f>IF(CMS_Identification!F519="","",CMS_Identification!F519)</f>
        <v/>
      </c>
      <c r="T497" s="106" t="str">
        <f>IF(CMS_Identification!D519="","",CMS_Identification!D519)</f>
        <v/>
      </c>
    </row>
    <row r="498" spans="9:20" x14ac:dyDescent="0.3">
      <c r="I498" t="str" cm="1">
        <f t="array" ref="I498">IF(SUMPRODUCT(--(LEN(CMS_Identification!F520:F1019)&gt;0))&gt;0,IF(CMS_Identification!F520="","",CMS_Identification!F520),"Add CMS to the CMS_Identification tab")</f>
        <v>Add CMS to the CMS_Identification tab</v>
      </c>
      <c r="J498" t="str">
        <f>IF(CMS_Identification!B520="","",CMS_Identification!B520)</f>
        <v/>
      </c>
      <c r="K498" t="str">
        <f>IF(COUNTIF(I$2:I498,I498)=1,I498,"")</f>
        <v/>
      </c>
      <c r="L498" t="str">
        <f>+IF(K498="","",MAX(L$1:L497)+1)</f>
        <v/>
      </c>
      <c r="M498" t="str">
        <f t="shared" si="8"/>
        <v/>
      </c>
      <c r="R498" t="str">
        <f>IF(CMS_Identification!B520="","",CMS_Identification!B520)</f>
        <v/>
      </c>
      <c r="S498" t="str">
        <f>IF(CMS_Identification!F520="","",CMS_Identification!F520)</f>
        <v/>
      </c>
      <c r="T498" s="106" t="str">
        <f>IF(CMS_Identification!D520="","",CMS_Identification!D520)</f>
        <v/>
      </c>
    </row>
    <row r="499" spans="9:20" x14ac:dyDescent="0.3">
      <c r="I499" t="str" cm="1">
        <f t="array" ref="I499">IF(SUMPRODUCT(--(LEN(CMS_Identification!F521:F1020)&gt;0))&gt;0,IF(CMS_Identification!F521="","",CMS_Identification!F521),"Add CMS to the CMS_Identification tab")</f>
        <v>Add CMS to the CMS_Identification tab</v>
      </c>
      <c r="J499" t="str">
        <f>IF(CMS_Identification!B521="","",CMS_Identification!B521)</f>
        <v/>
      </c>
      <c r="K499" t="str">
        <f>IF(COUNTIF(I$2:I499,I499)=1,I499,"")</f>
        <v/>
      </c>
      <c r="L499" t="str">
        <f>+IF(K499="","",MAX(L$1:L498)+1)</f>
        <v/>
      </c>
      <c r="M499" t="str">
        <f t="shared" si="8"/>
        <v/>
      </c>
      <c r="R499" t="str">
        <f>IF(CMS_Identification!B521="","",CMS_Identification!B521)</f>
        <v/>
      </c>
      <c r="S499" t="str">
        <f>IF(CMS_Identification!F521="","",CMS_Identification!F521)</f>
        <v/>
      </c>
      <c r="T499" s="106" t="str">
        <f>IF(CMS_Identification!D521="","",CMS_Identification!D521)</f>
        <v/>
      </c>
    </row>
    <row r="500" spans="9:20" x14ac:dyDescent="0.3">
      <c r="I500" t="str" cm="1">
        <f t="array" ref="I500">IF(SUMPRODUCT(--(LEN(CMS_Identification!F522:F1021)&gt;0))&gt;0,IF(CMS_Identification!F522="","",CMS_Identification!F522),"Add CMS to the CMS_Identification tab")</f>
        <v>Add CMS to the CMS_Identification tab</v>
      </c>
      <c r="J500" t="str">
        <f>IF(CMS_Identification!B522="","",CMS_Identification!B522)</f>
        <v/>
      </c>
      <c r="K500" t="str">
        <f>IF(COUNTIF(I$2:I500,I500)=1,I500,"")</f>
        <v/>
      </c>
      <c r="L500" t="str">
        <f>+IF(K500="","",MAX(L$1:L499)+1)</f>
        <v/>
      </c>
      <c r="M500" t="str">
        <f t="shared" si="8"/>
        <v/>
      </c>
      <c r="R500" t="str">
        <f>IF(CMS_Identification!B522="","",CMS_Identification!B522)</f>
        <v/>
      </c>
      <c r="S500" t="str">
        <f>IF(CMS_Identification!F522="","",CMS_Identification!F522)</f>
        <v/>
      </c>
      <c r="T500" s="106" t="str">
        <f>IF(CMS_Identification!D522="","",CMS_Identification!D522)</f>
        <v/>
      </c>
    </row>
    <row r="501" spans="9:20" x14ac:dyDescent="0.3">
      <c r="I501" t="str" cm="1">
        <f t="array" ref="I501">IF(SUMPRODUCT(--(LEN(CMS_Identification!F523:F1022)&gt;0))&gt;0,IF(CMS_Identification!F523="","",CMS_Identification!F523),"Add CMS to the CMS_Identification tab")</f>
        <v>Add CMS to the CMS_Identification tab</v>
      </c>
      <c r="J501" t="str">
        <f>IF(CMS_Identification!B523="","",CMS_Identification!B523)</f>
        <v/>
      </c>
      <c r="K501" t="str">
        <f>IF(COUNTIF(I$2:I501,I501)=1,I501,"")</f>
        <v/>
      </c>
      <c r="L501" t="str">
        <f>+IF(K501="","",MAX(L$1:L500)+1)</f>
        <v/>
      </c>
      <c r="M501" t="str">
        <f t="shared" si="8"/>
        <v/>
      </c>
      <c r="R501" t="str">
        <f>IF(CMS_Identification!B523="","",CMS_Identification!B523)</f>
        <v/>
      </c>
      <c r="S501" t="str">
        <f>IF(CMS_Identification!F523="","",CMS_Identification!F523)</f>
        <v/>
      </c>
      <c r="T501" s="106" t="str">
        <f>IF(CMS_Identification!D523="","",CMS_Identification!D523)</f>
        <v/>
      </c>
    </row>
  </sheetData>
  <pageMargins left="0.7" right="0.7" top="0.75" bottom="0.75" header="0.3" footer="0.3"/>
  <pageSetup orientation="portrait" r:id="rId1"/>
  <tableParts count="4">
    <tablePart r:id="rId2"/>
    <tablePart r:id="rId3"/>
    <tablePart r:id="rId4"/>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haredContentType xmlns="Microsoft.SharePoint.Taxonomy.ContentTypeSync" SourceId="29f62856-1543-49d4-a736-4569d363f533" ContentTypeId="0x0101" PreviousValue="false"/>
</file>

<file path=customXml/item2.xml><?xml version="1.0" encoding="utf-8"?>
<p:properties xmlns:p="http://schemas.microsoft.com/office/2006/metadata/properties" xmlns:xsi="http://www.w3.org/2001/XMLSchema-instance" xmlns:pc="http://schemas.microsoft.com/office/infopath/2007/PartnerControls">
  <documentManagement>
    <Document_x0020_Creation_x0020_Date xmlns="4ffa91fb-a0ff-4ac5-b2db-65c790d184a4">2025-10-27T12:21:10+00:00</Document_x0020_Creation_x0020_Date>
    <TaxCatchAll xmlns="4ffa91fb-a0ff-4ac5-b2db-65c790d184a4" xsi:nil="true"/>
    <_Source xmlns="http://schemas.microsoft.com/sharepoint/v3/fields" xsi:nil="true"/>
    <Language xmlns="http://schemas.microsoft.com/sharepoint/v3">English</Language>
    <j747ac98061d40f0aa7bd47e1db5675d xmlns="4ffa91fb-a0ff-4ac5-b2db-65c790d184a4">
      <Terms xmlns="http://schemas.microsoft.com/office/infopath/2007/PartnerControls"/>
    </j747ac98061d40f0aa7bd47e1db5675d>
    <External_x0020_Contributor xmlns="4ffa91fb-a0ff-4ac5-b2db-65c790d184a4" xsi:nil="true"/>
    <TaxKeywordTaxHTField xmlns="4ffa91fb-a0ff-4ac5-b2db-65c790d184a4">
      <Terms xmlns="http://schemas.microsoft.com/office/infopath/2007/PartnerControls"/>
    </TaxKeywordTaxHTField>
    <Record xmlns="4ffa91fb-a0ff-4ac5-b2db-65c790d184a4">Shared</Record>
    <Rights xmlns="4ffa91fb-a0ff-4ac5-b2db-65c790d184a4" xsi:nil="true"/>
    <EPA_x0020_Office xmlns="4ffa91fb-a0ff-4ac5-b2db-65c790d184a4" xsi:nil="true"/>
    <CategoryDescription xmlns="http://schemas.microsoft.com/sharepoint.v3" xsi:nil="true"/>
    <Identifier xmlns="4ffa91fb-a0ff-4ac5-b2db-65c790d184a4" xsi:nil="true"/>
    <_Coverage xmlns="http://schemas.microsoft.com/sharepoint/v3/fields" xsi:nil="true"/>
    <Creator xmlns="4ffa91fb-a0ff-4ac5-b2db-65c790d184a4">
      <UserInfo>
        <DisplayName/>
        <AccountId xsi:nil="true"/>
        <AccountType/>
      </UserInfo>
    </Creator>
    <EPA_x0020_Related_x0020_Documents xmlns="4ffa91fb-a0ff-4ac5-b2db-65c790d184a4" xsi:nil="true"/>
    <EPA_x0020_Contributor xmlns="4ffa91fb-a0ff-4ac5-b2db-65c790d184a4">
      <UserInfo>
        <DisplayName/>
        <AccountId xsi:nil="true"/>
        <AccountType/>
      </UserInfo>
    </EPA_x0020_Contributor>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89ACEB5CD14E544C890619B1F504DD44" ma:contentTypeVersion="12" ma:contentTypeDescription="Create a new document." ma:contentTypeScope="" ma:versionID="7885eb2a9d71f4f3de64996143593645">
  <xsd:schema xmlns:xsd="http://www.w3.org/2001/XMLSchema" xmlns:xs="http://www.w3.org/2001/XMLSchema" xmlns:p="http://schemas.microsoft.com/office/2006/metadata/properties" xmlns:ns1="http://schemas.microsoft.com/sharepoint/v3" xmlns:ns2="4ffa91fb-a0ff-4ac5-b2db-65c790d184a4" xmlns:ns3="http://schemas.microsoft.com/sharepoint.v3" xmlns:ns4="http://schemas.microsoft.com/sharepoint/v3/fields" xmlns:ns5="bd6563f2-84fd-49bb-ba49-e16e67e66c70" xmlns:ns6="88ca8544-bb20-4614-9b73-bf8401c81147" targetNamespace="http://schemas.microsoft.com/office/2006/metadata/properties" ma:root="true" ma:fieldsID="ec2196ef3727cc2b6ab09906bcc1f931" ns1:_="" ns2:_="" ns3:_="" ns4:_="" ns5:_="" ns6:_="">
    <xsd:import namespace="http://schemas.microsoft.com/sharepoint/v3"/>
    <xsd:import namespace="4ffa91fb-a0ff-4ac5-b2db-65c790d184a4"/>
    <xsd:import namespace="http://schemas.microsoft.com/sharepoint.v3"/>
    <xsd:import namespace="http://schemas.microsoft.com/sharepoint/v3/fields"/>
    <xsd:import namespace="bd6563f2-84fd-49bb-ba49-e16e67e66c70"/>
    <xsd:import namespace="88ca8544-bb20-4614-9b73-bf8401c81147"/>
    <xsd:element name="properties">
      <xsd:complexType>
        <xsd:sequence>
          <xsd:element name="documentManagement">
            <xsd:complexType>
              <xsd:all>
                <xsd:element ref="ns2:Document_x0020_Creation_x0020_Date" minOccurs="0"/>
                <xsd:element ref="ns2:Creator" minOccurs="0"/>
                <xsd:element ref="ns2:EPA_x0020_Office" minOccurs="0"/>
                <xsd:element ref="ns2:Record" minOccurs="0"/>
                <xsd:element ref="ns3:CategoryDescription" minOccurs="0"/>
                <xsd:element ref="ns2:Identifier" minOccurs="0"/>
                <xsd:element ref="ns2:EPA_x0020_Contributor" minOccurs="0"/>
                <xsd:element ref="ns2:External_x0020_Contributor" minOccurs="0"/>
                <xsd:element ref="ns4:_Coverage" minOccurs="0"/>
                <xsd:element ref="ns2:EPA_x0020_Related_x0020_Documents" minOccurs="0"/>
                <xsd:element ref="ns4:_Source" minOccurs="0"/>
                <xsd:element ref="ns2:Rights" minOccurs="0"/>
                <xsd:element ref="ns1:Language" minOccurs="0"/>
                <xsd:element ref="ns2:j747ac98061d40f0aa7bd47e1db5675d" minOccurs="0"/>
                <xsd:element ref="ns2:TaxKeywordTaxHTField" minOccurs="0"/>
                <xsd:element ref="ns2:TaxCatchAllLabel" minOccurs="0"/>
                <xsd:element ref="ns2:TaxCatchAll" minOccurs="0"/>
                <xsd:element ref="ns5:MediaServiceMetadata" minOccurs="0"/>
                <xsd:element ref="ns5:MediaServiceFastMetadata" minOccurs="0"/>
                <xsd:element ref="ns5:MediaServiceObjectDetectorVersions" minOccurs="0"/>
                <xsd:element ref="ns6:SharedWithUsers" minOccurs="0"/>
                <xsd:element ref="ns6:SharedWithDetails" minOccurs="0"/>
                <xsd:element ref="ns5:MediaServiceSearchProperties" minOccurs="0"/>
                <xsd:element ref="ns5:MediaServiceDateTaken" minOccurs="0"/>
                <xsd:element ref="ns5:MediaServiceGenerationTime" minOccurs="0"/>
                <xsd:element ref="ns5:MediaServiceEventHashCode" minOccurs="0"/>
                <xsd:element ref="ns5: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Language" ma:index="17" nillable="true" ma:displayName="Language" ma:default="English" ma:description="Select the document language from the drop down." ma:format="Dropdown" ma:internalName="Language" ma:readOnly="false">
      <xsd:simpleType>
        <xsd:restriction base="dms:Choice">
          <xsd:enumeration value="Arabic (Saudi Arabia)"/>
          <xsd:enumeration value="Bulgarian (Bulgaria)"/>
          <xsd:enumeration value="Chinese (Hong Kong S.A.R.)"/>
          <xsd:enumeration value="Chinese (People's Republic of China)"/>
          <xsd:enumeration value="Chinese (Taiwan)"/>
          <xsd:enumeration value="Croatian (Croatia)"/>
          <xsd:enumeration value="Czech (Czech Republic)"/>
          <xsd:enumeration value="Danish (Denmark)"/>
          <xsd:enumeration value="Dutch (Netherlands)"/>
          <xsd:enumeration value="English"/>
          <xsd:enumeration value="Estonian (Estonia)"/>
          <xsd:enumeration value="Finnish (Finland)"/>
          <xsd:enumeration value="French (France)"/>
          <xsd:enumeration value="German (Germany)"/>
          <xsd:enumeration value="Greek (Greece)"/>
          <xsd:enumeration value="Hebrew (Israel)"/>
          <xsd:enumeration value="Hindi (India)"/>
          <xsd:enumeration value="Hungarian (Hungary)"/>
          <xsd:enumeration value="Indonesian (Indonesia)"/>
          <xsd:enumeration value="Italian (Italy)"/>
          <xsd:enumeration value="Japanese (Japan)"/>
          <xsd:enumeration value="Korean (Korea)"/>
          <xsd:enumeration value="Latvian (Latvia)"/>
          <xsd:enumeration value="Lithuanian (Lithuania)"/>
          <xsd:enumeration value="Malay (Malaysia)"/>
          <xsd:enumeration value="Norwegian (Bokmal) (Norway)"/>
          <xsd:enumeration value="Polish (Poland)"/>
          <xsd:enumeration value="Portuguese (Brazil)"/>
          <xsd:enumeration value="Portuguese (Portugal)"/>
          <xsd:enumeration value="Romanian (Romania)"/>
          <xsd:enumeration value="Russian (Russia)"/>
          <xsd:enumeration value="Serbian (Latin) (Serbia)"/>
          <xsd:enumeration value="Slovak (Slovakia)"/>
          <xsd:enumeration value="Slovenian (Slovenia)"/>
          <xsd:enumeration value="Spanish (Spain)"/>
          <xsd:enumeration value="Swedish (Sweden)"/>
          <xsd:enumeration value="Thai (Thailand)"/>
          <xsd:enumeration value="Turkish (Turkey)"/>
          <xsd:enumeration value="Ukrainian (Ukraine)"/>
          <xsd:enumeration value="Urdu (Islamic Republic of Pakistan)"/>
          <xsd:enumeration value="Vietnamese (Vietnam)"/>
        </xsd:restriction>
      </xsd:simpleType>
    </xsd:element>
  </xsd:schema>
  <xsd:schema xmlns:xsd="http://www.w3.org/2001/XMLSchema" xmlns:xs="http://www.w3.org/2001/XMLSchema" xmlns:dms="http://schemas.microsoft.com/office/2006/documentManagement/types" xmlns:pc="http://schemas.microsoft.com/office/infopath/2007/PartnerControls" targetNamespace="4ffa91fb-a0ff-4ac5-b2db-65c790d184a4" elementFormDefault="qualified">
    <xsd:import namespace="http://schemas.microsoft.com/office/2006/documentManagement/types"/>
    <xsd:import namespace="http://schemas.microsoft.com/office/infopath/2007/PartnerControls"/>
    <xsd:element name="Document_x0020_Creation_x0020_Date" ma:index="2" nillable="true" ma:displayName="Document Date" ma:default="[today]" ma:description="Enter the date this document was last modified. The upload date has been entered by default." ma:format="DateOnly" ma:internalName="Document_x0020_Creation_x0020_Date" ma:readOnly="false">
      <xsd:simpleType>
        <xsd:restriction base="dms:DateTime"/>
      </xsd:simpleType>
    </xsd:element>
    <xsd:element name="Creator" ma:index="3" nillable="true" ma:displayName="Creator" ma:description="Enter the person primarily responsible for the document. The name of the person uploading the document has been entered by default." ma:list="UserInfo" ma:SharePointGroup="0" ma:internalName="Creato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PA_x0020_Office" ma:index="4" nillable="true" ma:displayName="EPA Office" ma:description="Enter the EPA organization primarily responsible for the document. The office of the person uploading the document has been entered by default." ma:internalName="EPA_x0020_Office" ma:readOnly="false">
      <xsd:simpleType>
        <xsd:restriction base="dms:Text">
          <xsd:maxLength value="255"/>
        </xsd:restriction>
      </xsd:simpleType>
    </xsd:element>
    <xsd:element name="Record" ma:index="5" nillable="true" ma:displayName="Record" ma:default="Shared" ma:description="For documents that provide evidence of EPA decisions and actions, select &quot;Shared&quot; (open access) or &quot;Private&quot; (restricted access)." ma:format="Dropdown" ma:internalName="Record" ma:readOnly="false">
      <xsd:simpleType>
        <xsd:restriction base="dms:Choice">
          <xsd:enumeration value="None"/>
          <xsd:enumeration value="Shared"/>
          <xsd:enumeration value="Private"/>
        </xsd:restriction>
      </xsd:simpleType>
    </xsd:element>
    <xsd:element name="Identifier" ma:index="9" nillable="true" ma:displayName="Identifier" ma:description="Enter all EPA identification numbers applicable to this document, one on each line." ma:internalName="Identifier" ma:readOnly="false">
      <xsd:simpleType>
        <xsd:restriction base="dms:Note">
          <xsd:maxLength value="255"/>
        </xsd:restriction>
      </xsd:simpleType>
    </xsd:element>
    <xsd:element name="EPA_x0020_Contributor" ma:index="11" nillable="true" ma:displayName="EPA Contributor" ma:description="Enter an EPA person who contributed to the creation of the document but is not the primary author." ma:list="UserInfo" ma:SharePointGroup="0" ma:internalName="EPA_x0020_Contributo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xternal_x0020_Contributor" ma:index="12" nillable="true" ma:displayName="External Contributor" ma:description="Enter a non-EPA person who contributed to the creation of the document but is not the primary author." ma:internalName="External_x0020_Contributor" ma:readOnly="false">
      <xsd:simpleType>
        <xsd:restriction base="dms:Note">
          <xsd:maxLength value="255"/>
        </xsd:restriction>
      </xsd:simpleType>
    </xsd:element>
    <xsd:element name="EPA_x0020_Related_x0020_Documents" ma:index="14" nillable="true" ma:displayName="Other Related Documents" ma:description="Enter any related document." ma:internalName="EPA_x0020_Related_x0020_Documents" ma:readOnly="false">
      <xsd:simpleType>
        <xsd:restriction base="dms:Note">
          <xsd:maxLength value="255"/>
        </xsd:restriction>
      </xsd:simpleType>
    </xsd:element>
    <xsd:element name="Rights" ma:index="16" nillable="true" ma:displayName="Rights" ma:description="Enter information about intellectual property rights held over the document (e.g. copyright, patent, trademark)." ma:internalName="Rights" ma:readOnly="false">
      <xsd:simpleType>
        <xsd:restriction base="dms:Note">
          <xsd:maxLength value="255"/>
        </xsd:restriction>
      </xsd:simpleType>
    </xsd:element>
    <xsd:element name="j747ac98061d40f0aa7bd47e1db5675d" ma:index="19" nillable="true" ma:taxonomy="true" ma:internalName="j747ac98061d40f0aa7bd47e1db5675d" ma:taxonomyFieldName="Document_x0020_Type" ma:displayName="Document Type" ma:readOnly="false" ma:default="" ma:fieldId="{3747ac98-061d-40f0-aa7b-d47e1db5675d}" ma:sspId="29f62856-1543-49d4-a736-4569d363f533" ma:termSetId="e06cd6a9-a175-4da0-81cb-8dba7aa394ab" ma:anchorId="00000000-0000-0000-0000-000000000000" ma:open="false" ma:isKeyword="false">
      <xsd:complexType>
        <xsd:sequence>
          <xsd:element ref="pc:Terms" minOccurs="0" maxOccurs="1"/>
        </xsd:sequence>
      </xsd:complexType>
    </xsd:element>
    <xsd:element name="TaxKeywordTaxHTField" ma:index="21" nillable="true" ma:taxonomy="true" ma:internalName="TaxKeywordTaxHTField" ma:taxonomyFieldName="TaxKeyword" ma:displayName="Enterprise Keywords" ma:readOnly="false" ma:fieldId="{23f27201-bee3-471e-b2e7-b64fd8b7ca38}" ma:taxonomyMulti="true" ma:sspId="29f62856-1543-49d4-a736-4569d363f533" ma:termSetId="00000000-0000-0000-0000-000000000000" ma:anchorId="00000000-0000-0000-0000-000000000000" ma:open="true" ma:isKeyword="true">
      <xsd:complexType>
        <xsd:sequence>
          <xsd:element ref="pc:Terms" minOccurs="0" maxOccurs="1"/>
        </xsd:sequence>
      </xsd:complexType>
    </xsd:element>
    <xsd:element name="TaxCatchAllLabel" ma:index="23" nillable="true" ma:displayName="Taxonomy Catch All Column1" ma:hidden="true" ma:list="{2416a9ae-61a2-4525-842e-f75ab01c9399}" ma:internalName="TaxCatchAllLabel" ma:readOnly="true" ma:showField="CatchAllDataLabel" ma:web="88ca8544-bb20-4614-9b73-bf8401c81147">
      <xsd:complexType>
        <xsd:complexContent>
          <xsd:extension base="dms:MultiChoiceLookup">
            <xsd:sequence>
              <xsd:element name="Value" type="dms:Lookup" maxOccurs="unbounded" minOccurs="0" nillable="true"/>
            </xsd:sequence>
          </xsd:extension>
        </xsd:complexContent>
      </xsd:complexType>
    </xsd:element>
    <xsd:element name="TaxCatchAll" ma:index="24" nillable="true" ma:displayName="Taxonomy Catch All Column" ma:hidden="true" ma:list="{2416a9ae-61a2-4525-842e-f75ab01c9399}" ma:internalName="TaxCatchAll" ma:showField="CatchAllData" ma:web="88ca8544-bb20-4614-9b73-bf8401c81147">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CategoryDescription" ma:index="6" nillable="true" ma:displayName="Description" ma:description="Enter a brief description." ma:internalName="CategoryDescription" ma:readOnly="fals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Coverage" ma:index="13" nillable="true" ma:displayName="Coverage" ma:description="Enter the geographic location, jurisdiction, or time period for which the document is relevant." ma:internalName="_Coverage" ma:readOnly="false">
      <xsd:simpleType>
        <xsd:restriction base="dms:Text">
          <xsd:maxLength value="255"/>
        </xsd:restriction>
      </xsd:simpleType>
    </xsd:element>
    <xsd:element name="_Source" ma:index="15" nillable="true" ma:displayName="Source" ma:description="Enter a source from which the document is derived." ma:internalName="_Source" ma:readOnly="fals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d6563f2-84fd-49bb-ba49-e16e67e66c70" elementFormDefault="qualified">
    <xsd:import namespace="http://schemas.microsoft.com/office/2006/documentManagement/types"/>
    <xsd:import namespace="http://schemas.microsoft.com/office/infopath/2007/PartnerControls"/>
    <xsd:element name="MediaServiceMetadata" ma:index="28" nillable="true" ma:displayName="MediaServiceMetadata" ma:hidden="true" ma:internalName="MediaServiceMetadata" ma:readOnly="true">
      <xsd:simpleType>
        <xsd:restriction base="dms:Note"/>
      </xsd:simpleType>
    </xsd:element>
    <xsd:element name="MediaServiceFastMetadata" ma:index="29" nillable="true" ma:displayName="MediaServiceFastMetadata" ma:hidden="true" ma:internalName="MediaServiceFastMetadata" ma:readOnly="true">
      <xsd:simpleType>
        <xsd:restriction base="dms:Note"/>
      </xsd:simpleType>
    </xsd:element>
    <xsd:element name="MediaServiceObjectDetectorVersions" ma:index="30" nillable="true" ma:displayName="MediaServiceObjectDetectorVersions" ma:hidden="true" ma:indexed="true" ma:internalName="MediaServiceObjectDetectorVersions" ma:readOnly="true">
      <xsd:simpleType>
        <xsd:restriction base="dms:Text"/>
      </xsd:simpleType>
    </xsd:element>
    <xsd:element name="MediaServiceSearchProperties" ma:index="33" nillable="true" ma:displayName="MediaServiceSearchProperties" ma:hidden="true" ma:internalName="MediaServiceSearchProperties" ma:readOnly="true">
      <xsd:simpleType>
        <xsd:restriction base="dms:Note"/>
      </xsd:simpleType>
    </xsd:element>
    <xsd:element name="MediaServiceDateTaken" ma:index="34" nillable="true" ma:displayName="MediaServiceDateTaken" ma:hidden="true" ma:indexed="true" ma:internalName="MediaServiceDateTaken" ma:readOnly="true">
      <xsd:simpleType>
        <xsd:restriction base="dms:Text"/>
      </xsd:simpleType>
    </xsd:element>
    <xsd:element name="MediaServiceGenerationTime" ma:index="35" nillable="true" ma:displayName="MediaServiceGenerationTime" ma:hidden="true" ma:internalName="MediaServiceGenerationTime" ma:readOnly="true">
      <xsd:simpleType>
        <xsd:restriction base="dms:Text"/>
      </xsd:simpleType>
    </xsd:element>
    <xsd:element name="MediaServiceEventHashCode" ma:index="36" nillable="true" ma:displayName="MediaServiceEventHashCode" ma:hidden="true" ma:internalName="MediaServiceEventHashCode" ma:readOnly="true">
      <xsd:simpleType>
        <xsd:restriction base="dms:Text"/>
      </xsd:simpleType>
    </xsd:element>
    <xsd:element name="MediaLengthInSeconds" ma:index="3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8ca8544-bb20-4614-9b73-bf8401c81147" elementFormDefault="qualified">
    <xsd:import namespace="http://schemas.microsoft.com/office/2006/documentManagement/types"/>
    <xsd:import namespace="http://schemas.microsoft.com/office/infopath/2007/PartnerControls"/>
    <xsd:element name="SharedWithUsers" ma:index="3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5"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1C9C3B2-15B0-481E-B7C9-6059C6367BDE}">
  <ds:schemaRefs>
    <ds:schemaRef ds:uri="Microsoft.SharePoint.Taxonomy.ContentTypeSync"/>
  </ds:schemaRefs>
</ds:datastoreItem>
</file>

<file path=customXml/itemProps2.xml><?xml version="1.0" encoding="utf-8"?>
<ds:datastoreItem xmlns:ds="http://schemas.openxmlformats.org/officeDocument/2006/customXml" ds:itemID="{6483E251-E673-4317-82C8-1C440DB30F25}">
  <ds:schemaRefs>
    <ds:schemaRef ds:uri="http://schemas.microsoft.com/office/2006/metadata/properties"/>
    <ds:schemaRef ds:uri="http://schemas.microsoft.com/office/infopath/2007/PartnerControls"/>
    <ds:schemaRef ds:uri="4ffa91fb-a0ff-4ac5-b2db-65c790d184a4"/>
    <ds:schemaRef ds:uri="http://schemas.microsoft.com/sharepoint/v3/fields"/>
    <ds:schemaRef ds:uri="http://schemas.microsoft.com/sharepoint/v3"/>
    <ds:schemaRef ds:uri="http://schemas.microsoft.com/sharepoint.v3"/>
  </ds:schemaRefs>
</ds:datastoreItem>
</file>

<file path=customXml/itemProps3.xml><?xml version="1.0" encoding="utf-8"?>
<ds:datastoreItem xmlns:ds="http://schemas.openxmlformats.org/officeDocument/2006/customXml" ds:itemID="{14240919-E88A-4D9D-A659-7ADA5400CB7A}">
  <ds:schemaRefs>
    <ds:schemaRef ds:uri="http://schemas.microsoft.com/sharepoint/v3/contenttype/forms"/>
  </ds:schemaRefs>
</ds:datastoreItem>
</file>

<file path=customXml/itemProps4.xml><?xml version="1.0" encoding="utf-8"?>
<ds:datastoreItem xmlns:ds="http://schemas.openxmlformats.org/officeDocument/2006/customXml" ds:itemID="{10FC6962-E6C2-4A3A-BCD2-EC17908BA15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ffa91fb-a0ff-4ac5-b2db-65c790d184a4"/>
    <ds:schemaRef ds:uri="http://schemas.microsoft.com/sharepoint.v3"/>
    <ds:schemaRef ds:uri="http://schemas.microsoft.com/sharepoint/v3/fields"/>
    <ds:schemaRef ds:uri="bd6563f2-84fd-49bb-ba49-e16e67e66c70"/>
    <ds:schemaRef ds:uri="88ca8544-bb20-4614-9b73-bf8401c8114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8</vt:i4>
      </vt:variant>
    </vt:vector>
  </HeadingPairs>
  <TitlesOfParts>
    <vt:vector size="20" baseType="lpstr">
      <vt:lpstr>Welcome</vt:lpstr>
      <vt:lpstr>Company_Information</vt:lpstr>
      <vt:lpstr>CMS_Identification</vt:lpstr>
      <vt:lpstr>CMS_Deviation</vt:lpstr>
      <vt:lpstr>CMS_Downtime</vt:lpstr>
      <vt:lpstr>Regulated Commodity Loading</vt:lpstr>
      <vt:lpstr>Leak Inspection</vt:lpstr>
      <vt:lpstr>Flares</vt:lpstr>
      <vt:lpstr>Bypass</vt:lpstr>
      <vt:lpstr>Revisions</vt:lpstr>
      <vt:lpstr>Worksheet Map</vt:lpstr>
      <vt:lpstr>Lists</vt:lpstr>
      <vt:lpstr>Bypass!Print_Titles</vt:lpstr>
      <vt:lpstr>CMS_Deviation!Print_Titles</vt:lpstr>
      <vt:lpstr>CMS_Downtime!Print_Titles</vt:lpstr>
      <vt:lpstr>CMS_Identification!Print_Titles</vt:lpstr>
      <vt:lpstr>Company_Information!Print_Titles</vt:lpstr>
      <vt:lpstr>Flares!Print_Titles</vt:lpstr>
      <vt:lpstr>'Leak Inspection'!Print_Titles</vt:lpstr>
      <vt:lpstr>'Regulated Commodity Loading'!Print_Titles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Gerri Garwood</dc:creator>
  <cp:lastModifiedBy>Clemens, Fallon</cp:lastModifiedBy>
  <cp:lastPrinted>2021-02-02T12:43:29Z</cp:lastPrinted>
  <dcterms:created xsi:type="dcterms:W3CDTF">2019-04-01T18:26:51Z</dcterms:created>
  <dcterms:modified xsi:type="dcterms:W3CDTF">2026-01-12T19:25:06Z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0x01010089ACEB5CD14E544C890619B1F504DD44</vt:lpwstr>
  </property>
  <property fmtid="{D5CDD505-2E9C-101B-9397-08002B2CF9AE}" pid="3" name="MediaServiceImageTags">
    <vt:lpwstr/>
  </property>
  <property fmtid="{D5CDD505-2E9C-101B-9397-08002B2CF9AE}" pid="4" name="_docset_NoMedatataSyncRequired">
    <vt:lpwstr>True</vt:lpwstr>
  </property>
</Properties>
</file>