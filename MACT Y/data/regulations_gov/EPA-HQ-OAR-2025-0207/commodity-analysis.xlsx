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rtifile02\ehe\Projects\0217382-EPA_MME\0217382.050-Ref-Dist-Tanks\Technical_Record\MVL\"/>
    </mc:Choice>
  </mc:AlternateContent>
  <xr:revisionPtr revIDLastSave="0" documentId="8_{2CF9C02C-7129-4639-AE66-78851D21193B}" xr6:coauthVersionLast="47" xr6:coauthVersionMax="47" xr10:uidLastSave="{00000000-0000-0000-0000-000000000000}"/>
  <bookViews>
    <workbookView xWindow="-57720" yWindow="-120" windowWidth="29040" windowHeight="15720" activeTab="2" xr2:uid="{567A6377-2549-493A-99CE-7BD8348F10D1}"/>
  </bookViews>
  <sheets>
    <sheet name="Commodity Loading Analysis" sheetId="2" r:id="rId1"/>
    <sheet name="Total Loading" sheetId="8" r:id="rId2"/>
    <sheet name="Model Plant Analysis" sheetId="7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4" i="7" l="1"/>
  <c r="I74" i="7"/>
  <c r="K74" i="7"/>
  <c r="O74" i="7"/>
  <c r="R74" i="7"/>
  <c r="K83" i="7"/>
  <c r="I83" i="7"/>
  <c r="G83" i="7"/>
  <c r="E83" i="7"/>
  <c r="R83" i="7" s="1"/>
  <c r="I82" i="7"/>
  <c r="R82" i="7" s="1"/>
  <c r="K81" i="7"/>
  <c r="I81" i="7"/>
  <c r="R81" i="7" s="1"/>
  <c r="K80" i="7"/>
  <c r="I80" i="7"/>
  <c r="C80" i="7"/>
  <c r="Q79" i="7"/>
  <c r="R79" i="7" s="1"/>
  <c r="K78" i="7"/>
  <c r="I78" i="7"/>
  <c r="E78" i="7"/>
  <c r="R78" i="7" s="1"/>
  <c r="Q77" i="7"/>
  <c r="O77" i="7"/>
  <c r="M77" i="7"/>
  <c r="K77" i="7"/>
  <c r="I77" i="7"/>
  <c r="R77" i="7" s="1"/>
  <c r="O76" i="7"/>
  <c r="R76" i="7" s="1"/>
  <c r="Q75" i="7"/>
  <c r="Q85" i="7" s="1"/>
  <c r="O75" i="7"/>
  <c r="O85" i="7" s="1"/>
  <c r="M75" i="7"/>
  <c r="M85" i="7" s="1"/>
  <c r="K75" i="7"/>
  <c r="K85" i="7" s="1"/>
  <c r="I75" i="7"/>
  <c r="I85" i="7" s="1"/>
  <c r="G75" i="7"/>
  <c r="G85" i="7" s="1"/>
  <c r="E75" i="7"/>
  <c r="E68" i="7"/>
  <c r="G68" i="7"/>
  <c r="I68" i="7"/>
  <c r="K68" i="7"/>
  <c r="M68" i="7"/>
  <c r="O68" i="7"/>
  <c r="Q68" i="7"/>
  <c r="C68" i="7"/>
  <c r="R68" i="7" s="1"/>
  <c r="E55" i="7"/>
  <c r="G55" i="7"/>
  <c r="I55" i="7"/>
  <c r="K55" i="7"/>
  <c r="M55" i="7"/>
  <c r="O55" i="7"/>
  <c r="Q55" i="7"/>
  <c r="C55" i="7"/>
  <c r="R55" i="7" s="1"/>
  <c r="E37" i="7"/>
  <c r="G37" i="7"/>
  <c r="I37" i="7"/>
  <c r="K37" i="7"/>
  <c r="M37" i="7"/>
  <c r="O37" i="7"/>
  <c r="Q37" i="7"/>
  <c r="C37" i="7"/>
  <c r="R37" i="7" s="1"/>
  <c r="R75" i="7" l="1"/>
  <c r="E85" i="7"/>
  <c r="R80" i="7"/>
  <c r="C85" i="7"/>
  <c r="R85" i="7" s="1"/>
  <c r="E16" i="7"/>
  <c r="G16" i="7"/>
  <c r="I16" i="7"/>
  <c r="K16" i="7"/>
  <c r="M16" i="7"/>
  <c r="O16" i="7"/>
  <c r="Q16" i="7"/>
  <c r="C16" i="7"/>
  <c r="W31" i="2"/>
  <c r="W32" i="2"/>
  <c r="W33" i="2"/>
  <c r="W34" i="2"/>
  <c r="W35" i="2"/>
  <c r="W36" i="2"/>
  <c r="W37" i="2"/>
  <c r="W30" i="2"/>
  <c r="Q10" i="2"/>
  <c r="Q11" i="2"/>
  <c r="Q18" i="2"/>
  <c r="Q22" i="2"/>
  <c r="Q23" i="2"/>
  <c r="R23" i="2" s="1"/>
  <c r="Q24" i="2"/>
  <c r="Q25" i="2"/>
  <c r="Q26" i="2"/>
  <c r="Q27" i="2"/>
  <c r="Q29" i="2"/>
  <c r="Q30" i="2"/>
  <c r="Q31" i="2"/>
  <c r="R31" i="2" s="1"/>
  <c r="Q33" i="2"/>
  <c r="Q36" i="2"/>
  <c r="Q38" i="2"/>
  <c r="Q40" i="2"/>
  <c r="Q44" i="2"/>
  <c r="Q45" i="2"/>
  <c r="Q48" i="2"/>
  <c r="Q49" i="2"/>
  <c r="Q51" i="2"/>
  <c r="Q52" i="2"/>
  <c r="Q54" i="2"/>
  <c r="Q59" i="2"/>
  <c r="Q63" i="2"/>
  <c r="Q64" i="2"/>
  <c r="Q65" i="2"/>
  <c r="Q66" i="2"/>
  <c r="Q67" i="2"/>
  <c r="Q68" i="2"/>
  <c r="Q69" i="2"/>
  <c r="R69" i="2" s="1"/>
  <c r="Q70" i="2"/>
  <c r="Q71" i="2"/>
  <c r="Q72" i="2"/>
  <c r="Q73" i="2"/>
  <c r="Q74" i="2"/>
  <c r="Q75" i="2"/>
  <c r="Q77" i="2"/>
  <c r="R77" i="2" s="1"/>
  <c r="Q78" i="2"/>
  <c r="Q79" i="2"/>
  <c r="R79" i="2" s="1"/>
  <c r="Q80" i="2"/>
  <c r="Q81" i="2"/>
  <c r="Q85" i="2"/>
  <c r="Q86" i="2"/>
  <c r="R86" i="2" s="1"/>
  <c r="Q89" i="2"/>
  <c r="Q90" i="2"/>
  <c r="Q91" i="2"/>
  <c r="Q93" i="2"/>
  <c r="Q94" i="2"/>
  <c r="R94" i="2" s="1"/>
  <c r="Q95" i="2"/>
  <c r="Q97" i="2"/>
  <c r="R97" i="2" s="1"/>
  <c r="Q101" i="2"/>
  <c r="Q103" i="2"/>
  <c r="Q106" i="2"/>
  <c r="Q108" i="2"/>
  <c r="Q110" i="2"/>
  <c r="Q112" i="2"/>
  <c r="Q113" i="2"/>
  <c r="Q115" i="2"/>
  <c r="Q116" i="2"/>
  <c r="Q120" i="2"/>
  <c r="Q124" i="2"/>
  <c r="Q125" i="2"/>
  <c r="Q126" i="2"/>
  <c r="Q127" i="2"/>
  <c r="Q129" i="2"/>
  <c r="Q131" i="2"/>
  <c r="Q132" i="2"/>
  <c r="Q134" i="2"/>
  <c r="Q136" i="2"/>
  <c r="Q139" i="2"/>
  <c r="Q141" i="2"/>
  <c r="Q142" i="2"/>
  <c r="Q144" i="2"/>
  <c r="Q147" i="2"/>
  <c r="Q148" i="2"/>
  <c r="Q150" i="2"/>
  <c r="Q153" i="2"/>
  <c r="Q155" i="2"/>
  <c r="Q156" i="2"/>
  <c r="Q157" i="2"/>
  <c r="Q158" i="2"/>
  <c r="Q160" i="2"/>
  <c r="Q161" i="2"/>
  <c r="Q162" i="2"/>
  <c r="Q163" i="2"/>
  <c r="Q164" i="2"/>
  <c r="Q166" i="2"/>
  <c r="Q167" i="2"/>
  <c r="R167" i="2" s="1"/>
  <c r="Q170" i="2"/>
  <c r="Q171" i="2"/>
  <c r="Q172" i="2"/>
  <c r="Q173" i="2"/>
  <c r="Q175" i="2"/>
  <c r="Q176" i="2"/>
  <c r="Q177" i="2"/>
  <c r="Q180" i="2"/>
  <c r="R180" i="2" s="1"/>
  <c r="Q182" i="2"/>
  <c r="Q185" i="2"/>
  <c r="Q188" i="2"/>
  <c r="Q191" i="2"/>
  <c r="Q192" i="2"/>
  <c r="Q193" i="2"/>
  <c r="Q194" i="2"/>
  <c r="Q197" i="2"/>
  <c r="Q200" i="2"/>
  <c r="Q204" i="2"/>
  <c r="Q205" i="2"/>
  <c r="Q206" i="2"/>
  <c r="Q207" i="2"/>
  <c r="Q208" i="2"/>
  <c r="Q209" i="2"/>
  <c r="Q210" i="2"/>
  <c r="Q211" i="2"/>
  <c r="Q212" i="2"/>
  <c r="Q213" i="2"/>
  <c r="Q215" i="2"/>
  <c r="Q218" i="2"/>
  <c r="Q219" i="2"/>
  <c r="Q223" i="2"/>
  <c r="Q227" i="2"/>
  <c r="Q228" i="2"/>
  <c r="Q229" i="2"/>
  <c r="Q232" i="2"/>
  <c r="Q237" i="2"/>
  <c r="Q239" i="2"/>
  <c r="R239" i="2" s="1"/>
  <c r="Q240" i="2"/>
  <c r="Q241" i="2"/>
  <c r="Q242" i="2"/>
  <c r="Q243" i="2"/>
  <c r="Q244" i="2"/>
  <c r="Q245" i="2"/>
  <c r="Q4" i="2"/>
  <c r="AB4" i="2" s="1"/>
  <c r="O10" i="2"/>
  <c r="O12" i="2"/>
  <c r="R12" i="2" s="1"/>
  <c r="O15" i="2"/>
  <c r="O18" i="2"/>
  <c r="O20" i="2"/>
  <c r="O22" i="2"/>
  <c r="O29" i="2"/>
  <c r="O30" i="2"/>
  <c r="O35" i="2"/>
  <c r="O36" i="2"/>
  <c r="O40" i="2"/>
  <c r="O51" i="2"/>
  <c r="O52" i="2"/>
  <c r="O59" i="2"/>
  <c r="O64" i="2"/>
  <c r="O66" i="2"/>
  <c r="O73" i="2"/>
  <c r="O74" i="2"/>
  <c r="O75" i="2"/>
  <c r="O81" i="2"/>
  <c r="O85" i="2"/>
  <c r="O89" i="2"/>
  <c r="O101" i="2"/>
  <c r="O108" i="2"/>
  <c r="O112" i="2"/>
  <c r="O115" i="2"/>
  <c r="O116" i="2"/>
  <c r="O124" i="2"/>
  <c r="O125" i="2"/>
  <c r="O126" i="2"/>
  <c r="O127" i="2"/>
  <c r="O132" i="2"/>
  <c r="O134" i="2"/>
  <c r="O136" i="2"/>
  <c r="O143" i="2"/>
  <c r="O148" i="2"/>
  <c r="O150" i="2"/>
  <c r="O153" i="2"/>
  <c r="O155" i="2"/>
  <c r="O156" i="2"/>
  <c r="O157" i="2"/>
  <c r="O162" i="2"/>
  <c r="O164" i="2"/>
  <c r="O166" i="2"/>
  <c r="O170" i="2"/>
  <c r="O171" i="2"/>
  <c r="O172" i="2"/>
  <c r="O174" i="2"/>
  <c r="O177" i="2"/>
  <c r="O182" i="2"/>
  <c r="O191" i="2"/>
  <c r="O208" i="2"/>
  <c r="O213" i="2"/>
  <c r="O218" i="2"/>
  <c r="O223" i="2"/>
  <c r="O228" i="2"/>
  <c r="O237" i="2"/>
  <c r="O243" i="2"/>
  <c r="O6" i="2"/>
  <c r="AA4" i="2" s="1"/>
  <c r="M10" i="2"/>
  <c r="M11" i="2"/>
  <c r="M16" i="2"/>
  <c r="M18" i="2"/>
  <c r="M20" i="2"/>
  <c r="M24" i="2"/>
  <c r="M25" i="2"/>
  <c r="M27" i="2"/>
  <c r="M29" i="2"/>
  <c r="M30" i="2"/>
  <c r="M32" i="2"/>
  <c r="M34" i="2"/>
  <c r="M36" i="2"/>
  <c r="M40" i="2"/>
  <c r="M46" i="2"/>
  <c r="M51" i="2"/>
  <c r="M52" i="2"/>
  <c r="M57" i="2"/>
  <c r="M59" i="2"/>
  <c r="M61" i="2"/>
  <c r="R61" i="2" s="1"/>
  <c r="M62" i="2"/>
  <c r="M64" i="2"/>
  <c r="M66" i="2"/>
  <c r="M72" i="2"/>
  <c r="M73" i="2"/>
  <c r="M74" i="2"/>
  <c r="M75" i="2"/>
  <c r="M78" i="2"/>
  <c r="M81" i="2"/>
  <c r="M82" i="2"/>
  <c r="M85" i="2"/>
  <c r="M89" i="2"/>
  <c r="M93" i="2"/>
  <c r="M101" i="2"/>
  <c r="M110" i="2"/>
  <c r="M112" i="2"/>
  <c r="M113" i="2"/>
  <c r="M115" i="2"/>
  <c r="M116" i="2"/>
  <c r="M117" i="2"/>
  <c r="R117" i="2" s="1"/>
  <c r="M124" i="2"/>
  <c r="M125" i="2"/>
  <c r="M126" i="2"/>
  <c r="M127" i="2"/>
  <c r="M130" i="2"/>
  <c r="M132" i="2"/>
  <c r="M135" i="2"/>
  <c r="M136" i="2"/>
  <c r="M137" i="2"/>
  <c r="M141" i="2"/>
  <c r="M145" i="2"/>
  <c r="M148" i="2"/>
  <c r="M149" i="2"/>
  <c r="M150" i="2"/>
  <c r="M152" i="2"/>
  <c r="M153" i="2"/>
  <c r="M155" i="2"/>
  <c r="M156" i="2"/>
  <c r="M157" i="2"/>
  <c r="M164" i="2"/>
  <c r="M166" i="2"/>
  <c r="M169" i="2"/>
  <c r="R169" i="2" s="1"/>
  <c r="M170" i="2"/>
  <c r="M171" i="2"/>
  <c r="M172" i="2"/>
  <c r="M173" i="2"/>
  <c r="M177" i="2"/>
  <c r="M178" i="2"/>
  <c r="M182" i="2"/>
  <c r="M186" i="2"/>
  <c r="M188" i="2"/>
  <c r="M191" i="2"/>
  <c r="M193" i="2"/>
  <c r="M197" i="2"/>
  <c r="M200" i="2"/>
  <c r="M207" i="2"/>
  <c r="M208" i="2"/>
  <c r="M209" i="2"/>
  <c r="M218" i="2"/>
  <c r="M223" i="2"/>
  <c r="M228" i="2"/>
  <c r="M230" i="2"/>
  <c r="R230" i="2" s="1"/>
  <c r="M234" i="2"/>
  <c r="M236" i="2"/>
  <c r="M237" i="2"/>
  <c r="M241" i="2"/>
  <c r="M247" i="2"/>
  <c r="M9" i="2"/>
  <c r="Z4" i="2" s="1"/>
  <c r="K6" i="2"/>
  <c r="K7" i="2"/>
  <c r="K9" i="2"/>
  <c r="K10" i="2"/>
  <c r="K11" i="2"/>
  <c r="K15" i="2"/>
  <c r="K16" i="2"/>
  <c r="K18" i="2"/>
  <c r="K20" i="2"/>
  <c r="K24" i="2"/>
  <c r="K25" i="2"/>
  <c r="K29" i="2"/>
  <c r="K30" i="2"/>
  <c r="K34" i="2"/>
  <c r="K35" i="2"/>
  <c r="R35" i="2" s="1"/>
  <c r="K36" i="2"/>
  <c r="K38" i="2"/>
  <c r="K40" i="2"/>
  <c r="K41" i="2"/>
  <c r="K44" i="2"/>
  <c r="K45" i="2"/>
  <c r="K46" i="2"/>
  <c r="R46" i="2" s="1"/>
  <c r="K50" i="2"/>
  <c r="R50" i="2" s="1"/>
  <c r="K51" i="2"/>
  <c r="K52" i="2"/>
  <c r="K55" i="2"/>
  <c r="K56" i="2"/>
  <c r="R56" i="2" s="1"/>
  <c r="K59" i="2"/>
  <c r="K62" i="2"/>
  <c r="K64" i="2"/>
  <c r="K66" i="2"/>
  <c r="K68" i="2"/>
  <c r="K73" i="2"/>
  <c r="K74" i="2"/>
  <c r="K75" i="2"/>
  <c r="K78" i="2"/>
  <c r="K81" i="2"/>
  <c r="K82" i="2"/>
  <c r="K83" i="2"/>
  <c r="K89" i="2"/>
  <c r="K90" i="2"/>
  <c r="K91" i="2"/>
  <c r="K92" i="2"/>
  <c r="K93" i="2"/>
  <c r="K95" i="2"/>
  <c r="K100" i="2"/>
  <c r="K101" i="2"/>
  <c r="K103" i="2"/>
  <c r="K104" i="2"/>
  <c r="K105" i="2"/>
  <c r="K106" i="2"/>
  <c r="K107" i="2"/>
  <c r="R107" i="2" s="1"/>
  <c r="K108" i="2"/>
  <c r="K109" i="2"/>
  <c r="K110" i="2"/>
  <c r="K112" i="2"/>
  <c r="K115" i="2"/>
  <c r="K116" i="2"/>
  <c r="K119" i="2"/>
  <c r="K122" i="2"/>
  <c r="K123" i="2"/>
  <c r="K124" i="2"/>
  <c r="K125" i="2"/>
  <c r="K126" i="2"/>
  <c r="K127" i="2"/>
  <c r="K130" i="2"/>
  <c r="K132" i="2"/>
  <c r="K133" i="2"/>
  <c r="K136" i="2"/>
  <c r="K137" i="2"/>
  <c r="K140" i="2"/>
  <c r="R140" i="2" s="1"/>
  <c r="K141" i="2"/>
  <c r="K143" i="2"/>
  <c r="K144" i="2"/>
  <c r="K145" i="2"/>
  <c r="K147" i="2"/>
  <c r="K148" i="2"/>
  <c r="K149" i="2"/>
  <c r="K150" i="2"/>
  <c r="K151" i="2"/>
  <c r="K152" i="2"/>
  <c r="R152" i="2" s="1"/>
  <c r="K153" i="2"/>
  <c r="K154" i="2"/>
  <c r="R154" i="2" s="1"/>
  <c r="K155" i="2"/>
  <c r="K156" i="2"/>
  <c r="K157" i="2"/>
  <c r="K159" i="2"/>
  <c r="R159" i="2" s="1"/>
  <c r="K160" i="2"/>
  <c r="K164" i="2"/>
  <c r="K166" i="2"/>
  <c r="K170" i="2"/>
  <c r="K171" i="2"/>
  <c r="K173" i="2"/>
  <c r="K174" i="2"/>
  <c r="K175" i="2"/>
  <c r="K176" i="2"/>
  <c r="K177" i="2"/>
  <c r="K178" i="2"/>
  <c r="K182" i="2"/>
  <c r="K184" i="2"/>
  <c r="R184" i="2" s="1"/>
  <c r="K185" i="2"/>
  <c r="K186" i="2"/>
  <c r="K187" i="2"/>
  <c r="K188" i="2"/>
  <c r="K191" i="2"/>
  <c r="K193" i="2"/>
  <c r="R193" i="2" s="1"/>
  <c r="K194" i="2"/>
  <c r="K196" i="2"/>
  <c r="K197" i="2"/>
  <c r="K198" i="2"/>
  <c r="K199" i="2"/>
  <c r="K200" i="2"/>
  <c r="K203" i="2"/>
  <c r="R203" i="2" s="1"/>
  <c r="K204" i="2"/>
  <c r="K205" i="2"/>
  <c r="K207" i="2"/>
  <c r="K208" i="2"/>
  <c r="K209" i="2"/>
  <c r="K211" i="2"/>
  <c r="K213" i="2"/>
  <c r="K214" i="2"/>
  <c r="R214" i="2" s="1"/>
  <c r="K216" i="2"/>
  <c r="K217" i="2"/>
  <c r="K218" i="2"/>
  <c r="K219" i="2"/>
  <c r="K220" i="2"/>
  <c r="K222" i="2"/>
  <c r="K223" i="2"/>
  <c r="K225" i="2"/>
  <c r="K227" i="2"/>
  <c r="K228" i="2"/>
  <c r="K231" i="2"/>
  <c r="K234" i="2"/>
  <c r="K236" i="2"/>
  <c r="K237" i="2"/>
  <c r="K238" i="2"/>
  <c r="K240" i="2"/>
  <c r="K242" i="2"/>
  <c r="K245" i="2"/>
  <c r="K247" i="2"/>
  <c r="K5" i="2"/>
  <c r="Y4" i="2" s="1"/>
  <c r="I6" i="2"/>
  <c r="I7" i="2"/>
  <c r="I9" i="2"/>
  <c r="I10" i="2"/>
  <c r="I11" i="2"/>
  <c r="I13" i="2"/>
  <c r="R13" i="2" s="1"/>
  <c r="I14" i="2"/>
  <c r="I15" i="2"/>
  <c r="I16" i="2"/>
  <c r="I18" i="2"/>
  <c r="I19" i="2"/>
  <c r="I21" i="2"/>
  <c r="R21" i="2" s="1"/>
  <c r="I22" i="2"/>
  <c r="I24" i="2"/>
  <c r="I25" i="2"/>
  <c r="I26" i="2"/>
  <c r="R26" i="2" s="1"/>
  <c r="I27" i="2"/>
  <c r="I28" i="2"/>
  <c r="R28" i="2" s="1"/>
  <c r="I29" i="2"/>
  <c r="I30" i="2"/>
  <c r="I32" i="2"/>
  <c r="I33" i="2"/>
  <c r="I34" i="2"/>
  <c r="I36" i="2"/>
  <c r="I37" i="2"/>
  <c r="I39" i="2"/>
  <c r="R39" i="2" s="1"/>
  <c r="I40" i="2"/>
  <c r="R40" i="2" s="1"/>
  <c r="I41" i="2"/>
  <c r="I43" i="2"/>
  <c r="I44" i="2"/>
  <c r="R44" i="2" s="1"/>
  <c r="I45" i="2"/>
  <c r="I47" i="2"/>
  <c r="R47" i="2" s="1"/>
  <c r="I49" i="2"/>
  <c r="I51" i="2"/>
  <c r="I52" i="2"/>
  <c r="I55" i="2"/>
  <c r="R55" i="2" s="1"/>
  <c r="I57" i="2"/>
  <c r="I58" i="2"/>
  <c r="R58" i="2" s="1"/>
  <c r="I59" i="2"/>
  <c r="I60" i="2"/>
  <c r="R60" i="2" s="1"/>
  <c r="I62" i="2"/>
  <c r="I64" i="2"/>
  <c r="I65" i="2"/>
  <c r="R65" i="2" s="1"/>
  <c r="I66" i="2"/>
  <c r="I67" i="2"/>
  <c r="R67" i="2" s="1"/>
  <c r="I71" i="2"/>
  <c r="R71" i="2" s="1"/>
  <c r="I72" i="2"/>
  <c r="I73" i="2"/>
  <c r="I74" i="2"/>
  <c r="I75" i="2"/>
  <c r="I78" i="2"/>
  <c r="I80" i="2"/>
  <c r="R80" i="2" s="1"/>
  <c r="I81" i="2"/>
  <c r="I82" i="2"/>
  <c r="I84" i="2"/>
  <c r="R84" i="2" s="1"/>
  <c r="I85" i="2"/>
  <c r="I87" i="2"/>
  <c r="R87" i="2" s="1"/>
  <c r="I88" i="2"/>
  <c r="R88" i="2" s="1"/>
  <c r="I89" i="2"/>
  <c r="I93" i="2"/>
  <c r="I96" i="2"/>
  <c r="R96" i="2" s="1"/>
  <c r="I98" i="2"/>
  <c r="R98" i="2" s="1"/>
  <c r="I99" i="2"/>
  <c r="I100" i="2"/>
  <c r="I101" i="2"/>
  <c r="I102" i="2"/>
  <c r="I103" i="2"/>
  <c r="I104" i="2"/>
  <c r="R104" i="2" s="1"/>
  <c r="I105" i="2"/>
  <c r="I108" i="2"/>
  <c r="I109" i="2"/>
  <c r="R109" i="2" s="1"/>
  <c r="I110" i="2"/>
  <c r="I112" i="2"/>
  <c r="I113" i="2"/>
  <c r="I114" i="2"/>
  <c r="R114" i="2" s="1"/>
  <c r="I115" i="2"/>
  <c r="I116" i="2"/>
  <c r="I118" i="2"/>
  <c r="I119" i="2"/>
  <c r="I120" i="2"/>
  <c r="I122" i="2"/>
  <c r="I123" i="2"/>
  <c r="I124" i="2"/>
  <c r="I125" i="2"/>
  <c r="I126" i="2"/>
  <c r="I127" i="2"/>
  <c r="I128" i="2"/>
  <c r="R128" i="2" s="1"/>
  <c r="I130" i="2"/>
  <c r="I131" i="2"/>
  <c r="I132" i="2"/>
  <c r="I133" i="2"/>
  <c r="R133" i="2" s="1"/>
  <c r="I134" i="2"/>
  <c r="I135" i="2"/>
  <c r="I136" i="2"/>
  <c r="I137" i="2"/>
  <c r="I138" i="2"/>
  <c r="R138" i="2" s="1"/>
  <c r="I139" i="2"/>
  <c r="R139" i="2" s="1"/>
  <c r="I141" i="2"/>
  <c r="I142" i="2"/>
  <c r="I143" i="2"/>
  <c r="I144" i="2"/>
  <c r="I145" i="2"/>
  <c r="I148" i="2"/>
  <c r="I149" i="2"/>
  <c r="R149" i="2" s="1"/>
  <c r="I150" i="2"/>
  <c r="I151" i="2"/>
  <c r="R151" i="2" s="1"/>
  <c r="I153" i="2"/>
  <c r="I155" i="2"/>
  <c r="I156" i="2"/>
  <c r="I157" i="2"/>
  <c r="I158" i="2"/>
  <c r="R158" i="2" s="1"/>
  <c r="I162" i="2"/>
  <c r="I163" i="2"/>
  <c r="R163" i="2" s="1"/>
  <c r="I164" i="2"/>
  <c r="I165" i="2"/>
  <c r="R165" i="2" s="1"/>
  <c r="I166" i="2"/>
  <c r="I168" i="2"/>
  <c r="R168" i="2" s="1"/>
  <c r="I170" i="2"/>
  <c r="I171" i="2"/>
  <c r="I172" i="2"/>
  <c r="I173" i="2"/>
  <c r="I174" i="2"/>
  <c r="I175" i="2"/>
  <c r="I176" i="2"/>
  <c r="I177" i="2"/>
  <c r="I178" i="2"/>
  <c r="R178" i="2" s="1"/>
  <c r="I179" i="2"/>
  <c r="R179" i="2" s="1"/>
  <c r="I181" i="2"/>
  <c r="R181" i="2" s="1"/>
  <c r="I182" i="2"/>
  <c r="I185" i="2"/>
  <c r="I186" i="2"/>
  <c r="I187" i="2"/>
  <c r="I188" i="2"/>
  <c r="I189" i="2"/>
  <c r="R189" i="2" s="1"/>
  <c r="I191" i="2"/>
  <c r="I192" i="2"/>
  <c r="R192" i="2" s="1"/>
  <c r="I194" i="2"/>
  <c r="I195" i="2"/>
  <c r="R195" i="2" s="1"/>
  <c r="I197" i="2"/>
  <c r="I198" i="2"/>
  <c r="I199" i="2"/>
  <c r="I200" i="2"/>
  <c r="I201" i="2"/>
  <c r="R201" i="2" s="1"/>
  <c r="I202" i="2"/>
  <c r="R202" i="2" s="1"/>
  <c r="I206" i="2"/>
  <c r="I207" i="2"/>
  <c r="I208" i="2"/>
  <c r="I209" i="2"/>
  <c r="I210" i="2"/>
  <c r="I211" i="2"/>
  <c r="R211" i="2" s="1"/>
  <c r="I212" i="2"/>
  <c r="R212" i="2" s="1"/>
  <c r="I213" i="2"/>
  <c r="I215" i="2"/>
  <c r="R215" i="2" s="1"/>
  <c r="I217" i="2"/>
  <c r="R217" i="2" s="1"/>
  <c r="I218" i="2"/>
  <c r="I219" i="2"/>
  <c r="I221" i="2"/>
  <c r="I222" i="2"/>
  <c r="I223" i="2"/>
  <c r="I224" i="2"/>
  <c r="R224" i="2" s="1"/>
  <c r="I226" i="2"/>
  <c r="I228" i="2"/>
  <c r="I229" i="2"/>
  <c r="I231" i="2"/>
  <c r="R231" i="2" s="1"/>
  <c r="I232" i="2"/>
  <c r="I233" i="2"/>
  <c r="I234" i="2"/>
  <c r="I236" i="2"/>
  <c r="I237" i="2"/>
  <c r="I238" i="2"/>
  <c r="I240" i="2"/>
  <c r="I241" i="2"/>
  <c r="I242" i="2"/>
  <c r="R242" i="2" s="1"/>
  <c r="I243" i="2"/>
  <c r="I247" i="2"/>
  <c r="R247" i="2" s="1"/>
  <c r="I248" i="2"/>
  <c r="I5" i="2"/>
  <c r="G11" i="2"/>
  <c r="G15" i="2"/>
  <c r="G18" i="2"/>
  <c r="G19" i="2"/>
  <c r="G22" i="2"/>
  <c r="R22" i="2" s="1"/>
  <c r="G29" i="2"/>
  <c r="G34" i="2"/>
  <c r="G36" i="2"/>
  <c r="G43" i="2"/>
  <c r="G51" i="2"/>
  <c r="G52" i="2"/>
  <c r="G59" i="2"/>
  <c r="G64" i="2"/>
  <c r="G66" i="2"/>
  <c r="G72" i="2"/>
  <c r="G73" i="2"/>
  <c r="G74" i="2"/>
  <c r="G75" i="2"/>
  <c r="G85" i="2"/>
  <c r="G93" i="2"/>
  <c r="G99" i="2"/>
  <c r="G101" i="2"/>
  <c r="G110" i="2"/>
  <c r="G112" i="2"/>
  <c r="G115" i="2"/>
  <c r="G116" i="2"/>
  <c r="G123" i="2"/>
  <c r="G124" i="2"/>
  <c r="G125" i="2"/>
  <c r="G126" i="2"/>
  <c r="G127" i="2"/>
  <c r="G130" i="2"/>
  <c r="G131" i="2"/>
  <c r="G132" i="2"/>
  <c r="G141" i="2"/>
  <c r="G143" i="2"/>
  <c r="G146" i="2"/>
  <c r="R146" i="2" s="1"/>
  <c r="G148" i="2"/>
  <c r="G150" i="2"/>
  <c r="G153" i="2"/>
  <c r="G155" i="2"/>
  <c r="G156" i="2"/>
  <c r="G160" i="2"/>
  <c r="G162" i="2"/>
  <c r="R162" i="2" s="1"/>
  <c r="G164" i="2"/>
  <c r="G166" i="2"/>
  <c r="G170" i="2"/>
  <c r="G171" i="2"/>
  <c r="G173" i="2"/>
  <c r="G174" i="2"/>
  <c r="G175" i="2"/>
  <c r="G176" i="2"/>
  <c r="G182" i="2"/>
  <c r="G183" i="2"/>
  <c r="R183" i="2" s="1"/>
  <c r="G186" i="2"/>
  <c r="G187" i="2"/>
  <c r="G188" i="2"/>
  <c r="G191" i="2"/>
  <c r="G197" i="2"/>
  <c r="G207" i="2"/>
  <c r="G208" i="2"/>
  <c r="G218" i="2"/>
  <c r="G223" i="2"/>
  <c r="G228" i="2"/>
  <c r="G233" i="2"/>
  <c r="G236" i="2"/>
  <c r="G237" i="2"/>
  <c r="G10" i="2"/>
  <c r="W4" i="2" s="1"/>
  <c r="E9" i="2"/>
  <c r="E10" i="2"/>
  <c r="R10" i="2" s="1"/>
  <c r="E11" i="2"/>
  <c r="E14" i="2"/>
  <c r="R14" i="2" s="1"/>
  <c r="E15" i="2"/>
  <c r="R15" i="2" s="1"/>
  <c r="E18" i="2"/>
  <c r="E19" i="2"/>
  <c r="R19" i="2" s="1"/>
  <c r="E20" i="2"/>
  <c r="R20" i="2" s="1"/>
  <c r="E24" i="2"/>
  <c r="E25" i="2"/>
  <c r="E27" i="2"/>
  <c r="R27" i="2" s="1"/>
  <c r="E29" i="2"/>
  <c r="E30" i="2"/>
  <c r="E32" i="2"/>
  <c r="R32" i="2" s="1"/>
  <c r="E33" i="2"/>
  <c r="R33" i="2" s="1"/>
  <c r="E34" i="2"/>
  <c r="E36" i="2"/>
  <c r="R36" i="2" s="1"/>
  <c r="E37" i="2"/>
  <c r="R37" i="2" s="1"/>
  <c r="E38" i="2"/>
  <c r="R38" i="2" s="1"/>
  <c r="E41" i="2"/>
  <c r="R41" i="2" s="1"/>
  <c r="E42" i="2"/>
  <c r="R42" i="2" s="1"/>
  <c r="E43" i="2"/>
  <c r="R43" i="2" s="1"/>
  <c r="E48" i="2"/>
  <c r="E51" i="2"/>
  <c r="E52" i="2"/>
  <c r="R52" i="2" s="1"/>
  <c r="E53" i="2"/>
  <c r="R53" i="2" s="1"/>
  <c r="E54" i="2"/>
  <c r="R54" i="2" s="1"/>
  <c r="E57" i="2"/>
  <c r="R57" i="2" s="1"/>
  <c r="E59" i="2"/>
  <c r="E63" i="2"/>
  <c r="R63" i="2" s="1"/>
  <c r="E64" i="2"/>
  <c r="R64" i="2" s="1"/>
  <c r="E66" i="2"/>
  <c r="E68" i="2"/>
  <c r="R68" i="2" s="1"/>
  <c r="E70" i="2"/>
  <c r="R70" i="2" s="1"/>
  <c r="E72" i="2"/>
  <c r="R72" i="2" s="1"/>
  <c r="E73" i="2"/>
  <c r="E74" i="2"/>
  <c r="E75" i="2"/>
  <c r="E76" i="2"/>
  <c r="R76" i="2" s="1"/>
  <c r="E78" i="2"/>
  <c r="E82" i="2"/>
  <c r="R82" i="2" s="1"/>
  <c r="E85" i="2"/>
  <c r="R85" i="2" s="1"/>
  <c r="E89" i="2"/>
  <c r="E90" i="2"/>
  <c r="R90" i="2" s="1"/>
  <c r="E91" i="2"/>
  <c r="R91" i="2" s="1"/>
  <c r="E92" i="2"/>
  <c r="R92" i="2" s="1"/>
  <c r="E93" i="2"/>
  <c r="E95" i="2"/>
  <c r="R95" i="2" s="1"/>
  <c r="E99" i="2"/>
  <c r="R99" i="2" s="1"/>
  <c r="E101" i="2"/>
  <c r="E102" i="2"/>
  <c r="R102" i="2" s="1"/>
  <c r="E103" i="2"/>
  <c r="R103" i="2" s="1"/>
  <c r="E105" i="2"/>
  <c r="R105" i="2" s="1"/>
  <c r="E106" i="2"/>
  <c r="R106" i="2" s="1"/>
  <c r="E108" i="2"/>
  <c r="E110" i="2"/>
  <c r="E112" i="2"/>
  <c r="R112" i="2" s="1"/>
  <c r="E113" i="2"/>
  <c r="R113" i="2" s="1"/>
  <c r="E115" i="2"/>
  <c r="E116" i="2"/>
  <c r="E119" i="2"/>
  <c r="R119" i="2" s="1"/>
  <c r="E120" i="2"/>
  <c r="R120" i="2" s="1"/>
  <c r="E122" i="2"/>
  <c r="R122" i="2" s="1"/>
  <c r="E123" i="2"/>
  <c r="R123" i="2" s="1"/>
  <c r="E124" i="2"/>
  <c r="E125" i="2"/>
  <c r="E126" i="2"/>
  <c r="E127" i="2"/>
  <c r="R127" i="2" s="1"/>
  <c r="E129" i="2"/>
  <c r="R129" i="2" s="1"/>
  <c r="E130" i="2"/>
  <c r="R130" i="2" s="1"/>
  <c r="E131" i="2"/>
  <c r="R131" i="2" s="1"/>
  <c r="E132" i="2"/>
  <c r="R132" i="2" s="1"/>
  <c r="E134" i="2"/>
  <c r="R134" i="2" s="1"/>
  <c r="E135" i="2"/>
  <c r="R135" i="2" s="1"/>
  <c r="E136" i="2"/>
  <c r="E137" i="2"/>
  <c r="E141" i="2"/>
  <c r="R141" i="2" s="1"/>
  <c r="E142" i="2"/>
  <c r="R142" i="2" s="1"/>
  <c r="E143" i="2"/>
  <c r="R143" i="2" s="1"/>
  <c r="E144" i="2"/>
  <c r="R144" i="2" s="1"/>
  <c r="E145" i="2"/>
  <c r="E147" i="2"/>
  <c r="R147" i="2" s="1"/>
  <c r="E148" i="2"/>
  <c r="R148" i="2" s="1"/>
  <c r="E150" i="2"/>
  <c r="E153" i="2"/>
  <c r="E155" i="2"/>
  <c r="R155" i="2" s="1"/>
  <c r="E156" i="2"/>
  <c r="R156" i="2" s="1"/>
  <c r="E157" i="2"/>
  <c r="E160" i="2"/>
  <c r="R160" i="2" s="1"/>
  <c r="E161" i="2"/>
  <c r="E164" i="2"/>
  <c r="R164" i="2" s="1"/>
  <c r="E166" i="2"/>
  <c r="E170" i="2"/>
  <c r="E171" i="2"/>
  <c r="E172" i="2"/>
  <c r="R172" i="2" s="1"/>
  <c r="E173" i="2"/>
  <c r="R173" i="2" s="1"/>
  <c r="E174" i="2"/>
  <c r="R174" i="2" s="1"/>
  <c r="E175" i="2"/>
  <c r="E176" i="2"/>
  <c r="R176" i="2" s="1"/>
  <c r="E177" i="2"/>
  <c r="E182" i="2"/>
  <c r="E185" i="2"/>
  <c r="R185" i="2" s="1"/>
  <c r="E186" i="2"/>
  <c r="E187" i="2"/>
  <c r="R187" i="2" s="1"/>
  <c r="E188" i="2"/>
  <c r="E191" i="2"/>
  <c r="E194" i="2"/>
  <c r="R194" i="2" s="1"/>
  <c r="E197" i="2"/>
  <c r="R197" i="2" s="1"/>
  <c r="E198" i="2"/>
  <c r="E199" i="2"/>
  <c r="R199" i="2" s="1"/>
  <c r="E200" i="2"/>
  <c r="R200" i="2" s="1"/>
  <c r="E204" i="2"/>
  <c r="R204" i="2" s="1"/>
  <c r="E205" i="2"/>
  <c r="R205" i="2" s="1"/>
  <c r="E206" i="2"/>
  <c r="R206" i="2" s="1"/>
  <c r="E207" i="2"/>
  <c r="E208" i="2"/>
  <c r="E209" i="2"/>
  <c r="R209" i="2" s="1"/>
  <c r="E210" i="2"/>
  <c r="R210" i="2" s="1"/>
  <c r="E218" i="2"/>
  <c r="E220" i="2"/>
  <c r="R220" i="2" s="1"/>
  <c r="E221" i="2"/>
  <c r="R221" i="2" s="1"/>
  <c r="E223" i="2"/>
  <c r="E226" i="2"/>
  <c r="R226" i="2" s="1"/>
  <c r="E227" i="2"/>
  <c r="R227" i="2" s="1"/>
  <c r="E228" i="2"/>
  <c r="E232" i="2"/>
  <c r="R232" i="2" s="1"/>
  <c r="E233" i="2"/>
  <c r="E236" i="2"/>
  <c r="R236" i="2" s="1"/>
  <c r="E237" i="2"/>
  <c r="R237" i="2" s="1"/>
  <c r="E240" i="2"/>
  <c r="R240" i="2" s="1"/>
  <c r="E241" i="2"/>
  <c r="R241" i="2" s="1"/>
  <c r="E243" i="2"/>
  <c r="R243" i="2" s="1"/>
  <c r="E244" i="2"/>
  <c r="R244" i="2" s="1"/>
  <c r="E245" i="2"/>
  <c r="R245" i="2" s="1"/>
  <c r="E246" i="2"/>
  <c r="R246" i="2" s="1"/>
  <c r="E248" i="2"/>
  <c r="E4" i="2"/>
  <c r="C7" i="2"/>
  <c r="R7" i="2" s="1"/>
  <c r="C8" i="2"/>
  <c r="R8" i="2" s="1"/>
  <c r="C9" i="2"/>
  <c r="R9" i="2" s="1"/>
  <c r="C11" i="2"/>
  <c r="R11" i="2" s="1"/>
  <c r="C16" i="2"/>
  <c r="R16" i="2" s="1"/>
  <c r="C17" i="2"/>
  <c r="R17" i="2" s="1"/>
  <c r="C18" i="2"/>
  <c r="R18" i="2" s="1"/>
  <c r="C24" i="2"/>
  <c r="R24" i="2" s="1"/>
  <c r="C25" i="2"/>
  <c r="R25" i="2" s="1"/>
  <c r="C29" i="2"/>
  <c r="R29" i="2" s="1"/>
  <c r="C30" i="2"/>
  <c r="R30" i="2" s="1"/>
  <c r="C34" i="2"/>
  <c r="R34" i="2" s="1"/>
  <c r="C45" i="2"/>
  <c r="R45" i="2" s="1"/>
  <c r="C48" i="2"/>
  <c r="R48" i="2" s="1"/>
  <c r="C49" i="2"/>
  <c r="R49" i="2" s="1"/>
  <c r="C51" i="2"/>
  <c r="R51" i="2" s="1"/>
  <c r="C59" i="2"/>
  <c r="R59" i="2" s="1"/>
  <c r="C62" i="2"/>
  <c r="R62" i="2" s="1"/>
  <c r="C66" i="2"/>
  <c r="R66" i="2" s="1"/>
  <c r="C73" i="2"/>
  <c r="R73" i="2" s="1"/>
  <c r="C74" i="2"/>
  <c r="R74" i="2" s="1"/>
  <c r="C75" i="2"/>
  <c r="R75" i="2" s="1"/>
  <c r="C78" i="2"/>
  <c r="R78" i="2" s="1"/>
  <c r="C81" i="2"/>
  <c r="R81" i="2" s="1"/>
  <c r="C83" i="2"/>
  <c r="R83" i="2" s="1"/>
  <c r="C89" i="2"/>
  <c r="R89" i="2" s="1"/>
  <c r="C93" i="2"/>
  <c r="R93" i="2" s="1"/>
  <c r="C100" i="2"/>
  <c r="R100" i="2" s="1"/>
  <c r="C101" i="2"/>
  <c r="R101" i="2" s="1"/>
  <c r="C108" i="2"/>
  <c r="R108" i="2" s="1"/>
  <c r="C110" i="2"/>
  <c r="R110" i="2" s="1"/>
  <c r="C111" i="2"/>
  <c r="R111" i="2" s="1"/>
  <c r="C115" i="2"/>
  <c r="R115" i="2" s="1"/>
  <c r="C116" i="2"/>
  <c r="R116" i="2" s="1"/>
  <c r="C118" i="2"/>
  <c r="R118" i="2" s="1"/>
  <c r="C121" i="2"/>
  <c r="R121" i="2" s="1"/>
  <c r="C124" i="2"/>
  <c r="R124" i="2" s="1"/>
  <c r="C125" i="2"/>
  <c r="R125" i="2" s="1"/>
  <c r="C126" i="2"/>
  <c r="R126" i="2" s="1"/>
  <c r="C136" i="2"/>
  <c r="R136" i="2" s="1"/>
  <c r="C137" i="2"/>
  <c r="R137" i="2" s="1"/>
  <c r="C145" i="2"/>
  <c r="R145" i="2" s="1"/>
  <c r="C150" i="2"/>
  <c r="R150" i="2" s="1"/>
  <c r="C153" i="2"/>
  <c r="R153" i="2" s="1"/>
  <c r="C157" i="2"/>
  <c r="R157" i="2" s="1"/>
  <c r="C161" i="2"/>
  <c r="R161" i="2" s="1"/>
  <c r="C166" i="2"/>
  <c r="R166" i="2" s="1"/>
  <c r="C170" i="2"/>
  <c r="R170" i="2" s="1"/>
  <c r="C171" i="2"/>
  <c r="R171" i="2" s="1"/>
  <c r="C175" i="2"/>
  <c r="R175" i="2" s="1"/>
  <c r="C177" i="2"/>
  <c r="R177" i="2" s="1"/>
  <c r="C182" i="2"/>
  <c r="R182" i="2" s="1"/>
  <c r="C186" i="2"/>
  <c r="R186" i="2" s="1"/>
  <c r="C188" i="2"/>
  <c r="R188" i="2" s="1"/>
  <c r="C190" i="2"/>
  <c r="R190" i="2" s="1"/>
  <c r="C191" i="2"/>
  <c r="R191" i="2" s="1"/>
  <c r="C196" i="2"/>
  <c r="R196" i="2" s="1"/>
  <c r="C198" i="2"/>
  <c r="R198" i="2" s="1"/>
  <c r="C207" i="2"/>
  <c r="R207" i="2" s="1"/>
  <c r="C208" i="2"/>
  <c r="R208" i="2" s="1"/>
  <c r="C213" i="2"/>
  <c r="R213" i="2" s="1"/>
  <c r="C216" i="2"/>
  <c r="R216" i="2" s="1"/>
  <c r="C218" i="2"/>
  <c r="R218" i="2" s="1"/>
  <c r="C219" i="2"/>
  <c r="R219" i="2" s="1"/>
  <c r="C222" i="2"/>
  <c r="R222" i="2" s="1"/>
  <c r="C223" i="2"/>
  <c r="R223" i="2" s="1"/>
  <c r="C225" i="2"/>
  <c r="R225" i="2" s="1"/>
  <c r="C228" i="2"/>
  <c r="R228" i="2" s="1"/>
  <c r="C229" i="2"/>
  <c r="R229" i="2" s="1"/>
  <c r="C233" i="2"/>
  <c r="R233" i="2" s="1"/>
  <c r="C234" i="2"/>
  <c r="R234" i="2" s="1"/>
  <c r="C235" i="2"/>
  <c r="R235" i="2" s="1"/>
  <c r="C238" i="2"/>
  <c r="R238" i="2" s="1"/>
  <c r="C248" i="2"/>
  <c r="R248" i="2" s="1"/>
  <c r="C6" i="2"/>
  <c r="W8" i="2"/>
  <c r="U8" i="2" l="1"/>
  <c r="R6" i="2"/>
  <c r="V4" i="2"/>
  <c r="R4" i="2"/>
  <c r="X4" i="2"/>
  <c r="R5" i="2"/>
  <c r="R16" i="7"/>
  <c r="U4" i="2"/>
  <c r="U3" i="2"/>
  <c r="W9" i="2"/>
  <c r="X8" i="2"/>
  <c r="Y6" i="2"/>
  <c r="Z5" i="2"/>
  <c r="AB8" i="2"/>
  <c r="AB5" i="2"/>
  <c r="AB3" i="2"/>
  <c r="AA8" i="2"/>
  <c r="Z6" i="2"/>
  <c r="X3" i="2"/>
  <c r="U5" i="2"/>
  <c r="U6" i="2"/>
  <c r="AB6" i="2"/>
  <c r="AA5" i="2"/>
  <c r="AA3" i="2"/>
  <c r="AA6" i="2"/>
  <c r="Z8" i="2"/>
  <c r="Z3" i="2"/>
  <c r="Y3" i="2"/>
  <c r="Y5" i="2"/>
  <c r="Y8" i="2"/>
  <c r="X5" i="2"/>
  <c r="X6" i="2"/>
  <c r="W6" i="2"/>
  <c r="W3" i="2"/>
  <c r="W5" i="2"/>
  <c r="V6" i="2"/>
  <c r="V5" i="2"/>
  <c r="V8" i="2"/>
  <c r="V3" i="2"/>
  <c r="AC20" i="2" l="1"/>
  <c r="AC8" i="2"/>
  <c r="AC3" i="2"/>
  <c r="AC6" i="2"/>
  <c r="AC5" i="2"/>
  <c r="AC4" i="2"/>
  <c r="V9" i="2"/>
  <c r="Y9" i="2"/>
  <c r="Z9" i="2"/>
  <c r="AA9" i="2"/>
  <c r="AB9" i="2"/>
  <c r="X9" i="2"/>
  <c r="W10" i="2"/>
  <c r="U9" i="2"/>
  <c r="AC9" i="2" l="1"/>
  <c r="AC10" i="2"/>
  <c r="AC11" i="2"/>
  <c r="AC12" i="2"/>
  <c r="AC13" i="2"/>
  <c r="AC14" i="2"/>
  <c r="U10" i="2"/>
  <c r="W11" i="2"/>
  <c r="X10" i="2"/>
  <c r="AB10" i="2"/>
  <c r="AA10" i="2"/>
  <c r="Z10" i="2"/>
  <c r="Y10" i="2"/>
  <c r="V10" i="2"/>
  <c r="AC15" i="2" l="1"/>
  <c r="V11" i="2"/>
  <c r="Y11" i="2"/>
  <c r="Z11" i="2"/>
  <c r="AA11" i="2"/>
  <c r="AB11" i="2"/>
  <c r="X11" i="2"/>
  <c r="W12" i="2"/>
  <c r="U11" i="2"/>
  <c r="AC16" i="2" l="1"/>
  <c r="U12" i="2"/>
  <c r="W13" i="2"/>
  <c r="X12" i="2"/>
  <c r="AB12" i="2"/>
  <c r="AA12" i="2"/>
  <c r="AA21" i="2" s="1"/>
  <c r="Z12" i="2"/>
  <c r="Y12" i="2"/>
  <c r="V12" i="2"/>
  <c r="AC17" i="2" l="1"/>
  <c r="V13" i="2"/>
  <c r="Y13" i="2"/>
  <c r="Z13" i="2"/>
  <c r="AB13" i="2"/>
  <c r="X13" i="2"/>
  <c r="W14" i="2"/>
  <c r="U13" i="2"/>
  <c r="AC18" i="2" l="1"/>
  <c r="U14" i="2"/>
  <c r="W15" i="2"/>
  <c r="W21" i="2" s="1"/>
  <c r="X14" i="2"/>
  <c r="AB14" i="2"/>
  <c r="Z14" i="2"/>
  <c r="Z21" i="2" s="1"/>
  <c r="Y14" i="2"/>
  <c r="V14" i="2"/>
  <c r="AC19" i="2" l="1"/>
  <c r="AC21" i="2" s="1"/>
  <c r="V15" i="2"/>
  <c r="Y15" i="2"/>
  <c r="Y21" i="2" s="1"/>
  <c r="AB15" i="2"/>
  <c r="AB21" i="2" s="1"/>
  <c r="X15" i="2"/>
  <c r="U15" i="2"/>
  <c r="U16" i="2" l="1"/>
  <c r="X16" i="2"/>
  <c r="V16" i="2"/>
  <c r="V17" i="2" l="1"/>
  <c r="V21" i="2" s="1"/>
  <c r="X17" i="2"/>
  <c r="X21" i="2" s="1"/>
  <c r="U17" i="2"/>
  <c r="U18" i="2" l="1"/>
  <c r="U19" i="2" l="1"/>
  <c r="U21" i="2" s="1"/>
</calcChain>
</file>

<file path=xl/sharedStrings.xml><?xml version="1.0" encoding="utf-8"?>
<sst xmlns="http://schemas.openxmlformats.org/spreadsheetml/2006/main" count="1006" uniqueCount="348">
  <si>
    <t>Commodity Loading by Port</t>
  </si>
  <si>
    <t>Commodity Analysis</t>
  </si>
  <si>
    <t>Crude Petroleum</t>
  </si>
  <si>
    <t>Gasoline</t>
  </si>
  <si>
    <t>Kerosene</t>
  </si>
  <si>
    <t>Distillate Fuel Oil</t>
  </si>
  <si>
    <t>Residual Fuel Oil</t>
  </si>
  <si>
    <t>Naphtha &amp; Solvents</t>
  </si>
  <si>
    <t>Benzene &amp; Toluene</t>
  </si>
  <si>
    <t>Alcohols</t>
  </si>
  <si>
    <t>Total</t>
  </si>
  <si>
    <t>Totals</t>
  </si>
  <si>
    <t>mTons</t>
  </si>
  <si>
    <t>1000 gal</t>
  </si>
  <si>
    <t>Count</t>
  </si>
  <si>
    <t>Albany Port District, NY (PORT)</t>
  </si>
  <si>
    <t>Sum</t>
  </si>
  <si>
    <t>Allegheny River, Pa Improved Portion</t>
  </si>
  <si>
    <t>Maximum</t>
  </si>
  <si>
    <t>America's Central Port, IL</t>
  </si>
  <si>
    <t>Minimum</t>
  </si>
  <si>
    <t>Aransas County Nav Dist No. 1 TX</t>
  </si>
  <si>
    <t>Atchafalaya River (Lower), LA</t>
  </si>
  <si>
    <t>Less than 100</t>
  </si>
  <si>
    <t>Atchafalaya River (Upper), LA</t>
  </si>
  <si>
    <t>100&lt;x&lt;5000</t>
  </si>
  <si>
    <t>Baltimore, MD (PORT)</t>
  </si>
  <si>
    <t>5000&lt;x&lt;50000</t>
  </si>
  <si>
    <t>Barbers Point Harbor, Oahu, HI</t>
  </si>
  <si>
    <t>50000&lt;x&lt;100000</t>
  </si>
  <si>
    <t>Baton Rouge Harbor - Devil's Swamp, LA</t>
  </si>
  <si>
    <t>100000&lt;x&lt;250000</t>
  </si>
  <si>
    <t>Bay Ridge and Red Hook Channels, NY</t>
  </si>
  <si>
    <t>250000&lt;x&lt;500000</t>
  </si>
  <si>
    <t>Bayfield Harbor, WI</t>
  </si>
  <si>
    <t>500000&lt;x&lt;1000000</t>
  </si>
  <si>
    <t>Bayou Casotte, MS</t>
  </si>
  <si>
    <t>1000000&lt;x&lt;2500000</t>
  </si>
  <si>
    <t>Bayou Lafourche and Lafourche-Jump Waterway, LA</t>
  </si>
  <si>
    <t>2500000&lt;x&lt;5000000</t>
  </si>
  <si>
    <t>Bayou Little Caillou, LA</t>
  </si>
  <si>
    <t>5000000&lt;x&lt;10000000</t>
  </si>
  <si>
    <t>Beaumont, TX</t>
  </si>
  <si>
    <t>10000000&lt;x&lt;25000000</t>
  </si>
  <si>
    <t>Bethel Harbor, AK</t>
  </si>
  <si>
    <t>25000000&lt;x&lt;30000000</t>
  </si>
  <si>
    <t>Big Sandy River, Tug and Levisa Forks, KY and WV</t>
  </si>
  <si>
    <t>x&gt;30000000</t>
  </si>
  <si>
    <t>Black Warrior and Tombigbee Rivers, AL</t>
  </si>
  <si>
    <t>Boston Harbor, MA</t>
  </si>
  <si>
    <t>Boston, MA Main Waterfront</t>
  </si>
  <si>
    <t>Brazos Island Harbor, TX</t>
  </si>
  <si>
    <t>Brownsville, TX</t>
  </si>
  <si>
    <t>Brunswick Harbor, GA</t>
  </si>
  <si>
    <t>Buttermilk Channel, NY</t>
  </si>
  <si>
    <t>Caddo-Bossier Port, LA</t>
  </si>
  <si>
    <t>Commodity</t>
  </si>
  <si>
    <t>Commodity No</t>
  </si>
  <si>
    <t># of Terminals Loading</t>
  </si>
  <si>
    <t>Total National Throughput</t>
  </si>
  <si>
    <t>Calcasieu River and Pass Project, LA</t>
  </si>
  <si>
    <t>1000 bbl/yr</t>
  </si>
  <si>
    <t>1000 gal/yr</t>
  </si>
  <si>
    <t>Calhoun Port Authority, TX</t>
  </si>
  <si>
    <t>Crude Oil</t>
  </si>
  <si>
    <t>Calumet Harbor and River, IL and IN</t>
  </si>
  <si>
    <t>Calumet-sag Channel, IL</t>
  </si>
  <si>
    <t>Canaveral Port District, FL</t>
  </si>
  <si>
    <t>Distillate Fuel</t>
  </si>
  <si>
    <t>Carquinez Strait, CA</t>
  </si>
  <si>
    <t>Residual Fuel</t>
  </si>
  <si>
    <t>Cedar Bayou, TX</t>
  </si>
  <si>
    <t>Naphtha and Solvents</t>
  </si>
  <si>
    <t>Charleston Harbor, SC</t>
  </si>
  <si>
    <t>Benzene and Toluene</t>
  </si>
  <si>
    <t>Charlevoix Harbor, MI </t>
  </si>
  <si>
    <t>Chatham Strait, AK</t>
  </si>
  <si>
    <t>Chelsea River, MA </t>
  </si>
  <si>
    <t>Chicago Sanitary and Ship Canal, IL</t>
  </si>
  <si>
    <t>Loading Thresholds (1000 gal)</t>
  </si>
  <si>
    <t>Chickasaw Creek, AL</t>
  </si>
  <si>
    <t>Distillate Oil</t>
  </si>
  <si>
    <t>Residual Oil</t>
  </si>
  <si>
    <t>Naphtha</t>
  </si>
  <si>
    <t>Chocolate Bayou, TX</t>
  </si>
  <si>
    <t>Christiansted Harbor, St. Croix, VI</t>
  </si>
  <si>
    <t>Cincinnati, OH</t>
  </si>
  <si>
    <t>Cincinnati-Northern KY, Ports of</t>
  </si>
  <si>
    <t>Clallam County Port District, WA </t>
  </si>
  <si>
    <t>Cleveland-Cuyahoga Port, OH</t>
  </si>
  <si>
    <t>Colorado River and Flood Discharge Channels, TX</t>
  </si>
  <si>
    <t>Columbia River System</t>
  </si>
  <si>
    <t>Cordova Harbor, AK</t>
  </si>
  <si>
    <t>Corpus Christi Ship Channel, TX</t>
  </si>
  <si>
    <t>Delaware River, Trenton, NJ to the Sea (Consolidated Report)</t>
  </si>
  <si>
    <t>E Iowa and W Illinois, IA IL</t>
  </si>
  <si>
    <t>East River, NY</t>
  </si>
  <si>
    <t>Fall River Harbor, MA</t>
  </si>
  <si>
    <t>Fernandina Harbor, FL</t>
  </si>
  <si>
    <t>Flushing Bay and Creek, NY</t>
  </si>
  <si>
    <t>Galveston, TX</t>
  </si>
  <si>
    <t>Gloucester, MA</t>
  </si>
  <si>
    <t>Grays Harbor Port District, WA</t>
  </si>
  <si>
    <t>Greater Lafourche Port, LA</t>
  </si>
  <si>
    <t>Green Bay, WI</t>
  </si>
  <si>
    <t>Greens Bayou Channel, TX</t>
  </si>
  <si>
    <t>Greenville Harbor, MS</t>
  </si>
  <si>
    <t>Gulf Intracoastal Waterway between Apalachee Bay, FL and the Mexican Border (Consolidated Report) </t>
  </si>
  <si>
    <t>Gulfport Harbor, MS</t>
  </si>
  <si>
    <t>Haines Borough, AK</t>
  </si>
  <si>
    <t>Heart of Illinois Port, IL</t>
  </si>
  <si>
    <t>Hilo, Hawai'i, HI</t>
  </si>
  <si>
    <t>Homer Harbor, AK</t>
  </si>
  <si>
    <t>HONOLULU HARBOR, OAHU, HI</t>
  </si>
  <si>
    <t>Houston Port Authority, TX</t>
  </si>
  <si>
    <t>Houston Ship Channel, TX</t>
  </si>
  <si>
    <t>Huntington-Tristate, KY, OH, WV</t>
  </si>
  <si>
    <t>Icy Strait, AK</t>
  </si>
  <si>
    <t>Illinois International Port, IL</t>
  </si>
  <si>
    <t>Illinois River, IL</t>
  </si>
  <si>
    <t>Illinois Valley Port, IL</t>
  </si>
  <si>
    <t>Illinois Waterway Ports, IL</t>
  </si>
  <si>
    <t>Illinois Waterway, IL</t>
  </si>
  <si>
    <t>Indiana Harbor, IN</t>
  </si>
  <si>
    <t>Intracoastal Waterway to Bayou Dulac, LA, Waterway Connecting</t>
  </si>
  <si>
    <t>J. Bennett Johnston Waterway</t>
  </si>
  <si>
    <t>Jacksonville, FL</t>
  </si>
  <si>
    <t>Jamaica Bay, NY</t>
  </si>
  <si>
    <t>James River, VA </t>
  </si>
  <si>
    <t>Jefferson County Port, WA</t>
  </si>
  <si>
    <t>Joliet Regional Port, IL</t>
  </si>
  <si>
    <t>Juneau Harbor, AK</t>
  </si>
  <si>
    <t>Juneau, AK</t>
  </si>
  <si>
    <t>Kake Harbor, AK </t>
  </si>
  <si>
    <t>Kalaeloa Barbers Point, HI</t>
  </si>
  <si>
    <t>Kanawha River, WV</t>
  </si>
  <si>
    <t>Ketchikan Harbor, AK</t>
  </si>
  <si>
    <t>Keweenaw Waterway, MI</t>
  </si>
  <si>
    <t>Kivalina, AK</t>
  </si>
  <si>
    <t>Kodiak Harbor, AK</t>
  </si>
  <si>
    <t>Kuskokwim River, AK</t>
  </si>
  <si>
    <t>Lake Charles Deep Water Channel, LA </t>
  </si>
  <si>
    <t>Lake Charles Harbor District, LA</t>
  </si>
  <si>
    <t>Lake Erie, Including Upper Niagara River</t>
  </si>
  <si>
    <t>Lake Michigan</t>
  </si>
  <si>
    <t>Little Rock Port Authority, AR</t>
  </si>
  <si>
    <t>Louisville-Jefferson Port, KY</t>
  </si>
  <si>
    <t>Lynn Canal, AK</t>
  </si>
  <si>
    <t>Manatee County Port, FL </t>
  </si>
  <si>
    <t>Matagorda Ship Channel, TX</t>
  </si>
  <si>
    <t>Mcclellan-Kerr Arkansas River Navigation System</t>
  </si>
  <si>
    <t>Memphis-Shelby County Port, TN</t>
  </si>
  <si>
    <t>Mermentau River, LA</t>
  </si>
  <si>
    <t>Miami Harbor, FL </t>
  </si>
  <si>
    <t>Miami River, FL</t>
  </si>
  <si>
    <t>Mississippi County Port, MO</t>
  </si>
  <si>
    <t>Mississippi River System (Internal Domestic)</t>
  </si>
  <si>
    <t>Mobile Harbor, AL</t>
  </si>
  <si>
    <t>Monongahela River, PA and WV</t>
  </si>
  <si>
    <t>Morgan City Harbor District, LA</t>
  </si>
  <si>
    <t>Mount Vernon, IN </t>
  </si>
  <si>
    <t>Naknek River, AK</t>
  </si>
  <si>
    <t>Natchez-Adams Port Auhority, MS</t>
  </si>
  <si>
    <t>New Bedford Port Authority, MA</t>
  </si>
  <si>
    <t>New Haven Harbor, CT</t>
  </si>
  <si>
    <t>New Orleans, LA</t>
  </si>
  <si>
    <t>New York Harbor, NY and NJ Upper Bay</t>
  </si>
  <si>
    <t>New York, NY &amp; NJ</t>
  </si>
  <si>
    <t>Newark Bay, NJ</t>
  </si>
  <si>
    <t>Newport News, VA</t>
  </si>
  <si>
    <t>Newtown Creek, NY</t>
  </si>
  <si>
    <t>Nikiski, AK</t>
  </si>
  <si>
    <t>Nome Harbor, AK</t>
  </si>
  <si>
    <t>Norfolk Harbor, VA</t>
  </si>
  <si>
    <t>Northern Indiana District, IN</t>
  </si>
  <si>
    <t>Oakland Harbor, CA</t>
  </si>
  <si>
    <t>Ocean Port Authority, FL</t>
  </si>
  <si>
    <t>Ohio River System </t>
  </si>
  <si>
    <t>Orange County Nav District, TX</t>
  </si>
  <si>
    <t>Owensboro Riverport, KY</t>
  </si>
  <si>
    <t>Oxnard Harbor District, CA </t>
  </si>
  <si>
    <t>Paducah-McCracken Riverport, KY </t>
  </si>
  <si>
    <t>Palm Beach Harbor, FL</t>
  </si>
  <si>
    <t>Panama City Harbor, FL</t>
  </si>
  <si>
    <t>Pascagoula Harbor, MS</t>
  </si>
  <si>
    <t>Passaic River, NJ</t>
  </si>
  <si>
    <t>Paulsboro, NJ</t>
  </si>
  <si>
    <t>Pearl Harbor, O'ahu, HI</t>
  </si>
  <si>
    <t>Petersburg Harbor, AK</t>
  </si>
  <si>
    <t>Philadelphia Regional Port, PA</t>
  </si>
  <si>
    <t>Pittsburgh, PA Port of</t>
  </si>
  <si>
    <t>Plaquemines Port District, LA</t>
  </si>
  <si>
    <t>Ponce Port Authority, PR</t>
  </si>
  <si>
    <t>Port Angeles, WA</t>
  </si>
  <si>
    <t>Port Arthur, TX</t>
  </si>
  <si>
    <t>Port Chester Harbor, NY</t>
  </si>
  <si>
    <t>Port Everglades Harbor, FL</t>
  </si>
  <si>
    <t>Port Everglades, FL</t>
  </si>
  <si>
    <t>Port Freeport, TX</t>
  </si>
  <si>
    <t>PORT HUENEME, CA</t>
  </si>
  <si>
    <t>PORT MANATEE, FL</t>
  </si>
  <si>
    <t>Port of Alaska, AK</t>
  </si>
  <si>
    <t>Port of Bay City Matagorda, TX</t>
  </si>
  <si>
    <t>Port of Boston, MA</t>
  </si>
  <si>
    <t>Port of Brunswick, GA</t>
  </si>
  <si>
    <t>Port of Charleston, SC</t>
  </si>
  <si>
    <t>Port of Columbia County, OR</t>
  </si>
  <si>
    <t>Port of Greater Baton Rouge, LA</t>
  </si>
  <si>
    <t>Port of Greenville, MS</t>
  </si>
  <si>
    <t>Port of Gulfport, MS</t>
  </si>
  <si>
    <t>Port of Harlingen Authority, TX </t>
  </si>
  <si>
    <t>Port of Long Beach, CA</t>
  </si>
  <si>
    <t>Port of Los Angeles, CA</t>
  </si>
  <si>
    <t>Port of Oakland, CA</t>
  </si>
  <si>
    <t>Port of Palm Beach District, FL</t>
  </si>
  <si>
    <t>Port of Pascagoula, MS</t>
  </si>
  <si>
    <t>Port of Portland, OR</t>
  </si>
  <si>
    <t>Port of Providence, RI</t>
  </si>
  <si>
    <t>Port of Savannah, GA</t>
  </si>
  <si>
    <t>Port of Vicksburg, MS</t>
  </si>
  <si>
    <t>Port Townsend Harbor, WA</t>
  </si>
  <si>
    <t>Portland Harbor, ME</t>
  </si>
  <si>
    <t>Portland, Astoria, St. Helens, Longview, Vancouver and Kalama Area, Other Ports</t>
  </si>
  <si>
    <t>PortMiami, FL</t>
  </si>
  <si>
    <t>Portsmouth Harbor, NH</t>
  </si>
  <si>
    <t>Potomac River Below Washington, DC</t>
  </si>
  <si>
    <t>Providence River and Harbor, RI</t>
  </si>
  <si>
    <t>Puget Sound Area, WA, Other Ports</t>
  </si>
  <si>
    <t>Raritan River, NJ</t>
  </si>
  <si>
    <t>Richmond Harbor, CA</t>
  </si>
  <si>
    <t>Richmond, VA</t>
  </si>
  <si>
    <t>Sabine Pass Port Authority, TX</t>
  </si>
  <si>
    <t>Sabine-Neches Waterway, TX</t>
  </si>
  <si>
    <t>Salem River, NJ</t>
  </si>
  <si>
    <t>San Bernard River, TX</t>
  </si>
  <si>
    <t>San Diego Harbor, CA</t>
  </si>
  <si>
    <t>San Francisco Port, CA</t>
  </si>
  <si>
    <t>San Joaquin River, CA</t>
  </si>
  <si>
    <t>San Juan Harbor, PR</t>
  </si>
  <si>
    <t>San Pablo Bay and Mare Island Strait, C</t>
  </si>
  <si>
    <t>Schuylkill River, PA</t>
  </si>
  <si>
    <t>Seattle, WA</t>
  </si>
  <si>
    <t>Seneca Regional Port, IL</t>
  </si>
  <si>
    <t>Seneca Regional Port, IL </t>
  </si>
  <si>
    <t>Shipyard River, SC</t>
  </si>
  <si>
    <t>Sitka Harbor, AK</t>
  </si>
  <si>
    <t>Skagway Harbor, AK</t>
  </si>
  <si>
    <t>Snake River, OR, WA and ID</t>
  </si>
  <si>
    <t>South Jersey Port Corp, NJ</t>
  </si>
  <si>
    <t>South Louisiana, LA, Port of</t>
  </si>
  <si>
    <t>Southern Indiana District, IN</t>
  </si>
  <si>
    <t>Southwest Regional Port, IL</t>
  </si>
  <si>
    <t>St. Louis City Port, MO</t>
  </si>
  <si>
    <t>St. Louis County, MO</t>
  </si>
  <si>
    <t>St. Louis Metro Port, IL and MO</t>
  </si>
  <si>
    <t>St. Paul Port Authority, MN</t>
  </si>
  <si>
    <t>St. Thomas Harbor, VI</t>
  </si>
  <si>
    <t>Stockton, CA </t>
  </si>
  <si>
    <t>Suisun Bay Channel, CA</t>
  </si>
  <si>
    <t>Tacoma Harbor, WA</t>
  </si>
  <si>
    <t>Tampa Port Authority, FL</t>
  </si>
  <si>
    <t>Tennessee River, TN, AL and KY</t>
  </si>
  <si>
    <t>Tennessee Tombigbee Waterway</t>
  </si>
  <si>
    <t>Terrebonne Parish Port, LA</t>
  </si>
  <si>
    <t>Texas City Channel, TX</t>
  </si>
  <si>
    <t>Theodore Ship Channel, AL</t>
  </si>
  <si>
    <t>Three Mile Creek, AL</t>
  </si>
  <si>
    <t>Toledo-Lucas County Port, OH</t>
  </si>
  <si>
    <t>Tongass Narrows, AK</t>
  </si>
  <si>
    <t>Total Waterborne Commerce of the San Francisco Bay and Delta Areas, CA</t>
  </si>
  <si>
    <t>Total Waterborne Commerce, Columbia River Basin, OR, WA, and ID </t>
  </si>
  <si>
    <t>Tributary Arroyo Colorado, TX</t>
  </si>
  <si>
    <t>Tulsa-Rogers County Port, OK</t>
  </si>
  <si>
    <t>Unalaska Channels, AK</t>
  </si>
  <si>
    <t>Valdez, AK</t>
  </si>
  <si>
    <t>Vicksburg Harbor, MS</t>
  </si>
  <si>
    <t>Victoria, TX</t>
  </si>
  <si>
    <t>Virgin Islands - St. Croix, VI</t>
  </si>
  <si>
    <t>Virginia, VA, Port of</t>
  </si>
  <si>
    <t>West St. Mary Parish Port, LA</t>
  </si>
  <si>
    <t>Weymouth Fore River, MA</t>
  </si>
  <si>
    <t>Wilmington Harbor, DE</t>
  </si>
  <si>
    <t>Wilmington Harbor, NC</t>
  </si>
  <si>
    <t>Wilmington, DE</t>
  </si>
  <si>
    <t>Wilmington, NC</t>
  </si>
  <si>
    <t>Wrangell Harbor, AK</t>
  </si>
  <si>
    <t>Wrangell Narrows, AK</t>
  </si>
  <si>
    <t>Yakutat, AK</t>
  </si>
  <si>
    <t>Yazoo River, MS Mouth of</t>
  </si>
  <si>
    <t>York River, VA</t>
  </si>
  <si>
    <t>Port</t>
  </si>
  <si>
    <t>State</t>
  </si>
  <si>
    <t>Total Loading (1000 gallons)</t>
  </si>
  <si>
    <t>AK</t>
  </si>
  <si>
    <t>AL</t>
  </si>
  <si>
    <t>AR</t>
  </si>
  <si>
    <t>CA</t>
  </si>
  <si>
    <t>CT</t>
  </si>
  <si>
    <t>DC</t>
  </si>
  <si>
    <t>DE</t>
  </si>
  <si>
    <t>FL</t>
  </si>
  <si>
    <t>GA</t>
  </si>
  <si>
    <t>HI</t>
  </si>
  <si>
    <t>IA, IL</t>
  </si>
  <si>
    <t>IL</t>
  </si>
  <si>
    <t>IL, IN</t>
  </si>
  <si>
    <t>IL, MO</t>
  </si>
  <si>
    <t>IN</t>
  </si>
  <si>
    <t>KY</t>
  </si>
  <si>
    <t>KY, OH, WV</t>
  </si>
  <si>
    <t>KY, WV</t>
  </si>
  <si>
    <t>LA</t>
  </si>
  <si>
    <t>MA</t>
  </si>
  <si>
    <t>MD</t>
  </si>
  <si>
    <t>ME</t>
  </si>
  <si>
    <t>MI</t>
  </si>
  <si>
    <t>MN</t>
  </si>
  <si>
    <t>MO</t>
  </si>
  <si>
    <t>MS</t>
  </si>
  <si>
    <t>NC</t>
  </si>
  <si>
    <t>NH</t>
  </si>
  <si>
    <t>NJ</t>
  </si>
  <si>
    <t>NY</t>
  </si>
  <si>
    <t>NY, NJ</t>
  </si>
  <si>
    <t>OH</t>
  </si>
  <si>
    <t>Ok</t>
  </si>
  <si>
    <t>OR</t>
  </si>
  <si>
    <t>OR, WA, ID</t>
  </si>
  <si>
    <t>PA</t>
  </si>
  <si>
    <t>PA, WV</t>
  </si>
  <si>
    <t>PR</t>
  </si>
  <si>
    <t>RI</t>
  </si>
  <si>
    <t>SC</t>
  </si>
  <si>
    <t>TN</t>
  </si>
  <si>
    <t>TN, AL, KY</t>
  </si>
  <si>
    <t>TX</t>
  </si>
  <si>
    <t>VA</t>
  </si>
  <si>
    <t>VI</t>
  </si>
  <si>
    <t>WA</t>
  </si>
  <si>
    <t>WI</t>
  </si>
  <si>
    <t>WV</t>
  </si>
  <si>
    <t>50000 Model Plant</t>
  </si>
  <si>
    <t>Total by Location</t>
  </si>
  <si>
    <t>Total by Commodity</t>
  </si>
  <si>
    <t>500000 Model Plant</t>
  </si>
  <si>
    <t>5000000 Model Plant</t>
  </si>
  <si>
    <t>25000000 Model Plant</t>
  </si>
  <si>
    <t>100000 Model 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</si>
</sst>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rgb="FF242424"/>
      <name val="Aptos Narrow"/>
      <family val="2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3" fontId="0" fillId="0" borderId="0" xfId="0" applyNumberFormat="1"/>
    <xf numFmtId="0" fontId="0" fillId="0" borderId="1" xfId="0" applyBorder="1"/>
    <xf numFmtId="3" fontId="0" fillId="0" borderId="1" xfId="0" applyNumberFormat="1" applyBorder="1"/>
    <xf numFmtId="0" fontId="0" fillId="0" borderId="5" xfId="0" applyBorder="1"/>
    <xf numFmtId="3" fontId="0" fillId="0" borderId="6" xfId="0" applyNumberFormat="1" applyBorder="1"/>
    <xf numFmtId="0" fontId="0" fillId="0" borderId="7" xfId="0" applyBorder="1"/>
    <xf numFmtId="0" fontId="0" fillId="0" borderId="8" xfId="0" applyBorder="1"/>
    <xf numFmtId="3" fontId="0" fillId="0" borderId="8" xfId="0" applyNumberFormat="1" applyBorder="1"/>
    <xf numFmtId="3" fontId="0" fillId="0" borderId="9" xfId="0" applyNumberFormat="1" applyBorder="1"/>
    <xf numFmtId="0" fontId="0" fillId="0" borderId="10" xfId="0" applyBorder="1"/>
    <xf numFmtId="0" fontId="0" fillId="0" borderId="11" xfId="0" applyBorder="1"/>
    <xf numFmtId="3" fontId="0" fillId="0" borderId="11" xfId="0" applyNumberFormat="1" applyBorder="1"/>
    <xf numFmtId="3" fontId="0" fillId="0" borderId="12" xfId="0" applyNumberFormat="1" applyBorder="1"/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0" fillId="0" borderId="0" xfId="0" applyFill="1"/>
    <xf numFmtId="0" fontId="1" fillId="4" borderId="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 wrapText="1"/>
    </xf>
    <xf numFmtId="0" fontId="1" fillId="4" borderId="9" xfId="0" applyFont="1" applyFill="1" applyBorder="1" applyAlignment="1">
      <alignment horizontal="center"/>
    </xf>
    <xf numFmtId="3" fontId="0" fillId="0" borderId="10" xfId="0" applyNumberFormat="1" applyBorder="1"/>
    <xf numFmtId="3" fontId="0" fillId="0" borderId="5" xfId="0" applyNumberFormat="1" applyBorder="1"/>
    <xf numFmtId="3" fontId="0" fillId="0" borderId="7" xfId="0" applyNumberFormat="1" applyBorder="1"/>
    <xf numFmtId="1" fontId="4" fillId="0" borderId="0" xfId="0" applyNumberFormat="1" applyFont="1" applyBorder="1" applyAlignment="1">
      <alignment horizontal="center" wrapText="1"/>
    </xf>
    <xf numFmtId="0" fontId="4" fillId="0" borderId="0" xfId="0" applyFont="1" applyBorder="1" applyAlignment="1">
      <alignment wrapText="1"/>
    </xf>
    <xf numFmtId="0" fontId="4" fillId="0" borderId="0" xfId="0" applyFont="1" applyBorder="1" applyAlignment="1">
      <alignment horizontal="center" wrapText="1"/>
    </xf>
    <xf numFmtId="0" fontId="0" fillId="0" borderId="0" xfId="0" applyBorder="1"/>
    <xf numFmtId="1" fontId="5" fillId="0" borderId="0" xfId="0" applyNumberFormat="1" applyFont="1" applyFill="1" applyBorder="1" applyAlignment="1">
      <alignment horizontal="center" wrapText="1"/>
    </xf>
    <xf numFmtId="0" fontId="5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horizontal="center" wrapText="1"/>
    </xf>
    <xf numFmtId="0" fontId="0" fillId="0" borderId="0" xfId="0" applyFill="1" applyBorder="1"/>
    <xf numFmtId="1" fontId="3" fillId="0" borderId="0" xfId="0" applyNumberFormat="1" applyFont="1" applyBorder="1" applyAlignment="1" applyProtection="1">
      <alignment horizontal="center"/>
      <protection locked="0"/>
    </xf>
    <xf numFmtId="0" fontId="3" fillId="0" borderId="0" xfId="0" applyFont="1" applyBorder="1" applyProtection="1">
      <protection locked="0"/>
    </xf>
    <xf numFmtId="0" fontId="3" fillId="0" borderId="0" xfId="0" applyFont="1" applyBorder="1" applyAlignment="1" applyProtection="1">
      <alignment horizontal="center"/>
      <protection locked="0"/>
    </xf>
    <xf numFmtId="0" fontId="1" fillId="0" borderId="1" xfId="0" applyFont="1" applyBorder="1"/>
    <xf numFmtId="3" fontId="0" fillId="0" borderId="1" xfId="0" applyNumberFormat="1" applyFill="1" applyBorder="1"/>
    <xf numFmtId="0" fontId="1" fillId="4" borderId="1" xfId="0" applyFont="1" applyFill="1" applyBorder="1"/>
    <xf numFmtId="0" fontId="6" fillId="4" borderId="1" xfId="0" applyFont="1" applyFill="1" applyBorder="1"/>
    <xf numFmtId="3" fontId="1" fillId="0" borderId="1" xfId="0" applyNumberFormat="1" applyFont="1" applyFill="1" applyBorder="1"/>
    <xf numFmtId="0" fontId="1" fillId="2" borderId="0" xfId="0" applyFont="1" applyFill="1"/>
    <xf numFmtId="0" fontId="6" fillId="3" borderId="1" xfId="0" applyFont="1" applyFill="1" applyBorder="1"/>
    <xf numFmtId="0" fontId="1" fillId="3" borderId="1" xfId="0" applyFont="1" applyFill="1" applyBorder="1"/>
    <xf numFmtId="3" fontId="7" fillId="0" borderId="1" xfId="0" applyNumberFormat="1" applyFont="1" applyFill="1" applyBorder="1"/>
    <xf numFmtId="0" fontId="1" fillId="3" borderId="1" xfId="0" applyFont="1" applyFill="1" applyBorder="1" applyAlignment="1">
      <alignment wrapText="1"/>
    </xf>
    <xf numFmtId="1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2" borderId="16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95630-6600-4527-8D8F-D944DEFA6EBD}">
  <dimension ref="A1:AM248"/>
  <sheetViews>
    <sheetView workbookViewId="0">
      <selection activeCell="X59" sqref="X59"/>
    </sheetView>
  </sheetViews>
  <sheetFormatPr defaultRowHeight="14.4" x14ac:dyDescent="0.3"/>
  <cols>
    <col min="1" max="1" width="37.88671875" customWidth="1"/>
    <col min="3" max="3" width="11.88671875" bestFit="1" customWidth="1"/>
    <col min="18" max="18" width="11.44140625" customWidth="1"/>
    <col min="20" max="20" width="21.88671875" customWidth="1"/>
    <col min="21" max="21" width="12.33203125" customWidth="1"/>
    <col min="22" max="22" width="13.33203125" customWidth="1"/>
    <col min="23" max="23" width="15.109375" customWidth="1"/>
    <col min="24" max="24" width="16.109375" customWidth="1"/>
    <col min="25" max="25" width="11.109375" customWidth="1"/>
    <col min="26" max="26" width="10" customWidth="1"/>
    <col min="27" max="27" width="9.5546875" customWidth="1"/>
    <col min="28" max="28" width="10.6640625" customWidth="1"/>
    <col min="29" max="29" width="12" customWidth="1"/>
    <col min="31" max="31" width="9.88671875" bestFit="1" customWidth="1"/>
    <col min="32" max="32" width="10.88671875" bestFit="1" customWidth="1"/>
    <col min="34" max="35" width="9.88671875" bestFit="1" customWidth="1"/>
    <col min="38" max="38" width="10.33203125" customWidth="1"/>
  </cols>
  <sheetData>
    <row r="1" spans="1:39" ht="15" customHeight="1" x14ac:dyDescent="0.3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T1" s="52" t="s">
        <v>1</v>
      </c>
      <c r="U1" s="52"/>
      <c r="V1" s="52"/>
      <c r="W1" s="52"/>
      <c r="X1" s="52"/>
      <c r="Y1" s="52"/>
      <c r="Z1" s="52"/>
      <c r="AA1" s="52"/>
      <c r="AB1" s="52"/>
      <c r="AC1" s="52"/>
      <c r="AF1" s="51"/>
      <c r="AG1" s="51"/>
      <c r="AH1" s="51"/>
      <c r="AI1" s="51"/>
      <c r="AJ1" s="51"/>
      <c r="AK1" s="51"/>
      <c r="AL1" s="51"/>
      <c r="AM1" s="51"/>
    </row>
    <row r="2" spans="1:39" ht="43.2" x14ac:dyDescent="0.3">
      <c r="A2" s="2"/>
      <c r="B2" s="59" t="s">
        <v>2</v>
      </c>
      <c r="C2" s="59"/>
      <c r="D2" s="59" t="s">
        <v>3</v>
      </c>
      <c r="E2" s="59"/>
      <c r="F2" s="59" t="s">
        <v>4</v>
      </c>
      <c r="G2" s="59"/>
      <c r="H2" s="59" t="s">
        <v>5</v>
      </c>
      <c r="I2" s="59"/>
      <c r="J2" s="59" t="s">
        <v>6</v>
      </c>
      <c r="K2" s="59"/>
      <c r="L2" s="59" t="s">
        <v>7</v>
      </c>
      <c r="M2" s="59"/>
      <c r="N2" s="59" t="s">
        <v>8</v>
      </c>
      <c r="O2" s="59"/>
      <c r="P2" s="59" t="s">
        <v>9</v>
      </c>
      <c r="Q2" s="59"/>
      <c r="R2" s="42" t="s">
        <v>10</v>
      </c>
      <c r="T2" s="2"/>
      <c r="U2" s="44" t="s">
        <v>2</v>
      </c>
      <c r="V2" s="44" t="s">
        <v>3</v>
      </c>
      <c r="W2" s="44" t="s">
        <v>4</v>
      </c>
      <c r="X2" s="44" t="s">
        <v>5</v>
      </c>
      <c r="Y2" s="44" t="s">
        <v>6</v>
      </c>
      <c r="Z2" s="44" t="s">
        <v>7</v>
      </c>
      <c r="AA2" s="44" t="s">
        <v>8</v>
      </c>
      <c r="AB2" s="44" t="s">
        <v>9</v>
      </c>
      <c r="AC2" s="44" t="s">
        <v>11</v>
      </c>
      <c r="AF2" s="51"/>
      <c r="AG2" s="51"/>
      <c r="AH2" s="51"/>
      <c r="AI2" s="51"/>
      <c r="AJ2" s="51"/>
      <c r="AK2" s="51"/>
      <c r="AL2" s="51"/>
      <c r="AM2" s="51"/>
    </row>
    <row r="3" spans="1:39" ht="14.4" customHeight="1" x14ac:dyDescent="0.3">
      <c r="A3" s="2"/>
      <c r="B3" s="41" t="s">
        <v>12</v>
      </c>
      <c r="C3" s="41" t="s">
        <v>13</v>
      </c>
      <c r="D3" s="41" t="s">
        <v>12</v>
      </c>
      <c r="E3" s="41" t="s">
        <v>13</v>
      </c>
      <c r="F3" s="41" t="s">
        <v>12</v>
      </c>
      <c r="G3" s="41" t="s">
        <v>13</v>
      </c>
      <c r="H3" s="41" t="s">
        <v>12</v>
      </c>
      <c r="I3" s="41" t="s">
        <v>13</v>
      </c>
      <c r="J3" s="41" t="s">
        <v>12</v>
      </c>
      <c r="K3" s="41" t="s">
        <v>13</v>
      </c>
      <c r="L3" s="41" t="s">
        <v>12</v>
      </c>
      <c r="M3" s="41" t="s">
        <v>13</v>
      </c>
      <c r="N3" s="41" t="s">
        <v>12</v>
      </c>
      <c r="O3" s="41" t="s">
        <v>13</v>
      </c>
      <c r="P3" s="41" t="s">
        <v>12</v>
      </c>
      <c r="Q3" s="41" t="s">
        <v>13</v>
      </c>
      <c r="R3" s="41" t="s">
        <v>13</v>
      </c>
      <c r="T3" s="2" t="s">
        <v>14</v>
      </c>
      <c r="U3" s="2">
        <f>COUNT(C$4:C$248)</f>
        <v>75</v>
      </c>
      <c r="V3" s="2">
        <f>COUNT(E$4:E$248)</f>
        <v>137</v>
      </c>
      <c r="W3" s="2">
        <f>COUNT(G$4:G$248)</f>
        <v>68</v>
      </c>
      <c r="X3" s="2">
        <f>COUNT(I$4:I$248)</f>
        <v>177</v>
      </c>
      <c r="Y3" s="2">
        <f>COUNT(K$4:K$248)</f>
        <v>141</v>
      </c>
      <c r="Z3" s="2">
        <f>COUNT(M$4:M$248)</f>
        <v>88</v>
      </c>
      <c r="AA3" s="2">
        <f>COUNT(O$4:O$248)</f>
        <v>59</v>
      </c>
      <c r="AB3" s="2">
        <f>COUNT(Q$4:Q$248)</f>
        <v>133</v>
      </c>
      <c r="AC3" s="2">
        <f>COUNT(R4:R248)</f>
        <v>245</v>
      </c>
      <c r="AF3" s="51"/>
      <c r="AG3" s="51"/>
      <c r="AH3" s="51"/>
      <c r="AI3" s="51"/>
      <c r="AJ3" s="51"/>
      <c r="AK3" s="51"/>
      <c r="AL3" s="51"/>
      <c r="AM3" s="51"/>
    </row>
    <row r="4" spans="1:39" ht="16.5" customHeight="1" x14ac:dyDescent="0.3">
      <c r="A4" s="2" t="s">
        <v>15</v>
      </c>
      <c r="B4" s="2"/>
      <c r="C4" s="2"/>
      <c r="D4" s="2">
        <v>43389</v>
      </c>
      <c r="E4" s="2">
        <f>D4*2000/6.3/1000</f>
        <v>13774.285714285714</v>
      </c>
      <c r="F4" s="2"/>
      <c r="G4" s="2"/>
      <c r="H4" s="2"/>
      <c r="I4" s="2"/>
      <c r="J4" s="2"/>
      <c r="K4" s="2"/>
      <c r="L4" s="2"/>
      <c r="M4" s="2"/>
      <c r="N4" s="2"/>
      <c r="O4" s="2"/>
      <c r="P4" s="2">
        <v>491793</v>
      </c>
      <c r="Q4" s="2">
        <f>P4*2000/6.6/1000</f>
        <v>149028.18181818182</v>
      </c>
      <c r="R4" s="39">
        <f>C4+E4+G4+I4+K4+M4+O4+Q4</f>
        <v>162802.46753246753</v>
      </c>
      <c r="T4" s="2" t="s">
        <v>16</v>
      </c>
      <c r="U4" s="3">
        <f>SUM(C$4:C$248)</f>
        <v>78931320.857142881</v>
      </c>
      <c r="V4" s="3">
        <f>SUM(E$4:E$248)</f>
        <v>53791768.888888903</v>
      </c>
      <c r="W4" s="3">
        <f>SUM(G$4:G$248)</f>
        <v>10484494.029850742</v>
      </c>
      <c r="X4" s="3">
        <f>SUM(I$4:I$248)</f>
        <v>48072378.072289154</v>
      </c>
      <c r="Y4" s="3">
        <f>SUM(K$4:K$248)</f>
        <v>9750784.1463414654</v>
      </c>
      <c r="Z4" s="3">
        <f>SUM(M$4:M$248)</f>
        <v>13123999.016393434</v>
      </c>
      <c r="AA4" s="3">
        <f>SUM(O$4:O$248)</f>
        <v>2068555.5555555557</v>
      </c>
      <c r="AB4" s="3">
        <f>SUM(Q$4:Q$248)</f>
        <v>10511413.030303031</v>
      </c>
      <c r="AC4" s="3">
        <f>SUM(R4:R248)</f>
        <v>226734713.59676483</v>
      </c>
      <c r="AF4" s="51"/>
      <c r="AG4" s="51"/>
      <c r="AH4" s="51"/>
      <c r="AI4" s="51"/>
      <c r="AJ4" s="51"/>
      <c r="AK4" s="51"/>
      <c r="AL4" s="51"/>
      <c r="AM4" s="51"/>
    </row>
    <row r="5" spans="1:39" x14ac:dyDescent="0.3">
      <c r="A5" s="2" t="s">
        <v>17</v>
      </c>
      <c r="B5" s="2"/>
      <c r="C5" s="2"/>
      <c r="D5" s="2"/>
      <c r="E5" s="2"/>
      <c r="F5" s="2"/>
      <c r="G5" s="2"/>
      <c r="H5" s="2">
        <v>23195</v>
      </c>
      <c r="I5" s="2">
        <f>H5*2000/8.3/1000</f>
        <v>5589.1566265060237</v>
      </c>
      <c r="J5" s="2">
        <v>58011</v>
      </c>
      <c r="K5" s="2">
        <f>J5*2000/8.2/1000</f>
        <v>14149.024390243903</v>
      </c>
      <c r="L5" s="2"/>
      <c r="M5" s="2"/>
      <c r="N5" s="2"/>
      <c r="O5" s="2"/>
      <c r="P5" s="2"/>
      <c r="Q5" s="2"/>
      <c r="R5" s="39">
        <f t="shared" ref="R5:R68" si="0">C5+E5+G5+I5+K5+M5+O5+Q5</f>
        <v>19738.181016749928</v>
      </c>
      <c r="T5" s="2" t="s">
        <v>18</v>
      </c>
      <c r="U5" s="3">
        <f>MAX(C$4:C$248)</f>
        <v>28216054.285714287</v>
      </c>
      <c r="V5" s="3">
        <f>MAX(E$4:E$248)</f>
        <v>5959902.8571428573</v>
      </c>
      <c r="W5" s="3">
        <f>MAX(G$4:G$248)</f>
        <v>1342287.1641791044</v>
      </c>
      <c r="X5" s="3">
        <f>MAX(I$4:I$248)</f>
        <v>5462594.9397590365</v>
      </c>
      <c r="Y5" s="3">
        <f>MAX(K$4:K$248)</f>
        <v>1163682.1951219514</v>
      </c>
      <c r="Z5" s="3">
        <f>MAX(M$4:M$248)</f>
        <v>2446817.0491803279</v>
      </c>
      <c r="AA5" s="3">
        <f>MAX(O$4:O$248)</f>
        <v>206753.88888888891</v>
      </c>
      <c r="AB5" s="3">
        <f>MAX(Q$4:Q$248)</f>
        <v>1149299.0909090911</v>
      </c>
      <c r="AC5" s="3">
        <f>MAX(R4:R248)</f>
        <v>34288230.628757745</v>
      </c>
      <c r="AF5" s="51"/>
      <c r="AG5" s="51"/>
      <c r="AH5" s="51"/>
      <c r="AI5" s="51"/>
      <c r="AJ5" s="51"/>
      <c r="AK5" s="51"/>
      <c r="AL5" s="51"/>
      <c r="AM5" s="51"/>
    </row>
    <row r="6" spans="1:39" x14ac:dyDescent="0.3">
      <c r="A6" s="2" t="s">
        <v>19</v>
      </c>
      <c r="B6" s="2">
        <v>99940</v>
      </c>
      <c r="C6" s="2">
        <f>B6*2000/7/1000</f>
        <v>28554.285714285714</v>
      </c>
      <c r="D6" s="2"/>
      <c r="E6" s="2"/>
      <c r="F6" s="2"/>
      <c r="G6" s="2"/>
      <c r="H6" s="2">
        <v>151989</v>
      </c>
      <c r="I6" s="2">
        <f t="shared" ref="I6:I67" si="1">H6*2000/8.3/1000</f>
        <v>36623.855421686749</v>
      </c>
      <c r="J6" s="2">
        <v>126784</v>
      </c>
      <c r="K6" s="2">
        <f t="shared" ref="K6:K68" si="2">J6*2000/8.2/1000</f>
        <v>30922.926829268294</v>
      </c>
      <c r="L6" s="2"/>
      <c r="M6" s="2"/>
      <c r="N6" s="2">
        <v>104368</v>
      </c>
      <c r="O6" s="2">
        <f>N6*2000/7.2/1000</f>
        <v>28991.111111111113</v>
      </c>
      <c r="P6" s="2"/>
      <c r="Q6" s="2"/>
      <c r="R6" s="39">
        <f t="shared" si="0"/>
        <v>125092.17907635187</v>
      </c>
      <c r="T6" s="2" t="s">
        <v>20</v>
      </c>
      <c r="U6" s="2">
        <f>MIN(B$4:C$248)</f>
        <v>2.2857142857142856</v>
      </c>
      <c r="V6" s="2">
        <f>MIN(E$4:E$248)</f>
        <v>0.31746031746031744</v>
      </c>
      <c r="W6" s="2">
        <f>MIN(G$4:G$248)</f>
        <v>0.29850746268656719</v>
      </c>
      <c r="X6" s="2">
        <f>MIN(I$4:I$248)</f>
        <v>0.48192771084337344</v>
      </c>
      <c r="Y6" s="2">
        <f>MIN(K$4:K$248)</f>
        <v>0.48780487804878053</v>
      </c>
      <c r="Z6" s="2">
        <f>MIN(M$4:M$248)</f>
        <v>3.278688524590164</v>
      </c>
      <c r="AA6" s="2">
        <f>MIN(O$4:O$248)</f>
        <v>0.27777777777777779</v>
      </c>
      <c r="AB6" s="2">
        <f>MIN(Q$4:Q$248)</f>
        <v>0.30303030303030304</v>
      </c>
      <c r="AC6" s="3">
        <f>MIN(R4:R248)</f>
        <v>0.30303030303030304</v>
      </c>
      <c r="AF6" s="51"/>
      <c r="AG6" s="51"/>
      <c r="AH6" s="51"/>
      <c r="AI6" s="51"/>
      <c r="AJ6" s="51"/>
      <c r="AK6" s="51"/>
      <c r="AL6" s="51"/>
      <c r="AM6" s="51"/>
    </row>
    <row r="7" spans="1:39" x14ac:dyDescent="0.3">
      <c r="A7" s="2" t="s">
        <v>21</v>
      </c>
      <c r="B7" s="2">
        <v>5958</v>
      </c>
      <c r="C7" s="2">
        <f t="shared" ref="C7:C66" si="3">B7*2000/7/1000</f>
        <v>1702.2857142857142</v>
      </c>
      <c r="D7" s="2"/>
      <c r="E7" s="2"/>
      <c r="F7" s="2"/>
      <c r="G7" s="2"/>
      <c r="H7" s="2">
        <v>2106</v>
      </c>
      <c r="I7" s="2">
        <f t="shared" si="1"/>
        <v>507.46987951807222</v>
      </c>
      <c r="J7" s="2">
        <v>6056</v>
      </c>
      <c r="K7" s="2">
        <f t="shared" si="2"/>
        <v>1477.0731707317075</v>
      </c>
      <c r="L7" s="2"/>
      <c r="M7" s="2"/>
      <c r="N7" s="2"/>
      <c r="O7" s="2"/>
      <c r="P7" s="2"/>
      <c r="Q7" s="2"/>
      <c r="R7" s="39">
        <f t="shared" si="0"/>
        <v>3686.828764535494</v>
      </c>
      <c r="T7" s="2"/>
      <c r="U7" s="2"/>
      <c r="V7" s="2"/>
      <c r="W7" s="2"/>
      <c r="X7" s="2"/>
      <c r="Y7" s="2"/>
      <c r="Z7" s="2"/>
      <c r="AA7" s="2"/>
      <c r="AB7" s="2"/>
      <c r="AC7" s="2"/>
      <c r="AF7" s="51"/>
      <c r="AG7" s="51"/>
      <c r="AH7" s="51"/>
      <c r="AI7" s="51"/>
      <c r="AJ7" s="51"/>
      <c r="AK7" s="51"/>
      <c r="AL7" s="51"/>
      <c r="AM7" s="51"/>
    </row>
    <row r="8" spans="1:39" x14ac:dyDescent="0.3">
      <c r="A8" s="2" t="s">
        <v>22</v>
      </c>
      <c r="B8" s="2">
        <v>933</v>
      </c>
      <c r="C8" s="2">
        <f t="shared" si="3"/>
        <v>266.57142857142856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39">
        <f t="shared" si="0"/>
        <v>266.57142857142856</v>
      </c>
      <c r="T8" s="2" t="s">
        <v>23</v>
      </c>
      <c r="U8" s="2">
        <f>COUNTIF(C$4:C$248,"&lt;100")</f>
        <v>2</v>
      </c>
      <c r="V8" s="2">
        <f>COUNTIF(E$4:E$248,"&lt;100")</f>
        <v>22</v>
      </c>
      <c r="W8" s="2">
        <f>COUNTIF(G$4:G$248,"&lt;100")</f>
        <v>6</v>
      </c>
      <c r="X8" s="2">
        <f>COUNTIF(I$4:I$248,"&lt;100")</f>
        <v>23</v>
      </c>
      <c r="Y8" s="2">
        <f>COUNTIF(K$4:K$248,"&lt;100")</f>
        <v>17</v>
      </c>
      <c r="Z8" s="2">
        <f>COUNTIF(M$4:M$248,"&lt;100")</f>
        <v>17</v>
      </c>
      <c r="AA8" s="2">
        <f>COUNTIF(O$4:O$248,"&lt;100")</f>
        <v>19</v>
      </c>
      <c r="AB8" s="2">
        <f>COUNTIF(Q$4:Q$248,"&lt;100")</f>
        <v>27</v>
      </c>
      <c r="AC8" s="2">
        <f>COUNTIF(R$4:R$248,"&lt;100")</f>
        <v>21</v>
      </c>
    </row>
    <row r="9" spans="1:39" x14ac:dyDescent="0.3">
      <c r="A9" s="2" t="s">
        <v>24</v>
      </c>
      <c r="B9" s="2">
        <v>30648</v>
      </c>
      <c r="C9" s="2">
        <f t="shared" si="3"/>
        <v>8756.5714285714294</v>
      </c>
      <c r="D9" s="2">
        <v>233142</v>
      </c>
      <c r="E9" s="2">
        <f t="shared" ref="E9:E68" si="4">D9*2000/6.3/1000</f>
        <v>74013.333333333328</v>
      </c>
      <c r="F9" s="2"/>
      <c r="G9" s="2"/>
      <c r="H9" s="2">
        <v>733346</v>
      </c>
      <c r="I9" s="2">
        <f t="shared" si="1"/>
        <v>176709.87951807227</v>
      </c>
      <c r="J9" s="2">
        <v>313630</v>
      </c>
      <c r="K9" s="2">
        <f t="shared" si="2"/>
        <v>76495.121951219509</v>
      </c>
      <c r="L9" s="2">
        <v>63637</v>
      </c>
      <c r="M9" s="2">
        <f>L9*2000/6.1/1000</f>
        <v>20864.590163934427</v>
      </c>
      <c r="N9" s="2"/>
      <c r="O9" s="2"/>
      <c r="P9" s="2"/>
      <c r="Q9" s="2"/>
      <c r="R9" s="39">
        <f t="shared" si="0"/>
        <v>356839.49639513099</v>
      </c>
      <c r="T9" s="2" t="s">
        <v>25</v>
      </c>
      <c r="U9" s="2">
        <f>(COUNTIF(C$4:C$248,"&lt;5000"))-U8</f>
        <v>20</v>
      </c>
      <c r="V9" s="2">
        <f>(COUNTIF(E$4:E$248,"&lt;5000"))-V8</f>
        <v>48</v>
      </c>
      <c r="W9" s="2">
        <f>(COUNTIF(G$4:G$248,"&lt;5000"))-W8</f>
        <v>14</v>
      </c>
      <c r="X9" s="2">
        <f>(COUNTIF(I$4:I$248,"&lt;5000"))-X8</f>
        <v>51</v>
      </c>
      <c r="Y9" s="2">
        <f>(COUNTIF(K$4:K$248,"&lt;5000"))-Y8</f>
        <v>42</v>
      </c>
      <c r="Z9" s="2">
        <f>(COUNTIF(M$4:M$248,"&lt;5000"))-Z8</f>
        <v>24</v>
      </c>
      <c r="AA9" s="2">
        <f>(COUNTIF(O$4:O$248,"&lt;5000"))-AA8</f>
        <v>11</v>
      </c>
      <c r="AB9" s="2">
        <f>(COUNTIF(Q$4:Q$248,"&lt;5000"))-AB8</f>
        <v>41</v>
      </c>
      <c r="AC9" s="2">
        <f>(COUNTIF(R$4:R$248,"&lt;5000"))-AC8</f>
        <v>69</v>
      </c>
    </row>
    <row r="10" spans="1:39" x14ac:dyDescent="0.3">
      <c r="A10" s="2" t="s">
        <v>26</v>
      </c>
      <c r="B10" s="2"/>
      <c r="C10" s="2"/>
      <c r="D10" s="2">
        <v>88</v>
      </c>
      <c r="E10" s="2">
        <f t="shared" si="4"/>
        <v>27.936507936507937</v>
      </c>
      <c r="F10" s="2">
        <v>232196</v>
      </c>
      <c r="G10" s="2">
        <f>F10*2000/6.7/1000</f>
        <v>69312.238805970148</v>
      </c>
      <c r="H10" s="2">
        <v>64620</v>
      </c>
      <c r="I10" s="2">
        <f t="shared" si="1"/>
        <v>15571.084337349395</v>
      </c>
      <c r="J10" s="2">
        <v>52820</v>
      </c>
      <c r="K10" s="2">
        <f t="shared" si="2"/>
        <v>12882.926829268294</v>
      </c>
      <c r="L10" s="2">
        <v>14</v>
      </c>
      <c r="M10" s="2">
        <f t="shared" ref="M10:M73" si="5">L10*2000/6.1/1000</f>
        <v>4.5901639344262293</v>
      </c>
      <c r="N10" s="2">
        <v>21</v>
      </c>
      <c r="O10" s="2">
        <f t="shared" ref="O10:O66" si="6">N10*2000/7.2/1000</f>
        <v>5.833333333333333</v>
      </c>
      <c r="P10" s="2">
        <v>3661</v>
      </c>
      <c r="Q10" s="2">
        <f t="shared" ref="Q10:Q68" si="7">P10*2000/6.6/1000</f>
        <v>1109.3939393939395</v>
      </c>
      <c r="R10" s="39">
        <f t="shared" si="0"/>
        <v>98914.003917186041</v>
      </c>
      <c r="T10" s="2" t="s">
        <v>27</v>
      </c>
      <c r="U10" s="2">
        <f>(COUNTIF(C$4:C$248,"&lt;50000"))-U8-U9</f>
        <v>21</v>
      </c>
      <c r="V10" s="2">
        <f>(COUNTIF(E$4:E$248,"&lt;50000"))-V8-V9</f>
        <v>22</v>
      </c>
      <c r="W10" s="2">
        <f>(COUNTIF(G$4:G$248,"&lt;50000"))-W8-W9</f>
        <v>17</v>
      </c>
      <c r="X10" s="2">
        <f>(COUNTIF(I$4:I$248,"&lt;50000"))-X8-X9</f>
        <v>46</v>
      </c>
      <c r="Y10" s="2">
        <f>(COUNTIF(K$4:K$248,"&lt;50000"))-Y8-Y9</f>
        <v>45</v>
      </c>
      <c r="Z10" s="2">
        <f>(COUNTIF(M$4:M$248,"&lt;50000"))-Z8-Z9</f>
        <v>23</v>
      </c>
      <c r="AA10" s="2">
        <f>(COUNTIF(O$4:O$248,"&lt;50000"))-AA8-AA9</f>
        <v>14</v>
      </c>
      <c r="AB10" s="2">
        <f>(COUNTIF(Q$4:Q$248,"&lt;50000"))-AB8-AB9</f>
        <v>29</v>
      </c>
      <c r="AC10" s="2">
        <f>(COUNTIF(R$4:R$248,"&lt;50000"))-AC8-AC9</f>
        <v>58</v>
      </c>
    </row>
    <row r="11" spans="1:39" x14ac:dyDescent="0.3">
      <c r="A11" s="2" t="s">
        <v>28</v>
      </c>
      <c r="B11" s="2">
        <v>22348</v>
      </c>
      <c r="C11" s="2">
        <f t="shared" si="3"/>
        <v>6385.1428571428569</v>
      </c>
      <c r="D11" s="2">
        <v>421303</v>
      </c>
      <c r="E11" s="2">
        <f t="shared" si="4"/>
        <v>133746.98412698414</v>
      </c>
      <c r="F11" s="2">
        <v>354127</v>
      </c>
      <c r="G11" s="2">
        <f t="shared" ref="G11:G74" si="8">F11*2000/6.7/1000</f>
        <v>105709.55223880596</v>
      </c>
      <c r="H11" s="2">
        <v>580699</v>
      </c>
      <c r="I11" s="2">
        <f t="shared" si="1"/>
        <v>139927.46987951806</v>
      </c>
      <c r="J11" s="2">
        <v>293649</v>
      </c>
      <c r="K11" s="2">
        <f t="shared" si="2"/>
        <v>71621.707317073175</v>
      </c>
      <c r="L11" s="2">
        <v>27651</v>
      </c>
      <c r="M11" s="2">
        <f t="shared" si="5"/>
        <v>9065.9016393442616</v>
      </c>
      <c r="N11" s="2"/>
      <c r="O11" s="2"/>
      <c r="P11" s="2">
        <v>16538</v>
      </c>
      <c r="Q11" s="2">
        <f t="shared" si="7"/>
        <v>5011.515151515151</v>
      </c>
      <c r="R11" s="39">
        <f t="shared" si="0"/>
        <v>471468.27321038366</v>
      </c>
      <c r="T11" s="2" t="s">
        <v>29</v>
      </c>
      <c r="U11" s="2">
        <f>(COUNTIF(C$4:C$248,"&lt;100000"))-U8-U9-U10</f>
        <v>6</v>
      </c>
      <c r="V11" s="2">
        <f>(COUNTIF(E$4:E$248,"&lt;100000"))-V8-V9-V10</f>
        <v>4</v>
      </c>
      <c r="W11" s="2">
        <f>(COUNTIF(G$4:G$248,"&lt;100000"))-W8-W9-W10</f>
        <v>6</v>
      </c>
      <c r="X11" s="2">
        <f>(COUNTIF(I$4:I$248,"&lt;100000"))-X8-X9-X10</f>
        <v>9</v>
      </c>
      <c r="Y11" s="2">
        <f>(COUNTIF(K$4:K$248,"&lt;100000"))-Y8-Y9-Y10</f>
        <v>12</v>
      </c>
      <c r="Z11" s="2">
        <f>(COUNTIF(M$4:M$248,"&lt;100000"))-Z8-Z9-Z10</f>
        <v>6</v>
      </c>
      <c r="AA11" s="2">
        <f>(COUNTIF(O$4:O$248,"&lt;100000"))-AA8-AA9-AA10</f>
        <v>6</v>
      </c>
      <c r="AB11" s="2">
        <f>(COUNTIF(Q$4:Q$248,"&lt;100000"))-AB8-AB9-AB10</f>
        <v>10</v>
      </c>
      <c r="AC11" s="2">
        <f>(COUNTIF(R$4:R$248,"&lt;100000"))-AC8-AC9-AC10</f>
        <v>15</v>
      </c>
    </row>
    <row r="12" spans="1:39" x14ac:dyDescent="0.3">
      <c r="A12" s="2" t="s">
        <v>30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>
        <v>430352</v>
      </c>
      <c r="O12" s="2">
        <f t="shared" si="6"/>
        <v>119542.22222222222</v>
      </c>
      <c r="P12" s="2"/>
      <c r="Q12" s="2"/>
      <c r="R12" s="39">
        <f t="shared" si="0"/>
        <v>119542.22222222222</v>
      </c>
      <c r="T12" s="2" t="s">
        <v>31</v>
      </c>
      <c r="U12" s="2">
        <f>(COUNTIF(C$4:C$248,"&lt;250000"))-U8-U9-U10-U11</f>
        <v>7</v>
      </c>
      <c r="V12" s="2">
        <f>(COUNTIF(E$4:E$248,"&lt;250000"))-V8-V9-V10-V11</f>
        <v>13</v>
      </c>
      <c r="W12" s="2">
        <f>(COUNTIF(G$4:G$248,"&lt;250000"))-W8-W9-W10-W11</f>
        <v>11</v>
      </c>
      <c r="X12" s="2">
        <f>(COUNTIF(I$4:I$248,"&lt;250000"))-X8-X9-X10-X11</f>
        <v>19</v>
      </c>
      <c r="Y12" s="2">
        <f>(COUNTIF(K$4:K$248,"&lt;250000"))-Y8-Y9-Y10-Y11</f>
        <v>15</v>
      </c>
      <c r="Z12" s="2">
        <f>(COUNTIF(M$4:M$248,"&lt;250000"))-Z8-Z9-Z10-Z11</f>
        <v>6</v>
      </c>
      <c r="AA12" s="2">
        <f>(COUNTIF(O$4:O$248,"&lt;250000"))-AA8-AA9-AA10-AA11</f>
        <v>9</v>
      </c>
      <c r="AB12" s="2">
        <f>(COUNTIF(Q$4:Q$248,"&lt;250000"))-AB8-AB9-AB10-AB11</f>
        <v>10</v>
      </c>
      <c r="AC12" s="2">
        <f>(COUNTIF(R$4:R$248,"&lt;250000"))-AC8-AC9-AC10-AC11</f>
        <v>26</v>
      </c>
    </row>
    <row r="13" spans="1:39" x14ac:dyDescent="0.3">
      <c r="A13" s="2" t="s">
        <v>32</v>
      </c>
      <c r="B13" s="2"/>
      <c r="C13" s="2"/>
      <c r="D13" s="2"/>
      <c r="E13" s="2"/>
      <c r="F13" s="2"/>
      <c r="G13" s="2"/>
      <c r="H13" s="2">
        <v>1743</v>
      </c>
      <c r="I13" s="2">
        <f t="shared" si="1"/>
        <v>419.99999999999994</v>
      </c>
      <c r="J13" s="2"/>
      <c r="K13" s="2"/>
      <c r="L13" s="2"/>
      <c r="M13" s="2"/>
      <c r="N13" s="2"/>
      <c r="O13" s="2"/>
      <c r="P13" s="2"/>
      <c r="Q13" s="2"/>
      <c r="R13" s="39">
        <f t="shared" si="0"/>
        <v>419.99999999999994</v>
      </c>
      <c r="T13" s="2" t="s">
        <v>33</v>
      </c>
      <c r="U13" s="2">
        <f>(COUNTIF(C$4:C$248,"&lt;500000"))-U8-U9-U10-U11-U12</f>
        <v>6</v>
      </c>
      <c r="V13" s="2">
        <f>(COUNTIF(E$4:E$248,"&lt;500000"))-V8-V9-V10-V11-V12</f>
        <v>6</v>
      </c>
      <c r="W13" s="2">
        <f>(COUNTIF(G$4:G$248,"&lt;500000"))-W8-W9-W10-W11-W12</f>
        <v>8</v>
      </c>
      <c r="X13" s="2">
        <f>(COUNTIF(I$4:I$248,"&lt;500000"))-X8-X9-X10-X11-X12</f>
        <v>9</v>
      </c>
      <c r="Y13" s="2">
        <f>(COUNTIF(K$4:K$248,"&lt;500000"))-Y8-Y9-Y10-Y11-Y12</f>
        <v>6</v>
      </c>
      <c r="Z13" s="2">
        <f>(COUNTIF(M$4:M$248,"&lt;500000"))-Z8-Z9-Z10-Z11-Z12</f>
        <v>4</v>
      </c>
      <c r="AA13" s="2"/>
      <c r="AB13" s="2">
        <f>(COUNTIF(Q$4:Q$248,"&lt;500000"))-AB8-AB9-AB10-AB11-AB12</f>
        <v>9</v>
      </c>
      <c r="AC13" s="2">
        <f>(COUNTIF(R$4:R$248,"&lt;500000"))-AC8-AC9-AC10-AC11-AC12</f>
        <v>18</v>
      </c>
    </row>
    <row r="14" spans="1:39" x14ac:dyDescent="0.3">
      <c r="A14" s="2" t="s">
        <v>34</v>
      </c>
      <c r="B14" s="2"/>
      <c r="C14" s="2"/>
      <c r="D14" s="2">
        <v>301</v>
      </c>
      <c r="E14" s="2">
        <f t="shared" si="4"/>
        <v>95.555555555555557</v>
      </c>
      <c r="F14" s="2"/>
      <c r="G14" s="2"/>
      <c r="H14" s="2">
        <v>65</v>
      </c>
      <c r="I14" s="2">
        <f t="shared" si="1"/>
        <v>15.662650602409638</v>
      </c>
      <c r="J14" s="2"/>
      <c r="K14" s="2"/>
      <c r="L14" s="2"/>
      <c r="M14" s="2"/>
      <c r="N14" s="2"/>
      <c r="O14" s="2"/>
      <c r="P14" s="2"/>
      <c r="Q14" s="2"/>
      <c r="R14" s="39">
        <f t="shared" si="0"/>
        <v>111.2182061579652</v>
      </c>
      <c r="T14" s="2" t="s">
        <v>35</v>
      </c>
      <c r="U14" s="2">
        <f>(COUNTIF(C$4:C$248,"&lt;1000000"))-U8-U9-U10-U11-U12-U13</f>
        <v>5</v>
      </c>
      <c r="V14" s="2">
        <f>(COUNTIF(E$4:E$248,"&lt;1000000"))-V8-V9-V10-V11-V12-V13</f>
        <v>5</v>
      </c>
      <c r="W14" s="2">
        <f>(COUNTIF(G$4:G$248,"&lt;1000000"))-W8-W9-W10-W11-W12-W13</f>
        <v>5</v>
      </c>
      <c r="X14" s="2">
        <f>(COUNTIF(I$4:I$248,"&lt;1000000"))-X8-X9-X10-X11-X12-X13</f>
        <v>7</v>
      </c>
      <c r="Y14" s="2">
        <f>(COUNTIF(K$4:K$248,"&lt;1000000"))-Y8-Y9-Y10-Y11-Y12-Y13</f>
        <v>3</v>
      </c>
      <c r="Z14" s="2">
        <f>(COUNTIF(M$4:M$248,"&lt;1000000"))-Z8-Z9-Z10-Z11-Z12-Z13</f>
        <v>5</v>
      </c>
      <c r="AA14" s="2"/>
      <c r="AB14" s="2">
        <f>(COUNTIF(Q$4:Q$248,"&lt;1000000"))-AB8-AB9-AB10-AB11-AB12-AB13</f>
        <v>6</v>
      </c>
      <c r="AC14" s="2">
        <f>(COUNTIF(R$4:R$248,"&lt;1000000"))-AC8-AC9-AC10-AC11-AC12-AC13</f>
        <v>8</v>
      </c>
    </row>
    <row r="15" spans="1:39" x14ac:dyDescent="0.3">
      <c r="A15" s="2" t="s">
        <v>36</v>
      </c>
      <c r="B15" s="2"/>
      <c r="C15" s="2"/>
      <c r="D15" s="2">
        <v>4229444</v>
      </c>
      <c r="E15" s="2">
        <f t="shared" si="4"/>
        <v>1342680.634920635</v>
      </c>
      <c r="F15" s="2">
        <v>2661128</v>
      </c>
      <c r="G15" s="2">
        <f t="shared" si="8"/>
        <v>794366.56716417905</v>
      </c>
      <c r="H15" s="2">
        <v>3613954</v>
      </c>
      <c r="I15" s="2">
        <f t="shared" si="1"/>
        <v>870832.28915662644</v>
      </c>
      <c r="J15" s="2">
        <v>335778</v>
      </c>
      <c r="K15" s="2">
        <f t="shared" si="2"/>
        <v>81897.073170731703</v>
      </c>
      <c r="L15" s="2"/>
      <c r="M15" s="2"/>
      <c r="N15" s="2">
        <v>511524</v>
      </c>
      <c r="O15" s="2">
        <f t="shared" si="6"/>
        <v>142090</v>
      </c>
      <c r="P15" s="2"/>
      <c r="Q15" s="2"/>
      <c r="R15" s="39">
        <f t="shared" si="0"/>
        <v>3231866.5644121724</v>
      </c>
      <c r="T15" s="2" t="s">
        <v>37</v>
      </c>
      <c r="U15" s="2">
        <f>(COUNTIF(C$4:C$248,"&lt;2500000"))-U8-U9-U10-U11-U12-U13-U14</f>
        <v>2</v>
      </c>
      <c r="V15" s="2">
        <f>(COUNTIF(E$4:E$248,"&lt;2500000"))-V8-V9-V10-V11-V12-V13-V14</f>
        <v>10</v>
      </c>
      <c r="W15" s="2">
        <f>(COUNTIF(G$4:G$248,"&lt;2500000"))-W8-W9-W10-W11-W12-W13-W14</f>
        <v>1</v>
      </c>
      <c r="X15" s="2">
        <f>(COUNTIF(I$4:I$248,"&lt;2500000"))-X8-X9-X10-X11-X12-X13-X14</f>
        <v>8</v>
      </c>
      <c r="Y15" s="2">
        <f>(COUNTIF(K$4:K$248,"&lt;2500000"))-Y8-Y9-Y10-Y11-Y12-Y13-Y14</f>
        <v>1</v>
      </c>
      <c r="Z15" s="2"/>
      <c r="AA15" s="2"/>
      <c r="AB15" s="2">
        <f>(COUNTIF(Q$4:Q$248,"&lt;2500000"))-AB8-AB9-AB10-AB11-AB12-AB13-AB14</f>
        <v>1</v>
      </c>
      <c r="AC15" s="3">
        <f>(COUNTIF(R$4:R$248,"&lt;2500000"))-AC8-AC9-AC10-AC11-AC12-AC13-AC14</f>
        <v>12</v>
      </c>
    </row>
    <row r="16" spans="1:39" x14ac:dyDescent="0.3">
      <c r="A16" s="2" t="s">
        <v>38</v>
      </c>
      <c r="B16" s="2">
        <v>1822</v>
      </c>
      <c r="C16" s="2">
        <f t="shared" si="3"/>
        <v>520.57142857142856</v>
      </c>
      <c r="D16" s="2"/>
      <c r="E16" s="2"/>
      <c r="F16" s="2"/>
      <c r="G16" s="2"/>
      <c r="H16" s="2">
        <v>109097</v>
      </c>
      <c r="I16" s="2">
        <f t="shared" si="1"/>
        <v>26288.433734939757</v>
      </c>
      <c r="J16" s="2">
        <v>19895</v>
      </c>
      <c r="K16" s="2">
        <f t="shared" si="2"/>
        <v>4852.4390243902435</v>
      </c>
      <c r="L16" s="2">
        <v>1600</v>
      </c>
      <c r="M16" s="2">
        <f t="shared" si="5"/>
        <v>524.5901639344263</v>
      </c>
      <c r="N16" s="2"/>
      <c r="O16" s="2"/>
      <c r="P16" s="2"/>
      <c r="Q16" s="2"/>
      <c r="R16" s="39">
        <f t="shared" si="0"/>
        <v>32186.034351835853</v>
      </c>
      <c r="T16" s="2" t="s">
        <v>39</v>
      </c>
      <c r="U16" s="2">
        <f>(COUNTIF(C$4:C$248,"&lt;5000000"))-U8-U9-U10-U11-U12-U13-U14-U15</f>
        <v>0</v>
      </c>
      <c r="V16" s="2">
        <f>(COUNTIF(E$4:E$248,"&lt;5000000"))-V8-V9-V10-V11-V12-V13-V14-V15</f>
        <v>5</v>
      </c>
      <c r="W16" s="2"/>
      <c r="X16" s="2">
        <f>(COUNTIF(I$4:I$248,"&lt;5000000"))-X8-X9-X10-X11-X12-X13-X14-X15</f>
        <v>4</v>
      </c>
      <c r="Y16" s="2"/>
      <c r="Z16" s="2"/>
      <c r="AA16" s="2"/>
      <c r="AB16" s="2"/>
      <c r="AC16" s="3">
        <f>(COUNTIF(R$4:R$248,"&lt;2500000"))-AC8-AC9-AC10-AC11-AC12-AC13-AC14-AC15</f>
        <v>0</v>
      </c>
    </row>
    <row r="17" spans="1:29" x14ac:dyDescent="0.3">
      <c r="A17" s="2" t="s">
        <v>40</v>
      </c>
      <c r="B17" s="2">
        <v>16067</v>
      </c>
      <c r="C17" s="2">
        <f t="shared" si="3"/>
        <v>4590.5714285714284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39">
        <f t="shared" si="0"/>
        <v>4590.5714285714284</v>
      </c>
      <c r="T17" s="2" t="s">
        <v>41</v>
      </c>
      <c r="U17" s="2">
        <f>(COUNTIF(C$4:C$248,"&lt;10000000"))-U8-U9-U10-U11-U12-U13-U14-U16-U15</f>
        <v>4</v>
      </c>
      <c r="V17" s="2">
        <f>(COUNTIF(E$4:E$248,"&lt;10000000"))-V8-V9-V10-V11-V12-V13-V14-V16-V15</f>
        <v>2</v>
      </c>
      <c r="W17" s="2"/>
      <c r="X17" s="2">
        <f>(COUNTIF(I$4:I$248,"&lt;10000000"))-X8-X9-X10-X11-X12-X13-X14-X16-X15</f>
        <v>1</v>
      </c>
      <c r="Y17" s="2"/>
      <c r="Z17" s="2"/>
      <c r="AA17" s="2"/>
      <c r="AB17" s="2"/>
      <c r="AC17" s="3">
        <f>(COUNTIF(R$4:R$248,"&lt;2500000"))-AC8-AC9-AC10-AC11-AC12-AC13-AC14-AC15-AC16</f>
        <v>0</v>
      </c>
    </row>
    <row r="18" spans="1:29" x14ac:dyDescent="0.3">
      <c r="A18" s="2" t="s">
        <v>42</v>
      </c>
      <c r="B18" s="2">
        <v>19411925</v>
      </c>
      <c r="C18" s="2">
        <f t="shared" si="3"/>
        <v>5546264.2857142854</v>
      </c>
      <c r="D18" s="2">
        <v>8043181</v>
      </c>
      <c r="E18" s="2">
        <f t="shared" si="4"/>
        <v>2553390.7936507934</v>
      </c>
      <c r="F18" s="2">
        <v>7436</v>
      </c>
      <c r="G18" s="2">
        <f t="shared" si="8"/>
        <v>2219.7014925373137</v>
      </c>
      <c r="H18" s="2">
        <v>3261055</v>
      </c>
      <c r="I18" s="2">
        <f t="shared" si="1"/>
        <v>785796.38554216863</v>
      </c>
      <c r="J18" s="2">
        <v>962960</v>
      </c>
      <c r="K18" s="2">
        <f t="shared" si="2"/>
        <v>234868.29268292687</v>
      </c>
      <c r="L18" s="2">
        <v>1115495</v>
      </c>
      <c r="M18" s="2">
        <f t="shared" si="5"/>
        <v>365736.06557377049</v>
      </c>
      <c r="N18" s="2">
        <v>186199</v>
      </c>
      <c r="O18" s="2">
        <f t="shared" si="6"/>
        <v>51721.944444444438</v>
      </c>
      <c r="P18" s="2">
        <v>1517797</v>
      </c>
      <c r="Q18" s="2">
        <f t="shared" si="7"/>
        <v>459938.48484848486</v>
      </c>
      <c r="R18" s="39">
        <f t="shared" si="0"/>
        <v>9999935.9539494105</v>
      </c>
      <c r="T18" s="2" t="s">
        <v>43</v>
      </c>
      <c r="U18" s="2">
        <f>(COUNTIF(C$4:C$248,"&lt;25000000"))-U8-U9-U10-U11-U12-U13-U14-U16-U15-U17</f>
        <v>1</v>
      </c>
      <c r="V18" s="2"/>
      <c r="W18" s="2"/>
      <c r="X18" s="2"/>
      <c r="Y18" s="2"/>
      <c r="Z18" s="2"/>
      <c r="AA18" s="2"/>
      <c r="AB18" s="2"/>
      <c r="AC18" s="3">
        <f>(COUNTIF(R$4:R$248,"&lt;2500000"))-AC8-AC9-AC10-AC11-AC12-AC13-AC14-AC15-AC16-AC17</f>
        <v>0</v>
      </c>
    </row>
    <row r="19" spans="1:29" x14ac:dyDescent="0.3">
      <c r="A19" s="2" t="s">
        <v>44</v>
      </c>
      <c r="B19" s="2"/>
      <c r="C19" s="2"/>
      <c r="D19" s="2">
        <v>676</v>
      </c>
      <c r="E19" s="2">
        <f t="shared" si="4"/>
        <v>214.60317460317461</v>
      </c>
      <c r="F19" s="2">
        <v>424</v>
      </c>
      <c r="G19" s="2">
        <f t="shared" si="8"/>
        <v>126.56716417910447</v>
      </c>
      <c r="H19" s="2">
        <v>3129</v>
      </c>
      <c r="I19" s="2">
        <f t="shared" si="1"/>
        <v>753.97590361445782</v>
      </c>
      <c r="J19" s="2"/>
      <c r="K19" s="2"/>
      <c r="L19" s="2"/>
      <c r="M19" s="2"/>
      <c r="N19" s="2"/>
      <c r="O19" s="2"/>
      <c r="P19" s="2"/>
      <c r="Q19" s="2"/>
      <c r="R19" s="39">
        <f t="shared" si="0"/>
        <v>1095.1462423967369</v>
      </c>
      <c r="T19" s="2" t="s">
        <v>45</v>
      </c>
      <c r="U19" s="2">
        <f>(COUNTIF(C$4:C$248,"&lt;30000000"))-U8-U9-U10-U11-U12-U13-U14-U16-U15-U17-U18</f>
        <v>1</v>
      </c>
      <c r="V19" s="2"/>
      <c r="W19" s="2"/>
      <c r="X19" s="2"/>
      <c r="Y19" s="2"/>
      <c r="Z19" s="2"/>
      <c r="AA19" s="2"/>
      <c r="AB19" s="2"/>
      <c r="AC19" s="3">
        <f>(COUNTIF(R$4:R$248,"&lt;2500000"))-AC8-AC9-AC10-AC11-AC12-AC13-AC14-AC15-AC16-AC17-AC18</f>
        <v>0</v>
      </c>
    </row>
    <row r="20" spans="1:29" x14ac:dyDescent="0.3">
      <c r="A20" s="2" t="s">
        <v>46</v>
      </c>
      <c r="B20" s="2"/>
      <c r="C20" s="2"/>
      <c r="D20" s="2">
        <v>6992</v>
      </c>
      <c r="E20" s="2">
        <f t="shared" si="4"/>
        <v>2219.6825396825398</v>
      </c>
      <c r="F20" s="2"/>
      <c r="G20" s="2"/>
      <c r="H20" s="2"/>
      <c r="I20" s="2"/>
      <c r="J20" s="2">
        <v>116830</v>
      </c>
      <c r="K20" s="2">
        <f t="shared" si="2"/>
        <v>28495.121951219513</v>
      </c>
      <c r="L20" s="2">
        <v>13590</v>
      </c>
      <c r="M20" s="2">
        <f t="shared" si="5"/>
        <v>4455.7377049180332</v>
      </c>
      <c r="N20" s="2">
        <v>34966</v>
      </c>
      <c r="O20" s="2">
        <f t="shared" si="6"/>
        <v>9712.7777777777774</v>
      </c>
      <c r="P20" s="2"/>
      <c r="Q20" s="2"/>
      <c r="R20" s="39">
        <f t="shared" si="0"/>
        <v>44883.319973597871</v>
      </c>
      <c r="T20" s="2" t="s">
        <v>47</v>
      </c>
      <c r="U20" s="2"/>
      <c r="V20" s="2"/>
      <c r="W20" s="2"/>
      <c r="X20" s="2"/>
      <c r="Y20" s="2"/>
      <c r="Z20" s="2"/>
      <c r="AA20" s="2"/>
      <c r="AB20" s="2"/>
      <c r="AC20" s="2">
        <f>(COUNTIF(R$4:R$248,"&gt;3000000"))</f>
        <v>18</v>
      </c>
    </row>
    <row r="21" spans="1:29" x14ac:dyDescent="0.3">
      <c r="A21" s="2" t="s">
        <v>48</v>
      </c>
      <c r="B21" s="2"/>
      <c r="C21" s="2"/>
      <c r="D21" s="2"/>
      <c r="E21" s="2"/>
      <c r="F21" s="2"/>
      <c r="G21" s="2"/>
      <c r="H21" s="2">
        <v>14702</v>
      </c>
      <c r="I21" s="2">
        <f t="shared" si="1"/>
        <v>3542.6506024096384</v>
      </c>
      <c r="J21" s="2"/>
      <c r="K21" s="2"/>
      <c r="L21" s="2"/>
      <c r="M21" s="2"/>
      <c r="N21" s="2"/>
      <c r="O21" s="2"/>
      <c r="P21" s="2"/>
      <c r="Q21" s="2"/>
      <c r="R21" s="39">
        <f t="shared" si="0"/>
        <v>3542.6506024096384</v>
      </c>
      <c r="T21" s="2" t="s">
        <v>10</v>
      </c>
      <c r="U21" s="2">
        <f>SUM(U8:U19)</f>
        <v>75</v>
      </c>
      <c r="V21" s="2">
        <f t="shared" ref="V21:AB21" si="9">SUM(V8:V19)</f>
        <v>137</v>
      </c>
      <c r="W21" s="2">
        <f t="shared" si="9"/>
        <v>68</v>
      </c>
      <c r="X21" s="2">
        <f t="shared" si="9"/>
        <v>177</v>
      </c>
      <c r="Y21" s="2">
        <f t="shared" si="9"/>
        <v>141</v>
      </c>
      <c r="Z21" s="2">
        <f t="shared" si="9"/>
        <v>85</v>
      </c>
      <c r="AA21" s="2">
        <f t="shared" si="9"/>
        <v>59</v>
      </c>
      <c r="AB21" s="2">
        <f t="shared" si="9"/>
        <v>133</v>
      </c>
      <c r="AC21" s="2">
        <f>SUM(AC8:AC20)</f>
        <v>245</v>
      </c>
    </row>
    <row r="22" spans="1:29" x14ac:dyDescent="0.3">
      <c r="A22" s="2" t="s">
        <v>49</v>
      </c>
      <c r="B22" s="2"/>
      <c r="C22" s="2"/>
      <c r="D22" s="2"/>
      <c r="E22" s="2"/>
      <c r="F22" s="2">
        <v>21148</v>
      </c>
      <c r="G22" s="2">
        <f t="shared" si="8"/>
        <v>6312.8358208955215</v>
      </c>
      <c r="H22" s="2">
        <v>3145</v>
      </c>
      <c r="I22" s="2">
        <f t="shared" si="1"/>
        <v>757.83132530120486</v>
      </c>
      <c r="J22" s="2"/>
      <c r="K22" s="2"/>
      <c r="L22" s="2"/>
      <c r="M22" s="2"/>
      <c r="N22" s="2">
        <v>15</v>
      </c>
      <c r="O22" s="2">
        <f t="shared" si="6"/>
        <v>4.166666666666667</v>
      </c>
      <c r="P22" s="2">
        <v>6246</v>
      </c>
      <c r="Q22" s="2">
        <f t="shared" si="7"/>
        <v>1892.727272727273</v>
      </c>
      <c r="R22" s="39">
        <f t="shared" si="0"/>
        <v>8967.5610855906671</v>
      </c>
    </row>
    <row r="23" spans="1:29" x14ac:dyDescent="0.3">
      <c r="A23" s="2" t="s">
        <v>50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>
        <v>2</v>
      </c>
      <c r="Q23" s="2">
        <f t="shared" si="7"/>
        <v>0.60606060606060608</v>
      </c>
      <c r="R23" s="39">
        <f t="shared" si="0"/>
        <v>0.60606060606060608</v>
      </c>
    </row>
    <row r="24" spans="1:29" x14ac:dyDescent="0.3">
      <c r="A24" s="2" t="s">
        <v>51</v>
      </c>
      <c r="B24" s="2">
        <v>13408</v>
      </c>
      <c r="C24" s="2">
        <f t="shared" si="3"/>
        <v>3830.8571428571427</v>
      </c>
      <c r="D24" s="2">
        <v>6446</v>
      </c>
      <c r="E24" s="2">
        <f t="shared" si="4"/>
        <v>2046.3492063492065</v>
      </c>
      <c r="F24" s="2"/>
      <c r="G24" s="2"/>
      <c r="H24" s="2">
        <v>704862</v>
      </c>
      <c r="I24" s="2">
        <f t="shared" si="1"/>
        <v>169846.26506024096</v>
      </c>
      <c r="J24" s="2">
        <v>300522</v>
      </c>
      <c r="K24" s="2">
        <f t="shared" si="2"/>
        <v>73298.048780487807</v>
      </c>
      <c r="L24" s="2">
        <v>137157</v>
      </c>
      <c r="M24" s="2">
        <f t="shared" si="5"/>
        <v>44969.508196721312</v>
      </c>
      <c r="N24" s="2"/>
      <c r="O24" s="2"/>
      <c r="P24" s="2">
        <v>57349</v>
      </c>
      <c r="Q24" s="2">
        <f t="shared" si="7"/>
        <v>17378.484848484848</v>
      </c>
      <c r="R24" s="39">
        <f t="shared" si="0"/>
        <v>311369.51323514129</v>
      </c>
    </row>
    <row r="25" spans="1:29" x14ac:dyDescent="0.3">
      <c r="A25" s="2" t="s">
        <v>52</v>
      </c>
      <c r="B25" s="2">
        <v>13408</v>
      </c>
      <c r="C25" s="2">
        <f t="shared" si="3"/>
        <v>3830.8571428571427</v>
      </c>
      <c r="D25" s="2">
        <v>6446</v>
      </c>
      <c r="E25" s="2">
        <f t="shared" si="4"/>
        <v>2046.3492063492065</v>
      </c>
      <c r="F25" s="2"/>
      <c r="G25" s="2"/>
      <c r="H25" s="2">
        <v>704862</v>
      </c>
      <c r="I25" s="2">
        <f t="shared" si="1"/>
        <v>169846.26506024096</v>
      </c>
      <c r="J25" s="2">
        <v>300522</v>
      </c>
      <c r="K25" s="2">
        <f t="shared" si="2"/>
        <v>73298.048780487807</v>
      </c>
      <c r="L25" s="2">
        <v>137157</v>
      </c>
      <c r="M25" s="2">
        <f t="shared" si="5"/>
        <v>44969.508196721312</v>
      </c>
      <c r="N25" s="2"/>
      <c r="O25" s="2"/>
      <c r="P25" s="2">
        <v>57349</v>
      </c>
      <c r="Q25" s="2">
        <f t="shared" si="7"/>
        <v>17378.484848484848</v>
      </c>
      <c r="R25" s="39">
        <f t="shared" si="0"/>
        <v>311369.51323514129</v>
      </c>
    </row>
    <row r="26" spans="1:29" x14ac:dyDescent="0.3">
      <c r="A26" s="2" t="s">
        <v>53</v>
      </c>
      <c r="B26" s="2"/>
      <c r="C26" s="2"/>
      <c r="D26" s="2"/>
      <c r="E26" s="2"/>
      <c r="F26" s="2"/>
      <c r="G26" s="2"/>
      <c r="H26" s="2">
        <v>15</v>
      </c>
      <c r="I26" s="2">
        <f t="shared" si="1"/>
        <v>3.6144578313253009</v>
      </c>
      <c r="J26" s="2"/>
      <c r="K26" s="2"/>
      <c r="L26" s="2"/>
      <c r="M26" s="2"/>
      <c r="N26" s="2"/>
      <c r="O26" s="2"/>
      <c r="P26" s="2">
        <v>343</v>
      </c>
      <c r="Q26" s="2">
        <f t="shared" si="7"/>
        <v>103.93939393939395</v>
      </c>
      <c r="R26" s="39">
        <f t="shared" si="0"/>
        <v>107.55385177071925</v>
      </c>
    </row>
    <row r="27" spans="1:29" x14ac:dyDescent="0.3">
      <c r="A27" s="2" t="s">
        <v>54</v>
      </c>
      <c r="B27" s="2"/>
      <c r="C27" s="2"/>
      <c r="D27" s="2">
        <v>34</v>
      </c>
      <c r="E27" s="2">
        <f t="shared" si="4"/>
        <v>10.793650793650793</v>
      </c>
      <c r="F27" s="2"/>
      <c r="G27" s="2"/>
      <c r="H27" s="2">
        <v>996</v>
      </c>
      <c r="I27" s="2">
        <f t="shared" si="1"/>
        <v>239.99999999999997</v>
      </c>
      <c r="J27" s="2"/>
      <c r="K27" s="2"/>
      <c r="L27" s="2">
        <v>40</v>
      </c>
      <c r="M27" s="2">
        <f t="shared" si="5"/>
        <v>13.114754098360656</v>
      </c>
      <c r="N27" s="2"/>
      <c r="O27" s="2"/>
      <c r="P27" s="2">
        <v>941</v>
      </c>
      <c r="Q27" s="2">
        <f t="shared" si="7"/>
        <v>285.15151515151518</v>
      </c>
      <c r="R27" s="39">
        <f t="shared" si="0"/>
        <v>549.05992004352652</v>
      </c>
    </row>
    <row r="28" spans="1:29" ht="19.5" customHeight="1" x14ac:dyDescent="0.3">
      <c r="A28" s="2" t="s">
        <v>55</v>
      </c>
      <c r="B28" s="2"/>
      <c r="C28" s="2"/>
      <c r="D28" s="2"/>
      <c r="E28" s="2"/>
      <c r="F28" s="2"/>
      <c r="G28" s="2"/>
      <c r="H28" s="2">
        <v>106729</v>
      </c>
      <c r="I28" s="2">
        <f t="shared" si="1"/>
        <v>25717.831325301206</v>
      </c>
      <c r="J28" s="2"/>
      <c r="K28" s="2"/>
      <c r="L28" s="2"/>
      <c r="M28" s="2"/>
      <c r="N28" s="2"/>
      <c r="O28" s="2"/>
      <c r="P28" s="2"/>
      <c r="Q28" s="2"/>
      <c r="R28" s="39">
        <f t="shared" si="0"/>
        <v>25717.831325301206</v>
      </c>
      <c r="T28" s="55" t="s">
        <v>56</v>
      </c>
      <c r="U28" s="53" t="s">
        <v>57</v>
      </c>
      <c r="V28" s="53" t="s">
        <v>58</v>
      </c>
      <c r="W28" s="57" t="s">
        <v>59</v>
      </c>
      <c r="X28" s="58"/>
    </row>
    <row r="29" spans="1:29" ht="19.5" customHeight="1" x14ac:dyDescent="0.3">
      <c r="A29" s="2" t="s">
        <v>60</v>
      </c>
      <c r="B29" s="2">
        <v>204240</v>
      </c>
      <c r="C29" s="2">
        <f t="shared" si="3"/>
        <v>58354.285714285717</v>
      </c>
      <c r="D29" s="2">
        <v>6246668</v>
      </c>
      <c r="E29" s="2">
        <f t="shared" si="4"/>
        <v>1983069.2063492064</v>
      </c>
      <c r="F29" s="2">
        <v>1674485</v>
      </c>
      <c r="G29" s="2">
        <f t="shared" si="8"/>
        <v>499846.26865671639</v>
      </c>
      <c r="H29" s="2">
        <v>9003218</v>
      </c>
      <c r="I29" s="2">
        <f t="shared" si="1"/>
        <v>2169450.1204819274</v>
      </c>
      <c r="J29" s="2">
        <v>787927</v>
      </c>
      <c r="K29" s="2">
        <f t="shared" si="2"/>
        <v>192177.31707317077</v>
      </c>
      <c r="L29" s="2">
        <v>2823600</v>
      </c>
      <c r="M29" s="2">
        <f t="shared" si="5"/>
        <v>925770.49180327868</v>
      </c>
      <c r="N29" s="2">
        <v>169781</v>
      </c>
      <c r="O29" s="2">
        <f t="shared" si="6"/>
        <v>47161.388888888891</v>
      </c>
      <c r="P29" s="2">
        <v>925466</v>
      </c>
      <c r="Q29" s="2">
        <f t="shared" si="7"/>
        <v>280444.24242424243</v>
      </c>
      <c r="R29" s="39">
        <f t="shared" si="0"/>
        <v>6156273.3213917157</v>
      </c>
      <c r="T29" s="56"/>
      <c r="U29" s="54"/>
      <c r="V29" s="54"/>
      <c r="W29" s="14" t="s">
        <v>61</v>
      </c>
      <c r="X29" s="15" t="s">
        <v>62</v>
      </c>
    </row>
    <row r="30" spans="1:29" x14ac:dyDescent="0.3">
      <c r="A30" s="2" t="s">
        <v>63</v>
      </c>
      <c r="B30" s="2">
        <v>275318</v>
      </c>
      <c r="C30" s="2">
        <f t="shared" si="3"/>
        <v>78662.28571428571</v>
      </c>
      <c r="D30" s="2">
        <v>10376</v>
      </c>
      <c r="E30" s="2">
        <f t="shared" si="4"/>
        <v>3293.968253968254</v>
      </c>
      <c r="F30" s="2"/>
      <c r="G30" s="2"/>
      <c r="H30" s="2">
        <v>27806</v>
      </c>
      <c r="I30" s="2">
        <f t="shared" si="1"/>
        <v>6700.2409638554209</v>
      </c>
      <c r="J30" s="2">
        <v>21103</v>
      </c>
      <c r="K30" s="2">
        <f t="shared" si="2"/>
        <v>5147.0731707317073</v>
      </c>
      <c r="L30" s="2">
        <v>6602</v>
      </c>
      <c r="M30" s="2">
        <f t="shared" si="5"/>
        <v>2164.5901639344265</v>
      </c>
      <c r="N30" s="2">
        <v>51007</v>
      </c>
      <c r="O30" s="2">
        <f t="shared" si="6"/>
        <v>14168.611111111109</v>
      </c>
      <c r="P30" s="2">
        <v>350234</v>
      </c>
      <c r="Q30" s="2">
        <f t="shared" si="7"/>
        <v>106131.51515151515</v>
      </c>
      <c r="R30" s="39">
        <f t="shared" si="0"/>
        <v>216268.28452940178</v>
      </c>
      <c r="T30" s="10" t="s">
        <v>64</v>
      </c>
      <c r="U30" s="11">
        <v>2100</v>
      </c>
      <c r="V30" s="11">
        <v>75</v>
      </c>
      <c r="W30" s="12">
        <f>X30*1000/42/1000</f>
        <v>1879317.1632653067</v>
      </c>
      <c r="X30" s="13">
        <v>78931320.857142881</v>
      </c>
    </row>
    <row r="31" spans="1:29" x14ac:dyDescent="0.3">
      <c r="A31" s="2" t="s">
        <v>65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>
        <v>101210</v>
      </c>
      <c r="Q31" s="2">
        <f t="shared" si="7"/>
        <v>30669.696969696972</v>
      </c>
      <c r="R31" s="39">
        <f t="shared" si="0"/>
        <v>30669.696969696972</v>
      </c>
      <c r="T31" s="4" t="s">
        <v>3</v>
      </c>
      <c r="U31" s="2">
        <v>2211</v>
      </c>
      <c r="V31" s="2">
        <v>137</v>
      </c>
      <c r="W31" s="3">
        <f t="shared" ref="W31:W37" si="10">X31*1000/42/1000</f>
        <v>1280756.4021164023</v>
      </c>
      <c r="X31" s="5">
        <v>53791768.888888903</v>
      </c>
    </row>
    <row r="32" spans="1:29" x14ac:dyDescent="0.3">
      <c r="A32" s="2" t="s">
        <v>66</v>
      </c>
      <c r="B32" s="2"/>
      <c r="C32" s="2"/>
      <c r="D32" s="2">
        <v>23101</v>
      </c>
      <c r="E32" s="2">
        <f t="shared" si="4"/>
        <v>7333.6507936507942</v>
      </c>
      <c r="F32" s="2"/>
      <c r="G32" s="2"/>
      <c r="H32" s="2">
        <v>18022</v>
      </c>
      <c r="I32" s="2">
        <f t="shared" si="1"/>
        <v>4342.6506024096389</v>
      </c>
      <c r="J32" s="2"/>
      <c r="K32" s="2"/>
      <c r="L32" s="2">
        <v>21231</v>
      </c>
      <c r="M32" s="2">
        <f t="shared" si="5"/>
        <v>6960.9836065573772</v>
      </c>
      <c r="N32" s="2"/>
      <c r="O32" s="2"/>
      <c r="P32" s="2"/>
      <c r="Q32" s="2"/>
      <c r="R32" s="39">
        <f t="shared" si="0"/>
        <v>18637.285002617809</v>
      </c>
      <c r="T32" s="4" t="s">
        <v>4</v>
      </c>
      <c r="U32" s="2">
        <v>2221</v>
      </c>
      <c r="V32" s="2">
        <v>68</v>
      </c>
      <c r="W32" s="3">
        <f t="shared" si="10"/>
        <v>249630.81023454148</v>
      </c>
      <c r="X32" s="5">
        <v>10484494.029850742</v>
      </c>
    </row>
    <row r="33" spans="1:27" x14ac:dyDescent="0.3">
      <c r="A33" s="2" t="s">
        <v>67</v>
      </c>
      <c r="B33" s="2"/>
      <c r="C33" s="2"/>
      <c r="D33" s="2">
        <v>12326</v>
      </c>
      <c r="E33" s="2">
        <f t="shared" si="4"/>
        <v>3913.0158730158732</v>
      </c>
      <c r="F33" s="2"/>
      <c r="G33" s="2"/>
      <c r="H33" s="2">
        <v>2171</v>
      </c>
      <c r="I33" s="2">
        <f t="shared" si="1"/>
        <v>523.13253012048187</v>
      </c>
      <c r="J33" s="2"/>
      <c r="K33" s="2"/>
      <c r="L33" s="2"/>
      <c r="M33" s="2"/>
      <c r="N33" s="2"/>
      <c r="O33" s="2"/>
      <c r="P33" s="2">
        <v>1</v>
      </c>
      <c r="Q33" s="2">
        <f t="shared" si="7"/>
        <v>0.30303030303030304</v>
      </c>
      <c r="R33" s="39">
        <f t="shared" si="0"/>
        <v>4436.4514334393853</v>
      </c>
      <c r="T33" s="4" t="s">
        <v>68</v>
      </c>
      <c r="U33" s="2">
        <v>2330</v>
      </c>
      <c r="V33" s="2">
        <v>177</v>
      </c>
      <c r="W33" s="3">
        <f t="shared" si="10"/>
        <v>1144580.4302925989</v>
      </c>
      <c r="X33" s="5">
        <v>48072378.072289154</v>
      </c>
    </row>
    <row r="34" spans="1:27" x14ac:dyDescent="0.3">
      <c r="A34" s="2" t="s">
        <v>69</v>
      </c>
      <c r="B34" s="2">
        <v>60159</v>
      </c>
      <c r="C34" s="2">
        <f t="shared" si="3"/>
        <v>17188.285714285714</v>
      </c>
      <c r="D34" s="2">
        <v>571150</v>
      </c>
      <c r="E34" s="2">
        <f t="shared" si="4"/>
        <v>181317.46031746033</v>
      </c>
      <c r="F34" s="2">
        <v>203462</v>
      </c>
      <c r="G34" s="2">
        <f t="shared" si="8"/>
        <v>60734.925373134327</v>
      </c>
      <c r="H34" s="2">
        <v>426970</v>
      </c>
      <c r="I34" s="2">
        <f t="shared" si="1"/>
        <v>102884.33734939758</v>
      </c>
      <c r="J34" s="2">
        <v>336481</v>
      </c>
      <c r="K34" s="2">
        <f t="shared" si="2"/>
        <v>82068.536585365859</v>
      </c>
      <c r="L34" s="2">
        <v>118582</v>
      </c>
      <c r="M34" s="2">
        <f t="shared" si="5"/>
        <v>38879.344262295082</v>
      </c>
      <c r="N34" s="2"/>
      <c r="O34" s="2"/>
      <c r="P34" s="2"/>
      <c r="Q34" s="2"/>
      <c r="R34" s="39">
        <f t="shared" si="0"/>
        <v>483072.88960193889</v>
      </c>
      <c r="T34" s="4" t="s">
        <v>70</v>
      </c>
      <c r="U34" s="2">
        <v>2340</v>
      </c>
      <c r="V34" s="2">
        <v>141</v>
      </c>
      <c r="W34" s="3">
        <f t="shared" si="10"/>
        <v>232161.52729384441</v>
      </c>
      <c r="X34" s="5">
        <v>9750784.1463414654</v>
      </c>
    </row>
    <row r="35" spans="1:27" x14ac:dyDescent="0.3">
      <c r="A35" s="2" t="s">
        <v>71</v>
      </c>
      <c r="B35" s="2"/>
      <c r="C35" s="2"/>
      <c r="D35" s="2"/>
      <c r="E35" s="2"/>
      <c r="F35" s="2"/>
      <c r="G35" s="2"/>
      <c r="H35" s="2"/>
      <c r="I35" s="2"/>
      <c r="J35" s="2">
        <v>90410</v>
      </c>
      <c r="K35" s="2">
        <f t="shared" si="2"/>
        <v>22051.219512195126</v>
      </c>
      <c r="L35" s="2"/>
      <c r="M35" s="2"/>
      <c r="N35" s="2">
        <v>12000</v>
      </c>
      <c r="O35" s="2">
        <f t="shared" si="6"/>
        <v>3333.333333333333</v>
      </c>
      <c r="P35" s="2"/>
      <c r="Q35" s="2"/>
      <c r="R35" s="39">
        <f t="shared" si="0"/>
        <v>25384.552845528458</v>
      </c>
      <c r="T35" s="4" t="s">
        <v>72</v>
      </c>
      <c r="U35" s="2">
        <v>2429</v>
      </c>
      <c r="V35" s="2">
        <v>88</v>
      </c>
      <c r="W35" s="3">
        <f t="shared" si="10"/>
        <v>312476.16705698654</v>
      </c>
      <c r="X35" s="5">
        <v>13123999.016393434</v>
      </c>
    </row>
    <row r="36" spans="1:27" x14ac:dyDescent="0.3">
      <c r="A36" s="2" t="s">
        <v>73</v>
      </c>
      <c r="B36" s="2"/>
      <c r="C36" s="2"/>
      <c r="D36" s="2">
        <v>294</v>
      </c>
      <c r="E36" s="2">
        <f t="shared" si="4"/>
        <v>93.333333333333343</v>
      </c>
      <c r="F36" s="2">
        <v>1</v>
      </c>
      <c r="G36" s="2">
        <f t="shared" si="8"/>
        <v>0.29850746268656719</v>
      </c>
      <c r="H36" s="2">
        <v>10192</v>
      </c>
      <c r="I36" s="2">
        <f t="shared" si="1"/>
        <v>2455.9036144578313</v>
      </c>
      <c r="J36" s="2">
        <v>631</v>
      </c>
      <c r="K36" s="2">
        <f t="shared" si="2"/>
        <v>153.90243902439025</v>
      </c>
      <c r="L36" s="2">
        <v>183</v>
      </c>
      <c r="M36" s="2">
        <f t="shared" si="5"/>
        <v>60</v>
      </c>
      <c r="N36" s="2">
        <v>255</v>
      </c>
      <c r="O36" s="2">
        <f t="shared" si="6"/>
        <v>70.833333333333329</v>
      </c>
      <c r="P36" s="2">
        <v>27181</v>
      </c>
      <c r="Q36" s="2">
        <f t="shared" si="7"/>
        <v>8236.6666666666679</v>
      </c>
      <c r="R36" s="39">
        <f t="shared" si="0"/>
        <v>11070.937894278242</v>
      </c>
      <c r="T36" s="4" t="s">
        <v>74</v>
      </c>
      <c r="U36" s="2">
        <v>3212</v>
      </c>
      <c r="V36" s="2">
        <v>59</v>
      </c>
      <c r="W36" s="3">
        <f t="shared" si="10"/>
        <v>49251.322751322761</v>
      </c>
      <c r="X36" s="5">
        <v>2068555.5555555557</v>
      </c>
    </row>
    <row r="37" spans="1:27" x14ac:dyDescent="0.3">
      <c r="A37" s="2" t="s">
        <v>75</v>
      </c>
      <c r="B37" s="2"/>
      <c r="C37" s="2"/>
      <c r="D37" s="2">
        <v>1053</v>
      </c>
      <c r="E37" s="2">
        <f t="shared" si="4"/>
        <v>334.28571428571433</v>
      </c>
      <c r="F37" s="2"/>
      <c r="G37" s="2"/>
      <c r="H37" s="2">
        <v>112</v>
      </c>
      <c r="I37" s="2">
        <f t="shared" si="1"/>
        <v>26.987951807228914</v>
      </c>
      <c r="J37" s="2"/>
      <c r="K37" s="2"/>
      <c r="L37" s="2"/>
      <c r="M37" s="2"/>
      <c r="N37" s="2"/>
      <c r="O37" s="2"/>
      <c r="P37" s="2"/>
      <c r="Q37" s="2"/>
      <c r="R37" s="39">
        <f t="shared" si="0"/>
        <v>361.27366609294324</v>
      </c>
      <c r="T37" s="6" t="s">
        <v>9</v>
      </c>
      <c r="U37" s="7">
        <v>3220</v>
      </c>
      <c r="V37" s="7">
        <v>133</v>
      </c>
      <c r="W37" s="8">
        <f t="shared" si="10"/>
        <v>250271.73881673886</v>
      </c>
      <c r="X37" s="9">
        <v>10511413.030303031</v>
      </c>
    </row>
    <row r="38" spans="1:27" x14ac:dyDescent="0.3">
      <c r="A38" s="2" t="s">
        <v>76</v>
      </c>
      <c r="B38" s="2"/>
      <c r="C38" s="2"/>
      <c r="D38" s="2">
        <v>239</v>
      </c>
      <c r="E38" s="2">
        <f t="shared" si="4"/>
        <v>75.873015873015873</v>
      </c>
      <c r="F38" s="2"/>
      <c r="G38" s="2"/>
      <c r="H38" s="2"/>
      <c r="I38" s="2"/>
      <c r="J38" s="2">
        <v>3</v>
      </c>
      <c r="K38" s="2">
        <f t="shared" si="2"/>
        <v>0.73170731707317072</v>
      </c>
      <c r="L38" s="2"/>
      <c r="M38" s="2"/>
      <c r="N38" s="2"/>
      <c r="O38" s="2"/>
      <c r="P38" s="2">
        <v>1</v>
      </c>
      <c r="Q38" s="2">
        <f t="shared" si="7"/>
        <v>0.30303030303030304</v>
      </c>
      <c r="R38" s="39">
        <f t="shared" si="0"/>
        <v>76.907753493119344</v>
      </c>
    </row>
    <row r="39" spans="1:27" x14ac:dyDescent="0.3">
      <c r="A39" s="2" t="s">
        <v>77</v>
      </c>
      <c r="B39" s="2"/>
      <c r="C39" s="2"/>
      <c r="D39" s="2"/>
      <c r="E39" s="2"/>
      <c r="F39" s="2"/>
      <c r="G39" s="2"/>
      <c r="H39" s="2">
        <v>1313</v>
      </c>
      <c r="I39" s="2">
        <f t="shared" si="1"/>
        <v>316.3855421686747</v>
      </c>
      <c r="J39" s="2"/>
      <c r="K39" s="2"/>
      <c r="L39" s="2"/>
      <c r="M39" s="2"/>
      <c r="N39" s="2"/>
      <c r="O39" s="2"/>
      <c r="P39" s="2"/>
      <c r="Q39" s="2"/>
      <c r="R39" s="39">
        <f t="shared" si="0"/>
        <v>316.3855421686747</v>
      </c>
    </row>
    <row r="40" spans="1:27" x14ac:dyDescent="0.3">
      <c r="A40" s="2" t="s">
        <v>78</v>
      </c>
      <c r="B40" s="2"/>
      <c r="C40" s="2"/>
      <c r="D40" s="2"/>
      <c r="E40" s="2"/>
      <c r="F40" s="2"/>
      <c r="G40" s="2"/>
      <c r="H40" s="2">
        <v>218374</v>
      </c>
      <c r="I40" s="2">
        <f t="shared" si="1"/>
        <v>52620.240963855416</v>
      </c>
      <c r="J40" s="2">
        <v>30257</v>
      </c>
      <c r="K40" s="2">
        <f t="shared" si="2"/>
        <v>7379.7560975609767</v>
      </c>
      <c r="L40" s="2">
        <v>7626</v>
      </c>
      <c r="M40" s="2">
        <f t="shared" si="5"/>
        <v>2500.3278688524592</v>
      </c>
      <c r="N40" s="2">
        <v>29730</v>
      </c>
      <c r="O40" s="2">
        <f t="shared" si="6"/>
        <v>8258.3333333333321</v>
      </c>
      <c r="P40" s="2">
        <v>152056</v>
      </c>
      <c r="Q40" s="2">
        <f t="shared" si="7"/>
        <v>46077.57575757576</v>
      </c>
      <c r="R40" s="39">
        <f t="shared" si="0"/>
        <v>116836.23402117794</v>
      </c>
      <c r="T40" s="48" t="s">
        <v>79</v>
      </c>
      <c r="U40" s="49"/>
      <c r="V40" s="49"/>
      <c r="W40" s="49"/>
      <c r="X40" s="49"/>
      <c r="Y40" s="49"/>
      <c r="Z40" s="49"/>
      <c r="AA40" s="50"/>
    </row>
    <row r="41" spans="1:27" ht="28.8" x14ac:dyDescent="0.3">
      <c r="A41" s="2" t="s">
        <v>80</v>
      </c>
      <c r="B41" s="2"/>
      <c r="C41" s="2"/>
      <c r="D41" s="2">
        <v>96114</v>
      </c>
      <c r="E41" s="2">
        <f t="shared" si="4"/>
        <v>30512.38095238095</v>
      </c>
      <c r="F41" s="2"/>
      <c r="G41" s="2"/>
      <c r="H41" s="2">
        <v>155369</v>
      </c>
      <c r="I41" s="2">
        <f t="shared" si="1"/>
        <v>37438.313253012049</v>
      </c>
      <c r="J41" s="2">
        <v>70167</v>
      </c>
      <c r="K41" s="2">
        <f t="shared" si="2"/>
        <v>17113.902439024394</v>
      </c>
      <c r="L41" s="2"/>
      <c r="M41" s="2"/>
      <c r="N41" s="2"/>
      <c r="O41" s="2"/>
      <c r="P41" s="2"/>
      <c r="Q41" s="2"/>
      <c r="R41" s="39">
        <f t="shared" si="0"/>
        <v>85064.596644417383</v>
      </c>
      <c r="T41" s="17" t="s">
        <v>64</v>
      </c>
      <c r="U41" s="18" t="s">
        <v>3</v>
      </c>
      <c r="V41" s="18" t="s">
        <v>4</v>
      </c>
      <c r="W41" s="19" t="s">
        <v>81</v>
      </c>
      <c r="X41" s="19" t="s">
        <v>82</v>
      </c>
      <c r="Y41" s="18" t="s">
        <v>83</v>
      </c>
      <c r="Z41" s="19" t="s">
        <v>8</v>
      </c>
      <c r="AA41" s="20" t="s">
        <v>9</v>
      </c>
    </row>
    <row r="42" spans="1:27" x14ac:dyDescent="0.3">
      <c r="A42" s="2" t="s">
        <v>84</v>
      </c>
      <c r="B42" s="2"/>
      <c r="C42" s="2"/>
      <c r="D42" s="2">
        <v>56100</v>
      </c>
      <c r="E42" s="2">
        <f t="shared" si="4"/>
        <v>17809.523809523809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39">
        <f t="shared" si="0"/>
        <v>17809.523809523809</v>
      </c>
      <c r="T42" s="21">
        <v>10000000</v>
      </c>
      <c r="U42" s="12">
        <v>5000000</v>
      </c>
      <c r="V42" s="12">
        <v>1000000</v>
      </c>
      <c r="W42" s="12">
        <v>5000000</v>
      </c>
      <c r="X42" s="12">
        <v>1000000</v>
      </c>
      <c r="Y42" s="12">
        <v>500000</v>
      </c>
      <c r="Z42" s="12">
        <v>100000</v>
      </c>
      <c r="AA42" s="13">
        <v>500000</v>
      </c>
    </row>
    <row r="43" spans="1:27" x14ac:dyDescent="0.3">
      <c r="A43" s="2" t="s">
        <v>85</v>
      </c>
      <c r="B43" s="2"/>
      <c r="C43" s="2"/>
      <c r="D43" s="2">
        <v>6065</v>
      </c>
      <c r="E43" s="2">
        <f t="shared" si="4"/>
        <v>1925.3968253968255</v>
      </c>
      <c r="F43" s="2">
        <v>960</v>
      </c>
      <c r="G43" s="2">
        <f t="shared" si="8"/>
        <v>286.56716417910451</v>
      </c>
      <c r="H43" s="2">
        <v>4016</v>
      </c>
      <c r="I43" s="2">
        <f t="shared" si="1"/>
        <v>967.71084337349384</v>
      </c>
      <c r="J43" s="2"/>
      <c r="K43" s="2"/>
      <c r="L43" s="2"/>
      <c r="M43" s="2"/>
      <c r="N43" s="2"/>
      <c r="O43" s="2"/>
      <c r="P43" s="2"/>
      <c r="Q43" s="2"/>
      <c r="R43" s="39">
        <f t="shared" si="0"/>
        <v>3179.6748329494239</v>
      </c>
      <c r="T43" s="22">
        <v>5000000</v>
      </c>
      <c r="U43" s="3">
        <v>1000000</v>
      </c>
      <c r="V43" s="3">
        <v>500000</v>
      </c>
      <c r="W43" s="3">
        <v>1000000</v>
      </c>
      <c r="X43" s="3">
        <v>500000</v>
      </c>
      <c r="Y43" s="3">
        <v>100000</v>
      </c>
      <c r="Z43" s="3">
        <v>50000</v>
      </c>
      <c r="AA43" s="5">
        <v>100000</v>
      </c>
    </row>
    <row r="44" spans="1:27" x14ac:dyDescent="0.3">
      <c r="A44" s="2" t="s">
        <v>86</v>
      </c>
      <c r="B44" s="2"/>
      <c r="C44" s="2"/>
      <c r="D44" s="2"/>
      <c r="E44" s="2"/>
      <c r="F44" s="2"/>
      <c r="G44" s="2"/>
      <c r="H44" s="2">
        <v>14492</v>
      </c>
      <c r="I44" s="2">
        <f t="shared" si="1"/>
        <v>3492.0481927710844</v>
      </c>
      <c r="J44" s="2">
        <v>2925</v>
      </c>
      <c r="K44" s="2">
        <f t="shared" si="2"/>
        <v>713.41463414634143</v>
      </c>
      <c r="L44" s="2"/>
      <c r="M44" s="2"/>
      <c r="N44" s="2"/>
      <c r="O44" s="2"/>
      <c r="P44" s="2">
        <v>63580</v>
      </c>
      <c r="Q44" s="2">
        <f t="shared" si="7"/>
        <v>19266.666666666668</v>
      </c>
      <c r="R44" s="39">
        <f t="shared" si="0"/>
        <v>23472.129493584092</v>
      </c>
      <c r="T44" s="22">
        <v>1000000</v>
      </c>
      <c r="U44" s="3">
        <v>500000</v>
      </c>
      <c r="V44" s="3">
        <v>100000</v>
      </c>
      <c r="W44" s="3">
        <v>500000</v>
      </c>
      <c r="X44" s="3">
        <v>100000</v>
      </c>
      <c r="Y44" s="3">
        <v>50000</v>
      </c>
      <c r="Z44" s="3">
        <v>5000</v>
      </c>
      <c r="AA44" s="5">
        <v>50000</v>
      </c>
    </row>
    <row r="45" spans="1:27" x14ac:dyDescent="0.3">
      <c r="A45" s="2" t="s">
        <v>87</v>
      </c>
      <c r="B45" s="2">
        <v>698058</v>
      </c>
      <c r="C45" s="2">
        <f t="shared" si="3"/>
        <v>199445.14285714287</v>
      </c>
      <c r="D45" s="2"/>
      <c r="E45" s="2"/>
      <c r="F45" s="2"/>
      <c r="G45" s="2"/>
      <c r="H45" s="2">
        <v>20654</v>
      </c>
      <c r="I45" s="2">
        <f t="shared" si="1"/>
        <v>4976.8674698795176</v>
      </c>
      <c r="J45" s="2">
        <v>6486</v>
      </c>
      <c r="K45" s="2">
        <f t="shared" si="2"/>
        <v>1581.9512195121954</v>
      </c>
      <c r="L45" s="2"/>
      <c r="M45" s="2"/>
      <c r="N45" s="2"/>
      <c r="O45" s="2"/>
      <c r="P45" s="2">
        <v>63580</v>
      </c>
      <c r="Q45" s="2">
        <f t="shared" si="7"/>
        <v>19266.666666666668</v>
      </c>
      <c r="R45" s="39">
        <f t="shared" si="0"/>
        <v>225270.62821320124</v>
      </c>
      <c r="T45" s="23">
        <v>500000</v>
      </c>
      <c r="U45" s="8">
        <v>100000</v>
      </c>
      <c r="V45" s="7"/>
      <c r="W45" s="7"/>
      <c r="X45" s="7"/>
      <c r="Y45" s="7"/>
      <c r="Z45" s="7"/>
      <c r="AA45" s="9">
        <v>5000</v>
      </c>
    </row>
    <row r="46" spans="1:27" x14ac:dyDescent="0.3">
      <c r="A46" s="2" t="s">
        <v>88</v>
      </c>
      <c r="B46" s="2"/>
      <c r="C46" s="2"/>
      <c r="D46" s="2"/>
      <c r="E46" s="2"/>
      <c r="F46" s="2"/>
      <c r="G46" s="2"/>
      <c r="H46" s="2"/>
      <c r="I46" s="2"/>
      <c r="J46" s="2">
        <v>101475</v>
      </c>
      <c r="K46" s="2">
        <f t="shared" si="2"/>
        <v>24750.000000000004</v>
      </c>
      <c r="L46" s="2">
        <v>44266</v>
      </c>
      <c r="M46" s="2">
        <f t="shared" si="5"/>
        <v>14513.442622950821</v>
      </c>
      <c r="N46" s="2"/>
      <c r="O46" s="2"/>
      <c r="P46" s="2"/>
      <c r="Q46" s="2"/>
      <c r="R46" s="39">
        <f t="shared" si="0"/>
        <v>39263.442622950824</v>
      </c>
    </row>
    <row r="47" spans="1:27" x14ac:dyDescent="0.3">
      <c r="A47" s="2" t="s">
        <v>89</v>
      </c>
      <c r="B47" s="2"/>
      <c r="C47" s="2"/>
      <c r="D47" s="2"/>
      <c r="E47" s="2"/>
      <c r="F47" s="2"/>
      <c r="G47" s="2"/>
      <c r="H47" s="2">
        <v>121</v>
      </c>
      <c r="I47" s="2">
        <f t="shared" si="1"/>
        <v>29.156626506024097</v>
      </c>
      <c r="J47" s="2"/>
      <c r="K47" s="2"/>
      <c r="L47" s="2"/>
      <c r="M47" s="2"/>
      <c r="N47" s="2"/>
      <c r="O47" s="2"/>
      <c r="P47" s="2"/>
      <c r="Q47" s="2"/>
      <c r="R47" s="39">
        <f t="shared" si="0"/>
        <v>29.156626506024097</v>
      </c>
    </row>
    <row r="48" spans="1:27" x14ac:dyDescent="0.3">
      <c r="A48" s="2" t="s">
        <v>90</v>
      </c>
      <c r="B48" s="2">
        <v>474813</v>
      </c>
      <c r="C48" s="2">
        <f t="shared" si="3"/>
        <v>135660.85714285713</v>
      </c>
      <c r="D48" s="2">
        <v>3000</v>
      </c>
      <c r="E48" s="2">
        <f t="shared" si="4"/>
        <v>952.38095238095241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>
        <v>252481</v>
      </c>
      <c r="Q48" s="2">
        <f t="shared" si="7"/>
        <v>76509.393939393936</v>
      </c>
      <c r="R48" s="39">
        <f t="shared" si="0"/>
        <v>213122.63203463203</v>
      </c>
      <c r="T48" s="16"/>
      <c r="U48" s="1"/>
    </row>
    <row r="49" spans="1:21" x14ac:dyDescent="0.3">
      <c r="A49" s="2" t="s">
        <v>91</v>
      </c>
      <c r="B49" s="2">
        <v>1110908</v>
      </c>
      <c r="C49" s="2">
        <f t="shared" si="3"/>
        <v>317402.28571428574</v>
      </c>
      <c r="D49" s="2"/>
      <c r="E49" s="2"/>
      <c r="F49" s="2"/>
      <c r="G49" s="2"/>
      <c r="H49" s="2">
        <v>430975</v>
      </c>
      <c r="I49" s="2">
        <f t="shared" si="1"/>
        <v>103849.39759036143</v>
      </c>
      <c r="J49" s="2"/>
      <c r="K49" s="2"/>
      <c r="L49" s="2"/>
      <c r="M49" s="2"/>
      <c r="N49" s="2"/>
      <c r="O49" s="2"/>
      <c r="P49" s="2">
        <v>2289</v>
      </c>
      <c r="Q49" s="2">
        <f t="shared" si="7"/>
        <v>693.63636363636363</v>
      </c>
      <c r="R49" s="39">
        <f t="shared" si="0"/>
        <v>421945.31966828351</v>
      </c>
      <c r="T49" s="16"/>
      <c r="U49" s="1"/>
    </row>
    <row r="50" spans="1:21" x14ac:dyDescent="0.3">
      <c r="A50" s="2" t="s">
        <v>92</v>
      </c>
      <c r="B50" s="2"/>
      <c r="C50" s="2"/>
      <c r="D50" s="2"/>
      <c r="E50" s="2"/>
      <c r="F50" s="2"/>
      <c r="G50" s="2"/>
      <c r="H50" s="2"/>
      <c r="I50" s="2"/>
      <c r="J50" s="2">
        <v>25</v>
      </c>
      <c r="K50" s="2">
        <f t="shared" si="2"/>
        <v>6.0975609756097562</v>
      </c>
      <c r="L50" s="2"/>
      <c r="M50" s="2"/>
      <c r="N50" s="2"/>
      <c r="O50" s="2"/>
      <c r="P50" s="2"/>
      <c r="Q50" s="2"/>
      <c r="R50" s="39">
        <f t="shared" si="0"/>
        <v>6.0975609756097562</v>
      </c>
      <c r="T50" s="16"/>
      <c r="U50" s="1"/>
    </row>
    <row r="51" spans="1:21" x14ac:dyDescent="0.3">
      <c r="A51" s="2" t="s">
        <v>93</v>
      </c>
      <c r="B51" s="2">
        <v>98756190</v>
      </c>
      <c r="C51" s="2">
        <f t="shared" si="3"/>
        <v>28216054.285714287</v>
      </c>
      <c r="D51" s="2">
        <v>5833353</v>
      </c>
      <c r="E51" s="2">
        <f t="shared" si="4"/>
        <v>1851858.0952380954</v>
      </c>
      <c r="F51" s="2">
        <v>1753734</v>
      </c>
      <c r="G51" s="2">
        <f t="shared" si="8"/>
        <v>523502.6865671642</v>
      </c>
      <c r="H51" s="2">
        <v>7071135</v>
      </c>
      <c r="I51" s="2">
        <f t="shared" si="1"/>
        <v>1703887.9518072288</v>
      </c>
      <c r="J51" s="2">
        <v>1023854</v>
      </c>
      <c r="K51" s="2">
        <f t="shared" si="2"/>
        <v>249720.48780487807</v>
      </c>
      <c r="L51" s="2">
        <v>4538643</v>
      </c>
      <c r="M51" s="2">
        <f t="shared" si="5"/>
        <v>1488079.6721311477</v>
      </c>
      <c r="N51" s="2">
        <v>283853</v>
      </c>
      <c r="O51" s="2">
        <f t="shared" si="6"/>
        <v>78848.055555555547</v>
      </c>
      <c r="P51" s="2">
        <v>581722</v>
      </c>
      <c r="Q51" s="2">
        <f t="shared" si="7"/>
        <v>176279.39393939395</v>
      </c>
      <c r="R51" s="39">
        <f t="shared" si="0"/>
        <v>34288230.628757745</v>
      </c>
      <c r="U51" s="1"/>
    </row>
    <row r="52" spans="1:21" x14ac:dyDescent="0.3">
      <c r="A52" s="2" t="s">
        <v>94</v>
      </c>
      <c r="B52" s="2"/>
      <c r="C52" s="2"/>
      <c r="D52" s="2">
        <v>1668382</v>
      </c>
      <c r="E52" s="2">
        <f t="shared" si="4"/>
        <v>529645.07936507941</v>
      </c>
      <c r="F52" s="2">
        <v>300388</v>
      </c>
      <c r="G52" s="2">
        <f t="shared" si="8"/>
        <v>89668.05970149253</v>
      </c>
      <c r="H52" s="2">
        <v>613345</v>
      </c>
      <c r="I52" s="2">
        <f t="shared" si="1"/>
        <v>147793.97590361442</v>
      </c>
      <c r="J52" s="2">
        <v>641285</v>
      </c>
      <c r="K52" s="2">
        <f t="shared" si="2"/>
        <v>156410.9756097561</v>
      </c>
      <c r="L52" s="2">
        <v>136509</v>
      </c>
      <c r="M52" s="2">
        <f t="shared" si="5"/>
        <v>44757.049180327871</v>
      </c>
      <c r="N52" s="2">
        <v>117</v>
      </c>
      <c r="O52" s="2">
        <f t="shared" si="6"/>
        <v>32.5</v>
      </c>
      <c r="P52" s="2">
        <v>859325</v>
      </c>
      <c r="Q52" s="2">
        <f t="shared" si="7"/>
        <v>260401.51515151517</v>
      </c>
      <c r="R52" s="39">
        <f t="shared" si="0"/>
        <v>1228709.1549117856</v>
      </c>
      <c r="U52" s="1"/>
    </row>
    <row r="53" spans="1:21" x14ac:dyDescent="0.3">
      <c r="A53" s="2" t="s">
        <v>95</v>
      </c>
      <c r="B53" s="2"/>
      <c r="C53" s="2"/>
      <c r="D53" s="2">
        <v>2875</v>
      </c>
      <c r="E53" s="2">
        <f t="shared" si="4"/>
        <v>912.69841269841277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39">
        <f t="shared" si="0"/>
        <v>912.69841269841277</v>
      </c>
      <c r="U53" s="1"/>
    </row>
    <row r="54" spans="1:21" x14ac:dyDescent="0.3">
      <c r="A54" s="2" t="s">
        <v>95</v>
      </c>
      <c r="B54" s="2"/>
      <c r="C54" s="2"/>
      <c r="D54" s="2">
        <v>2875</v>
      </c>
      <c r="E54" s="2">
        <f t="shared" si="4"/>
        <v>912.69841269841277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>
        <v>177333</v>
      </c>
      <c r="Q54" s="2">
        <f t="shared" si="7"/>
        <v>53737.272727272728</v>
      </c>
      <c r="R54" s="39">
        <f t="shared" si="0"/>
        <v>54649.971139971138</v>
      </c>
      <c r="U54" s="1"/>
    </row>
    <row r="55" spans="1:21" x14ac:dyDescent="0.3">
      <c r="A55" s="2" t="s">
        <v>96</v>
      </c>
      <c r="B55" s="2"/>
      <c r="C55" s="2"/>
      <c r="D55" s="2"/>
      <c r="E55" s="2"/>
      <c r="F55" s="2"/>
      <c r="G55" s="2"/>
      <c r="H55" s="2">
        <v>38988</v>
      </c>
      <c r="I55" s="2">
        <f t="shared" si="1"/>
        <v>9394.6987951807205</v>
      </c>
      <c r="J55" s="2">
        <v>43767</v>
      </c>
      <c r="K55" s="2">
        <f t="shared" si="2"/>
        <v>10674.878048780487</v>
      </c>
      <c r="L55" s="2"/>
      <c r="M55" s="2"/>
      <c r="N55" s="2"/>
      <c r="O55" s="2"/>
      <c r="P55" s="2"/>
      <c r="Q55" s="2"/>
      <c r="R55" s="39">
        <f t="shared" si="0"/>
        <v>20069.576843961207</v>
      </c>
      <c r="U55" s="1"/>
    </row>
    <row r="56" spans="1:21" x14ac:dyDescent="0.3">
      <c r="A56" s="2" t="s">
        <v>97</v>
      </c>
      <c r="B56" s="2"/>
      <c r="C56" s="2"/>
      <c r="D56" s="2"/>
      <c r="E56" s="2"/>
      <c r="F56" s="2"/>
      <c r="G56" s="2"/>
      <c r="H56" s="2"/>
      <c r="I56" s="2"/>
      <c r="J56" s="2">
        <v>2638</v>
      </c>
      <c r="K56" s="2">
        <f t="shared" si="2"/>
        <v>643.41463414634143</v>
      </c>
      <c r="L56" s="2"/>
      <c r="M56" s="2"/>
      <c r="N56" s="2"/>
      <c r="O56" s="2"/>
      <c r="P56" s="2"/>
      <c r="Q56" s="2"/>
      <c r="R56" s="39">
        <f t="shared" si="0"/>
        <v>643.41463414634143</v>
      </c>
    </row>
    <row r="57" spans="1:21" x14ac:dyDescent="0.3">
      <c r="A57" s="2" t="s">
        <v>98</v>
      </c>
      <c r="B57" s="2"/>
      <c r="C57" s="2"/>
      <c r="D57" s="2">
        <v>9</v>
      </c>
      <c r="E57" s="2">
        <f t="shared" si="4"/>
        <v>2.8571428571428572</v>
      </c>
      <c r="F57" s="2"/>
      <c r="G57" s="2"/>
      <c r="H57" s="2">
        <v>14</v>
      </c>
      <c r="I57" s="2">
        <f t="shared" si="1"/>
        <v>3.3734939759036142</v>
      </c>
      <c r="J57" s="2"/>
      <c r="K57" s="2"/>
      <c r="L57" s="2">
        <v>69</v>
      </c>
      <c r="M57" s="2">
        <f t="shared" si="5"/>
        <v>22.622950819672134</v>
      </c>
      <c r="N57" s="2"/>
      <c r="O57" s="2"/>
      <c r="P57" s="2"/>
      <c r="Q57" s="2"/>
      <c r="R57" s="39">
        <f t="shared" si="0"/>
        <v>28.853587652718605</v>
      </c>
    </row>
    <row r="58" spans="1:21" x14ac:dyDescent="0.3">
      <c r="A58" s="2" t="s">
        <v>99</v>
      </c>
      <c r="B58" s="2"/>
      <c r="C58" s="2"/>
      <c r="D58" s="2"/>
      <c r="E58" s="2"/>
      <c r="F58" s="2"/>
      <c r="G58" s="2"/>
      <c r="H58" s="2">
        <v>731</v>
      </c>
      <c r="I58" s="2">
        <f t="shared" si="1"/>
        <v>176.14457831325299</v>
      </c>
      <c r="J58" s="2"/>
      <c r="K58" s="2"/>
      <c r="L58" s="2"/>
      <c r="M58" s="2"/>
      <c r="N58" s="2"/>
      <c r="O58" s="2"/>
      <c r="P58" s="2"/>
      <c r="Q58" s="2"/>
      <c r="R58" s="39">
        <f t="shared" si="0"/>
        <v>176.14457831325299</v>
      </c>
    </row>
    <row r="59" spans="1:21" x14ac:dyDescent="0.3">
      <c r="A59" s="2" t="s">
        <v>100</v>
      </c>
      <c r="B59" s="2">
        <v>2664</v>
      </c>
      <c r="C59" s="2">
        <f t="shared" si="3"/>
        <v>761.14285714285711</v>
      </c>
      <c r="D59" s="2">
        <v>110500</v>
      </c>
      <c r="E59" s="2">
        <f t="shared" si="4"/>
        <v>35079.365079365081</v>
      </c>
      <c r="F59" s="2">
        <v>148416</v>
      </c>
      <c r="G59" s="2">
        <f t="shared" si="8"/>
        <v>44303.283582089549</v>
      </c>
      <c r="H59" s="2">
        <v>1136087</v>
      </c>
      <c r="I59" s="2">
        <f t="shared" si="1"/>
        <v>273755.90361445781</v>
      </c>
      <c r="J59" s="2">
        <v>1598258</v>
      </c>
      <c r="K59" s="2">
        <f t="shared" si="2"/>
        <v>389819.02439024393</v>
      </c>
      <c r="L59" s="2">
        <v>379651</v>
      </c>
      <c r="M59" s="2">
        <f t="shared" si="5"/>
        <v>124475.73770491804</v>
      </c>
      <c r="N59" s="2">
        <v>1687</v>
      </c>
      <c r="O59" s="2">
        <f t="shared" si="6"/>
        <v>468.61111111111114</v>
      </c>
      <c r="P59" s="2">
        <v>739792</v>
      </c>
      <c r="Q59" s="2">
        <f t="shared" si="7"/>
        <v>224179.39393939395</v>
      </c>
      <c r="R59" s="39">
        <f t="shared" si="0"/>
        <v>1092842.4622787223</v>
      </c>
    </row>
    <row r="60" spans="1:21" x14ac:dyDescent="0.3">
      <c r="A60" s="2" t="s">
        <v>101</v>
      </c>
      <c r="B60" s="2"/>
      <c r="C60" s="2"/>
      <c r="D60" s="2"/>
      <c r="E60" s="2"/>
      <c r="F60" s="2"/>
      <c r="G60" s="2"/>
      <c r="H60" s="2">
        <v>3822</v>
      </c>
      <c r="I60" s="2">
        <f t="shared" si="1"/>
        <v>920.96385542168662</v>
      </c>
      <c r="J60" s="2"/>
      <c r="K60" s="2"/>
      <c r="L60" s="2"/>
      <c r="M60" s="2"/>
      <c r="N60" s="2"/>
      <c r="O60" s="2"/>
      <c r="P60" s="2"/>
      <c r="Q60" s="2"/>
      <c r="R60" s="39">
        <f t="shared" si="0"/>
        <v>920.96385542168662</v>
      </c>
      <c r="T60" s="1"/>
    </row>
    <row r="61" spans="1:21" x14ac:dyDescent="0.3">
      <c r="A61" s="2" t="s">
        <v>102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>
        <v>5303</v>
      </c>
      <c r="M61" s="2">
        <f t="shared" si="5"/>
        <v>1738.688524590164</v>
      </c>
      <c r="N61" s="2"/>
      <c r="O61" s="2"/>
      <c r="P61" s="2"/>
      <c r="Q61" s="2"/>
      <c r="R61" s="39">
        <f t="shared" si="0"/>
        <v>1738.688524590164</v>
      </c>
      <c r="T61" s="1"/>
    </row>
    <row r="62" spans="1:21" x14ac:dyDescent="0.3">
      <c r="A62" s="2" t="s">
        <v>103</v>
      </c>
      <c r="B62" s="2">
        <v>1717</v>
      </c>
      <c r="C62" s="2">
        <f t="shared" si="3"/>
        <v>490.57142857142856</v>
      </c>
      <c r="D62" s="2"/>
      <c r="E62" s="2"/>
      <c r="F62" s="2"/>
      <c r="G62" s="2"/>
      <c r="H62" s="2">
        <v>106289</v>
      </c>
      <c r="I62" s="2">
        <f t="shared" si="1"/>
        <v>25611.807228915663</v>
      </c>
      <c r="J62" s="2">
        <v>7410</v>
      </c>
      <c r="K62" s="2">
        <f t="shared" si="2"/>
        <v>1807.3170731707319</v>
      </c>
      <c r="L62" s="2">
        <v>1600</v>
      </c>
      <c r="M62" s="2">
        <f t="shared" si="5"/>
        <v>524.5901639344263</v>
      </c>
      <c r="N62" s="2"/>
      <c r="O62" s="2"/>
      <c r="P62" s="2"/>
      <c r="Q62" s="2"/>
      <c r="R62" s="39">
        <f t="shared" si="0"/>
        <v>28434.285894592249</v>
      </c>
      <c r="T62" s="1"/>
    </row>
    <row r="63" spans="1:21" x14ac:dyDescent="0.3">
      <c r="A63" s="2" t="s">
        <v>104</v>
      </c>
      <c r="B63" s="2"/>
      <c r="C63" s="2"/>
      <c r="D63" s="2">
        <v>31455</v>
      </c>
      <c r="E63" s="2">
        <f t="shared" si="4"/>
        <v>9985.7142857142862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>
        <v>13445</v>
      </c>
      <c r="Q63" s="2">
        <f t="shared" si="7"/>
        <v>4074.2424242424245</v>
      </c>
      <c r="R63" s="39">
        <f t="shared" si="0"/>
        <v>14059.95670995671</v>
      </c>
    </row>
    <row r="64" spans="1:21" x14ac:dyDescent="0.3">
      <c r="A64" s="2" t="s">
        <v>105</v>
      </c>
      <c r="B64" s="2"/>
      <c r="C64" s="2"/>
      <c r="D64" s="2">
        <v>775423</v>
      </c>
      <c r="E64" s="2">
        <f t="shared" si="4"/>
        <v>246166.03174603177</v>
      </c>
      <c r="F64" s="2">
        <v>7650</v>
      </c>
      <c r="G64" s="2">
        <f t="shared" si="8"/>
        <v>2283.5820895522384</v>
      </c>
      <c r="H64" s="2">
        <v>658965</v>
      </c>
      <c r="I64" s="2">
        <f t="shared" si="1"/>
        <v>158786.74698795177</v>
      </c>
      <c r="J64" s="2">
        <v>3404</v>
      </c>
      <c r="K64" s="2">
        <f t="shared" si="2"/>
        <v>830.2439024390244</v>
      </c>
      <c r="L64" s="2">
        <v>206433</v>
      </c>
      <c r="M64" s="2">
        <f t="shared" si="5"/>
        <v>67682.950819672144</v>
      </c>
      <c r="N64" s="2">
        <v>8144</v>
      </c>
      <c r="O64" s="2">
        <f t="shared" si="6"/>
        <v>2262.2222222222222</v>
      </c>
      <c r="P64" s="2">
        <v>18086</v>
      </c>
      <c r="Q64" s="2">
        <f t="shared" si="7"/>
        <v>5480.606060606061</v>
      </c>
      <c r="R64" s="39">
        <f t="shared" si="0"/>
        <v>483492.38382847531</v>
      </c>
    </row>
    <row r="65" spans="1:18" x14ac:dyDescent="0.3">
      <c r="A65" s="2" t="s">
        <v>106</v>
      </c>
      <c r="B65" s="2"/>
      <c r="C65" s="2"/>
      <c r="D65" s="2"/>
      <c r="E65" s="2"/>
      <c r="F65" s="2"/>
      <c r="G65" s="2"/>
      <c r="H65" s="2">
        <v>3558</v>
      </c>
      <c r="I65" s="2">
        <f t="shared" si="1"/>
        <v>857.34939759036138</v>
      </c>
      <c r="J65" s="2"/>
      <c r="K65" s="2"/>
      <c r="L65" s="2"/>
      <c r="M65" s="2"/>
      <c r="N65" s="2"/>
      <c r="O65" s="2"/>
      <c r="P65" s="2">
        <v>1383</v>
      </c>
      <c r="Q65" s="2">
        <f t="shared" si="7"/>
        <v>419.09090909090912</v>
      </c>
      <c r="R65" s="39">
        <f t="shared" si="0"/>
        <v>1276.4403066812706</v>
      </c>
    </row>
    <row r="66" spans="1:18" x14ac:dyDescent="0.3">
      <c r="A66" s="2" t="s">
        <v>107</v>
      </c>
      <c r="B66" s="2">
        <v>1827684</v>
      </c>
      <c r="C66" s="2">
        <f t="shared" si="3"/>
        <v>522195.42857142858</v>
      </c>
      <c r="D66" s="2">
        <v>720135</v>
      </c>
      <c r="E66" s="2">
        <f t="shared" si="4"/>
        <v>228614.28571428574</v>
      </c>
      <c r="F66" s="2">
        <v>226361</v>
      </c>
      <c r="G66" s="2">
        <f t="shared" si="8"/>
        <v>67570.447761194038</v>
      </c>
      <c r="H66" s="2">
        <v>908186</v>
      </c>
      <c r="I66" s="2">
        <f t="shared" si="1"/>
        <v>218839.99999999997</v>
      </c>
      <c r="J66" s="2">
        <v>112105</v>
      </c>
      <c r="K66" s="2">
        <f t="shared" si="2"/>
        <v>27342.682926829271</v>
      </c>
      <c r="L66" s="2">
        <v>631568</v>
      </c>
      <c r="M66" s="2">
        <f t="shared" si="5"/>
        <v>207071.47540983607</v>
      </c>
      <c r="N66" s="2">
        <v>36272</v>
      </c>
      <c r="O66" s="2">
        <f t="shared" si="6"/>
        <v>10075.555555555557</v>
      </c>
      <c r="P66" s="2">
        <v>27352</v>
      </c>
      <c r="Q66" s="2">
        <f t="shared" si="7"/>
        <v>8288.484848484848</v>
      </c>
      <c r="R66" s="39">
        <f t="shared" si="0"/>
        <v>1289998.360787614</v>
      </c>
    </row>
    <row r="67" spans="1:18" x14ac:dyDescent="0.3">
      <c r="A67" s="2" t="s">
        <v>108</v>
      </c>
      <c r="B67" s="2"/>
      <c r="C67" s="2"/>
      <c r="D67" s="2"/>
      <c r="E67" s="2"/>
      <c r="F67" s="2"/>
      <c r="G67" s="2"/>
      <c r="H67" s="2">
        <v>5751</v>
      </c>
      <c r="I67" s="2">
        <f t="shared" si="1"/>
        <v>1385.7831325301204</v>
      </c>
      <c r="J67" s="2"/>
      <c r="K67" s="2"/>
      <c r="L67" s="2"/>
      <c r="M67" s="2"/>
      <c r="N67" s="2"/>
      <c r="O67" s="2"/>
      <c r="P67" s="2">
        <v>9</v>
      </c>
      <c r="Q67" s="2">
        <f t="shared" si="7"/>
        <v>2.7272727272727275</v>
      </c>
      <c r="R67" s="39">
        <f t="shared" si="0"/>
        <v>1388.5104052573931</v>
      </c>
    </row>
    <row r="68" spans="1:18" x14ac:dyDescent="0.3">
      <c r="A68" s="2" t="s">
        <v>109</v>
      </c>
      <c r="B68" s="2"/>
      <c r="C68" s="2"/>
      <c r="D68" s="2">
        <v>208</v>
      </c>
      <c r="E68" s="2">
        <f t="shared" si="4"/>
        <v>66.031746031746039</v>
      </c>
      <c r="F68" s="2"/>
      <c r="G68" s="2"/>
      <c r="H68" s="2"/>
      <c r="I68" s="2"/>
      <c r="J68" s="2">
        <v>29</v>
      </c>
      <c r="K68" s="2">
        <f t="shared" si="2"/>
        <v>7.073170731707318</v>
      </c>
      <c r="L68" s="2"/>
      <c r="M68" s="2"/>
      <c r="N68" s="2"/>
      <c r="O68" s="2"/>
      <c r="P68" s="2">
        <v>5</v>
      </c>
      <c r="Q68" s="2">
        <f t="shared" si="7"/>
        <v>1.5151515151515151</v>
      </c>
      <c r="R68" s="39">
        <f t="shared" si="0"/>
        <v>74.620068278604876</v>
      </c>
    </row>
    <row r="69" spans="1:18" x14ac:dyDescent="0.3">
      <c r="A69" s="2" t="s">
        <v>110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>
        <v>562525</v>
      </c>
      <c r="Q69" s="2">
        <f t="shared" ref="Q69:Q132" si="11">P69*2000/6.6/1000</f>
        <v>170462.12121212122</v>
      </c>
      <c r="R69" s="39">
        <f t="shared" ref="R69:R132" si="12">C69+E69+G69+I69+K69+M69+O69+Q69</f>
        <v>170462.12121212122</v>
      </c>
    </row>
    <row r="70" spans="1:18" x14ac:dyDescent="0.3">
      <c r="A70" s="2" t="s">
        <v>111</v>
      </c>
      <c r="B70" s="2"/>
      <c r="C70" s="2"/>
      <c r="D70" s="2">
        <v>976</v>
      </c>
      <c r="E70" s="2">
        <f t="shared" ref="E70:E132" si="13">D70*2000/6.3/1000</f>
        <v>309.84126984126982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>
        <v>194</v>
      </c>
      <c r="Q70" s="2">
        <f t="shared" si="11"/>
        <v>58.787878787878789</v>
      </c>
      <c r="R70" s="39">
        <f t="shared" si="12"/>
        <v>368.62914862914863</v>
      </c>
    </row>
    <row r="71" spans="1:18" x14ac:dyDescent="0.3">
      <c r="A71" s="2" t="s">
        <v>112</v>
      </c>
      <c r="B71" s="2"/>
      <c r="C71" s="2"/>
      <c r="D71" s="2"/>
      <c r="E71" s="2"/>
      <c r="F71" s="2"/>
      <c r="G71" s="2"/>
      <c r="H71" s="2">
        <v>224</v>
      </c>
      <c r="I71" s="2">
        <f t="shared" ref="I71:I133" si="14">H71*2000/8.3/1000</f>
        <v>53.975903614457827</v>
      </c>
      <c r="J71" s="2"/>
      <c r="K71" s="2"/>
      <c r="L71" s="2"/>
      <c r="M71" s="2"/>
      <c r="N71" s="2"/>
      <c r="O71" s="2"/>
      <c r="P71" s="2">
        <v>5301</v>
      </c>
      <c r="Q71" s="2">
        <f t="shared" si="11"/>
        <v>1606.3636363636365</v>
      </c>
      <c r="R71" s="39">
        <f t="shared" si="12"/>
        <v>1660.3395399780943</v>
      </c>
    </row>
    <row r="72" spans="1:18" x14ac:dyDescent="0.3">
      <c r="A72" s="2" t="s">
        <v>113</v>
      </c>
      <c r="B72" s="2"/>
      <c r="C72" s="2"/>
      <c r="D72" s="2">
        <v>112477</v>
      </c>
      <c r="E72" s="2">
        <f t="shared" si="13"/>
        <v>35706.984126984127</v>
      </c>
      <c r="F72" s="2">
        <v>382035</v>
      </c>
      <c r="G72" s="2">
        <f t="shared" si="8"/>
        <v>114040.29850746268</v>
      </c>
      <c r="H72" s="2">
        <v>67784</v>
      </c>
      <c r="I72" s="2">
        <f t="shared" si="14"/>
        <v>16333.493975903613</v>
      </c>
      <c r="J72" s="2"/>
      <c r="K72" s="2"/>
      <c r="L72" s="2">
        <v>155240</v>
      </c>
      <c r="M72" s="2">
        <f t="shared" si="5"/>
        <v>50898.360655737706</v>
      </c>
      <c r="N72" s="2"/>
      <c r="O72" s="2"/>
      <c r="P72" s="2">
        <v>61411</v>
      </c>
      <c r="Q72" s="2">
        <f t="shared" si="11"/>
        <v>18609.39393939394</v>
      </c>
      <c r="R72" s="39">
        <f t="shared" si="12"/>
        <v>235588.53120548205</v>
      </c>
    </row>
    <row r="73" spans="1:18" x14ac:dyDescent="0.3">
      <c r="A73" s="2" t="s">
        <v>114</v>
      </c>
      <c r="B73" s="2">
        <v>43628948</v>
      </c>
      <c r="C73" s="2">
        <f t="shared" ref="C73:C126" si="15">B73*2000/7/1000</f>
        <v>12465413.714285715</v>
      </c>
      <c r="D73" s="2">
        <v>18773694</v>
      </c>
      <c r="E73" s="2">
        <f t="shared" si="13"/>
        <v>5959902.8571428573</v>
      </c>
      <c r="F73" s="2">
        <v>1660686</v>
      </c>
      <c r="G73" s="2">
        <f t="shared" si="8"/>
        <v>495727.16417910444</v>
      </c>
      <c r="H73" s="2">
        <v>20071112</v>
      </c>
      <c r="I73" s="2">
        <f t="shared" si="14"/>
        <v>4836412.5301204817</v>
      </c>
      <c r="J73" s="2">
        <v>3699601</v>
      </c>
      <c r="K73" s="2">
        <f t="shared" ref="K73:K133" si="16">J73*2000/8.2/1000</f>
        <v>902341.70731707325</v>
      </c>
      <c r="L73" s="2">
        <v>7462792</v>
      </c>
      <c r="M73" s="2">
        <f t="shared" si="5"/>
        <v>2446817.0491803279</v>
      </c>
      <c r="N73" s="2">
        <v>744314</v>
      </c>
      <c r="O73" s="2">
        <f t="shared" ref="O73:O134" si="17">N73*2000/7.2/1000</f>
        <v>206753.88888888891</v>
      </c>
      <c r="P73" s="2">
        <v>2782988</v>
      </c>
      <c r="Q73" s="2">
        <f t="shared" si="11"/>
        <v>843329.69696969702</v>
      </c>
      <c r="R73" s="39">
        <f t="shared" si="12"/>
        <v>28156698.608084142</v>
      </c>
    </row>
    <row r="74" spans="1:18" x14ac:dyDescent="0.3">
      <c r="A74" s="2" t="s">
        <v>115</v>
      </c>
      <c r="B74" s="2">
        <v>32910621</v>
      </c>
      <c r="C74" s="2">
        <f t="shared" si="15"/>
        <v>9403034.5714285709</v>
      </c>
      <c r="D74" s="2">
        <v>17998265</v>
      </c>
      <c r="E74" s="2">
        <f t="shared" si="13"/>
        <v>5713734.9206349207</v>
      </c>
      <c r="F74" s="2">
        <v>1653021</v>
      </c>
      <c r="G74" s="2">
        <f t="shared" si="8"/>
        <v>493439.10447761189</v>
      </c>
      <c r="H74" s="2">
        <v>19135722</v>
      </c>
      <c r="I74" s="2">
        <f t="shared" si="14"/>
        <v>4611017.3493975895</v>
      </c>
      <c r="J74" s="2">
        <v>4771097</v>
      </c>
      <c r="K74" s="2">
        <f t="shared" si="16"/>
        <v>1163682.1951219514</v>
      </c>
      <c r="L74" s="2">
        <v>7209269</v>
      </c>
      <c r="M74" s="2">
        <f t="shared" ref="M74:M137" si="18">L74*2000/6.1/1000</f>
        <v>2363694.7540983609</v>
      </c>
      <c r="N74" s="2">
        <v>716971</v>
      </c>
      <c r="O74" s="2">
        <f t="shared" si="17"/>
        <v>199158.61111111109</v>
      </c>
      <c r="P74" s="2">
        <v>1656746</v>
      </c>
      <c r="Q74" s="2">
        <f t="shared" si="11"/>
        <v>502044.24242424243</v>
      </c>
      <c r="R74" s="39">
        <f t="shared" si="12"/>
        <v>24449805.74869436</v>
      </c>
    </row>
    <row r="75" spans="1:18" x14ac:dyDescent="0.3">
      <c r="A75" s="2" t="s">
        <v>116</v>
      </c>
      <c r="B75" s="2">
        <v>176766</v>
      </c>
      <c r="C75" s="2">
        <f t="shared" si="15"/>
        <v>50504.571428571428</v>
      </c>
      <c r="D75" s="2">
        <v>3674025</v>
      </c>
      <c r="E75" s="2">
        <f t="shared" si="13"/>
        <v>1166357.142857143</v>
      </c>
      <c r="F75" s="2">
        <v>1194396</v>
      </c>
      <c r="G75" s="2">
        <f t="shared" ref="G75:G132" si="19">F75*2000/6.7/1000</f>
        <v>356536.11940298503</v>
      </c>
      <c r="H75" s="2">
        <v>1897175</v>
      </c>
      <c r="I75" s="2">
        <f t="shared" si="14"/>
        <v>457150.60240963852</v>
      </c>
      <c r="J75" s="2">
        <v>116830</v>
      </c>
      <c r="K75" s="2">
        <f t="shared" si="16"/>
        <v>28495.121951219513</v>
      </c>
      <c r="L75" s="2">
        <v>13590</v>
      </c>
      <c r="M75" s="2">
        <f t="shared" si="18"/>
        <v>4455.7377049180332</v>
      </c>
      <c r="N75" s="2">
        <v>34966</v>
      </c>
      <c r="O75" s="2">
        <f t="shared" si="17"/>
        <v>9712.7777777777774</v>
      </c>
      <c r="P75" s="2">
        <v>42383</v>
      </c>
      <c r="Q75" s="2">
        <f t="shared" si="11"/>
        <v>12843.333333333334</v>
      </c>
      <c r="R75" s="39">
        <f t="shared" si="12"/>
        <v>2086055.4068655865</v>
      </c>
    </row>
    <row r="76" spans="1:18" x14ac:dyDescent="0.3">
      <c r="A76" s="2" t="s">
        <v>117</v>
      </c>
      <c r="B76" s="2"/>
      <c r="C76" s="2"/>
      <c r="D76" s="2">
        <v>34</v>
      </c>
      <c r="E76" s="2">
        <f t="shared" si="13"/>
        <v>10.793650793650793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39">
        <f t="shared" si="12"/>
        <v>10.793650793650793</v>
      </c>
    </row>
    <row r="77" spans="1:18" x14ac:dyDescent="0.3">
      <c r="A77" s="2" t="s">
        <v>118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>
        <v>105257</v>
      </c>
      <c r="Q77" s="2">
        <f t="shared" si="11"/>
        <v>31896.060606060608</v>
      </c>
      <c r="R77" s="39">
        <f t="shared" si="12"/>
        <v>31896.060606060608</v>
      </c>
    </row>
    <row r="78" spans="1:18" x14ac:dyDescent="0.3">
      <c r="A78" s="2" t="s">
        <v>119</v>
      </c>
      <c r="B78" s="2">
        <v>5693</v>
      </c>
      <c r="C78" s="2">
        <f t="shared" si="15"/>
        <v>1626.5714285714287</v>
      </c>
      <c r="D78" s="2">
        <v>32975</v>
      </c>
      <c r="E78" s="2">
        <f t="shared" si="13"/>
        <v>10468.253968253968</v>
      </c>
      <c r="F78" s="2"/>
      <c r="G78" s="2"/>
      <c r="H78" s="2">
        <v>885529</v>
      </c>
      <c r="I78" s="2">
        <f t="shared" si="14"/>
        <v>213380.48192771082</v>
      </c>
      <c r="J78" s="2">
        <v>442843</v>
      </c>
      <c r="K78" s="2">
        <f t="shared" si="16"/>
        <v>108010.48780487805</v>
      </c>
      <c r="L78" s="2">
        <v>73843</v>
      </c>
      <c r="M78" s="2">
        <f t="shared" si="18"/>
        <v>24210.819672131147</v>
      </c>
      <c r="N78" s="2"/>
      <c r="O78" s="2"/>
      <c r="P78" s="2">
        <v>862247</v>
      </c>
      <c r="Q78" s="2">
        <f t="shared" si="11"/>
        <v>261286.96969696973</v>
      </c>
      <c r="R78" s="39">
        <f t="shared" si="12"/>
        <v>618983.58449851512</v>
      </c>
    </row>
    <row r="79" spans="1:18" x14ac:dyDescent="0.3">
      <c r="A79" s="2" t="s">
        <v>120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>
        <v>299722</v>
      </c>
      <c r="Q79" s="2">
        <f t="shared" si="11"/>
        <v>90824.84848484848</v>
      </c>
      <c r="R79" s="39">
        <f t="shared" si="12"/>
        <v>90824.84848484848</v>
      </c>
    </row>
    <row r="80" spans="1:18" x14ac:dyDescent="0.3">
      <c r="A80" s="2" t="s">
        <v>121</v>
      </c>
      <c r="B80" s="2"/>
      <c r="C80" s="2"/>
      <c r="D80" s="2"/>
      <c r="E80" s="2"/>
      <c r="F80" s="2"/>
      <c r="G80" s="2"/>
      <c r="H80" s="2">
        <v>1429</v>
      </c>
      <c r="I80" s="2">
        <f t="shared" si="14"/>
        <v>344.33734939759034</v>
      </c>
      <c r="J80" s="2"/>
      <c r="K80" s="2"/>
      <c r="L80" s="2"/>
      <c r="M80" s="2"/>
      <c r="N80" s="2"/>
      <c r="O80" s="2"/>
      <c r="P80" s="2">
        <v>862247</v>
      </c>
      <c r="Q80" s="2">
        <f t="shared" si="11"/>
        <v>261286.96969696973</v>
      </c>
      <c r="R80" s="39">
        <f t="shared" si="12"/>
        <v>261631.30704636732</v>
      </c>
    </row>
    <row r="81" spans="1:18" x14ac:dyDescent="0.3">
      <c r="A81" s="2" t="s">
        <v>122</v>
      </c>
      <c r="B81" s="2">
        <v>5693</v>
      </c>
      <c r="C81" s="2">
        <f t="shared" si="15"/>
        <v>1626.5714285714287</v>
      </c>
      <c r="D81" s="2"/>
      <c r="E81" s="2"/>
      <c r="F81" s="2"/>
      <c r="G81" s="2"/>
      <c r="H81" s="2">
        <v>1070293</v>
      </c>
      <c r="I81" s="2">
        <f t="shared" si="14"/>
        <v>257901.92771084336</v>
      </c>
      <c r="J81" s="2">
        <v>460903</v>
      </c>
      <c r="K81" s="2">
        <f t="shared" si="16"/>
        <v>112415.36585365854</v>
      </c>
      <c r="L81" s="2">
        <v>7626</v>
      </c>
      <c r="M81" s="2">
        <f t="shared" si="18"/>
        <v>2500.3278688524592</v>
      </c>
      <c r="N81" s="2">
        <v>29730</v>
      </c>
      <c r="O81" s="2">
        <f t="shared" si="17"/>
        <v>8258.3333333333321</v>
      </c>
      <c r="P81" s="2">
        <v>884072</v>
      </c>
      <c r="Q81" s="2">
        <f t="shared" si="11"/>
        <v>267900.60606060608</v>
      </c>
      <c r="R81" s="39">
        <f t="shared" si="12"/>
        <v>650603.13225586526</v>
      </c>
    </row>
    <row r="82" spans="1:18" x14ac:dyDescent="0.3">
      <c r="A82" s="2" t="s">
        <v>123</v>
      </c>
      <c r="B82" s="2"/>
      <c r="C82" s="2"/>
      <c r="D82" s="2">
        <v>5822</v>
      </c>
      <c r="E82" s="2">
        <f t="shared" si="13"/>
        <v>1848.2539682539682</v>
      </c>
      <c r="F82" s="2"/>
      <c r="G82" s="2"/>
      <c r="H82" s="2">
        <v>130124</v>
      </c>
      <c r="I82" s="2">
        <f t="shared" si="14"/>
        <v>31355.180722891564</v>
      </c>
      <c r="J82" s="2">
        <v>53</v>
      </c>
      <c r="K82" s="2">
        <f t="shared" si="16"/>
        <v>12.926829268292684</v>
      </c>
      <c r="L82" s="2">
        <v>7750</v>
      </c>
      <c r="M82" s="2">
        <f t="shared" si="18"/>
        <v>2540.9836065573772</v>
      </c>
      <c r="N82" s="2"/>
      <c r="O82" s="2"/>
      <c r="P82" s="2"/>
      <c r="Q82" s="2"/>
      <c r="R82" s="39">
        <f t="shared" si="12"/>
        <v>35757.345126971202</v>
      </c>
    </row>
    <row r="83" spans="1:18" x14ac:dyDescent="0.3">
      <c r="A83" s="2" t="s">
        <v>124</v>
      </c>
      <c r="B83" s="2">
        <v>1284</v>
      </c>
      <c r="C83" s="2">
        <f t="shared" si="15"/>
        <v>366.85714285714283</v>
      </c>
      <c r="D83" s="2"/>
      <c r="E83" s="2"/>
      <c r="F83" s="2"/>
      <c r="G83" s="2"/>
      <c r="H83" s="2"/>
      <c r="I83" s="2"/>
      <c r="J83" s="2">
        <v>1189</v>
      </c>
      <c r="K83" s="2">
        <f t="shared" si="16"/>
        <v>290</v>
      </c>
      <c r="L83" s="2"/>
      <c r="M83" s="2"/>
      <c r="N83" s="2"/>
      <c r="O83" s="2"/>
      <c r="P83" s="2"/>
      <c r="Q83" s="2"/>
      <c r="R83" s="39">
        <f t="shared" si="12"/>
        <v>656.85714285714289</v>
      </c>
    </row>
    <row r="84" spans="1:18" x14ac:dyDescent="0.3">
      <c r="A84" s="2" t="s">
        <v>125</v>
      </c>
      <c r="B84" s="2"/>
      <c r="C84" s="2"/>
      <c r="D84" s="2"/>
      <c r="E84" s="2"/>
      <c r="F84" s="2"/>
      <c r="G84" s="2"/>
      <c r="H84" s="2">
        <v>102312</v>
      </c>
      <c r="I84" s="2">
        <f t="shared" si="14"/>
        <v>24653.493975903613</v>
      </c>
      <c r="J84" s="2"/>
      <c r="K84" s="2"/>
      <c r="L84" s="2"/>
      <c r="M84" s="2"/>
      <c r="N84" s="2"/>
      <c r="O84" s="2"/>
      <c r="P84" s="2"/>
      <c r="Q84" s="2"/>
      <c r="R84" s="39">
        <f t="shared" si="12"/>
        <v>24653.493975903613</v>
      </c>
    </row>
    <row r="85" spans="1:18" x14ac:dyDescent="0.3">
      <c r="A85" s="2" t="s">
        <v>126</v>
      </c>
      <c r="B85" s="2"/>
      <c r="C85" s="2"/>
      <c r="D85" s="2">
        <v>9822</v>
      </c>
      <c r="E85" s="2">
        <f t="shared" si="13"/>
        <v>3118.0952380952385</v>
      </c>
      <c r="F85" s="2">
        <v>34543</v>
      </c>
      <c r="G85" s="2">
        <f t="shared" si="19"/>
        <v>10311.343283582089</v>
      </c>
      <c r="H85" s="2">
        <v>6143</v>
      </c>
      <c r="I85" s="2">
        <f t="shared" si="14"/>
        <v>1480.2409638554216</v>
      </c>
      <c r="J85" s="2"/>
      <c r="K85" s="2"/>
      <c r="L85" s="2">
        <v>55</v>
      </c>
      <c r="M85" s="2">
        <f t="shared" si="18"/>
        <v>18.032786885245905</v>
      </c>
      <c r="N85" s="2">
        <v>23</v>
      </c>
      <c r="O85" s="2">
        <f t="shared" si="17"/>
        <v>6.3888888888888884</v>
      </c>
      <c r="P85" s="2">
        <v>1515</v>
      </c>
      <c r="Q85" s="2">
        <f t="shared" si="11"/>
        <v>459.09090909090912</v>
      </c>
      <c r="R85" s="39">
        <f t="shared" si="12"/>
        <v>15393.192070397794</v>
      </c>
    </row>
    <row r="86" spans="1:18" x14ac:dyDescent="0.3">
      <c r="A86" s="2" t="s">
        <v>127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>
        <v>3868</v>
      </c>
      <c r="Q86" s="2">
        <f t="shared" si="11"/>
        <v>1172.1212121212122</v>
      </c>
      <c r="R86" s="39">
        <f t="shared" si="12"/>
        <v>1172.1212121212122</v>
      </c>
    </row>
    <row r="87" spans="1:18" x14ac:dyDescent="0.3">
      <c r="A87" s="2" t="s">
        <v>128</v>
      </c>
      <c r="B87" s="2"/>
      <c r="C87" s="2"/>
      <c r="D87" s="2"/>
      <c r="E87" s="2"/>
      <c r="F87" s="2"/>
      <c r="G87" s="2"/>
      <c r="H87" s="2">
        <v>121315</v>
      </c>
      <c r="I87" s="2">
        <f t="shared" si="14"/>
        <v>29232.530120481926</v>
      </c>
      <c r="J87" s="2"/>
      <c r="K87" s="2"/>
      <c r="L87" s="2"/>
      <c r="M87" s="2"/>
      <c r="N87" s="2"/>
      <c r="O87" s="2"/>
      <c r="P87" s="2"/>
      <c r="Q87" s="2"/>
      <c r="R87" s="39">
        <f t="shared" si="12"/>
        <v>29232.530120481926</v>
      </c>
    </row>
    <row r="88" spans="1:18" x14ac:dyDescent="0.3">
      <c r="A88" s="2" t="s">
        <v>129</v>
      </c>
      <c r="B88" s="2"/>
      <c r="C88" s="2"/>
      <c r="D88" s="2"/>
      <c r="E88" s="2"/>
      <c r="F88" s="2"/>
      <c r="G88" s="2"/>
      <c r="H88" s="2">
        <v>18</v>
      </c>
      <c r="I88" s="2">
        <f t="shared" si="14"/>
        <v>4.3373493975903612</v>
      </c>
      <c r="J88" s="2"/>
      <c r="K88" s="2"/>
      <c r="L88" s="2"/>
      <c r="M88" s="2"/>
      <c r="N88" s="2"/>
      <c r="O88" s="2"/>
      <c r="P88" s="2"/>
      <c r="Q88" s="2"/>
      <c r="R88" s="39">
        <f t="shared" si="12"/>
        <v>4.3373493975903612</v>
      </c>
    </row>
    <row r="89" spans="1:18" x14ac:dyDescent="0.3">
      <c r="A89" s="2" t="s">
        <v>130</v>
      </c>
      <c r="B89" s="2">
        <v>5693</v>
      </c>
      <c r="C89" s="2">
        <f t="shared" si="15"/>
        <v>1626.5714285714287</v>
      </c>
      <c r="D89" s="2">
        <v>32975</v>
      </c>
      <c r="E89" s="2">
        <f t="shared" si="13"/>
        <v>10468.253968253968</v>
      </c>
      <c r="F89" s="2"/>
      <c r="G89" s="2"/>
      <c r="H89" s="2">
        <v>1050203</v>
      </c>
      <c r="I89" s="2">
        <f t="shared" si="14"/>
        <v>253060.96385542167</v>
      </c>
      <c r="J89" s="2">
        <v>457700</v>
      </c>
      <c r="K89" s="2">
        <f t="shared" si="16"/>
        <v>111634.14634146343</v>
      </c>
      <c r="L89" s="2">
        <v>81469</v>
      </c>
      <c r="M89" s="2">
        <f t="shared" si="18"/>
        <v>26711.147540983609</v>
      </c>
      <c r="N89" s="2">
        <v>29730</v>
      </c>
      <c r="O89" s="2">
        <f t="shared" si="17"/>
        <v>8258.3333333333321</v>
      </c>
      <c r="P89" s="2">
        <v>8995</v>
      </c>
      <c r="Q89" s="2">
        <f t="shared" si="11"/>
        <v>2725.7575757575755</v>
      </c>
      <c r="R89" s="39">
        <f t="shared" si="12"/>
        <v>414485.17404378502</v>
      </c>
    </row>
    <row r="90" spans="1:18" x14ac:dyDescent="0.3">
      <c r="A90" s="2" t="s">
        <v>131</v>
      </c>
      <c r="B90" s="2"/>
      <c r="C90" s="2"/>
      <c r="D90" s="2">
        <v>1257</v>
      </c>
      <c r="E90" s="2">
        <f t="shared" si="13"/>
        <v>399.04761904761904</v>
      </c>
      <c r="F90" s="2"/>
      <c r="G90" s="2"/>
      <c r="H90" s="2"/>
      <c r="I90" s="2"/>
      <c r="J90" s="2">
        <v>237</v>
      </c>
      <c r="K90" s="2">
        <f t="shared" si="16"/>
        <v>57.804878048780488</v>
      </c>
      <c r="L90" s="2"/>
      <c r="M90" s="2"/>
      <c r="N90" s="2"/>
      <c r="O90" s="2"/>
      <c r="P90" s="2">
        <v>28</v>
      </c>
      <c r="Q90" s="2">
        <f t="shared" si="11"/>
        <v>8.4848484848484862</v>
      </c>
      <c r="R90" s="39">
        <f t="shared" si="12"/>
        <v>465.33734558124803</v>
      </c>
    </row>
    <row r="91" spans="1:18" x14ac:dyDescent="0.3">
      <c r="A91" s="2" t="s">
        <v>132</v>
      </c>
      <c r="B91" s="2"/>
      <c r="C91" s="2"/>
      <c r="D91" s="2">
        <v>1037</v>
      </c>
      <c r="E91" s="2">
        <f t="shared" si="13"/>
        <v>329.20634920634922</v>
      </c>
      <c r="F91" s="2"/>
      <c r="G91" s="2"/>
      <c r="H91" s="2"/>
      <c r="I91" s="2"/>
      <c r="J91" s="2">
        <v>244</v>
      </c>
      <c r="K91" s="2">
        <f t="shared" si="16"/>
        <v>59.51219512195123</v>
      </c>
      <c r="L91" s="2"/>
      <c r="M91" s="2"/>
      <c r="N91" s="2"/>
      <c r="O91" s="2"/>
      <c r="P91" s="2">
        <v>35</v>
      </c>
      <c r="Q91" s="2">
        <f t="shared" si="11"/>
        <v>10.606060606060606</v>
      </c>
      <c r="R91" s="39">
        <f t="shared" si="12"/>
        <v>399.32460493436105</v>
      </c>
    </row>
    <row r="92" spans="1:18" x14ac:dyDescent="0.3">
      <c r="A92" s="2" t="s">
        <v>133</v>
      </c>
      <c r="B92" s="2"/>
      <c r="C92" s="2"/>
      <c r="D92" s="2">
        <v>260</v>
      </c>
      <c r="E92" s="2">
        <f t="shared" si="13"/>
        <v>82.539682539682545</v>
      </c>
      <c r="F92" s="2"/>
      <c r="G92" s="2"/>
      <c r="H92" s="2"/>
      <c r="I92" s="2"/>
      <c r="J92" s="2">
        <v>2</v>
      </c>
      <c r="K92" s="2">
        <f t="shared" si="16"/>
        <v>0.48780487804878053</v>
      </c>
      <c r="L92" s="2"/>
      <c r="M92" s="2"/>
      <c r="N92" s="2"/>
      <c r="O92" s="2"/>
      <c r="P92" s="2"/>
      <c r="Q92" s="2"/>
      <c r="R92" s="39">
        <f t="shared" si="12"/>
        <v>83.027487417731322</v>
      </c>
    </row>
    <row r="93" spans="1:18" x14ac:dyDescent="0.3">
      <c r="A93" s="2" t="s">
        <v>134</v>
      </c>
      <c r="B93" s="2">
        <v>22348</v>
      </c>
      <c r="C93" s="2">
        <f t="shared" si="15"/>
        <v>6385.1428571428569</v>
      </c>
      <c r="D93" s="2">
        <v>421303</v>
      </c>
      <c r="E93" s="2">
        <f t="shared" si="13"/>
        <v>133746.98412698414</v>
      </c>
      <c r="F93" s="2">
        <v>354127</v>
      </c>
      <c r="G93" s="2">
        <f t="shared" si="19"/>
        <v>105709.55223880596</v>
      </c>
      <c r="H93" s="2">
        <v>580699</v>
      </c>
      <c r="I93" s="2">
        <f t="shared" si="14"/>
        <v>139927.46987951806</v>
      </c>
      <c r="J93" s="2">
        <v>293649</v>
      </c>
      <c r="K93" s="2">
        <f t="shared" si="16"/>
        <v>71621.707317073175</v>
      </c>
      <c r="L93" s="2">
        <v>27651</v>
      </c>
      <c r="M93" s="2">
        <f t="shared" si="18"/>
        <v>9065.9016393442616</v>
      </c>
      <c r="N93" s="2"/>
      <c r="O93" s="2"/>
      <c r="P93" s="2">
        <v>16538</v>
      </c>
      <c r="Q93" s="2">
        <f t="shared" si="11"/>
        <v>5011.515151515151</v>
      </c>
      <c r="R93" s="39">
        <f t="shared" si="12"/>
        <v>471468.27321038366</v>
      </c>
    </row>
    <row r="94" spans="1:18" x14ac:dyDescent="0.3">
      <c r="A94" s="2" t="s">
        <v>135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>
        <v>42383</v>
      </c>
      <c r="Q94" s="2">
        <f t="shared" si="11"/>
        <v>12843.333333333334</v>
      </c>
      <c r="R94" s="39">
        <f t="shared" si="12"/>
        <v>12843.333333333334</v>
      </c>
    </row>
    <row r="95" spans="1:18" x14ac:dyDescent="0.3">
      <c r="A95" s="2" t="s">
        <v>136</v>
      </c>
      <c r="B95" s="2"/>
      <c r="C95" s="2"/>
      <c r="D95" s="2">
        <v>6263</v>
      </c>
      <c r="E95" s="2">
        <f t="shared" si="13"/>
        <v>1988.2539682539682</v>
      </c>
      <c r="F95" s="2"/>
      <c r="G95" s="2"/>
      <c r="H95" s="2"/>
      <c r="I95" s="2"/>
      <c r="J95" s="2">
        <v>233</v>
      </c>
      <c r="K95" s="2">
        <f t="shared" si="16"/>
        <v>56.829268292682926</v>
      </c>
      <c r="L95" s="2"/>
      <c r="M95" s="2"/>
      <c r="N95" s="2"/>
      <c r="O95" s="2"/>
      <c r="P95" s="2">
        <v>399</v>
      </c>
      <c r="Q95" s="2">
        <f t="shared" si="11"/>
        <v>120.90909090909091</v>
      </c>
      <c r="R95" s="39">
        <f t="shared" si="12"/>
        <v>2165.9923274557418</v>
      </c>
    </row>
    <row r="96" spans="1:18" x14ac:dyDescent="0.3">
      <c r="A96" s="2" t="s">
        <v>137</v>
      </c>
      <c r="B96" s="2"/>
      <c r="C96" s="2"/>
      <c r="D96" s="2"/>
      <c r="E96" s="2"/>
      <c r="F96" s="2"/>
      <c r="G96" s="2"/>
      <c r="H96" s="2">
        <v>9</v>
      </c>
      <c r="I96" s="2">
        <f t="shared" si="14"/>
        <v>2.1686746987951806</v>
      </c>
      <c r="J96" s="2"/>
      <c r="K96" s="2"/>
      <c r="L96" s="2"/>
      <c r="M96" s="2"/>
      <c r="N96" s="2"/>
      <c r="O96" s="2"/>
      <c r="P96" s="2"/>
      <c r="Q96" s="2"/>
      <c r="R96" s="39">
        <f t="shared" si="12"/>
        <v>2.1686746987951806</v>
      </c>
    </row>
    <row r="97" spans="1:18" x14ac:dyDescent="0.3">
      <c r="A97" s="2" t="s">
        <v>138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>
        <v>1</v>
      </c>
      <c r="Q97" s="2">
        <f t="shared" si="11"/>
        <v>0.30303030303030304</v>
      </c>
      <c r="R97" s="39">
        <f t="shared" si="12"/>
        <v>0.30303030303030304</v>
      </c>
    </row>
    <row r="98" spans="1:18" x14ac:dyDescent="0.3">
      <c r="A98" s="2" t="s">
        <v>139</v>
      </c>
      <c r="B98" s="2"/>
      <c r="C98" s="2"/>
      <c r="D98" s="2"/>
      <c r="E98" s="2"/>
      <c r="F98" s="2"/>
      <c r="G98" s="2"/>
      <c r="H98" s="2">
        <v>1509</v>
      </c>
      <c r="I98" s="2">
        <f t="shared" si="14"/>
        <v>363.61445783132524</v>
      </c>
      <c r="J98" s="2"/>
      <c r="K98" s="2"/>
      <c r="L98" s="2"/>
      <c r="M98" s="2"/>
      <c r="N98" s="2"/>
      <c r="O98" s="2"/>
      <c r="P98" s="2"/>
      <c r="Q98" s="2"/>
      <c r="R98" s="39">
        <f t="shared" si="12"/>
        <v>363.61445783132524</v>
      </c>
    </row>
    <row r="99" spans="1:18" x14ac:dyDescent="0.3">
      <c r="A99" s="2" t="s">
        <v>140</v>
      </c>
      <c r="B99" s="2"/>
      <c r="C99" s="2"/>
      <c r="D99" s="2">
        <v>164</v>
      </c>
      <c r="E99" s="2">
        <f t="shared" si="13"/>
        <v>52.063492063492063</v>
      </c>
      <c r="F99" s="2">
        <v>17</v>
      </c>
      <c r="G99" s="2">
        <f t="shared" si="19"/>
        <v>5.0746268656716422</v>
      </c>
      <c r="H99" s="2">
        <v>1624</v>
      </c>
      <c r="I99" s="2">
        <f t="shared" si="14"/>
        <v>391.32530120481925</v>
      </c>
      <c r="J99" s="2"/>
      <c r="K99" s="2"/>
      <c r="L99" s="2"/>
      <c r="M99" s="2"/>
      <c r="N99" s="2"/>
      <c r="O99" s="2"/>
      <c r="P99" s="2"/>
      <c r="Q99" s="2"/>
      <c r="R99" s="39">
        <f t="shared" si="12"/>
        <v>448.46342013398294</v>
      </c>
    </row>
    <row r="100" spans="1:18" x14ac:dyDescent="0.3">
      <c r="A100" s="2" t="s">
        <v>141</v>
      </c>
      <c r="B100" s="2">
        <v>415625</v>
      </c>
      <c r="C100" s="2">
        <f t="shared" si="15"/>
        <v>118750</v>
      </c>
      <c r="D100" s="2"/>
      <c r="E100" s="2"/>
      <c r="F100" s="2"/>
      <c r="G100" s="2"/>
      <c r="H100" s="2">
        <v>101</v>
      </c>
      <c r="I100" s="2">
        <f t="shared" si="14"/>
        <v>24.337349397590359</v>
      </c>
      <c r="J100" s="2">
        <v>3844</v>
      </c>
      <c r="K100" s="2">
        <f t="shared" si="16"/>
        <v>937.56097560975616</v>
      </c>
      <c r="L100" s="2"/>
      <c r="M100" s="2"/>
      <c r="N100" s="2"/>
      <c r="O100" s="2"/>
      <c r="P100" s="2"/>
      <c r="Q100" s="2"/>
      <c r="R100" s="39">
        <f t="shared" si="12"/>
        <v>119711.89832500735</v>
      </c>
    </row>
    <row r="101" spans="1:18" x14ac:dyDescent="0.3">
      <c r="A101" s="2" t="s">
        <v>142</v>
      </c>
      <c r="B101" s="2">
        <v>222081</v>
      </c>
      <c r="C101" s="2">
        <f t="shared" si="15"/>
        <v>63451.714285714283</v>
      </c>
      <c r="D101" s="2">
        <v>6246668</v>
      </c>
      <c r="E101" s="2">
        <f t="shared" si="13"/>
        <v>1983069.2063492064</v>
      </c>
      <c r="F101" s="2">
        <v>1674485</v>
      </c>
      <c r="G101" s="2">
        <f t="shared" si="19"/>
        <v>499846.26865671639</v>
      </c>
      <c r="H101" s="2">
        <v>8997294</v>
      </c>
      <c r="I101" s="2">
        <f t="shared" si="14"/>
        <v>2168022.6506024092</v>
      </c>
      <c r="J101" s="2">
        <v>787927</v>
      </c>
      <c r="K101" s="2">
        <f t="shared" si="16"/>
        <v>192177.31707317077</v>
      </c>
      <c r="L101" s="2">
        <v>2823600</v>
      </c>
      <c r="M101" s="2">
        <f t="shared" si="18"/>
        <v>925770.49180327868</v>
      </c>
      <c r="N101" s="2">
        <v>169781</v>
      </c>
      <c r="O101" s="2">
        <f t="shared" si="17"/>
        <v>47161.388888888891</v>
      </c>
      <c r="P101" s="2">
        <v>925466</v>
      </c>
      <c r="Q101" s="2">
        <f t="shared" si="11"/>
        <v>280444.24242424243</v>
      </c>
      <c r="R101" s="39">
        <f t="shared" si="12"/>
        <v>6159943.2800836274</v>
      </c>
    </row>
    <row r="102" spans="1:18" x14ac:dyDescent="0.3">
      <c r="A102" s="2" t="s">
        <v>143</v>
      </c>
      <c r="B102" s="2"/>
      <c r="C102" s="2"/>
      <c r="D102" s="2">
        <v>128397</v>
      </c>
      <c r="E102" s="2">
        <f t="shared" si="13"/>
        <v>40760.952380952382</v>
      </c>
      <c r="F102" s="2"/>
      <c r="G102" s="2"/>
      <c r="H102" s="2">
        <v>38920</v>
      </c>
      <c r="I102" s="2">
        <f t="shared" si="14"/>
        <v>9378.3132530120474</v>
      </c>
      <c r="J102" s="2"/>
      <c r="K102" s="2"/>
      <c r="L102" s="2"/>
      <c r="M102" s="2"/>
      <c r="N102" s="2"/>
      <c r="O102" s="2"/>
      <c r="P102" s="2"/>
      <c r="Q102" s="2"/>
      <c r="R102" s="39">
        <f t="shared" si="12"/>
        <v>50139.265633964431</v>
      </c>
    </row>
    <row r="103" spans="1:18" x14ac:dyDescent="0.3">
      <c r="A103" s="2" t="s">
        <v>144</v>
      </c>
      <c r="B103" s="2"/>
      <c r="C103" s="2"/>
      <c r="D103" s="2">
        <v>31455</v>
      </c>
      <c r="E103" s="2">
        <f t="shared" si="13"/>
        <v>9985.7142857142862</v>
      </c>
      <c r="F103" s="2"/>
      <c r="G103" s="2"/>
      <c r="H103" s="2">
        <v>219989</v>
      </c>
      <c r="I103" s="2">
        <f t="shared" si="14"/>
        <v>53009.397590361441</v>
      </c>
      <c r="J103" s="2">
        <v>10047</v>
      </c>
      <c r="K103" s="2">
        <f t="shared" si="16"/>
        <v>2450.4878048780492</v>
      </c>
      <c r="L103" s="2"/>
      <c r="M103" s="2"/>
      <c r="N103" s="2"/>
      <c r="O103" s="2"/>
      <c r="P103" s="2">
        <v>13445</v>
      </c>
      <c r="Q103" s="2">
        <f t="shared" si="11"/>
        <v>4074.2424242424245</v>
      </c>
      <c r="R103" s="39">
        <f t="shared" si="12"/>
        <v>69519.842105196207</v>
      </c>
    </row>
    <row r="104" spans="1:18" x14ac:dyDescent="0.3">
      <c r="A104" s="2" t="s">
        <v>145</v>
      </c>
      <c r="B104" s="2"/>
      <c r="C104" s="2"/>
      <c r="D104" s="2"/>
      <c r="E104" s="2"/>
      <c r="F104" s="2"/>
      <c r="G104" s="2"/>
      <c r="H104" s="2">
        <v>4298</v>
      </c>
      <c r="I104" s="2">
        <f t="shared" si="14"/>
        <v>1035.6626506024095</v>
      </c>
      <c r="J104" s="2">
        <v>2966</v>
      </c>
      <c r="K104" s="2">
        <f t="shared" si="16"/>
        <v>723.41463414634143</v>
      </c>
      <c r="L104" s="2"/>
      <c r="M104" s="2"/>
      <c r="N104" s="2"/>
      <c r="O104" s="2"/>
      <c r="P104" s="2"/>
      <c r="Q104" s="2"/>
      <c r="R104" s="39">
        <f t="shared" si="12"/>
        <v>1759.077284748751</v>
      </c>
    </row>
    <row r="105" spans="1:18" x14ac:dyDescent="0.3">
      <c r="A105" s="2" t="s">
        <v>146</v>
      </c>
      <c r="B105" s="2"/>
      <c r="C105" s="2"/>
      <c r="D105" s="2">
        <v>42519</v>
      </c>
      <c r="E105" s="2">
        <f t="shared" si="13"/>
        <v>13498.095238095239</v>
      </c>
      <c r="F105" s="2"/>
      <c r="G105" s="2"/>
      <c r="H105" s="2">
        <v>6300</v>
      </c>
      <c r="I105" s="2">
        <f t="shared" si="14"/>
        <v>1518.0722891566265</v>
      </c>
      <c r="J105" s="2">
        <v>6200</v>
      </c>
      <c r="K105" s="2">
        <f t="shared" si="16"/>
        <v>1512.1951219512196</v>
      </c>
      <c r="L105" s="2"/>
      <c r="M105" s="2"/>
      <c r="N105" s="2"/>
      <c r="O105" s="2"/>
      <c r="P105" s="2"/>
      <c r="Q105" s="2"/>
      <c r="R105" s="39">
        <f t="shared" si="12"/>
        <v>16528.362649203085</v>
      </c>
    </row>
    <row r="106" spans="1:18" x14ac:dyDescent="0.3">
      <c r="A106" s="2" t="s">
        <v>147</v>
      </c>
      <c r="B106" s="2"/>
      <c r="C106" s="2"/>
      <c r="D106" s="2">
        <v>313</v>
      </c>
      <c r="E106" s="2">
        <f t="shared" si="13"/>
        <v>99.365079365079367</v>
      </c>
      <c r="F106" s="2"/>
      <c r="G106" s="2"/>
      <c r="H106" s="2"/>
      <c r="I106" s="2"/>
      <c r="J106" s="2">
        <v>13</v>
      </c>
      <c r="K106" s="2">
        <f t="shared" si="16"/>
        <v>3.1707317073170733</v>
      </c>
      <c r="L106" s="2"/>
      <c r="M106" s="2"/>
      <c r="N106" s="2"/>
      <c r="O106" s="2"/>
      <c r="P106" s="2">
        <v>7</v>
      </c>
      <c r="Q106" s="2">
        <f t="shared" si="11"/>
        <v>2.1212121212121215</v>
      </c>
      <c r="R106" s="39">
        <f t="shared" si="12"/>
        <v>104.65702319360857</v>
      </c>
    </row>
    <row r="107" spans="1:18" x14ac:dyDescent="0.3">
      <c r="A107" s="2" t="s">
        <v>148</v>
      </c>
      <c r="B107" s="2"/>
      <c r="C107" s="2"/>
      <c r="D107" s="2"/>
      <c r="E107" s="2"/>
      <c r="F107" s="2"/>
      <c r="G107" s="2"/>
      <c r="H107" s="2"/>
      <c r="I107" s="2"/>
      <c r="J107" s="2">
        <v>81711</v>
      </c>
      <c r="K107" s="2">
        <f t="shared" si="16"/>
        <v>19929.512195121952</v>
      </c>
      <c r="L107" s="2"/>
      <c r="M107" s="2"/>
      <c r="N107" s="2"/>
      <c r="O107" s="2"/>
      <c r="P107" s="2"/>
      <c r="Q107" s="2"/>
      <c r="R107" s="39">
        <f t="shared" si="12"/>
        <v>19929.512195121952</v>
      </c>
    </row>
    <row r="108" spans="1:18" x14ac:dyDescent="0.3">
      <c r="A108" s="2" t="s">
        <v>149</v>
      </c>
      <c r="B108" s="2">
        <v>275879</v>
      </c>
      <c r="C108" s="2">
        <f t="shared" si="15"/>
        <v>78822.571428571435</v>
      </c>
      <c r="D108" s="2">
        <v>13046</v>
      </c>
      <c r="E108" s="2">
        <f t="shared" si="13"/>
        <v>4141.5873015873021</v>
      </c>
      <c r="F108" s="2"/>
      <c r="G108" s="2"/>
      <c r="H108" s="2">
        <v>8120</v>
      </c>
      <c r="I108" s="2">
        <f t="shared" si="14"/>
        <v>1956.6265060240962</v>
      </c>
      <c r="J108" s="2">
        <v>42031</v>
      </c>
      <c r="K108" s="2">
        <f t="shared" si="16"/>
        <v>10251.463414634147</v>
      </c>
      <c r="L108" s="2"/>
      <c r="M108" s="2"/>
      <c r="N108" s="2">
        <v>22584</v>
      </c>
      <c r="O108" s="2">
        <f t="shared" si="17"/>
        <v>6273.333333333333</v>
      </c>
      <c r="P108" s="2">
        <v>416274</v>
      </c>
      <c r="Q108" s="2">
        <f t="shared" si="11"/>
        <v>126143.63636363637</v>
      </c>
      <c r="R108" s="39">
        <f t="shared" si="12"/>
        <v>227589.21834778669</v>
      </c>
    </row>
    <row r="109" spans="1:18" x14ac:dyDescent="0.3">
      <c r="A109" s="2" t="s">
        <v>150</v>
      </c>
      <c r="B109" s="2"/>
      <c r="C109" s="2"/>
      <c r="D109" s="2"/>
      <c r="E109" s="2"/>
      <c r="F109" s="2"/>
      <c r="G109" s="2"/>
      <c r="H109" s="2">
        <v>7427</v>
      </c>
      <c r="I109" s="2">
        <f t="shared" si="14"/>
        <v>1789.6385542168673</v>
      </c>
      <c r="J109" s="2">
        <v>3126</v>
      </c>
      <c r="K109" s="2">
        <f t="shared" si="16"/>
        <v>762.43902439024396</v>
      </c>
      <c r="L109" s="2"/>
      <c r="M109" s="2"/>
      <c r="N109" s="2"/>
      <c r="O109" s="2"/>
      <c r="P109" s="2"/>
      <c r="Q109" s="2"/>
      <c r="R109" s="39">
        <f t="shared" si="12"/>
        <v>2552.0775786071113</v>
      </c>
    </row>
    <row r="110" spans="1:18" x14ac:dyDescent="0.3">
      <c r="A110" s="2" t="s">
        <v>151</v>
      </c>
      <c r="B110" s="2">
        <v>3703</v>
      </c>
      <c r="C110" s="2">
        <f t="shared" si="15"/>
        <v>1058</v>
      </c>
      <c r="D110" s="2">
        <v>555763</v>
      </c>
      <c r="E110" s="2">
        <f t="shared" si="13"/>
        <v>176432.69841269843</v>
      </c>
      <c r="F110" s="2">
        <v>19082</v>
      </c>
      <c r="G110" s="2">
        <f t="shared" si="19"/>
        <v>5696.1194029850749</v>
      </c>
      <c r="H110" s="2">
        <v>14114</v>
      </c>
      <c r="I110" s="2">
        <f t="shared" si="14"/>
        <v>3400.9638554216867</v>
      </c>
      <c r="J110" s="2">
        <v>288502</v>
      </c>
      <c r="K110" s="2">
        <f t="shared" si="16"/>
        <v>70366.341463414632</v>
      </c>
      <c r="L110" s="2">
        <v>242552</v>
      </c>
      <c r="M110" s="2">
        <f t="shared" si="18"/>
        <v>79525.24590163934</v>
      </c>
      <c r="N110" s="2"/>
      <c r="O110" s="2"/>
      <c r="P110" s="2">
        <v>1674</v>
      </c>
      <c r="Q110" s="2">
        <f t="shared" si="11"/>
        <v>507.27272727272731</v>
      </c>
      <c r="R110" s="39">
        <f t="shared" si="12"/>
        <v>336986.64176343189</v>
      </c>
    </row>
    <row r="111" spans="1:18" x14ac:dyDescent="0.3">
      <c r="A111" s="2" t="s">
        <v>152</v>
      </c>
      <c r="B111" s="2">
        <v>12171</v>
      </c>
      <c r="C111" s="2">
        <f t="shared" si="15"/>
        <v>3477.4285714285716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39">
        <f t="shared" si="12"/>
        <v>3477.4285714285716</v>
      </c>
    </row>
    <row r="112" spans="1:18" x14ac:dyDescent="0.3">
      <c r="A112" s="2" t="s">
        <v>153</v>
      </c>
      <c r="B112" s="2"/>
      <c r="C112" s="2"/>
      <c r="D112" s="2">
        <v>9872</v>
      </c>
      <c r="E112" s="2">
        <f t="shared" si="13"/>
        <v>3133.968253968254</v>
      </c>
      <c r="F112" s="2">
        <v>3</v>
      </c>
      <c r="G112" s="2">
        <f t="shared" si="19"/>
        <v>0.89552238805970152</v>
      </c>
      <c r="H112" s="2">
        <v>27399</v>
      </c>
      <c r="I112" s="2">
        <f t="shared" si="14"/>
        <v>6602.1686746987943</v>
      </c>
      <c r="J112" s="2">
        <v>8968</v>
      </c>
      <c r="K112" s="2">
        <f t="shared" si="16"/>
        <v>2187.3170731707319</v>
      </c>
      <c r="L112" s="2">
        <v>203</v>
      </c>
      <c r="M112" s="2">
        <f t="shared" si="18"/>
        <v>66.557377049180332</v>
      </c>
      <c r="N112" s="2">
        <v>600</v>
      </c>
      <c r="O112" s="2">
        <f t="shared" si="17"/>
        <v>166.66666666666666</v>
      </c>
      <c r="P112" s="2">
        <v>18365</v>
      </c>
      <c r="Q112" s="2">
        <f t="shared" si="11"/>
        <v>5565.1515151515159</v>
      </c>
      <c r="R112" s="39">
        <f t="shared" si="12"/>
        <v>17722.725083093203</v>
      </c>
    </row>
    <row r="113" spans="1:18" x14ac:dyDescent="0.3">
      <c r="A113" s="2" t="s">
        <v>154</v>
      </c>
      <c r="B113" s="2"/>
      <c r="C113" s="2"/>
      <c r="D113" s="2">
        <v>18</v>
      </c>
      <c r="E113" s="2">
        <f t="shared" si="13"/>
        <v>5.7142857142857144</v>
      </c>
      <c r="F113" s="2"/>
      <c r="G113" s="2"/>
      <c r="H113" s="2">
        <v>669</v>
      </c>
      <c r="I113" s="2">
        <f t="shared" si="14"/>
        <v>161.20481927710841</v>
      </c>
      <c r="J113" s="2"/>
      <c r="K113" s="2"/>
      <c r="L113" s="2">
        <v>10</v>
      </c>
      <c r="M113" s="2">
        <f t="shared" si="18"/>
        <v>3.278688524590164</v>
      </c>
      <c r="N113" s="2"/>
      <c r="O113" s="2"/>
      <c r="P113" s="2">
        <v>1170</v>
      </c>
      <c r="Q113" s="2">
        <f t="shared" si="11"/>
        <v>354.54545454545456</v>
      </c>
      <c r="R113" s="39">
        <f t="shared" si="12"/>
        <v>524.74324806143886</v>
      </c>
    </row>
    <row r="114" spans="1:18" x14ac:dyDescent="0.3">
      <c r="A114" s="2" t="s">
        <v>155</v>
      </c>
      <c r="B114" s="2"/>
      <c r="C114" s="2"/>
      <c r="D114" s="2"/>
      <c r="E114" s="2"/>
      <c r="F114" s="2"/>
      <c r="G114" s="2"/>
      <c r="H114" s="2">
        <v>727</v>
      </c>
      <c r="I114" s="2">
        <f t="shared" si="14"/>
        <v>175.18072289156626</v>
      </c>
      <c r="J114" s="2"/>
      <c r="K114" s="2"/>
      <c r="L114" s="2"/>
      <c r="M114" s="2"/>
      <c r="N114" s="2"/>
      <c r="O114" s="2"/>
      <c r="P114" s="2"/>
      <c r="Q114" s="2"/>
      <c r="R114" s="39">
        <f t="shared" si="12"/>
        <v>175.18072289156626</v>
      </c>
    </row>
    <row r="115" spans="1:18" x14ac:dyDescent="0.3">
      <c r="A115" s="2" t="s">
        <v>156</v>
      </c>
      <c r="B115" s="2">
        <v>4843866</v>
      </c>
      <c r="C115" s="2">
        <f t="shared" si="15"/>
        <v>1383961.7142857143</v>
      </c>
      <c r="D115" s="2">
        <v>10136009</v>
      </c>
      <c r="E115" s="2">
        <f t="shared" si="13"/>
        <v>3217780.6349206353</v>
      </c>
      <c r="F115" s="2">
        <v>950564</v>
      </c>
      <c r="G115" s="2">
        <f t="shared" si="19"/>
        <v>283750.44776119402</v>
      </c>
      <c r="H115" s="2">
        <v>22669769</v>
      </c>
      <c r="I115" s="2">
        <f t="shared" si="14"/>
        <v>5462594.9397590365</v>
      </c>
      <c r="J115" s="2">
        <v>2695782</v>
      </c>
      <c r="K115" s="2">
        <f t="shared" si="16"/>
        <v>657507.80487804895</v>
      </c>
      <c r="L115" s="2">
        <v>1911773</v>
      </c>
      <c r="M115" s="2">
        <f t="shared" si="18"/>
        <v>626810.81967213121</v>
      </c>
      <c r="N115" s="2">
        <v>607092</v>
      </c>
      <c r="O115" s="2">
        <f t="shared" si="17"/>
        <v>168636.66666666666</v>
      </c>
      <c r="P115" s="2">
        <v>3792687</v>
      </c>
      <c r="Q115" s="2">
        <f t="shared" si="11"/>
        <v>1149299.0909090911</v>
      </c>
      <c r="R115" s="39">
        <f t="shared" si="12"/>
        <v>12950342.118852518</v>
      </c>
    </row>
    <row r="116" spans="1:18" x14ac:dyDescent="0.3">
      <c r="A116" s="2" t="s">
        <v>157</v>
      </c>
      <c r="B116" s="2">
        <v>453458</v>
      </c>
      <c r="C116" s="2">
        <f t="shared" si="15"/>
        <v>129559.42857142857</v>
      </c>
      <c r="D116" s="2">
        <v>326582</v>
      </c>
      <c r="E116" s="2">
        <f t="shared" si="13"/>
        <v>103676.8253968254</v>
      </c>
      <c r="F116" s="2">
        <v>201981</v>
      </c>
      <c r="G116" s="2">
        <f t="shared" si="19"/>
        <v>60292.835820895525</v>
      </c>
      <c r="H116" s="2">
        <v>845781</v>
      </c>
      <c r="I116" s="2">
        <f t="shared" si="14"/>
        <v>203802.65060240965</v>
      </c>
      <c r="J116" s="2">
        <v>118459</v>
      </c>
      <c r="K116" s="2">
        <f t="shared" si="16"/>
        <v>28892.439024390245</v>
      </c>
      <c r="L116" s="2">
        <v>21921</v>
      </c>
      <c r="M116" s="2">
        <f t="shared" si="18"/>
        <v>7187.2131147540986</v>
      </c>
      <c r="N116" s="2">
        <v>190</v>
      </c>
      <c r="O116" s="2">
        <f t="shared" si="17"/>
        <v>52.777777777777771</v>
      </c>
      <c r="P116" s="2">
        <v>248673</v>
      </c>
      <c r="Q116" s="2">
        <f t="shared" si="11"/>
        <v>75355.454545454544</v>
      </c>
      <c r="R116" s="39">
        <f t="shared" si="12"/>
        <v>608819.62485393579</v>
      </c>
    </row>
    <row r="117" spans="1:18" x14ac:dyDescent="0.3">
      <c r="A117" s="2" t="s">
        <v>158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>
        <v>4494</v>
      </c>
      <c r="M117" s="2">
        <f t="shared" si="18"/>
        <v>1473.4426229508199</v>
      </c>
      <c r="N117" s="2"/>
      <c r="O117" s="2"/>
      <c r="P117" s="2"/>
      <c r="Q117" s="2"/>
      <c r="R117" s="39">
        <f t="shared" si="12"/>
        <v>1473.4426229508199</v>
      </c>
    </row>
    <row r="118" spans="1:18" x14ac:dyDescent="0.3">
      <c r="A118" s="2" t="s">
        <v>159</v>
      </c>
      <c r="B118" s="2">
        <v>933</v>
      </c>
      <c r="C118" s="2">
        <f t="shared" si="15"/>
        <v>266.57142857142856</v>
      </c>
      <c r="D118" s="2"/>
      <c r="E118" s="2"/>
      <c r="F118" s="2"/>
      <c r="G118" s="2"/>
      <c r="H118" s="2">
        <v>47299</v>
      </c>
      <c r="I118" s="2">
        <f t="shared" si="14"/>
        <v>11397.34939759036</v>
      </c>
      <c r="J118" s="2"/>
      <c r="K118" s="2"/>
      <c r="L118" s="2"/>
      <c r="M118" s="2"/>
      <c r="N118" s="2"/>
      <c r="O118" s="2"/>
      <c r="P118" s="2"/>
      <c r="Q118" s="2"/>
      <c r="R118" s="39">
        <f t="shared" si="12"/>
        <v>11663.92082616179</v>
      </c>
    </row>
    <row r="119" spans="1:18" x14ac:dyDescent="0.3">
      <c r="A119" s="2" t="s">
        <v>160</v>
      </c>
      <c r="B119" s="2"/>
      <c r="C119" s="2"/>
      <c r="D119" s="2">
        <v>66711</v>
      </c>
      <c r="E119" s="2">
        <f t="shared" si="13"/>
        <v>21178.09523809524</v>
      </c>
      <c r="F119" s="2"/>
      <c r="G119" s="2"/>
      <c r="H119" s="2">
        <v>64118</v>
      </c>
      <c r="I119" s="2">
        <f t="shared" si="14"/>
        <v>15450.12048192771</v>
      </c>
      <c r="J119" s="2">
        <v>33941</v>
      </c>
      <c r="K119" s="2">
        <f t="shared" si="16"/>
        <v>8278.292682926829</v>
      </c>
      <c r="L119" s="2"/>
      <c r="M119" s="2"/>
      <c r="N119" s="2"/>
      <c r="O119" s="2"/>
      <c r="P119" s="2"/>
      <c r="Q119" s="2"/>
      <c r="R119" s="39">
        <f t="shared" si="12"/>
        <v>44906.508402949781</v>
      </c>
    </row>
    <row r="120" spans="1:18" x14ac:dyDescent="0.3">
      <c r="A120" s="2" t="s">
        <v>161</v>
      </c>
      <c r="B120" s="2"/>
      <c r="C120" s="2"/>
      <c r="D120" s="2">
        <v>98</v>
      </c>
      <c r="E120" s="2">
        <f t="shared" si="13"/>
        <v>31.111111111111114</v>
      </c>
      <c r="F120" s="2"/>
      <c r="G120" s="2"/>
      <c r="H120" s="2">
        <v>305</v>
      </c>
      <c r="I120" s="2">
        <f t="shared" si="14"/>
        <v>73.493975903614455</v>
      </c>
      <c r="J120" s="2"/>
      <c r="K120" s="2"/>
      <c r="L120" s="2"/>
      <c r="M120" s="2"/>
      <c r="N120" s="2"/>
      <c r="O120" s="2"/>
      <c r="P120" s="2">
        <v>22</v>
      </c>
      <c r="Q120" s="2">
        <f t="shared" si="11"/>
        <v>6.666666666666667</v>
      </c>
      <c r="R120" s="39">
        <f t="shared" si="12"/>
        <v>111.27175368139224</v>
      </c>
    </row>
    <row r="121" spans="1:18" x14ac:dyDescent="0.3">
      <c r="A121" s="2" t="s">
        <v>162</v>
      </c>
      <c r="B121" s="2">
        <v>80249</v>
      </c>
      <c r="C121" s="2">
        <f t="shared" si="15"/>
        <v>22928.285714285714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39">
        <f t="shared" si="12"/>
        <v>22928.285714285714</v>
      </c>
    </row>
    <row r="122" spans="1:18" x14ac:dyDescent="0.3">
      <c r="A122" s="2" t="s">
        <v>163</v>
      </c>
      <c r="B122" s="2"/>
      <c r="C122" s="2"/>
      <c r="D122" s="2">
        <v>4703</v>
      </c>
      <c r="E122" s="2">
        <f t="shared" si="13"/>
        <v>1493.0158730158732</v>
      </c>
      <c r="F122" s="2"/>
      <c r="G122" s="2"/>
      <c r="H122" s="2">
        <v>3760</v>
      </c>
      <c r="I122" s="2">
        <f t="shared" si="14"/>
        <v>906.02409638554207</v>
      </c>
      <c r="J122" s="2">
        <v>2088</v>
      </c>
      <c r="K122" s="2">
        <f t="shared" si="16"/>
        <v>509.26829268292687</v>
      </c>
      <c r="L122" s="2"/>
      <c r="M122" s="2"/>
      <c r="N122" s="2"/>
      <c r="O122" s="2"/>
      <c r="P122" s="2"/>
      <c r="Q122" s="2"/>
      <c r="R122" s="39">
        <f t="shared" si="12"/>
        <v>2908.3082620843425</v>
      </c>
    </row>
    <row r="123" spans="1:18" x14ac:dyDescent="0.3">
      <c r="A123" s="2" t="s">
        <v>164</v>
      </c>
      <c r="B123" s="2"/>
      <c r="C123" s="2"/>
      <c r="D123" s="2">
        <v>22471</v>
      </c>
      <c r="E123" s="2">
        <f t="shared" si="13"/>
        <v>7133.6507936507942</v>
      </c>
      <c r="F123" s="2">
        <v>6800</v>
      </c>
      <c r="G123" s="2">
        <f t="shared" si="19"/>
        <v>2029.8507462686566</v>
      </c>
      <c r="H123" s="2">
        <v>46530</v>
      </c>
      <c r="I123" s="2">
        <f t="shared" si="14"/>
        <v>11212.048192771083</v>
      </c>
      <c r="J123" s="2">
        <v>18419</v>
      </c>
      <c r="K123" s="2">
        <f t="shared" si="16"/>
        <v>4492.4390243902435</v>
      </c>
      <c r="L123" s="2"/>
      <c r="M123" s="2"/>
      <c r="N123" s="2"/>
      <c r="O123" s="2"/>
      <c r="P123" s="2"/>
      <c r="Q123" s="2"/>
      <c r="R123" s="39">
        <f t="shared" si="12"/>
        <v>24867.988757080777</v>
      </c>
    </row>
    <row r="124" spans="1:18" x14ac:dyDescent="0.3">
      <c r="A124" s="2" t="s">
        <v>165</v>
      </c>
      <c r="B124" s="2">
        <v>3158</v>
      </c>
      <c r="C124" s="2">
        <f t="shared" si="15"/>
        <v>902.28571428571433</v>
      </c>
      <c r="D124" s="2">
        <v>1032619</v>
      </c>
      <c r="E124" s="2">
        <f t="shared" si="13"/>
        <v>327815.55555555556</v>
      </c>
      <c r="F124" s="2">
        <v>162817</v>
      </c>
      <c r="G124" s="2">
        <f t="shared" si="19"/>
        <v>48602.089552238809</v>
      </c>
      <c r="H124" s="2">
        <v>5232933</v>
      </c>
      <c r="I124" s="2">
        <f t="shared" si="14"/>
        <v>1260947.7108433733</v>
      </c>
      <c r="J124" s="2">
        <v>1623303</v>
      </c>
      <c r="K124" s="2">
        <f t="shared" si="16"/>
        <v>395927.56097560975</v>
      </c>
      <c r="L124" s="2">
        <v>581794</v>
      </c>
      <c r="M124" s="2">
        <f t="shared" si="18"/>
        <v>190752.13114754099</v>
      </c>
      <c r="N124" s="2">
        <v>121762</v>
      </c>
      <c r="O124" s="2">
        <f t="shared" si="17"/>
        <v>33822.777777777774</v>
      </c>
      <c r="P124" s="2">
        <v>207944</v>
      </c>
      <c r="Q124" s="2">
        <f t="shared" si="11"/>
        <v>63013.333333333336</v>
      </c>
      <c r="R124" s="39">
        <f t="shared" si="12"/>
        <v>2321783.4448997159</v>
      </c>
    </row>
    <row r="125" spans="1:18" x14ac:dyDescent="0.3">
      <c r="A125" s="2" t="s">
        <v>166</v>
      </c>
      <c r="B125" s="2">
        <v>16046</v>
      </c>
      <c r="C125" s="2">
        <f t="shared" si="15"/>
        <v>4584.5714285714284</v>
      </c>
      <c r="D125" s="2">
        <v>180008</v>
      </c>
      <c r="E125" s="2">
        <f t="shared" si="13"/>
        <v>57145.396825396827</v>
      </c>
      <c r="F125" s="2">
        <v>102944</v>
      </c>
      <c r="G125" s="2">
        <f t="shared" si="19"/>
        <v>30729.552238805969</v>
      </c>
      <c r="H125" s="2">
        <v>114763</v>
      </c>
      <c r="I125" s="2">
        <f t="shared" si="14"/>
        <v>27653.734939759033</v>
      </c>
      <c r="J125" s="2">
        <v>90614</v>
      </c>
      <c r="K125" s="2">
        <f t="shared" si="16"/>
        <v>22100.9756097561</v>
      </c>
      <c r="L125" s="2">
        <v>36208</v>
      </c>
      <c r="M125" s="2">
        <f t="shared" si="18"/>
        <v>11871.475409836066</v>
      </c>
      <c r="N125" s="2">
        <v>152</v>
      </c>
      <c r="O125" s="2">
        <f t="shared" si="17"/>
        <v>42.222222222222221</v>
      </c>
      <c r="P125" s="2">
        <v>12423</v>
      </c>
      <c r="Q125" s="2">
        <f t="shared" si="11"/>
        <v>3764.5454545454545</v>
      </c>
      <c r="R125" s="39">
        <f t="shared" si="12"/>
        <v>157892.47412889308</v>
      </c>
    </row>
    <row r="126" spans="1:18" x14ac:dyDescent="0.3">
      <c r="A126" s="2" t="s">
        <v>167</v>
      </c>
      <c r="B126" s="2">
        <v>21993</v>
      </c>
      <c r="C126" s="2">
        <f t="shared" si="15"/>
        <v>6283.7142857142853</v>
      </c>
      <c r="D126" s="2">
        <v>11356961</v>
      </c>
      <c r="E126" s="2">
        <f t="shared" si="13"/>
        <v>3605384.4444444445</v>
      </c>
      <c r="F126" s="2">
        <v>1748867</v>
      </c>
      <c r="G126" s="2">
        <f t="shared" si="19"/>
        <v>522049.85074626864</v>
      </c>
      <c r="H126" s="2">
        <v>6278403</v>
      </c>
      <c r="I126" s="2">
        <f t="shared" si="14"/>
        <v>1512868.1927710844</v>
      </c>
      <c r="J126" s="2">
        <v>2270699</v>
      </c>
      <c r="K126" s="2">
        <f t="shared" si="16"/>
        <v>553829.02439024404</v>
      </c>
      <c r="L126" s="2">
        <v>307579</v>
      </c>
      <c r="M126" s="2">
        <f t="shared" si="18"/>
        <v>100845.57377049181</v>
      </c>
      <c r="N126" s="2">
        <v>1629</v>
      </c>
      <c r="O126" s="2">
        <f t="shared" si="17"/>
        <v>452.5</v>
      </c>
      <c r="P126" s="2">
        <v>1936512</v>
      </c>
      <c r="Q126" s="2">
        <f t="shared" si="11"/>
        <v>586821.81818181823</v>
      </c>
      <c r="R126" s="39">
        <f t="shared" si="12"/>
        <v>6888535.1185900653</v>
      </c>
    </row>
    <row r="127" spans="1:18" x14ac:dyDescent="0.3">
      <c r="A127" s="2" t="s">
        <v>168</v>
      </c>
      <c r="B127" s="2"/>
      <c r="C127" s="2"/>
      <c r="D127" s="2">
        <v>3560</v>
      </c>
      <c r="E127" s="2">
        <f t="shared" si="13"/>
        <v>1130.1587301587301</v>
      </c>
      <c r="F127" s="2">
        <v>7385</v>
      </c>
      <c r="G127" s="2">
        <f t="shared" si="19"/>
        <v>2204.4776119402982</v>
      </c>
      <c r="H127" s="2">
        <v>61921</v>
      </c>
      <c r="I127" s="2">
        <f t="shared" si="14"/>
        <v>14920.722891566264</v>
      </c>
      <c r="J127" s="2">
        <v>36197</v>
      </c>
      <c r="K127" s="2">
        <f t="shared" si="16"/>
        <v>8828.536585365855</v>
      </c>
      <c r="L127" s="2">
        <v>650</v>
      </c>
      <c r="M127" s="2">
        <f t="shared" si="18"/>
        <v>213.11475409836066</v>
      </c>
      <c r="N127" s="2">
        <v>1471</v>
      </c>
      <c r="O127" s="2">
        <f t="shared" si="17"/>
        <v>408.61111111111114</v>
      </c>
      <c r="P127" s="2">
        <v>49585</v>
      </c>
      <c r="Q127" s="2">
        <f t="shared" si="11"/>
        <v>15025.757575757576</v>
      </c>
      <c r="R127" s="39">
        <f t="shared" si="12"/>
        <v>42731.379259998197</v>
      </c>
    </row>
    <row r="128" spans="1:18" x14ac:dyDescent="0.3">
      <c r="A128" s="2" t="s">
        <v>169</v>
      </c>
      <c r="B128" s="2"/>
      <c r="C128" s="2"/>
      <c r="D128" s="2"/>
      <c r="E128" s="2"/>
      <c r="F128" s="2"/>
      <c r="G128" s="2"/>
      <c r="H128" s="2">
        <v>21606</v>
      </c>
      <c r="I128" s="2">
        <f t="shared" si="14"/>
        <v>5206.2650602409631</v>
      </c>
      <c r="J128" s="2"/>
      <c r="K128" s="2"/>
      <c r="L128" s="2"/>
      <c r="M128" s="2"/>
      <c r="N128" s="2"/>
      <c r="O128" s="2"/>
      <c r="P128" s="2"/>
      <c r="Q128" s="2"/>
      <c r="R128" s="39">
        <f t="shared" si="12"/>
        <v>5206.2650602409631</v>
      </c>
    </row>
    <row r="129" spans="1:18" x14ac:dyDescent="0.3">
      <c r="A129" s="2" t="s">
        <v>170</v>
      </c>
      <c r="B129" s="2"/>
      <c r="C129" s="2"/>
      <c r="D129" s="2">
        <v>2204</v>
      </c>
      <c r="E129" s="2">
        <f t="shared" si="13"/>
        <v>699.68253968253964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>
        <v>3345</v>
      </c>
      <c r="Q129" s="2">
        <f t="shared" si="11"/>
        <v>1013.6363636363636</v>
      </c>
      <c r="R129" s="39">
        <f t="shared" si="12"/>
        <v>1713.3189033189033</v>
      </c>
    </row>
    <row r="130" spans="1:18" x14ac:dyDescent="0.3">
      <c r="A130" s="2" t="s">
        <v>171</v>
      </c>
      <c r="B130" s="2"/>
      <c r="C130" s="2"/>
      <c r="D130" s="2">
        <v>21631</v>
      </c>
      <c r="E130" s="2">
        <f t="shared" si="13"/>
        <v>6866.9841269841272</v>
      </c>
      <c r="F130" s="2">
        <v>28723</v>
      </c>
      <c r="G130" s="2">
        <f t="shared" si="19"/>
        <v>8574.0298507462685</v>
      </c>
      <c r="H130" s="2">
        <v>144549</v>
      </c>
      <c r="I130" s="2">
        <f t="shared" si="14"/>
        <v>34831.084337349392</v>
      </c>
      <c r="J130" s="2">
        <v>608323</v>
      </c>
      <c r="K130" s="2">
        <f t="shared" si="16"/>
        <v>148371.46341463417</v>
      </c>
      <c r="L130" s="2">
        <v>17482</v>
      </c>
      <c r="M130" s="2">
        <f t="shared" si="18"/>
        <v>5731.8032786885251</v>
      </c>
      <c r="N130" s="2"/>
      <c r="O130" s="2"/>
      <c r="P130" s="2"/>
      <c r="Q130" s="2"/>
      <c r="R130" s="39">
        <f t="shared" si="12"/>
        <v>204375.36500840247</v>
      </c>
    </row>
    <row r="131" spans="1:18" x14ac:dyDescent="0.3">
      <c r="A131" s="2" t="s">
        <v>172</v>
      </c>
      <c r="B131" s="2"/>
      <c r="C131" s="2"/>
      <c r="D131" s="2">
        <v>3075</v>
      </c>
      <c r="E131" s="2">
        <f t="shared" si="13"/>
        <v>976.19047619047626</v>
      </c>
      <c r="F131" s="2">
        <v>4440</v>
      </c>
      <c r="G131" s="2">
        <f t="shared" si="19"/>
        <v>1325.3731343283582</v>
      </c>
      <c r="H131" s="2">
        <v>3221</v>
      </c>
      <c r="I131" s="2">
        <f t="shared" si="14"/>
        <v>776.14457831325285</v>
      </c>
      <c r="J131" s="2"/>
      <c r="K131" s="2"/>
      <c r="L131" s="2"/>
      <c r="M131" s="2"/>
      <c r="N131" s="2"/>
      <c r="O131" s="2"/>
      <c r="P131" s="2">
        <v>5</v>
      </c>
      <c r="Q131" s="2">
        <f t="shared" si="11"/>
        <v>1.5151515151515151</v>
      </c>
      <c r="R131" s="39">
        <f t="shared" si="12"/>
        <v>3079.2233403472387</v>
      </c>
    </row>
    <row r="132" spans="1:18" x14ac:dyDescent="0.3">
      <c r="A132" s="2" t="s">
        <v>173</v>
      </c>
      <c r="B132" s="2"/>
      <c r="C132" s="2"/>
      <c r="D132" s="2">
        <v>7308</v>
      </c>
      <c r="E132" s="2">
        <f t="shared" si="13"/>
        <v>2320</v>
      </c>
      <c r="F132" s="2">
        <v>533584</v>
      </c>
      <c r="G132" s="2">
        <f t="shared" si="19"/>
        <v>159278.80597014926</v>
      </c>
      <c r="H132" s="2">
        <v>55767</v>
      </c>
      <c r="I132" s="2">
        <f t="shared" si="14"/>
        <v>13437.831325301204</v>
      </c>
      <c r="J132" s="2">
        <v>40029</v>
      </c>
      <c r="K132" s="2">
        <f t="shared" si="16"/>
        <v>9763.1707317073178</v>
      </c>
      <c r="L132" s="2">
        <v>1299</v>
      </c>
      <c r="M132" s="2">
        <f t="shared" si="18"/>
        <v>425.90163934426232</v>
      </c>
      <c r="N132" s="2">
        <v>1355</v>
      </c>
      <c r="O132" s="2">
        <f t="shared" si="17"/>
        <v>376.38888888888886</v>
      </c>
      <c r="P132" s="2">
        <v>42826</v>
      </c>
      <c r="Q132" s="2">
        <f t="shared" si="11"/>
        <v>12977.575757575758</v>
      </c>
      <c r="R132" s="39">
        <f t="shared" si="12"/>
        <v>198579.67431296667</v>
      </c>
    </row>
    <row r="133" spans="1:18" x14ac:dyDescent="0.3">
      <c r="A133" s="2" t="s">
        <v>174</v>
      </c>
      <c r="B133" s="2"/>
      <c r="C133" s="2"/>
      <c r="D133" s="2"/>
      <c r="E133" s="2"/>
      <c r="F133" s="2"/>
      <c r="G133" s="2"/>
      <c r="H133" s="2">
        <v>349864</v>
      </c>
      <c r="I133" s="2">
        <f t="shared" si="14"/>
        <v>84304.578313253005</v>
      </c>
      <c r="J133" s="2">
        <v>10934</v>
      </c>
      <c r="K133" s="2">
        <f t="shared" si="16"/>
        <v>2666.8292682926831</v>
      </c>
      <c r="L133" s="2"/>
      <c r="M133" s="2"/>
      <c r="N133" s="2"/>
      <c r="O133" s="2"/>
      <c r="P133" s="2"/>
      <c r="Q133" s="2"/>
      <c r="R133" s="39">
        <f t="shared" ref="R133:R196" si="20">C133+E133+G133+I133+K133+M133+O133+Q133</f>
        <v>86971.407581545689</v>
      </c>
    </row>
    <row r="134" spans="1:18" x14ac:dyDescent="0.3">
      <c r="A134" s="2" t="s">
        <v>175</v>
      </c>
      <c r="B134" s="2"/>
      <c r="C134" s="2"/>
      <c r="D134" s="2">
        <v>763</v>
      </c>
      <c r="E134" s="2">
        <f t="shared" ref="E134:E194" si="21">D134*2000/6.3/1000</f>
        <v>242.22222222222223</v>
      </c>
      <c r="F134" s="2"/>
      <c r="G134" s="2"/>
      <c r="H134" s="2">
        <v>4857</v>
      </c>
      <c r="I134" s="2">
        <f t="shared" ref="I134:I197" si="22">H134*2000/8.3/1000</f>
        <v>1170.3614457831325</v>
      </c>
      <c r="J134" s="2"/>
      <c r="K134" s="2"/>
      <c r="L134" s="2"/>
      <c r="M134" s="2"/>
      <c r="N134" s="2">
        <v>2</v>
      </c>
      <c r="O134" s="2">
        <f t="shared" si="17"/>
        <v>0.55555555555555558</v>
      </c>
      <c r="P134" s="2">
        <v>5009</v>
      </c>
      <c r="Q134" s="2">
        <f t="shared" ref="Q134:Q194" si="23">P134*2000/6.6/1000</f>
        <v>1517.878787878788</v>
      </c>
      <c r="R134" s="39">
        <f t="shared" si="20"/>
        <v>2931.0180114396981</v>
      </c>
    </row>
    <row r="135" spans="1:18" x14ac:dyDescent="0.3">
      <c r="A135" s="2" t="s">
        <v>176</v>
      </c>
      <c r="B135" s="2"/>
      <c r="C135" s="2"/>
      <c r="D135" s="2">
        <v>9</v>
      </c>
      <c r="E135" s="2">
        <f t="shared" si="21"/>
        <v>2.8571428571428572</v>
      </c>
      <c r="F135" s="2"/>
      <c r="G135" s="2"/>
      <c r="H135" s="2">
        <v>14</v>
      </c>
      <c r="I135" s="2">
        <f t="shared" si="22"/>
        <v>3.3734939759036142</v>
      </c>
      <c r="J135" s="2"/>
      <c r="K135" s="2"/>
      <c r="L135" s="2">
        <v>69</v>
      </c>
      <c r="M135" s="2">
        <f t="shared" si="18"/>
        <v>22.622950819672134</v>
      </c>
      <c r="N135" s="2"/>
      <c r="O135" s="2"/>
      <c r="P135" s="2"/>
      <c r="Q135" s="2"/>
      <c r="R135" s="39">
        <f t="shared" si="20"/>
        <v>28.853587652718605</v>
      </c>
    </row>
    <row r="136" spans="1:18" x14ac:dyDescent="0.3">
      <c r="A136" s="2" t="s">
        <v>177</v>
      </c>
      <c r="B136" s="2">
        <v>918745</v>
      </c>
      <c r="C136" s="2">
        <f t="shared" ref="C136:C198" si="24">B136*2000/7/1000</f>
        <v>262498.57142857142</v>
      </c>
      <c r="D136" s="2">
        <v>197520</v>
      </c>
      <c r="E136" s="2">
        <f t="shared" si="21"/>
        <v>62704.761904761901</v>
      </c>
      <c r="F136" s="2"/>
      <c r="G136" s="2"/>
      <c r="H136" s="2">
        <v>154674</v>
      </c>
      <c r="I136" s="2">
        <f t="shared" si="22"/>
        <v>37270.843373493968</v>
      </c>
      <c r="J136" s="2">
        <v>175478</v>
      </c>
      <c r="K136" s="2">
        <f t="shared" ref="K136:K197" si="25">J136*2000/8.2/1000</f>
        <v>42799.512195121948</v>
      </c>
      <c r="L136" s="2">
        <v>75846</v>
      </c>
      <c r="M136" s="2">
        <f t="shared" si="18"/>
        <v>24867.540983606559</v>
      </c>
      <c r="N136" s="2">
        <v>34966</v>
      </c>
      <c r="O136" s="2">
        <f t="shared" ref="O136:O191" si="26">N136*2000/7.2/1000</f>
        <v>9712.7777777777774</v>
      </c>
      <c r="P136" s="2">
        <v>132820</v>
      </c>
      <c r="Q136" s="2">
        <f t="shared" si="23"/>
        <v>40248.484848484848</v>
      </c>
      <c r="R136" s="39">
        <f t="shared" si="20"/>
        <v>480102.49251181842</v>
      </c>
    </row>
    <row r="137" spans="1:18" x14ac:dyDescent="0.3">
      <c r="A137" s="2" t="s">
        <v>178</v>
      </c>
      <c r="B137" s="2">
        <v>2302632</v>
      </c>
      <c r="C137" s="2">
        <f t="shared" si="24"/>
        <v>657894.85714285716</v>
      </c>
      <c r="D137" s="2">
        <v>293191</v>
      </c>
      <c r="E137" s="2">
        <f t="shared" si="21"/>
        <v>93076.507936507944</v>
      </c>
      <c r="F137" s="2"/>
      <c r="G137" s="2"/>
      <c r="H137" s="2">
        <v>23678</v>
      </c>
      <c r="I137" s="2">
        <f t="shared" si="22"/>
        <v>5705.5421686746977</v>
      </c>
      <c r="J137" s="2">
        <v>18033</v>
      </c>
      <c r="K137" s="2">
        <f t="shared" si="25"/>
        <v>4398.2926829268299</v>
      </c>
      <c r="L137" s="2">
        <v>27871</v>
      </c>
      <c r="M137" s="2">
        <f t="shared" si="18"/>
        <v>9138.0327868852473</v>
      </c>
      <c r="N137" s="2"/>
      <c r="O137" s="2"/>
      <c r="P137" s="2"/>
      <c r="Q137" s="2"/>
      <c r="R137" s="39">
        <f t="shared" si="20"/>
        <v>770213.23271785188</v>
      </c>
    </row>
    <row r="138" spans="1:18" x14ac:dyDescent="0.3">
      <c r="A138" s="2" t="s">
        <v>179</v>
      </c>
      <c r="B138" s="2"/>
      <c r="C138" s="2"/>
      <c r="D138" s="2"/>
      <c r="E138" s="2"/>
      <c r="F138" s="2"/>
      <c r="G138" s="2"/>
      <c r="H138" s="2">
        <v>84661</v>
      </c>
      <c r="I138" s="2">
        <f t="shared" si="22"/>
        <v>20400.24096385542</v>
      </c>
      <c r="J138" s="2"/>
      <c r="K138" s="2"/>
      <c r="L138" s="2"/>
      <c r="M138" s="2"/>
      <c r="N138" s="2"/>
      <c r="O138" s="2"/>
      <c r="P138" s="2"/>
      <c r="Q138" s="2"/>
      <c r="R138" s="39">
        <f t="shared" si="20"/>
        <v>20400.24096385542</v>
      </c>
    </row>
    <row r="139" spans="1:18" x14ac:dyDescent="0.3">
      <c r="A139" s="2" t="s">
        <v>180</v>
      </c>
      <c r="B139" s="2"/>
      <c r="C139" s="2"/>
      <c r="D139" s="2"/>
      <c r="E139" s="2"/>
      <c r="F139" s="2"/>
      <c r="G139" s="2"/>
      <c r="H139" s="2">
        <v>149</v>
      </c>
      <c r="I139" s="2">
        <f t="shared" si="22"/>
        <v>35.903614457831324</v>
      </c>
      <c r="J139" s="2"/>
      <c r="K139" s="2"/>
      <c r="L139" s="2"/>
      <c r="M139" s="2"/>
      <c r="N139" s="2"/>
      <c r="O139" s="2"/>
      <c r="P139" s="2">
        <v>52</v>
      </c>
      <c r="Q139" s="2">
        <f t="shared" si="23"/>
        <v>15.757575757575758</v>
      </c>
      <c r="R139" s="39">
        <f t="shared" si="20"/>
        <v>51.661190215407082</v>
      </c>
    </row>
    <row r="140" spans="1:18" x14ac:dyDescent="0.3">
      <c r="A140" s="2" t="s">
        <v>181</v>
      </c>
      <c r="B140" s="2"/>
      <c r="C140" s="2"/>
      <c r="D140" s="2"/>
      <c r="E140" s="2"/>
      <c r="F140" s="2"/>
      <c r="G140" s="2"/>
      <c r="H140" s="2"/>
      <c r="I140" s="2"/>
      <c r="J140" s="2">
        <v>9408</v>
      </c>
      <c r="K140" s="2">
        <f t="shared" si="25"/>
        <v>2294.6341463414637</v>
      </c>
      <c r="L140" s="2"/>
      <c r="M140" s="2"/>
      <c r="N140" s="2"/>
      <c r="O140" s="2"/>
      <c r="P140" s="2"/>
      <c r="Q140" s="2"/>
      <c r="R140" s="39">
        <f t="shared" si="20"/>
        <v>2294.6341463414637</v>
      </c>
    </row>
    <row r="141" spans="1:18" x14ac:dyDescent="0.3">
      <c r="A141" s="2" t="s">
        <v>182</v>
      </c>
      <c r="B141" s="2"/>
      <c r="C141" s="2"/>
      <c r="D141" s="2">
        <v>2190</v>
      </c>
      <c r="E141" s="2">
        <f t="shared" si="21"/>
        <v>695.2380952380953</v>
      </c>
      <c r="F141" s="2">
        <v>452</v>
      </c>
      <c r="G141" s="2">
        <f t="shared" ref="G141:G197" si="27">F141*2000/6.7/1000</f>
        <v>134.92537313432834</v>
      </c>
      <c r="H141" s="2">
        <v>3805</v>
      </c>
      <c r="I141" s="2">
        <f t="shared" si="22"/>
        <v>916.86746987951801</v>
      </c>
      <c r="J141" s="2">
        <v>306</v>
      </c>
      <c r="K141" s="2">
        <f t="shared" si="25"/>
        <v>74.634146341463421</v>
      </c>
      <c r="L141" s="2">
        <v>59</v>
      </c>
      <c r="M141" s="2">
        <f t="shared" ref="M141:M200" si="28">L141*2000/6.1/1000</f>
        <v>19.344262295081968</v>
      </c>
      <c r="N141" s="2"/>
      <c r="O141" s="2"/>
      <c r="P141" s="2">
        <v>1427</v>
      </c>
      <c r="Q141" s="2">
        <f t="shared" si="23"/>
        <v>432.42424242424244</v>
      </c>
      <c r="R141" s="39">
        <f t="shared" si="20"/>
        <v>2273.4335893127295</v>
      </c>
    </row>
    <row r="142" spans="1:18" x14ac:dyDescent="0.3">
      <c r="A142" s="2" t="s">
        <v>183</v>
      </c>
      <c r="B142" s="2"/>
      <c r="C142" s="2"/>
      <c r="D142" s="2">
        <v>8</v>
      </c>
      <c r="E142" s="2">
        <f t="shared" si="21"/>
        <v>2.5396825396825395</v>
      </c>
      <c r="F142" s="2"/>
      <c r="G142" s="2"/>
      <c r="H142" s="2">
        <v>415</v>
      </c>
      <c r="I142" s="2">
        <f t="shared" si="22"/>
        <v>99.999999999999986</v>
      </c>
      <c r="J142" s="2"/>
      <c r="K142" s="2"/>
      <c r="L142" s="2"/>
      <c r="M142" s="2"/>
      <c r="N142" s="2"/>
      <c r="O142" s="2"/>
      <c r="P142" s="2">
        <v>231</v>
      </c>
      <c r="Q142" s="2">
        <f t="shared" si="23"/>
        <v>70</v>
      </c>
      <c r="R142" s="39">
        <f t="shared" si="20"/>
        <v>172.53968253968253</v>
      </c>
    </row>
    <row r="143" spans="1:18" x14ac:dyDescent="0.3">
      <c r="A143" s="2" t="s">
        <v>184</v>
      </c>
      <c r="B143" s="2"/>
      <c r="C143" s="2"/>
      <c r="D143" s="2">
        <v>4229444</v>
      </c>
      <c r="E143" s="2">
        <f t="shared" si="21"/>
        <v>1342680.634920635</v>
      </c>
      <c r="F143" s="2">
        <v>2661128</v>
      </c>
      <c r="G143" s="2">
        <f t="shared" si="27"/>
        <v>794366.56716417905</v>
      </c>
      <c r="H143" s="2">
        <v>3615226</v>
      </c>
      <c r="I143" s="2">
        <f t="shared" si="22"/>
        <v>871138.79518072284</v>
      </c>
      <c r="J143" s="2">
        <v>335140</v>
      </c>
      <c r="K143" s="2">
        <f t="shared" si="25"/>
        <v>81741.463414634156</v>
      </c>
      <c r="L143" s="2"/>
      <c r="M143" s="2"/>
      <c r="N143" s="2">
        <v>511524</v>
      </c>
      <c r="O143" s="2">
        <f t="shared" si="26"/>
        <v>142090</v>
      </c>
      <c r="P143" s="2"/>
      <c r="Q143" s="2"/>
      <c r="R143" s="39">
        <f t="shared" si="20"/>
        <v>3232017.4606801714</v>
      </c>
    </row>
    <row r="144" spans="1:18" x14ac:dyDescent="0.3">
      <c r="A144" s="2" t="s">
        <v>185</v>
      </c>
      <c r="B144" s="2"/>
      <c r="C144" s="2"/>
      <c r="D144" s="2">
        <v>460410</v>
      </c>
      <c r="E144" s="2">
        <f t="shared" si="21"/>
        <v>146161.90476190476</v>
      </c>
      <c r="F144" s="2"/>
      <c r="G144" s="2"/>
      <c r="H144" s="2">
        <v>164069</v>
      </c>
      <c r="I144" s="2">
        <f t="shared" si="22"/>
        <v>39534.698795180724</v>
      </c>
      <c r="J144" s="2">
        <v>7095</v>
      </c>
      <c r="K144" s="2">
        <f t="shared" si="25"/>
        <v>1730.4878048780488</v>
      </c>
      <c r="L144" s="2"/>
      <c r="M144" s="2"/>
      <c r="N144" s="2"/>
      <c r="O144" s="2"/>
      <c r="P144" s="2">
        <v>14680</v>
      </c>
      <c r="Q144" s="2">
        <f t="shared" si="23"/>
        <v>4448.484848484849</v>
      </c>
      <c r="R144" s="39">
        <f t="shared" si="20"/>
        <v>191875.5762104484</v>
      </c>
    </row>
    <row r="145" spans="1:18" x14ac:dyDescent="0.3">
      <c r="A145" s="2" t="s">
        <v>186</v>
      </c>
      <c r="B145" s="2">
        <v>19991</v>
      </c>
      <c r="C145" s="2">
        <f t="shared" si="24"/>
        <v>5711.7142857142853</v>
      </c>
      <c r="D145" s="2">
        <v>723871</v>
      </c>
      <c r="E145" s="2">
        <f t="shared" si="21"/>
        <v>229800.31746031746</v>
      </c>
      <c r="F145" s="2"/>
      <c r="G145" s="2"/>
      <c r="H145" s="2">
        <v>740336</v>
      </c>
      <c r="I145" s="2">
        <f t="shared" si="22"/>
        <v>178394.21686746989</v>
      </c>
      <c r="J145" s="2">
        <v>448545</v>
      </c>
      <c r="K145" s="2">
        <f t="shared" si="25"/>
        <v>109401.21951219512</v>
      </c>
      <c r="L145" s="2">
        <v>250976</v>
      </c>
      <c r="M145" s="2">
        <f t="shared" si="28"/>
        <v>82287.213114754108</v>
      </c>
      <c r="N145" s="2"/>
      <c r="O145" s="2"/>
      <c r="P145" s="2"/>
      <c r="Q145" s="2"/>
      <c r="R145" s="39">
        <f t="shared" si="20"/>
        <v>605594.68124045082</v>
      </c>
    </row>
    <row r="146" spans="1:18" x14ac:dyDescent="0.3">
      <c r="A146" s="2" t="s">
        <v>187</v>
      </c>
      <c r="B146" s="2"/>
      <c r="C146" s="2"/>
      <c r="D146" s="2"/>
      <c r="E146" s="2"/>
      <c r="F146" s="2">
        <v>10758</v>
      </c>
      <c r="G146" s="2">
        <f t="shared" si="27"/>
        <v>3211.3432835820895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39">
        <f t="shared" si="20"/>
        <v>3211.3432835820895</v>
      </c>
    </row>
    <row r="147" spans="1:18" x14ac:dyDescent="0.3">
      <c r="A147" s="2" t="s">
        <v>188</v>
      </c>
      <c r="B147" s="2"/>
      <c r="C147" s="2"/>
      <c r="D147" s="2">
        <v>5099</v>
      </c>
      <c r="E147" s="2">
        <f t="shared" si="21"/>
        <v>1618.7301587301588</v>
      </c>
      <c r="F147" s="2"/>
      <c r="G147" s="2"/>
      <c r="H147" s="2"/>
      <c r="I147" s="2"/>
      <c r="J147" s="2">
        <v>238</v>
      </c>
      <c r="K147" s="2">
        <f t="shared" si="25"/>
        <v>58.048780487804883</v>
      </c>
      <c r="L147" s="2"/>
      <c r="M147" s="2"/>
      <c r="N147" s="2"/>
      <c r="O147" s="2"/>
      <c r="P147" s="2">
        <v>337</v>
      </c>
      <c r="Q147" s="2">
        <f t="shared" si="23"/>
        <v>102.12121212121212</v>
      </c>
      <c r="R147" s="39">
        <f t="shared" si="20"/>
        <v>1778.9001513391759</v>
      </c>
    </row>
    <row r="148" spans="1:18" x14ac:dyDescent="0.3">
      <c r="A148" s="2" t="s">
        <v>189</v>
      </c>
      <c r="B148" s="2"/>
      <c r="C148" s="2"/>
      <c r="D148" s="2">
        <v>333755</v>
      </c>
      <c r="E148" s="2">
        <f t="shared" si="21"/>
        <v>105953.96825396825</v>
      </c>
      <c r="F148" s="2">
        <v>162361</v>
      </c>
      <c r="G148" s="2">
        <f t="shared" si="27"/>
        <v>48465.970149253735</v>
      </c>
      <c r="H148" s="2">
        <v>204788</v>
      </c>
      <c r="I148" s="2">
        <f t="shared" si="22"/>
        <v>49346.506024096387</v>
      </c>
      <c r="J148" s="2">
        <v>399066</v>
      </c>
      <c r="K148" s="2">
        <f t="shared" si="25"/>
        <v>97333.170731707316</v>
      </c>
      <c r="L148" s="2">
        <v>487</v>
      </c>
      <c r="M148" s="2">
        <f t="shared" si="28"/>
        <v>159.67213114754099</v>
      </c>
      <c r="N148" s="2">
        <v>117</v>
      </c>
      <c r="O148" s="2">
        <f t="shared" si="26"/>
        <v>32.5</v>
      </c>
      <c r="P148" s="2">
        <v>497148</v>
      </c>
      <c r="Q148" s="2">
        <f t="shared" si="23"/>
        <v>150650.90909090909</v>
      </c>
      <c r="R148" s="39">
        <f t="shared" si="20"/>
        <v>451942.69638108229</v>
      </c>
    </row>
    <row r="149" spans="1:18" x14ac:dyDescent="0.3">
      <c r="A149" s="2" t="s">
        <v>190</v>
      </c>
      <c r="B149" s="2"/>
      <c r="C149" s="2"/>
      <c r="D149" s="2"/>
      <c r="E149" s="2"/>
      <c r="F149" s="2"/>
      <c r="G149" s="2"/>
      <c r="H149" s="2">
        <v>49603</v>
      </c>
      <c r="I149" s="2">
        <f t="shared" si="22"/>
        <v>11952.530120481926</v>
      </c>
      <c r="J149" s="2">
        <v>58011</v>
      </c>
      <c r="K149" s="2">
        <f t="shared" si="25"/>
        <v>14149.024390243903</v>
      </c>
      <c r="L149" s="2">
        <v>4494</v>
      </c>
      <c r="M149" s="2">
        <f t="shared" si="28"/>
        <v>1473.4426229508199</v>
      </c>
      <c r="N149" s="2"/>
      <c r="O149" s="2"/>
      <c r="P149" s="2"/>
      <c r="Q149" s="2"/>
      <c r="R149" s="39">
        <f t="shared" si="20"/>
        <v>27574.99713367665</v>
      </c>
    </row>
    <row r="150" spans="1:18" x14ac:dyDescent="0.3">
      <c r="A150" s="2" t="s">
        <v>191</v>
      </c>
      <c r="B150" s="2">
        <v>3034903</v>
      </c>
      <c r="C150" s="2">
        <f t="shared" si="24"/>
        <v>867115.14285714284</v>
      </c>
      <c r="D150" s="2">
        <v>84245</v>
      </c>
      <c r="E150" s="2">
        <f t="shared" si="21"/>
        <v>26744.444444444445</v>
      </c>
      <c r="F150" s="2">
        <v>6302</v>
      </c>
      <c r="G150" s="2">
        <f t="shared" si="27"/>
        <v>1881.1940298507463</v>
      </c>
      <c r="H150" s="2">
        <v>898759</v>
      </c>
      <c r="I150" s="2">
        <f t="shared" si="22"/>
        <v>216568.43373493975</v>
      </c>
      <c r="J150" s="2">
        <v>103728</v>
      </c>
      <c r="K150" s="2">
        <f t="shared" si="25"/>
        <v>25299.512195121955</v>
      </c>
      <c r="L150" s="2">
        <v>44939</v>
      </c>
      <c r="M150" s="2">
        <f t="shared" si="28"/>
        <v>14734.098360655738</v>
      </c>
      <c r="N150" s="2">
        <v>10919</v>
      </c>
      <c r="O150" s="2">
        <f t="shared" si="26"/>
        <v>3033.0555555555557</v>
      </c>
      <c r="P150" s="2">
        <v>68865</v>
      </c>
      <c r="Q150" s="2">
        <f t="shared" si="23"/>
        <v>20868.18181818182</v>
      </c>
      <c r="R150" s="39">
        <f t="shared" si="20"/>
        <v>1176244.0629958929</v>
      </c>
    </row>
    <row r="151" spans="1:18" x14ac:dyDescent="0.3">
      <c r="A151" s="2" t="s">
        <v>192</v>
      </c>
      <c r="B151" s="2"/>
      <c r="C151" s="2"/>
      <c r="D151" s="2"/>
      <c r="E151" s="2"/>
      <c r="F151" s="2"/>
      <c r="G151" s="2"/>
      <c r="H151" s="2">
        <v>26136</v>
      </c>
      <c r="I151" s="2">
        <f t="shared" si="22"/>
        <v>6297.8313253012038</v>
      </c>
      <c r="J151" s="2">
        <v>154739</v>
      </c>
      <c r="K151" s="2">
        <f t="shared" si="25"/>
        <v>37741.219512195123</v>
      </c>
      <c r="L151" s="2"/>
      <c r="M151" s="2"/>
      <c r="N151" s="2"/>
      <c r="O151" s="2"/>
      <c r="P151" s="2"/>
      <c r="Q151" s="2"/>
      <c r="R151" s="39">
        <f t="shared" si="20"/>
        <v>44039.050837496325</v>
      </c>
    </row>
    <row r="152" spans="1:18" x14ac:dyDescent="0.3">
      <c r="A152" s="2" t="s">
        <v>193</v>
      </c>
      <c r="B152" s="2"/>
      <c r="C152" s="2"/>
      <c r="D152" s="2"/>
      <c r="E152" s="2"/>
      <c r="F152" s="2"/>
      <c r="G152" s="2"/>
      <c r="H152" s="2"/>
      <c r="I152" s="2"/>
      <c r="J152" s="2">
        <v>101475</v>
      </c>
      <c r="K152" s="2">
        <f t="shared" si="25"/>
        <v>24750.000000000004</v>
      </c>
      <c r="L152" s="2">
        <v>44266</v>
      </c>
      <c r="M152" s="2">
        <f t="shared" si="28"/>
        <v>14513.442622950821</v>
      </c>
      <c r="N152" s="2"/>
      <c r="O152" s="2"/>
      <c r="P152" s="2"/>
      <c r="Q152" s="2"/>
      <c r="R152" s="39">
        <f t="shared" si="20"/>
        <v>39263.442622950824</v>
      </c>
    </row>
    <row r="153" spans="1:18" x14ac:dyDescent="0.3">
      <c r="A153" s="2" t="s">
        <v>194</v>
      </c>
      <c r="B153" s="2">
        <v>1211743</v>
      </c>
      <c r="C153" s="2">
        <f t="shared" si="24"/>
        <v>346212.28571428574</v>
      </c>
      <c r="D153" s="2">
        <v>7498391</v>
      </c>
      <c r="E153" s="2">
        <f t="shared" si="21"/>
        <v>2380441.5873015877</v>
      </c>
      <c r="F153" s="2">
        <v>1187388</v>
      </c>
      <c r="G153" s="2">
        <f t="shared" si="27"/>
        <v>354444.17910447757</v>
      </c>
      <c r="H153" s="2">
        <v>9548813</v>
      </c>
      <c r="I153" s="2">
        <f t="shared" si="22"/>
        <v>2300918.7951807226</v>
      </c>
      <c r="J153" s="2">
        <v>459588</v>
      </c>
      <c r="K153" s="2">
        <f t="shared" si="25"/>
        <v>112094.63414634147</v>
      </c>
      <c r="L153" s="2">
        <v>949280</v>
      </c>
      <c r="M153" s="2">
        <f t="shared" si="28"/>
        <v>311239.34426229511</v>
      </c>
      <c r="N153" s="2">
        <v>182412</v>
      </c>
      <c r="O153" s="2">
        <f t="shared" si="26"/>
        <v>50670</v>
      </c>
      <c r="P153" s="2">
        <v>270790</v>
      </c>
      <c r="Q153" s="2">
        <f t="shared" si="23"/>
        <v>82057.57575757576</v>
      </c>
      <c r="R153" s="39">
        <f t="shared" si="20"/>
        <v>5938078.4014672861</v>
      </c>
    </row>
    <row r="154" spans="1:18" x14ac:dyDescent="0.3">
      <c r="A154" s="2" t="s">
        <v>195</v>
      </c>
      <c r="B154" s="2"/>
      <c r="C154" s="2"/>
      <c r="D154" s="2"/>
      <c r="E154" s="2"/>
      <c r="F154" s="2"/>
      <c r="G154" s="2"/>
      <c r="H154" s="2"/>
      <c r="I154" s="2"/>
      <c r="J154" s="2">
        <v>1645</v>
      </c>
      <c r="K154" s="2">
        <f t="shared" si="25"/>
        <v>401.21951219512198</v>
      </c>
      <c r="L154" s="2"/>
      <c r="M154" s="2"/>
      <c r="N154" s="2"/>
      <c r="O154" s="2"/>
      <c r="P154" s="2"/>
      <c r="Q154" s="2"/>
      <c r="R154" s="39">
        <f t="shared" si="20"/>
        <v>401.21951219512198</v>
      </c>
    </row>
    <row r="155" spans="1:18" x14ac:dyDescent="0.3">
      <c r="A155" s="2" t="s">
        <v>196</v>
      </c>
      <c r="B155" s="2"/>
      <c r="C155" s="2"/>
      <c r="D155" s="2">
        <v>11473</v>
      </c>
      <c r="E155" s="2">
        <f t="shared" si="21"/>
        <v>3642.2222222222226</v>
      </c>
      <c r="F155" s="2">
        <v>17253</v>
      </c>
      <c r="G155" s="2">
        <f t="shared" si="27"/>
        <v>5150.1492537313434</v>
      </c>
      <c r="H155" s="2">
        <v>29152</v>
      </c>
      <c r="I155" s="2">
        <f t="shared" si="22"/>
        <v>7024.5783132530114</v>
      </c>
      <c r="J155" s="2">
        <v>157534</v>
      </c>
      <c r="K155" s="2">
        <f t="shared" si="25"/>
        <v>38422.926829268297</v>
      </c>
      <c r="L155" s="2">
        <v>417</v>
      </c>
      <c r="M155" s="2">
        <f t="shared" si="28"/>
        <v>136.72131147540983</v>
      </c>
      <c r="N155" s="2">
        <v>205</v>
      </c>
      <c r="O155" s="2">
        <f t="shared" si="26"/>
        <v>56.944444444444443</v>
      </c>
      <c r="P155" s="2">
        <v>40494</v>
      </c>
      <c r="Q155" s="2">
        <f t="shared" si="23"/>
        <v>12270.909090909092</v>
      </c>
      <c r="R155" s="39">
        <f t="shared" si="20"/>
        <v>66704.45146530382</v>
      </c>
    </row>
    <row r="156" spans="1:18" x14ac:dyDescent="0.3">
      <c r="A156" s="2" t="s">
        <v>197</v>
      </c>
      <c r="B156" s="2"/>
      <c r="C156" s="2"/>
      <c r="D156" s="2">
        <v>7911522</v>
      </c>
      <c r="E156" s="2">
        <f t="shared" si="21"/>
        <v>2511594.2857142859</v>
      </c>
      <c r="F156" s="2">
        <v>4496662</v>
      </c>
      <c r="G156" s="2">
        <f t="shared" si="27"/>
        <v>1342287.1641791044</v>
      </c>
      <c r="H156" s="2">
        <v>2593518</v>
      </c>
      <c r="I156" s="2">
        <f t="shared" si="22"/>
        <v>624944.09638554219</v>
      </c>
      <c r="J156" s="2">
        <v>180895</v>
      </c>
      <c r="K156" s="2">
        <f t="shared" si="25"/>
        <v>44120.731707317078</v>
      </c>
      <c r="L156" s="2">
        <v>638</v>
      </c>
      <c r="M156" s="2">
        <f t="shared" si="28"/>
        <v>209.18032786885249</v>
      </c>
      <c r="N156" s="2">
        <v>1</v>
      </c>
      <c r="O156" s="2">
        <f t="shared" si="26"/>
        <v>0.27777777777777779</v>
      </c>
      <c r="P156" s="2">
        <v>166308</v>
      </c>
      <c r="Q156" s="2">
        <f t="shared" si="23"/>
        <v>50396.36363636364</v>
      </c>
      <c r="R156" s="39">
        <f t="shared" si="20"/>
        <v>4573552.0997282593</v>
      </c>
    </row>
    <row r="157" spans="1:18" x14ac:dyDescent="0.3">
      <c r="A157" s="2" t="s">
        <v>198</v>
      </c>
      <c r="B157" s="2">
        <v>2813072</v>
      </c>
      <c r="C157" s="2">
        <f t="shared" si="24"/>
        <v>803734.85714285716</v>
      </c>
      <c r="D157" s="2">
        <v>441564</v>
      </c>
      <c r="E157" s="2">
        <f t="shared" si="21"/>
        <v>140179.0476190476</v>
      </c>
      <c r="F157" s="2"/>
      <c r="G157" s="2"/>
      <c r="H157" s="2">
        <v>242726</v>
      </c>
      <c r="I157" s="2">
        <f t="shared" si="22"/>
        <v>58488.19277108433</v>
      </c>
      <c r="J157" s="2">
        <v>157970</v>
      </c>
      <c r="K157" s="2">
        <f t="shared" si="25"/>
        <v>38529.268292682929</v>
      </c>
      <c r="L157" s="2">
        <v>498887</v>
      </c>
      <c r="M157" s="2">
        <f t="shared" si="28"/>
        <v>163569.50819672132</v>
      </c>
      <c r="N157" s="2">
        <v>201175</v>
      </c>
      <c r="O157" s="2">
        <f t="shared" si="26"/>
        <v>55881.944444444438</v>
      </c>
      <c r="P157" s="2">
        <v>1343642</v>
      </c>
      <c r="Q157" s="2">
        <f t="shared" si="23"/>
        <v>407164.24242424243</v>
      </c>
      <c r="R157" s="39">
        <f t="shared" si="20"/>
        <v>1667547.0608910804</v>
      </c>
    </row>
    <row r="158" spans="1:18" x14ac:dyDescent="0.3">
      <c r="A158" s="2" t="s">
        <v>199</v>
      </c>
      <c r="B158" s="2"/>
      <c r="C158" s="2"/>
      <c r="D158" s="2"/>
      <c r="E158" s="2"/>
      <c r="F158" s="2"/>
      <c r="G158" s="2"/>
      <c r="H158" s="2">
        <v>149</v>
      </c>
      <c r="I158" s="2">
        <f t="shared" si="22"/>
        <v>35.903614457831324</v>
      </c>
      <c r="J158" s="2"/>
      <c r="K158" s="2"/>
      <c r="L158" s="2"/>
      <c r="M158" s="2"/>
      <c r="N158" s="2"/>
      <c r="O158" s="2"/>
      <c r="P158" s="2">
        <v>55</v>
      </c>
      <c r="Q158" s="2">
        <f t="shared" si="23"/>
        <v>16.666666666666668</v>
      </c>
      <c r="R158" s="39">
        <f t="shared" si="20"/>
        <v>52.570281124497996</v>
      </c>
    </row>
    <row r="159" spans="1:18" x14ac:dyDescent="0.3">
      <c r="A159" s="2" t="s">
        <v>200</v>
      </c>
      <c r="B159" s="2"/>
      <c r="C159" s="2"/>
      <c r="D159" s="2"/>
      <c r="E159" s="2"/>
      <c r="F159" s="2"/>
      <c r="G159" s="2"/>
      <c r="H159" s="2"/>
      <c r="I159" s="2"/>
      <c r="J159" s="2">
        <v>81711</v>
      </c>
      <c r="K159" s="2">
        <f t="shared" si="25"/>
        <v>19929.512195121952</v>
      </c>
      <c r="L159" s="2"/>
      <c r="M159" s="2"/>
      <c r="N159" s="2"/>
      <c r="O159" s="2"/>
      <c r="P159" s="2"/>
      <c r="Q159" s="2"/>
      <c r="R159" s="39">
        <f t="shared" si="20"/>
        <v>19929.512195121952</v>
      </c>
    </row>
    <row r="160" spans="1:18" x14ac:dyDescent="0.3">
      <c r="A160" s="2" t="s">
        <v>201</v>
      </c>
      <c r="B160" s="2"/>
      <c r="C160" s="2"/>
      <c r="D160" s="2">
        <v>669</v>
      </c>
      <c r="E160" s="2">
        <f t="shared" si="21"/>
        <v>212.38095238095241</v>
      </c>
      <c r="F160" s="2">
        <v>43</v>
      </c>
      <c r="G160" s="2">
        <f t="shared" si="27"/>
        <v>12.835820895522387</v>
      </c>
      <c r="H160" s="2"/>
      <c r="I160" s="2"/>
      <c r="J160" s="2">
        <v>593</v>
      </c>
      <c r="K160" s="2">
        <f t="shared" si="25"/>
        <v>144.63414634146343</v>
      </c>
      <c r="L160" s="2"/>
      <c r="M160" s="2"/>
      <c r="N160" s="2"/>
      <c r="O160" s="2"/>
      <c r="P160" s="2">
        <v>55</v>
      </c>
      <c r="Q160" s="2">
        <f t="shared" si="23"/>
        <v>16.666666666666668</v>
      </c>
      <c r="R160" s="39">
        <f t="shared" si="20"/>
        <v>386.51758628460487</v>
      </c>
    </row>
    <row r="161" spans="1:18" x14ac:dyDescent="0.3">
      <c r="A161" s="2" t="s">
        <v>202</v>
      </c>
      <c r="B161" s="2">
        <v>474813</v>
      </c>
      <c r="C161" s="2">
        <f t="shared" si="24"/>
        <v>135660.85714285713</v>
      </c>
      <c r="D161" s="2">
        <v>3000</v>
      </c>
      <c r="E161" s="2">
        <f t="shared" si="21"/>
        <v>952.38095238095241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>
        <v>252481</v>
      </c>
      <c r="Q161" s="2">
        <f t="shared" si="23"/>
        <v>76509.393939393936</v>
      </c>
      <c r="R161" s="39">
        <f t="shared" si="20"/>
        <v>213122.63203463203</v>
      </c>
    </row>
    <row r="162" spans="1:18" x14ac:dyDescent="0.3">
      <c r="A162" s="2" t="s">
        <v>203</v>
      </c>
      <c r="B162" s="2"/>
      <c r="C162" s="2"/>
      <c r="D162" s="2"/>
      <c r="E162" s="2"/>
      <c r="F162" s="2">
        <v>22543</v>
      </c>
      <c r="G162" s="2">
        <f t="shared" si="27"/>
        <v>6729.2537313432831</v>
      </c>
      <c r="H162" s="2">
        <v>70</v>
      </c>
      <c r="I162" s="2">
        <f t="shared" si="22"/>
        <v>16.867469879518069</v>
      </c>
      <c r="J162" s="2"/>
      <c r="K162" s="2"/>
      <c r="L162" s="2"/>
      <c r="M162" s="2"/>
      <c r="N162" s="2">
        <v>15</v>
      </c>
      <c r="O162" s="2">
        <f t="shared" si="26"/>
        <v>4.166666666666667</v>
      </c>
      <c r="P162" s="2">
        <v>147</v>
      </c>
      <c r="Q162" s="2">
        <f t="shared" si="23"/>
        <v>44.545454545454554</v>
      </c>
      <c r="R162" s="39">
        <f t="shared" si="20"/>
        <v>6794.8333224349235</v>
      </c>
    </row>
    <row r="163" spans="1:18" x14ac:dyDescent="0.3">
      <c r="A163" s="2" t="s">
        <v>204</v>
      </c>
      <c r="B163" s="2"/>
      <c r="C163" s="2"/>
      <c r="D163" s="2"/>
      <c r="E163" s="2"/>
      <c r="F163" s="2"/>
      <c r="G163" s="2"/>
      <c r="H163" s="2">
        <v>15</v>
      </c>
      <c r="I163" s="2">
        <f t="shared" si="22"/>
        <v>3.6144578313253009</v>
      </c>
      <c r="J163" s="2"/>
      <c r="K163" s="2"/>
      <c r="L163" s="2"/>
      <c r="M163" s="2"/>
      <c r="N163" s="2"/>
      <c r="O163" s="2"/>
      <c r="P163" s="2">
        <v>343</v>
      </c>
      <c r="Q163" s="2">
        <f t="shared" si="23"/>
        <v>103.93939393939395</v>
      </c>
      <c r="R163" s="39">
        <f t="shared" si="20"/>
        <v>107.55385177071925</v>
      </c>
    </row>
    <row r="164" spans="1:18" x14ac:dyDescent="0.3">
      <c r="A164" s="2" t="s">
        <v>205</v>
      </c>
      <c r="B164" s="2"/>
      <c r="C164" s="2"/>
      <c r="D164" s="2">
        <v>294</v>
      </c>
      <c r="E164" s="2">
        <f t="shared" si="21"/>
        <v>93.333333333333343</v>
      </c>
      <c r="F164" s="2">
        <v>1</v>
      </c>
      <c r="G164" s="2">
        <f t="shared" si="27"/>
        <v>0.29850746268656719</v>
      </c>
      <c r="H164" s="2">
        <v>10192</v>
      </c>
      <c r="I164" s="2">
        <f t="shared" si="22"/>
        <v>2455.9036144578313</v>
      </c>
      <c r="J164" s="2">
        <v>631</v>
      </c>
      <c r="K164" s="2">
        <f t="shared" si="25"/>
        <v>153.90243902439025</v>
      </c>
      <c r="L164" s="2">
        <v>183</v>
      </c>
      <c r="M164" s="2">
        <f t="shared" si="28"/>
        <v>60</v>
      </c>
      <c r="N164" s="2">
        <v>255</v>
      </c>
      <c r="O164" s="2">
        <f t="shared" si="26"/>
        <v>70.833333333333329</v>
      </c>
      <c r="P164" s="2">
        <v>27181</v>
      </c>
      <c r="Q164" s="2">
        <f t="shared" si="23"/>
        <v>8236.6666666666679</v>
      </c>
      <c r="R164" s="39">
        <f t="shared" si="20"/>
        <v>11070.937894278242</v>
      </c>
    </row>
    <row r="165" spans="1:18" x14ac:dyDescent="0.3">
      <c r="A165" s="2" t="s">
        <v>206</v>
      </c>
      <c r="B165" s="2"/>
      <c r="C165" s="2"/>
      <c r="D165" s="2"/>
      <c r="E165" s="2"/>
      <c r="F165" s="2"/>
      <c r="G165" s="2"/>
      <c r="H165" s="2">
        <v>429048</v>
      </c>
      <c r="I165" s="2">
        <f t="shared" si="22"/>
        <v>103385.06024096385</v>
      </c>
      <c r="J165" s="2"/>
      <c r="K165" s="2"/>
      <c r="L165" s="2"/>
      <c r="M165" s="2"/>
      <c r="N165" s="2"/>
      <c r="O165" s="2"/>
      <c r="P165" s="2"/>
      <c r="Q165" s="2"/>
      <c r="R165" s="39">
        <f t="shared" si="20"/>
        <v>103385.06024096385</v>
      </c>
    </row>
    <row r="166" spans="1:18" x14ac:dyDescent="0.3">
      <c r="A166" s="2" t="s">
        <v>207</v>
      </c>
      <c r="B166" s="2">
        <v>200687</v>
      </c>
      <c r="C166" s="2">
        <f t="shared" si="24"/>
        <v>57339.142857142855</v>
      </c>
      <c r="D166" s="2">
        <v>2406330</v>
      </c>
      <c r="E166" s="2">
        <f t="shared" si="21"/>
        <v>763914.28571428568</v>
      </c>
      <c r="F166" s="2">
        <v>750959</v>
      </c>
      <c r="G166" s="2">
        <f t="shared" si="27"/>
        <v>224166.8656716418</v>
      </c>
      <c r="H166" s="2">
        <v>4985802</v>
      </c>
      <c r="I166" s="2">
        <f t="shared" si="22"/>
        <v>1201398.0722891565</v>
      </c>
      <c r="J166" s="2">
        <v>958699</v>
      </c>
      <c r="K166" s="2">
        <f t="shared" si="25"/>
        <v>233829.02439024393</v>
      </c>
      <c r="L166" s="2">
        <v>769898</v>
      </c>
      <c r="M166" s="2">
        <f t="shared" si="28"/>
        <v>252425.57377049181</v>
      </c>
      <c r="N166" s="2">
        <v>354077</v>
      </c>
      <c r="O166" s="2">
        <f t="shared" si="26"/>
        <v>98354.722222222219</v>
      </c>
      <c r="P166" s="2">
        <v>2132634</v>
      </c>
      <c r="Q166" s="2">
        <f t="shared" si="23"/>
        <v>646252.72727272729</v>
      </c>
      <c r="R166" s="39">
        <f t="shared" si="20"/>
        <v>3477680.4141879119</v>
      </c>
    </row>
    <row r="167" spans="1:18" x14ac:dyDescent="0.3">
      <c r="A167" s="2" t="s">
        <v>208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>
        <v>1383</v>
      </c>
      <c r="Q167" s="2">
        <f t="shared" si="23"/>
        <v>419.09090909090912</v>
      </c>
      <c r="R167" s="39">
        <f t="shared" si="20"/>
        <v>419.09090909090912</v>
      </c>
    </row>
    <row r="168" spans="1:18" x14ac:dyDescent="0.3">
      <c r="A168" s="2" t="s">
        <v>209</v>
      </c>
      <c r="B168" s="2"/>
      <c r="C168" s="2"/>
      <c r="D168" s="2"/>
      <c r="E168" s="2"/>
      <c r="F168" s="2"/>
      <c r="G168" s="2"/>
      <c r="H168" s="2">
        <v>5751</v>
      </c>
      <c r="I168" s="2">
        <f t="shared" si="22"/>
        <v>1385.7831325301204</v>
      </c>
      <c r="J168" s="2"/>
      <c r="K168" s="2"/>
      <c r="L168" s="2"/>
      <c r="M168" s="2"/>
      <c r="N168" s="2"/>
      <c r="O168" s="2"/>
      <c r="P168" s="2"/>
      <c r="Q168" s="2"/>
      <c r="R168" s="39">
        <f t="shared" si="20"/>
        <v>1385.7831325301204</v>
      </c>
    </row>
    <row r="169" spans="1:18" x14ac:dyDescent="0.3">
      <c r="A169" s="2" t="s">
        <v>210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>
        <v>4907</v>
      </c>
      <c r="M169" s="2">
        <f t="shared" si="28"/>
        <v>1608.8524590163936</v>
      </c>
      <c r="N169" s="2"/>
      <c r="O169" s="2"/>
      <c r="P169" s="2"/>
      <c r="Q169" s="2"/>
      <c r="R169" s="39">
        <f t="shared" si="20"/>
        <v>1608.8524590163936</v>
      </c>
    </row>
    <row r="170" spans="1:18" x14ac:dyDescent="0.3">
      <c r="A170" s="2" t="s">
        <v>211</v>
      </c>
      <c r="B170" s="2">
        <v>279</v>
      </c>
      <c r="C170" s="2">
        <f t="shared" si="24"/>
        <v>79.714285714285708</v>
      </c>
      <c r="D170" s="2">
        <v>579234</v>
      </c>
      <c r="E170" s="2">
        <f t="shared" si="21"/>
        <v>183883.80952380953</v>
      </c>
      <c r="F170" s="2">
        <v>42623</v>
      </c>
      <c r="G170" s="2">
        <f t="shared" si="27"/>
        <v>12723.283582089553</v>
      </c>
      <c r="H170" s="2">
        <v>390040</v>
      </c>
      <c r="I170" s="2">
        <f t="shared" si="22"/>
        <v>93985.542168674699</v>
      </c>
      <c r="J170" s="2">
        <v>300281</v>
      </c>
      <c r="K170" s="2">
        <f t="shared" si="25"/>
        <v>73239.268292682929</v>
      </c>
      <c r="L170" s="2">
        <v>1243</v>
      </c>
      <c r="M170" s="2">
        <f t="shared" si="28"/>
        <v>407.5409836065574</v>
      </c>
      <c r="N170" s="2">
        <v>72</v>
      </c>
      <c r="O170" s="2">
        <f t="shared" si="26"/>
        <v>20</v>
      </c>
      <c r="P170" s="2">
        <v>26190</v>
      </c>
      <c r="Q170" s="2">
        <f t="shared" si="23"/>
        <v>7936.3636363636369</v>
      </c>
      <c r="R170" s="39">
        <f t="shared" si="20"/>
        <v>372275.5224729412</v>
      </c>
    </row>
    <row r="171" spans="1:18" x14ac:dyDescent="0.3">
      <c r="A171" s="2" t="s">
        <v>212</v>
      </c>
      <c r="B171" s="2">
        <v>41156</v>
      </c>
      <c r="C171" s="2">
        <f t="shared" si="24"/>
        <v>11758.857142857143</v>
      </c>
      <c r="D171" s="2">
        <v>128557</v>
      </c>
      <c r="E171" s="2">
        <f t="shared" si="21"/>
        <v>40811.746031746028</v>
      </c>
      <c r="F171" s="2">
        <v>23788</v>
      </c>
      <c r="G171" s="2">
        <f t="shared" si="27"/>
        <v>7100.8955223880594</v>
      </c>
      <c r="H171" s="2">
        <v>457322</v>
      </c>
      <c r="I171" s="2">
        <f t="shared" si="22"/>
        <v>110198.07228915661</v>
      </c>
      <c r="J171" s="2">
        <v>121568</v>
      </c>
      <c r="K171" s="2">
        <f t="shared" si="25"/>
        <v>29650.731707317078</v>
      </c>
      <c r="L171" s="2">
        <v>57645</v>
      </c>
      <c r="M171" s="2">
        <f t="shared" si="28"/>
        <v>18900</v>
      </c>
      <c r="N171" s="2">
        <v>278</v>
      </c>
      <c r="O171" s="2">
        <f t="shared" si="26"/>
        <v>77.222222222222214</v>
      </c>
      <c r="P171" s="2">
        <v>23101</v>
      </c>
      <c r="Q171" s="2">
        <f t="shared" si="23"/>
        <v>7000.30303030303</v>
      </c>
      <c r="R171" s="39">
        <f t="shared" si="20"/>
        <v>225497.8279459902</v>
      </c>
    </row>
    <row r="172" spans="1:18" x14ac:dyDescent="0.3">
      <c r="A172" s="2" t="s">
        <v>213</v>
      </c>
      <c r="B172" s="2"/>
      <c r="C172" s="2"/>
      <c r="D172" s="2">
        <v>399</v>
      </c>
      <c r="E172" s="2">
        <f t="shared" si="21"/>
        <v>126.66666666666667</v>
      </c>
      <c r="F172" s="2"/>
      <c r="G172" s="2"/>
      <c r="H172" s="2">
        <v>5727</v>
      </c>
      <c r="I172" s="2">
        <f t="shared" si="22"/>
        <v>1379.9999999999998</v>
      </c>
      <c r="J172" s="2"/>
      <c r="K172" s="2"/>
      <c r="L172" s="2">
        <v>39</v>
      </c>
      <c r="M172" s="2">
        <f t="shared" si="28"/>
        <v>12.78688524590164</v>
      </c>
      <c r="N172" s="2">
        <v>23</v>
      </c>
      <c r="O172" s="2">
        <f t="shared" si="26"/>
        <v>6.3888888888888884</v>
      </c>
      <c r="P172" s="2">
        <v>3146</v>
      </c>
      <c r="Q172" s="2">
        <f t="shared" si="23"/>
        <v>953.33333333333337</v>
      </c>
      <c r="R172" s="39">
        <f t="shared" si="20"/>
        <v>2479.1757741347906</v>
      </c>
    </row>
    <row r="173" spans="1:18" x14ac:dyDescent="0.3">
      <c r="A173" s="2" t="s">
        <v>214</v>
      </c>
      <c r="B173" s="2"/>
      <c r="C173" s="2"/>
      <c r="D173" s="2">
        <v>2190</v>
      </c>
      <c r="E173" s="2">
        <f t="shared" si="21"/>
        <v>695.2380952380953</v>
      </c>
      <c r="F173" s="2">
        <v>452</v>
      </c>
      <c r="G173" s="2">
        <f t="shared" si="27"/>
        <v>134.92537313432834</v>
      </c>
      <c r="H173" s="2">
        <v>3805</v>
      </c>
      <c r="I173" s="2">
        <f t="shared" si="22"/>
        <v>916.86746987951801</v>
      </c>
      <c r="J173" s="2">
        <v>306</v>
      </c>
      <c r="K173" s="2">
        <f t="shared" si="25"/>
        <v>74.634146341463421</v>
      </c>
      <c r="L173" s="2">
        <v>59</v>
      </c>
      <c r="M173" s="2">
        <f t="shared" si="28"/>
        <v>19.344262295081968</v>
      </c>
      <c r="N173" s="2"/>
      <c r="O173" s="2"/>
      <c r="P173" s="2">
        <v>1427</v>
      </c>
      <c r="Q173" s="2">
        <f t="shared" si="23"/>
        <v>432.42424242424244</v>
      </c>
      <c r="R173" s="39">
        <f t="shared" si="20"/>
        <v>2273.4335893127295</v>
      </c>
    </row>
    <row r="174" spans="1:18" x14ac:dyDescent="0.3">
      <c r="A174" s="2" t="s">
        <v>215</v>
      </c>
      <c r="B174" s="2"/>
      <c r="C174" s="2"/>
      <c r="D174" s="2">
        <v>4229444</v>
      </c>
      <c r="E174" s="2">
        <f t="shared" si="21"/>
        <v>1342680.634920635</v>
      </c>
      <c r="F174" s="2">
        <v>2661128</v>
      </c>
      <c r="G174" s="2">
        <f t="shared" si="27"/>
        <v>794366.56716417905</v>
      </c>
      <c r="H174" s="2">
        <v>3615226</v>
      </c>
      <c r="I174" s="2">
        <f t="shared" si="22"/>
        <v>871138.79518072284</v>
      </c>
      <c r="J174" s="2">
        <v>335140</v>
      </c>
      <c r="K174" s="2">
        <f t="shared" si="25"/>
        <v>81741.463414634156</v>
      </c>
      <c r="L174" s="2"/>
      <c r="M174" s="2"/>
      <c r="N174" s="2">
        <v>511524</v>
      </c>
      <c r="O174" s="2">
        <f t="shared" si="26"/>
        <v>142090</v>
      </c>
      <c r="P174" s="2"/>
      <c r="Q174" s="2"/>
      <c r="R174" s="39">
        <f t="shared" si="20"/>
        <v>3232017.4606801714</v>
      </c>
    </row>
    <row r="175" spans="1:18" x14ac:dyDescent="0.3">
      <c r="A175" s="2" t="s">
        <v>216</v>
      </c>
      <c r="B175" s="2">
        <v>1110908</v>
      </c>
      <c r="C175" s="2">
        <f t="shared" si="24"/>
        <v>317402.28571428574</v>
      </c>
      <c r="D175" s="2">
        <v>486340</v>
      </c>
      <c r="E175" s="2">
        <f t="shared" si="21"/>
        <v>154393.6507936508</v>
      </c>
      <c r="F175" s="2">
        <v>89646</v>
      </c>
      <c r="G175" s="2">
        <f t="shared" si="27"/>
        <v>26760</v>
      </c>
      <c r="H175" s="2">
        <v>742360</v>
      </c>
      <c r="I175" s="2">
        <f t="shared" si="22"/>
        <v>178881.92771084336</v>
      </c>
      <c r="J175" s="2">
        <v>84752</v>
      </c>
      <c r="K175" s="2">
        <f t="shared" si="25"/>
        <v>20671.219512195126</v>
      </c>
      <c r="L175" s="2"/>
      <c r="M175" s="2"/>
      <c r="N175" s="2"/>
      <c r="O175" s="2"/>
      <c r="P175" s="2">
        <v>2289</v>
      </c>
      <c r="Q175" s="2">
        <f t="shared" si="23"/>
        <v>693.63636363636363</v>
      </c>
      <c r="R175" s="39">
        <f t="shared" si="20"/>
        <v>698802.7200946114</v>
      </c>
    </row>
    <row r="176" spans="1:18" x14ac:dyDescent="0.3">
      <c r="A176" s="2" t="s">
        <v>217</v>
      </c>
      <c r="B176" s="2"/>
      <c r="C176" s="2"/>
      <c r="D176" s="2">
        <v>1817032</v>
      </c>
      <c r="E176" s="2">
        <f t="shared" si="21"/>
        <v>576835.55555555562</v>
      </c>
      <c r="F176" s="2">
        <v>89677</v>
      </c>
      <c r="G176" s="2">
        <f t="shared" si="27"/>
        <v>26769.253731343284</v>
      </c>
      <c r="H176" s="2">
        <v>1188893</v>
      </c>
      <c r="I176" s="2">
        <f t="shared" si="22"/>
        <v>286480.24096385541</v>
      </c>
      <c r="J176" s="2">
        <v>495166</v>
      </c>
      <c r="K176" s="2">
        <f t="shared" si="25"/>
        <v>120772.19512195124</v>
      </c>
      <c r="L176" s="2"/>
      <c r="M176" s="2"/>
      <c r="N176" s="2"/>
      <c r="O176" s="2"/>
      <c r="P176" s="2">
        <v>85798</v>
      </c>
      <c r="Q176" s="2">
        <f t="shared" si="23"/>
        <v>25999.39393939394</v>
      </c>
      <c r="R176" s="39">
        <f t="shared" si="20"/>
        <v>1036856.6393120995</v>
      </c>
    </row>
    <row r="177" spans="1:18" x14ac:dyDescent="0.3">
      <c r="A177" s="2" t="s">
        <v>218</v>
      </c>
      <c r="B177" s="2">
        <v>2168</v>
      </c>
      <c r="C177" s="2">
        <f t="shared" si="24"/>
        <v>619.42857142857144</v>
      </c>
      <c r="D177" s="2">
        <v>12783</v>
      </c>
      <c r="E177" s="2">
        <f t="shared" si="21"/>
        <v>4058.0952380952385</v>
      </c>
      <c r="F177" s="2"/>
      <c r="G177" s="2"/>
      <c r="H177" s="2">
        <v>146980</v>
      </c>
      <c r="I177" s="2">
        <f t="shared" si="22"/>
        <v>35416.867469879515</v>
      </c>
      <c r="J177" s="2">
        <v>15258</v>
      </c>
      <c r="K177" s="2">
        <f t="shared" si="25"/>
        <v>3721.4634146341468</v>
      </c>
      <c r="L177" s="2">
        <v>1138</v>
      </c>
      <c r="M177" s="2">
        <f t="shared" si="28"/>
        <v>373.11475409836066</v>
      </c>
      <c r="N177" s="2">
        <v>794</v>
      </c>
      <c r="O177" s="2">
        <f t="shared" si="26"/>
        <v>220.55555555555557</v>
      </c>
      <c r="P177" s="2">
        <v>25764</v>
      </c>
      <c r="Q177" s="2">
        <f t="shared" si="23"/>
        <v>7807.2727272727279</v>
      </c>
      <c r="R177" s="39">
        <f t="shared" si="20"/>
        <v>52216.797730964114</v>
      </c>
    </row>
    <row r="178" spans="1:18" x14ac:dyDescent="0.3">
      <c r="A178" s="2" t="s">
        <v>219</v>
      </c>
      <c r="B178" s="2"/>
      <c r="C178" s="2"/>
      <c r="D178" s="2"/>
      <c r="E178" s="2"/>
      <c r="F178" s="2"/>
      <c r="G178" s="2"/>
      <c r="H178" s="2">
        <v>51835</v>
      </c>
      <c r="I178" s="2">
        <f t="shared" si="22"/>
        <v>12490.36144578313</v>
      </c>
      <c r="J178" s="2">
        <v>16017</v>
      </c>
      <c r="K178" s="2">
        <f t="shared" si="25"/>
        <v>3906.5853658536589</v>
      </c>
      <c r="L178" s="2">
        <v>51726</v>
      </c>
      <c r="M178" s="2">
        <f t="shared" si="28"/>
        <v>16959.344262295082</v>
      </c>
      <c r="N178" s="2"/>
      <c r="O178" s="2"/>
      <c r="P178" s="2"/>
      <c r="Q178" s="2"/>
      <c r="R178" s="39">
        <f t="shared" si="20"/>
        <v>33356.291073931876</v>
      </c>
    </row>
    <row r="179" spans="1:18" x14ac:dyDescent="0.3">
      <c r="A179" s="2" t="s">
        <v>220</v>
      </c>
      <c r="B179" s="2"/>
      <c r="C179" s="2"/>
      <c r="D179" s="2"/>
      <c r="E179" s="2"/>
      <c r="F179" s="2"/>
      <c r="G179" s="2"/>
      <c r="H179" s="2">
        <v>18</v>
      </c>
      <c r="I179" s="2">
        <f t="shared" si="22"/>
        <v>4.3373493975903612</v>
      </c>
      <c r="J179" s="2"/>
      <c r="K179" s="2"/>
      <c r="L179" s="2"/>
      <c r="M179" s="2"/>
      <c r="N179" s="2"/>
      <c r="O179" s="2"/>
      <c r="P179" s="2"/>
      <c r="Q179" s="2"/>
      <c r="R179" s="39">
        <f t="shared" si="20"/>
        <v>4.3373493975903612</v>
      </c>
    </row>
    <row r="180" spans="1:18" x14ac:dyDescent="0.3">
      <c r="A180" s="2" t="s">
        <v>221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>
        <v>4107</v>
      </c>
      <c r="Q180" s="2">
        <f t="shared" si="23"/>
        <v>1244.5454545454545</v>
      </c>
      <c r="R180" s="39">
        <f t="shared" si="20"/>
        <v>1244.5454545454545</v>
      </c>
    </row>
    <row r="181" spans="1:18" x14ac:dyDescent="0.3">
      <c r="A181" s="2" t="s">
        <v>222</v>
      </c>
      <c r="B181" s="2"/>
      <c r="C181" s="2"/>
      <c r="D181" s="2"/>
      <c r="E181" s="2"/>
      <c r="F181" s="2"/>
      <c r="G181" s="2"/>
      <c r="H181" s="2">
        <v>429048</v>
      </c>
      <c r="I181" s="2">
        <f t="shared" si="22"/>
        <v>103385.06024096385</v>
      </c>
      <c r="J181" s="2"/>
      <c r="K181" s="2"/>
      <c r="L181" s="2"/>
      <c r="M181" s="2"/>
      <c r="N181" s="2"/>
      <c r="O181" s="2"/>
      <c r="P181" s="2"/>
      <c r="Q181" s="2"/>
      <c r="R181" s="39">
        <f t="shared" si="20"/>
        <v>103385.06024096385</v>
      </c>
    </row>
    <row r="182" spans="1:18" x14ac:dyDescent="0.3">
      <c r="A182" s="2" t="s">
        <v>223</v>
      </c>
      <c r="B182" s="2">
        <v>8</v>
      </c>
      <c r="C182" s="2">
        <f t="shared" si="24"/>
        <v>2.2857142857142856</v>
      </c>
      <c r="D182" s="2">
        <v>9452</v>
      </c>
      <c r="E182" s="2">
        <f t="shared" si="21"/>
        <v>3000.6349206349205</v>
      </c>
      <c r="F182" s="2">
        <v>320</v>
      </c>
      <c r="G182" s="2">
        <f t="shared" si="27"/>
        <v>95.522388059701498</v>
      </c>
      <c r="H182" s="2">
        <v>25916</v>
      </c>
      <c r="I182" s="2">
        <f t="shared" si="22"/>
        <v>6244.8192771084341</v>
      </c>
      <c r="J182" s="2">
        <v>18902</v>
      </c>
      <c r="K182" s="2">
        <f t="shared" si="25"/>
        <v>4610.2439024390251</v>
      </c>
      <c r="L182" s="2">
        <v>241</v>
      </c>
      <c r="M182" s="2">
        <f t="shared" si="28"/>
        <v>79.016393442622956</v>
      </c>
      <c r="N182" s="2">
        <v>367</v>
      </c>
      <c r="O182" s="2">
        <f t="shared" si="26"/>
        <v>101.94444444444444</v>
      </c>
      <c r="P182" s="2">
        <v>16130</v>
      </c>
      <c r="Q182" s="2">
        <f t="shared" si="23"/>
        <v>4887.878787878788</v>
      </c>
      <c r="R182" s="39">
        <f t="shared" si="20"/>
        <v>19022.345828293652</v>
      </c>
    </row>
    <row r="183" spans="1:18" x14ac:dyDescent="0.3">
      <c r="A183" s="2" t="s">
        <v>224</v>
      </c>
      <c r="B183" s="2"/>
      <c r="C183" s="2"/>
      <c r="D183" s="2"/>
      <c r="E183" s="2"/>
      <c r="F183" s="2">
        <v>2879</v>
      </c>
      <c r="G183" s="2">
        <f t="shared" si="27"/>
        <v>859.40298507462683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39">
        <f t="shared" si="20"/>
        <v>859.40298507462683</v>
      </c>
    </row>
    <row r="184" spans="1:18" x14ac:dyDescent="0.3">
      <c r="A184" s="2" t="s">
        <v>225</v>
      </c>
      <c r="B184" s="2"/>
      <c r="C184" s="2"/>
      <c r="D184" s="2"/>
      <c r="E184" s="2"/>
      <c r="F184" s="2"/>
      <c r="G184" s="2"/>
      <c r="H184" s="2"/>
      <c r="I184" s="2"/>
      <c r="J184" s="2">
        <v>1337</v>
      </c>
      <c r="K184" s="2">
        <f t="shared" si="25"/>
        <v>326.09756097560984</v>
      </c>
      <c r="L184" s="2"/>
      <c r="M184" s="2"/>
      <c r="N184" s="2"/>
      <c r="O184" s="2"/>
      <c r="P184" s="2"/>
      <c r="Q184" s="2"/>
      <c r="R184" s="39">
        <f t="shared" si="20"/>
        <v>326.09756097560984</v>
      </c>
    </row>
    <row r="185" spans="1:18" x14ac:dyDescent="0.3">
      <c r="A185" s="2" t="s">
        <v>226</v>
      </c>
      <c r="B185" s="2"/>
      <c r="C185" s="2"/>
      <c r="D185" s="2">
        <v>15690</v>
      </c>
      <c r="E185" s="2">
        <f t="shared" si="21"/>
        <v>4980.9523809523816</v>
      </c>
      <c r="F185" s="2"/>
      <c r="G185" s="2"/>
      <c r="H185" s="2">
        <v>9286</v>
      </c>
      <c r="I185" s="2">
        <f t="shared" si="22"/>
        <v>2237.5903614457829</v>
      </c>
      <c r="J185" s="2">
        <v>655</v>
      </c>
      <c r="K185" s="2">
        <f t="shared" si="25"/>
        <v>159.7560975609756</v>
      </c>
      <c r="L185" s="2"/>
      <c r="M185" s="2"/>
      <c r="N185" s="2"/>
      <c r="O185" s="2"/>
      <c r="P185" s="2">
        <v>13459</v>
      </c>
      <c r="Q185" s="2">
        <f t="shared" si="23"/>
        <v>4078.4848484848485</v>
      </c>
      <c r="R185" s="39">
        <f t="shared" si="20"/>
        <v>11456.783688443989</v>
      </c>
    </row>
    <row r="186" spans="1:18" x14ac:dyDescent="0.3">
      <c r="A186" s="2" t="s">
        <v>227</v>
      </c>
      <c r="B186" s="2">
        <v>21421</v>
      </c>
      <c r="C186" s="2">
        <f t="shared" si="24"/>
        <v>6120.2857142857147</v>
      </c>
      <c r="D186" s="2">
        <v>2128526</v>
      </c>
      <c r="E186" s="2">
        <f t="shared" si="21"/>
        <v>675722.53968253965</v>
      </c>
      <c r="F186" s="2">
        <v>801055</v>
      </c>
      <c r="G186" s="2">
        <f t="shared" si="27"/>
        <v>239120.89552238805</v>
      </c>
      <c r="H186" s="2">
        <v>2274080</v>
      </c>
      <c r="I186" s="2">
        <f t="shared" si="22"/>
        <v>547971.08433734928</v>
      </c>
      <c r="J186" s="2">
        <v>96440</v>
      </c>
      <c r="K186" s="2">
        <f t="shared" si="25"/>
        <v>23521.951219512197</v>
      </c>
      <c r="L186" s="2">
        <v>10546</v>
      </c>
      <c r="M186" s="2">
        <f t="shared" si="28"/>
        <v>3457.7049180327872</v>
      </c>
      <c r="N186" s="2"/>
      <c r="O186" s="2"/>
      <c r="P186" s="2"/>
      <c r="Q186" s="2"/>
      <c r="R186" s="39">
        <f t="shared" si="20"/>
        <v>1495914.4613941077</v>
      </c>
    </row>
    <row r="187" spans="1:18" x14ac:dyDescent="0.3">
      <c r="A187" s="2" t="s">
        <v>228</v>
      </c>
      <c r="B187" s="2"/>
      <c r="C187" s="2"/>
      <c r="D187" s="2">
        <v>132334</v>
      </c>
      <c r="E187" s="2">
        <f t="shared" si="21"/>
        <v>42010.793650793647</v>
      </c>
      <c r="F187" s="2">
        <v>3969</v>
      </c>
      <c r="G187" s="2">
        <f t="shared" si="27"/>
        <v>1184.7761194029852</v>
      </c>
      <c r="H187" s="2">
        <v>211982</v>
      </c>
      <c r="I187" s="2">
        <f t="shared" si="22"/>
        <v>51079.999999999993</v>
      </c>
      <c r="J187" s="2">
        <v>75720</v>
      </c>
      <c r="K187" s="2">
        <f t="shared" si="25"/>
        <v>18468.292682926829</v>
      </c>
      <c r="L187" s="2"/>
      <c r="M187" s="2"/>
      <c r="N187" s="2"/>
      <c r="O187" s="2"/>
      <c r="P187" s="2"/>
      <c r="Q187" s="2"/>
      <c r="R187" s="39">
        <f t="shared" si="20"/>
        <v>112743.86245312345</v>
      </c>
    </row>
    <row r="188" spans="1:18" x14ac:dyDescent="0.3">
      <c r="A188" s="2" t="s">
        <v>229</v>
      </c>
      <c r="B188" s="2">
        <v>15150</v>
      </c>
      <c r="C188" s="2">
        <f t="shared" si="24"/>
        <v>4328.5714285714284</v>
      </c>
      <c r="D188" s="2">
        <v>1369378</v>
      </c>
      <c r="E188" s="2">
        <f t="shared" si="21"/>
        <v>434723.17460317462</v>
      </c>
      <c r="F188" s="2">
        <v>222611</v>
      </c>
      <c r="G188" s="2">
        <f t="shared" si="27"/>
        <v>66451.044776119408</v>
      </c>
      <c r="H188" s="2">
        <v>1545800</v>
      </c>
      <c r="I188" s="2">
        <f t="shared" si="22"/>
        <v>372481.92771084333</v>
      </c>
      <c r="J188" s="2">
        <v>544730</v>
      </c>
      <c r="K188" s="2">
        <f t="shared" si="25"/>
        <v>132860.9756097561</v>
      </c>
      <c r="L188" s="2">
        <v>49945</v>
      </c>
      <c r="M188" s="2">
        <f t="shared" si="28"/>
        <v>16375.409836065575</v>
      </c>
      <c r="N188" s="2"/>
      <c r="O188" s="2"/>
      <c r="P188" s="2">
        <v>3390</v>
      </c>
      <c r="Q188" s="2">
        <f t="shared" si="23"/>
        <v>1027.2727272727273</v>
      </c>
      <c r="R188" s="39">
        <f t="shared" si="20"/>
        <v>1028248.3766918032</v>
      </c>
    </row>
    <row r="189" spans="1:18" x14ac:dyDescent="0.3">
      <c r="A189" s="2" t="s">
        <v>230</v>
      </c>
      <c r="B189" s="2"/>
      <c r="C189" s="2"/>
      <c r="D189" s="2"/>
      <c r="E189" s="2"/>
      <c r="F189" s="2"/>
      <c r="G189" s="2"/>
      <c r="H189" s="2">
        <v>131005</v>
      </c>
      <c r="I189" s="2">
        <f t="shared" si="22"/>
        <v>31567.46987951807</v>
      </c>
      <c r="J189" s="2"/>
      <c r="K189" s="2"/>
      <c r="L189" s="2"/>
      <c r="M189" s="2"/>
      <c r="N189" s="2"/>
      <c r="O189" s="2"/>
      <c r="P189" s="2"/>
      <c r="Q189" s="2"/>
      <c r="R189" s="43">
        <f t="shared" si="20"/>
        <v>31567.46987951807</v>
      </c>
    </row>
    <row r="190" spans="1:18" x14ac:dyDescent="0.3">
      <c r="A190" s="2" t="s">
        <v>231</v>
      </c>
      <c r="B190" s="2">
        <v>22963</v>
      </c>
      <c r="C190" s="2">
        <f t="shared" si="24"/>
        <v>6560.8571428571431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39">
        <f t="shared" si="20"/>
        <v>6560.8571428571431</v>
      </c>
    </row>
    <row r="191" spans="1:18" x14ac:dyDescent="0.3">
      <c r="A191" s="2" t="s">
        <v>232</v>
      </c>
      <c r="B191" s="2">
        <v>22434482</v>
      </c>
      <c r="C191" s="2">
        <f t="shared" si="24"/>
        <v>6409852</v>
      </c>
      <c r="D191" s="2">
        <v>15687066</v>
      </c>
      <c r="E191" s="2">
        <f t="shared" si="21"/>
        <v>4980020.9523809524</v>
      </c>
      <c r="F191" s="2">
        <v>1194824</v>
      </c>
      <c r="G191" s="2">
        <f t="shared" si="27"/>
        <v>356663.88059701491</v>
      </c>
      <c r="H191" s="2">
        <v>12744632</v>
      </c>
      <c r="I191" s="2">
        <f t="shared" si="22"/>
        <v>3070995.6626506024</v>
      </c>
      <c r="J191" s="2">
        <v>1416842</v>
      </c>
      <c r="K191" s="2">
        <f t="shared" si="25"/>
        <v>345571.21951219515</v>
      </c>
      <c r="L191" s="2">
        <v>2146795</v>
      </c>
      <c r="M191" s="2">
        <f t="shared" si="28"/>
        <v>703867.21311475406</v>
      </c>
      <c r="N191" s="2">
        <v>247594</v>
      </c>
      <c r="O191" s="2">
        <f t="shared" si="26"/>
        <v>68776.111111111109</v>
      </c>
      <c r="P191" s="2">
        <v>1788587</v>
      </c>
      <c r="Q191" s="2">
        <f t="shared" si="23"/>
        <v>541996.06060606067</v>
      </c>
      <c r="R191" s="39">
        <f t="shared" si="20"/>
        <v>16477743.099972688</v>
      </c>
    </row>
    <row r="192" spans="1:18" x14ac:dyDescent="0.3">
      <c r="A192" s="2" t="s">
        <v>233</v>
      </c>
      <c r="B192" s="2"/>
      <c r="C192" s="2"/>
      <c r="D192" s="2"/>
      <c r="E192" s="2"/>
      <c r="F192" s="2"/>
      <c r="G192" s="2"/>
      <c r="H192" s="2">
        <v>27</v>
      </c>
      <c r="I192" s="2">
        <f t="shared" si="22"/>
        <v>6.5060240963855414</v>
      </c>
      <c r="J192" s="2"/>
      <c r="K192" s="2"/>
      <c r="L192" s="2"/>
      <c r="M192" s="2"/>
      <c r="N192" s="2"/>
      <c r="O192" s="2"/>
      <c r="P192" s="2">
        <v>29</v>
      </c>
      <c r="Q192" s="2">
        <f t="shared" si="23"/>
        <v>8.7878787878787872</v>
      </c>
      <c r="R192" s="39">
        <f t="shared" si="20"/>
        <v>15.293902884264329</v>
      </c>
    </row>
    <row r="193" spans="1:18" x14ac:dyDescent="0.3">
      <c r="A193" s="2" t="s">
        <v>234</v>
      </c>
      <c r="B193" s="2"/>
      <c r="C193" s="2"/>
      <c r="D193" s="2"/>
      <c r="E193" s="2"/>
      <c r="F193" s="2"/>
      <c r="G193" s="2"/>
      <c r="H193" s="2"/>
      <c r="I193" s="2"/>
      <c r="J193" s="2">
        <v>127624</v>
      </c>
      <c r="K193" s="2">
        <f t="shared" si="25"/>
        <v>31127.804878048784</v>
      </c>
      <c r="L193" s="2">
        <v>57995</v>
      </c>
      <c r="M193" s="2">
        <f t="shared" si="28"/>
        <v>19014.754098360656</v>
      </c>
      <c r="N193" s="2"/>
      <c r="O193" s="2"/>
      <c r="P193" s="2">
        <v>38582</v>
      </c>
      <c r="Q193" s="2">
        <f t="shared" si="23"/>
        <v>11691.515151515152</v>
      </c>
      <c r="R193" s="39">
        <f t="shared" si="20"/>
        <v>61834.074127924592</v>
      </c>
    </row>
    <row r="194" spans="1:18" x14ac:dyDescent="0.3">
      <c r="A194" s="2" t="s">
        <v>235</v>
      </c>
      <c r="B194" s="2"/>
      <c r="C194" s="2"/>
      <c r="D194" s="2">
        <v>821</v>
      </c>
      <c r="E194" s="2">
        <f t="shared" si="21"/>
        <v>260.63492063492066</v>
      </c>
      <c r="F194" s="2"/>
      <c r="G194" s="2"/>
      <c r="H194" s="2">
        <v>68</v>
      </c>
      <c r="I194" s="2">
        <f t="shared" si="22"/>
        <v>16.385542168674696</v>
      </c>
      <c r="J194" s="2">
        <v>754</v>
      </c>
      <c r="K194" s="2">
        <f t="shared" si="25"/>
        <v>183.90243902439025</v>
      </c>
      <c r="L194" s="2"/>
      <c r="M194" s="2"/>
      <c r="N194" s="2"/>
      <c r="O194" s="2"/>
      <c r="P194" s="2">
        <v>17</v>
      </c>
      <c r="Q194" s="2">
        <f t="shared" si="23"/>
        <v>5.1515151515151523</v>
      </c>
      <c r="R194" s="39">
        <f t="shared" si="20"/>
        <v>466.07441697950071</v>
      </c>
    </row>
    <row r="195" spans="1:18" x14ac:dyDescent="0.3">
      <c r="A195" s="2" t="s">
        <v>236</v>
      </c>
      <c r="B195" s="2"/>
      <c r="C195" s="2"/>
      <c r="D195" s="2"/>
      <c r="E195" s="2"/>
      <c r="F195" s="2"/>
      <c r="G195" s="2"/>
      <c r="H195" s="2">
        <v>16727</v>
      </c>
      <c r="I195" s="2">
        <f t="shared" si="22"/>
        <v>4030.602409638554</v>
      </c>
      <c r="J195" s="2"/>
      <c r="K195" s="2"/>
      <c r="L195" s="2"/>
      <c r="M195" s="2"/>
      <c r="N195" s="2"/>
      <c r="O195" s="2"/>
      <c r="P195" s="2"/>
      <c r="Q195" s="2"/>
      <c r="R195" s="39">
        <f t="shared" si="20"/>
        <v>4030.602409638554</v>
      </c>
    </row>
    <row r="196" spans="1:18" x14ac:dyDescent="0.3">
      <c r="A196" s="2" t="s">
        <v>237</v>
      </c>
      <c r="B196" s="2">
        <v>19837</v>
      </c>
      <c r="C196" s="2">
        <f t="shared" si="24"/>
        <v>5667.7142857142853</v>
      </c>
      <c r="D196" s="2"/>
      <c r="E196" s="2"/>
      <c r="F196" s="2"/>
      <c r="G196" s="2"/>
      <c r="H196" s="2"/>
      <c r="I196" s="2"/>
      <c r="J196" s="2">
        <v>7544</v>
      </c>
      <c r="K196" s="2">
        <f t="shared" si="25"/>
        <v>1840.0000000000002</v>
      </c>
      <c r="L196" s="2"/>
      <c r="M196" s="2"/>
      <c r="N196" s="2"/>
      <c r="O196" s="2"/>
      <c r="P196" s="2"/>
      <c r="Q196" s="2"/>
      <c r="R196" s="39">
        <f t="shared" si="20"/>
        <v>7507.7142857142853</v>
      </c>
    </row>
    <row r="197" spans="1:18" x14ac:dyDescent="0.3">
      <c r="A197" s="2" t="s">
        <v>238</v>
      </c>
      <c r="B197" s="2"/>
      <c r="C197" s="2"/>
      <c r="D197" s="2">
        <v>37942</v>
      </c>
      <c r="E197" s="2">
        <f t="shared" ref="E197:E248" si="29">D197*2000/6.3/1000</f>
        <v>12045.079365079366</v>
      </c>
      <c r="F197" s="2">
        <v>27123</v>
      </c>
      <c r="G197" s="2">
        <f t="shared" si="27"/>
        <v>8096.4179104477616</v>
      </c>
      <c r="H197" s="2">
        <v>88353</v>
      </c>
      <c r="I197" s="2">
        <f t="shared" si="22"/>
        <v>21289.879518072288</v>
      </c>
      <c r="J197" s="2">
        <v>86275</v>
      </c>
      <c r="K197" s="2">
        <f t="shared" si="25"/>
        <v>21042.682926829271</v>
      </c>
      <c r="L197" s="2">
        <v>24</v>
      </c>
      <c r="M197" s="2">
        <f t="shared" si="28"/>
        <v>7.8688524590163942</v>
      </c>
      <c r="N197" s="2"/>
      <c r="O197" s="2"/>
      <c r="P197" s="2">
        <v>3010</v>
      </c>
      <c r="Q197" s="2">
        <f t="shared" ref="Q197:Q245" si="30">P197*2000/6.6/1000</f>
        <v>912.12121212121212</v>
      </c>
      <c r="R197" s="39">
        <f t="shared" ref="R197:R248" si="31">C197+E197+G197+I197+K197+M197+O197+Q197</f>
        <v>63394.049785008916</v>
      </c>
    </row>
    <row r="198" spans="1:18" x14ac:dyDescent="0.3">
      <c r="A198" s="2" t="s">
        <v>239</v>
      </c>
      <c r="B198" s="2">
        <v>75855</v>
      </c>
      <c r="C198" s="2">
        <f t="shared" si="24"/>
        <v>21672.857142857141</v>
      </c>
      <c r="D198" s="2">
        <v>48765</v>
      </c>
      <c r="E198" s="2">
        <f t="shared" si="29"/>
        <v>15480.95238095238</v>
      </c>
      <c r="F198" s="2"/>
      <c r="G198" s="2"/>
      <c r="H198" s="2">
        <v>371821</v>
      </c>
      <c r="I198" s="2">
        <f t="shared" ref="I198:I248" si="32">H198*2000/8.3/1000</f>
        <v>89595.42168674698</v>
      </c>
      <c r="J198" s="2">
        <v>23143</v>
      </c>
      <c r="K198" s="2">
        <f t="shared" ref="K198:K247" si="33">J198*2000/8.2/1000</f>
        <v>5644.6341463414637</v>
      </c>
      <c r="L198" s="2"/>
      <c r="M198" s="2"/>
      <c r="N198" s="2"/>
      <c r="O198" s="2"/>
      <c r="P198" s="2"/>
      <c r="Q198" s="2"/>
      <c r="R198" s="39">
        <f t="shared" si="31"/>
        <v>132393.86535689796</v>
      </c>
    </row>
    <row r="199" spans="1:18" x14ac:dyDescent="0.3">
      <c r="A199" s="2" t="s">
        <v>240</v>
      </c>
      <c r="B199" s="2"/>
      <c r="C199" s="2"/>
      <c r="D199" s="2">
        <v>8528</v>
      </c>
      <c r="E199" s="2">
        <f t="shared" si="29"/>
        <v>2707.301587301587</v>
      </c>
      <c r="F199" s="2"/>
      <c r="G199" s="2"/>
      <c r="H199" s="2">
        <v>6604</v>
      </c>
      <c r="I199" s="2">
        <f t="shared" si="32"/>
        <v>1591.3253012048192</v>
      </c>
      <c r="J199" s="2">
        <v>165268</v>
      </c>
      <c r="K199" s="2">
        <f t="shared" si="33"/>
        <v>40309.268292682929</v>
      </c>
      <c r="L199" s="2"/>
      <c r="M199" s="2"/>
      <c r="N199" s="2"/>
      <c r="O199" s="2"/>
      <c r="P199" s="2"/>
      <c r="Q199" s="2"/>
      <c r="R199" s="39">
        <f t="shared" si="31"/>
        <v>44607.895181189335</v>
      </c>
    </row>
    <row r="200" spans="1:18" x14ac:dyDescent="0.3">
      <c r="A200" s="2" t="s">
        <v>241</v>
      </c>
      <c r="B200" s="2"/>
      <c r="C200" s="2"/>
      <c r="D200" s="2">
        <v>12872</v>
      </c>
      <c r="E200" s="2">
        <f t="shared" si="29"/>
        <v>4086.3492063492067</v>
      </c>
      <c r="F200" s="2"/>
      <c r="G200" s="2"/>
      <c r="H200" s="2">
        <v>889</v>
      </c>
      <c r="I200" s="2">
        <f t="shared" si="32"/>
        <v>214.2168674698795</v>
      </c>
      <c r="J200" s="2">
        <v>246</v>
      </c>
      <c r="K200" s="2">
        <f t="shared" si="33"/>
        <v>60.000000000000007</v>
      </c>
      <c r="L200" s="2">
        <v>42</v>
      </c>
      <c r="M200" s="2">
        <f t="shared" si="28"/>
        <v>13.77049180327869</v>
      </c>
      <c r="N200" s="2"/>
      <c r="O200" s="2"/>
      <c r="P200" s="2">
        <v>5435</v>
      </c>
      <c r="Q200" s="2">
        <f t="shared" si="30"/>
        <v>1646.969696969697</v>
      </c>
      <c r="R200" s="39">
        <f t="shared" si="31"/>
        <v>6021.306262592062</v>
      </c>
    </row>
    <row r="201" spans="1:18" x14ac:dyDescent="0.3">
      <c r="A201" s="2" t="s">
        <v>242</v>
      </c>
      <c r="B201" s="2"/>
      <c r="C201" s="2"/>
      <c r="D201" s="2"/>
      <c r="E201" s="2"/>
      <c r="F201" s="2"/>
      <c r="G201" s="2"/>
      <c r="H201" s="2">
        <v>1429</v>
      </c>
      <c r="I201" s="2">
        <f t="shared" si="32"/>
        <v>344.33734939759034</v>
      </c>
      <c r="J201" s="2"/>
      <c r="K201" s="2"/>
      <c r="L201" s="2"/>
      <c r="M201" s="2"/>
      <c r="N201" s="2"/>
      <c r="O201" s="2"/>
      <c r="P201" s="2"/>
      <c r="Q201" s="2"/>
      <c r="R201" s="39">
        <f t="shared" si="31"/>
        <v>344.33734939759034</v>
      </c>
    </row>
    <row r="202" spans="1:18" x14ac:dyDescent="0.3">
      <c r="A202" s="2" t="s">
        <v>243</v>
      </c>
      <c r="B202" s="2"/>
      <c r="C202" s="2"/>
      <c r="D202" s="2"/>
      <c r="E202" s="2"/>
      <c r="F202" s="2"/>
      <c r="G202" s="2"/>
      <c r="H202" s="2">
        <v>1429</v>
      </c>
      <c r="I202" s="2">
        <f t="shared" si="32"/>
        <v>344.33734939759034</v>
      </c>
      <c r="J202" s="2"/>
      <c r="K202" s="2"/>
      <c r="L202" s="2"/>
      <c r="M202" s="2"/>
      <c r="N202" s="2"/>
      <c r="O202" s="2"/>
      <c r="P202" s="2"/>
      <c r="Q202" s="2"/>
      <c r="R202" s="39">
        <f t="shared" si="31"/>
        <v>344.33734939759034</v>
      </c>
    </row>
    <row r="203" spans="1:18" x14ac:dyDescent="0.3">
      <c r="A203" s="2" t="s">
        <v>244</v>
      </c>
      <c r="B203" s="2"/>
      <c r="C203" s="2"/>
      <c r="D203" s="2"/>
      <c r="E203" s="2"/>
      <c r="F203" s="2"/>
      <c r="G203" s="2"/>
      <c r="H203" s="2"/>
      <c r="I203" s="2"/>
      <c r="J203" s="2">
        <v>2540</v>
      </c>
      <c r="K203" s="2">
        <f t="shared" si="33"/>
        <v>619.51219512195132</v>
      </c>
      <c r="L203" s="2"/>
      <c r="M203" s="2"/>
      <c r="N203" s="2"/>
      <c r="O203" s="2"/>
      <c r="P203" s="2"/>
      <c r="Q203" s="2"/>
      <c r="R203" s="39">
        <f t="shared" si="31"/>
        <v>619.51219512195132</v>
      </c>
    </row>
    <row r="204" spans="1:18" x14ac:dyDescent="0.3">
      <c r="A204" s="2" t="s">
        <v>245</v>
      </c>
      <c r="B204" s="2"/>
      <c r="C204" s="2"/>
      <c r="D204" s="2">
        <v>160</v>
      </c>
      <c r="E204" s="2">
        <f t="shared" si="29"/>
        <v>50.793650793650791</v>
      </c>
      <c r="F204" s="2"/>
      <c r="G204" s="2"/>
      <c r="H204" s="2"/>
      <c r="I204" s="2"/>
      <c r="J204" s="2">
        <v>3</v>
      </c>
      <c r="K204" s="2">
        <f t="shared" si="33"/>
        <v>0.73170731707317072</v>
      </c>
      <c r="L204" s="2"/>
      <c r="M204" s="2"/>
      <c r="N204" s="2"/>
      <c r="O204" s="2"/>
      <c r="P204" s="2">
        <v>2</v>
      </c>
      <c r="Q204" s="2">
        <f t="shared" si="30"/>
        <v>0.60606060606060608</v>
      </c>
      <c r="R204" s="39">
        <f t="shared" si="31"/>
        <v>52.131418716784573</v>
      </c>
    </row>
    <row r="205" spans="1:18" x14ac:dyDescent="0.3">
      <c r="A205" s="2" t="s">
        <v>246</v>
      </c>
      <c r="B205" s="2"/>
      <c r="C205" s="2"/>
      <c r="D205" s="2">
        <v>90</v>
      </c>
      <c r="E205" s="2">
        <f t="shared" si="29"/>
        <v>28.571428571428573</v>
      </c>
      <c r="F205" s="2"/>
      <c r="G205" s="2"/>
      <c r="H205" s="2"/>
      <c r="I205" s="2"/>
      <c r="J205" s="2">
        <v>57</v>
      </c>
      <c r="K205" s="2">
        <f t="shared" si="33"/>
        <v>13.902439024390246</v>
      </c>
      <c r="L205" s="2"/>
      <c r="M205" s="2"/>
      <c r="N205" s="2"/>
      <c r="O205" s="2"/>
      <c r="P205" s="2">
        <v>9</v>
      </c>
      <c r="Q205" s="2">
        <f t="shared" si="30"/>
        <v>2.7272727272727275</v>
      </c>
      <c r="R205" s="39">
        <f t="shared" si="31"/>
        <v>45.201140323091543</v>
      </c>
    </row>
    <row r="206" spans="1:18" x14ac:dyDescent="0.3">
      <c r="A206" s="2" t="s">
        <v>247</v>
      </c>
      <c r="B206" s="2"/>
      <c r="C206" s="2"/>
      <c r="D206" s="2">
        <v>2594</v>
      </c>
      <c r="E206" s="2">
        <f t="shared" si="29"/>
        <v>823.49206349206349</v>
      </c>
      <c r="F206" s="2"/>
      <c r="G206" s="2"/>
      <c r="H206" s="2">
        <v>3213</v>
      </c>
      <c r="I206" s="2">
        <f t="shared" si="32"/>
        <v>774.2168674698795</v>
      </c>
      <c r="J206" s="2"/>
      <c r="K206" s="2"/>
      <c r="L206" s="2"/>
      <c r="M206" s="2"/>
      <c r="N206" s="2"/>
      <c r="O206" s="2"/>
      <c r="P206" s="2">
        <v>218086</v>
      </c>
      <c r="Q206" s="2">
        <f t="shared" si="30"/>
        <v>66086.666666666672</v>
      </c>
      <c r="R206" s="39">
        <f t="shared" si="31"/>
        <v>67684.375597628619</v>
      </c>
    </row>
    <row r="207" spans="1:18" x14ac:dyDescent="0.3">
      <c r="A207" s="2" t="s">
        <v>248</v>
      </c>
      <c r="B207" s="2">
        <v>19991</v>
      </c>
      <c r="C207" s="2">
        <f t="shared" ref="C207:C248" si="34">B207*2000/7/1000</f>
        <v>5711.7142857142853</v>
      </c>
      <c r="D207" s="2">
        <v>1194485</v>
      </c>
      <c r="E207" s="2">
        <f t="shared" si="29"/>
        <v>379201.58730158728</v>
      </c>
      <c r="F207" s="2">
        <v>31858</v>
      </c>
      <c r="G207" s="2">
        <f t="shared" ref="G207:G237" si="35">F207*2000/6.7/1000</f>
        <v>9509.8507462686557</v>
      </c>
      <c r="H207" s="2">
        <v>1117269</v>
      </c>
      <c r="I207" s="2">
        <f t="shared" si="32"/>
        <v>269221.44578313251</v>
      </c>
      <c r="J207" s="2">
        <v>1025005</v>
      </c>
      <c r="K207" s="2">
        <f t="shared" si="33"/>
        <v>250001.21951219515</v>
      </c>
      <c r="L207" s="2">
        <v>409572</v>
      </c>
      <c r="M207" s="2">
        <f t="shared" ref="M207:M247" si="36">L207*2000/6.1/1000</f>
        <v>134285.90163934429</v>
      </c>
      <c r="N207" s="2"/>
      <c r="O207" s="2"/>
      <c r="P207" s="2">
        <v>30</v>
      </c>
      <c r="Q207" s="2">
        <f t="shared" si="30"/>
        <v>9.0909090909090917</v>
      </c>
      <c r="R207" s="39">
        <f t="shared" si="31"/>
        <v>1047940.810177333</v>
      </c>
    </row>
    <row r="208" spans="1:18" x14ac:dyDescent="0.3">
      <c r="A208" s="2" t="s">
        <v>249</v>
      </c>
      <c r="B208" s="2">
        <v>3722309</v>
      </c>
      <c r="C208" s="2">
        <f t="shared" si="34"/>
        <v>1063516.8571428573</v>
      </c>
      <c r="D208" s="2">
        <v>7376146</v>
      </c>
      <c r="E208" s="2">
        <f t="shared" si="29"/>
        <v>2341633.6507936507</v>
      </c>
      <c r="F208" s="2">
        <v>8500</v>
      </c>
      <c r="G208" s="2">
        <f t="shared" si="35"/>
        <v>2537.3134328358205</v>
      </c>
      <c r="H208" s="2">
        <v>14646754</v>
      </c>
      <c r="I208" s="2">
        <f t="shared" si="32"/>
        <v>3529338.3132530116</v>
      </c>
      <c r="J208" s="2">
        <v>1557085</v>
      </c>
      <c r="K208" s="2">
        <f t="shared" si="33"/>
        <v>379776.8292682927</v>
      </c>
      <c r="L208" s="2">
        <v>989891</v>
      </c>
      <c r="M208" s="2">
        <f t="shared" si="36"/>
        <v>324554.42622950824</v>
      </c>
      <c r="N208" s="2">
        <v>390080</v>
      </c>
      <c r="O208" s="2">
        <f t="shared" ref="O208:O243" si="37">N208*2000/7.2/1000</f>
        <v>108355.55555555555</v>
      </c>
      <c r="P208" s="2">
        <v>2125367</v>
      </c>
      <c r="Q208" s="2">
        <f t="shared" si="30"/>
        <v>644050.60606060608</v>
      </c>
      <c r="R208" s="39">
        <f t="shared" si="31"/>
        <v>8393763.5517363194</v>
      </c>
    </row>
    <row r="209" spans="1:18" x14ac:dyDescent="0.3">
      <c r="A209" s="2" t="s">
        <v>250</v>
      </c>
      <c r="B209" s="2"/>
      <c r="C209" s="2"/>
      <c r="D209" s="2">
        <v>1164475</v>
      </c>
      <c r="E209" s="2">
        <f t="shared" si="29"/>
        <v>369674.60317460314</v>
      </c>
      <c r="F209" s="2"/>
      <c r="G209" s="2"/>
      <c r="H209" s="2">
        <v>1220981</v>
      </c>
      <c r="I209" s="2">
        <f t="shared" si="32"/>
        <v>294212.28915662644</v>
      </c>
      <c r="J209" s="2">
        <v>42321</v>
      </c>
      <c r="K209" s="2">
        <f t="shared" si="33"/>
        <v>10322.195121951221</v>
      </c>
      <c r="L209" s="2">
        <v>12987</v>
      </c>
      <c r="M209" s="2">
        <f t="shared" si="36"/>
        <v>4258.0327868852455</v>
      </c>
      <c r="N209" s="2"/>
      <c r="O209" s="2"/>
      <c r="P209" s="2">
        <v>359746</v>
      </c>
      <c r="Q209" s="2">
        <f t="shared" si="30"/>
        <v>109013.93939393941</v>
      </c>
      <c r="R209" s="39">
        <f t="shared" si="31"/>
        <v>787481.05963400542</v>
      </c>
    </row>
    <row r="210" spans="1:18" x14ac:dyDescent="0.3">
      <c r="A210" s="2" t="s">
        <v>251</v>
      </c>
      <c r="B210" s="2"/>
      <c r="C210" s="2"/>
      <c r="D210" s="2">
        <v>4254</v>
      </c>
      <c r="E210" s="2">
        <f t="shared" si="29"/>
        <v>1350.4761904761906</v>
      </c>
      <c r="F210" s="2"/>
      <c r="G210" s="2"/>
      <c r="H210" s="2">
        <v>25792</v>
      </c>
      <c r="I210" s="2">
        <f t="shared" si="32"/>
        <v>6214.9397590361441</v>
      </c>
      <c r="J210" s="2"/>
      <c r="K210" s="2"/>
      <c r="L210" s="2"/>
      <c r="M210" s="2"/>
      <c r="N210" s="2"/>
      <c r="O210" s="2"/>
      <c r="P210" s="2">
        <v>648243</v>
      </c>
      <c r="Q210" s="2">
        <f t="shared" si="30"/>
        <v>196437.27272727274</v>
      </c>
      <c r="R210" s="39">
        <f t="shared" si="31"/>
        <v>204002.68867678507</v>
      </c>
    </row>
    <row r="211" spans="1:18" x14ac:dyDescent="0.3">
      <c r="A211" s="2" t="s">
        <v>252</v>
      </c>
      <c r="B211" s="2"/>
      <c r="C211" s="2"/>
      <c r="D211" s="2"/>
      <c r="E211" s="2"/>
      <c r="F211" s="2"/>
      <c r="G211" s="2"/>
      <c r="H211" s="2">
        <v>188126</v>
      </c>
      <c r="I211" s="2">
        <f t="shared" si="32"/>
        <v>45331.566265060239</v>
      </c>
      <c r="J211" s="2">
        <v>23644</v>
      </c>
      <c r="K211" s="2">
        <f t="shared" si="33"/>
        <v>5766.8292682926831</v>
      </c>
      <c r="L211" s="2"/>
      <c r="M211" s="2"/>
      <c r="N211" s="2"/>
      <c r="O211" s="2"/>
      <c r="P211" s="2">
        <v>24722</v>
      </c>
      <c r="Q211" s="2">
        <f t="shared" si="30"/>
        <v>7491.515151515152</v>
      </c>
      <c r="R211" s="39">
        <f t="shared" si="31"/>
        <v>58589.910684868075</v>
      </c>
    </row>
    <row r="212" spans="1:18" x14ac:dyDescent="0.3">
      <c r="A212" s="2" t="s">
        <v>253</v>
      </c>
      <c r="B212" s="2"/>
      <c r="C212" s="2"/>
      <c r="D212" s="2"/>
      <c r="E212" s="2"/>
      <c r="F212" s="2"/>
      <c r="G212" s="2"/>
      <c r="H212" s="2">
        <v>3674</v>
      </c>
      <c r="I212" s="2">
        <f t="shared" si="32"/>
        <v>885.30120481927702</v>
      </c>
      <c r="J212" s="2"/>
      <c r="K212" s="2"/>
      <c r="L212" s="2"/>
      <c r="M212" s="2"/>
      <c r="N212" s="2"/>
      <c r="O212" s="2"/>
      <c r="P212" s="2">
        <v>14101</v>
      </c>
      <c r="Q212" s="2">
        <f t="shared" si="30"/>
        <v>4273.0303030303039</v>
      </c>
      <c r="R212" s="39">
        <f t="shared" si="31"/>
        <v>5158.3315078495807</v>
      </c>
    </row>
    <row r="213" spans="1:18" x14ac:dyDescent="0.3">
      <c r="A213" s="2" t="s">
        <v>254</v>
      </c>
      <c r="B213" s="2">
        <v>99940</v>
      </c>
      <c r="C213" s="2">
        <f t="shared" si="34"/>
        <v>28554.285714285714</v>
      </c>
      <c r="D213" s="2"/>
      <c r="E213" s="2"/>
      <c r="F213" s="2"/>
      <c r="G213" s="2"/>
      <c r="H213" s="2">
        <v>331710</v>
      </c>
      <c r="I213" s="2">
        <f t="shared" si="32"/>
        <v>79930.120481927705</v>
      </c>
      <c r="J213" s="2">
        <v>150428</v>
      </c>
      <c r="K213" s="2">
        <f t="shared" si="33"/>
        <v>36689.756097560981</v>
      </c>
      <c r="L213" s="2"/>
      <c r="M213" s="2"/>
      <c r="N213" s="2">
        <v>104368</v>
      </c>
      <c r="O213" s="2">
        <f t="shared" si="37"/>
        <v>28991.111111111113</v>
      </c>
      <c r="P213" s="2">
        <v>801897</v>
      </c>
      <c r="Q213" s="2">
        <f t="shared" si="30"/>
        <v>242999.09090909094</v>
      </c>
      <c r="R213" s="39">
        <f t="shared" si="31"/>
        <v>417164.36431397649</v>
      </c>
    </row>
    <row r="214" spans="1:18" x14ac:dyDescent="0.3">
      <c r="A214" s="2" t="s">
        <v>255</v>
      </c>
      <c r="B214" s="2"/>
      <c r="C214" s="2"/>
      <c r="D214" s="2"/>
      <c r="E214" s="2"/>
      <c r="F214" s="2"/>
      <c r="G214" s="2"/>
      <c r="H214" s="2"/>
      <c r="I214" s="2"/>
      <c r="J214" s="2">
        <v>39758</v>
      </c>
      <c r="K214" s="2">
        <f t="shared" si="33"/>
        <v>9697.0731707317082</v>
      </c>
      <c r="L214" s="2"/>
      <c r="M214" s="2"/>
      <c r="N214" s="2"/>
      <c r="O214" s="2"/>
      <c r="P214" s="2"/>
      <c r="Q214" s="2"/>
      <c r="R214" s="39">
        <f t="shared" si="31"/>
        <v>9697.0731707317082</v>
      </c>
    </row>
    <row r="215" spans="1:18" x14ac:dyDescent="0.3">
      <c r="A215" s="2" t="s">
        <v>256</v>
      </c>
      <c r="B215" s="2"/>
      <c r="C215" s="2"/>
      <c r="D215" s="2"/>
      <c r="E215" s="2"/>
      <c r="F215" s="2"/>
      <c r="G215" s="2"/>
      <c r="H215" s="2">
        <v>4104</v>
      </c>
      <c r="I215" s="2">
        <f t="shared" si="32"/>
        <v>988.91566265060226</v>
      </c>
      <c r="J215" s="2"/>
      <c r="K215" s="2"/>
      <c r="L215" s="2"/>
      <c r="M215" s="2"/>
      <c r="N215" s="2"/>
      <c r="O215" s="2"/>
      <c r="P215" s="2">
        <v>26</v>
      </c>
      <c r="Q215" s="2">
        <f t="shared" si="30"/>
        <v>7.8787878787878789</v>
      </c>
      <c r="R215" s="39">
        <f t="shared" si="31"/>
        <v>996.79445052939013</v>
      </c>
    </row>
    <row r="216" spans="1:18" x14ac:dyDescent="0.3">
      <c r="A216" s="2" t="s">
        <v>257</v>
      </c>
      <c r="B216" s="2">
        <v>19837</v>
      </c>
      <c r="C216" s="2">
        <f t="shared" si="34"/>
        <v>5667.7142857142853</v>
      </c>
      <c r="D216" s="2"/>
      <c r="E216" s="2"/>
      <c r="F216" s="2"/>
      <c r="G216" s="2"/>
      <c r="H216" s="2"/>
      <c r="I216" s="2"/>
      <c r="J216" s="2">
        <v>7544</v>
      </c>
      <c r="K216" s="2">
        <f t="shared" si="33"/>
        <v>1840.0000000000002</v>
      </c>
      <c r="L216" s="2"/>
      <c r="M216" s="2"/>
      <c r="N216" s="2"/>
      <c r="O216" s="2"/>
      <c r="P216" s="2"/>
      <c r="Q216" s="2"/>
      <c r="R216" s="39">
        <f t="shared" si="31"/>
        <v>7507.7142857142853</v>
      </c>
    </row>
    <row r="217" spans="1:18" x14ac:dyDescent="0.3">
      <c r="A217" s="2" t="s">
        <v>258</v>
      </c>
      <c r="B217" s="2"/>
      <c r="C217" s="2"/>
      <c r="D217" s="2"/>
      <c r="E217" s="2"/>
      <c r="F217" s="2"/>
      <c r="G217" s="2"/>
      <c r="H217" s="2">
        <v>11955</v>
      </c>
      <c r="I217" s="2">
        <f t="shared" si="32"/>
        <v>2880.7228915662649</v>
      </c>
      <c r="J217" s="2">
        <v>63372</v>
      </c>
      <c r="K217" s="2">
        <f t="shared" si="33"/>
        <v>15456.58536585366</v>
      </c>
      <c r="L217" s="2"/>
      <c r="M217" s="2"/>
      <c r="N217" s="2"/>
      <c r="O217" s="2"/>
      <c r="P217" s="2"/>
      <c r="Q217" s="2"/>
      <c r="R217" s="39">
        <f t="shared" si="31"/>
        <v>18337.308257419925</v>
      </c>
    </row>
    <row r="218" spans="1:18" x14ac:dyDescent="0.3">
      <c r="A218" s="2" t="s">
        <v>259</v>
      </c>
      <c r="B218" s="2">
        <v>156981</v>
      </c>
      <c r="C218" s="2">
        <f t="shared" si="34"/>
        <v>44851.714285714283</v>
      </c>
      <c r="D218" s="2">
        <v>21505</v>
      </c>
      <c r="E218" s="2">
        <f t="shared" si="29"/>
        <v>6826.9841269841272</v>
      </c>
      <c r="F218" s="2">
        <v>18334</v>
      </c>
      <c r="G218" s="2">
        <f t="shared" si="35"/>
        <v>5472.8358208955215</v>
      </c>
      <c r="H218" s="2">
        <v>139526</v>
      </c>
      <c r="I218" s="2">
        <f t="shared" si="32"/>
        <v>33620.722891566264</v>
      </c>
      <c r="J218" s="2">
        <v>194320</v>
      </c>
      <c r="K218" s="2">
        <f t="shared" si="33"/>
        <v>47395.121951219517</v>
      </c>
      <c r="L218" s="2">
        <v>257</v>
      </c>
      <c r="M218" s="2">
        <f t="shared" si="36"/>
        <v>84.26229508196721</v>
      </c>
      <c r="N218" s="2">
        <v>25</v>
      </c>
      <c r="O218" s="2">
        <f t="shared" si="37"/>
        <v>6.9444444444444446</v>
      </c>
      <c r="P218" s="2">
        <v>225310</v>
      </c>
      <c r="Q218" s="2">
        <f t="shared" si="30"/>
        <v>68275.757575757583</v>
      </c>
      <c r="R218" s="39">
        <f t="shared" si="31"/>
        <v>206534.34339166369</v>
      </c>
    </row>
    <row r="219" spans="1:18" x14ac:dyDescent="0.3">
      <c r="A219" s="2" t="s">
        <v>260</v>
      </c>
      <c r="B219" s="2">
        <v>45747</v>
      </c>
      <c r="C219" s="2">
        <f t="shared" si="34"/>
        <v>13070.571428571429</v>
      </c>
      <c r="D219" s="2"/>
      <c r="E219" s="2"/>
      <c r="F219" s="2"/>
      <c r="G219" s="2"/>
      <c r="H219" s="2">
        <v>6417</v>
      </c>
      <c r="I219" s="2">
        <f t="shared" si="32"/>
        <v>1546.2650602409637</v>
      </c>
      <c r="J219" s="2">
        <v>17181</v>
      </c>
      <c r="K219" s="2">
        <f t="shared" si="33"/>
        <v>4190.4878048780492</v>
      </c>
      <c r="L219" s="2"/>
      <c r="M219" s="2"/>
      <c r="N219" s="2"/>
      <c r="O219" s="2"/>
      <c r="P219" s="2">
        <v>82</v>
      </c>
      <c r="Q219" s="2">
        <f t="shared" si="30"/>
        <v>24.848484848484848</v>
      </c>
      <c r="R219" s="39">
        <f t="shared" si="31"/>
        <v>18832.172778538927</v>
      </c>
    </row>
    <row r="220" spans="1:18" x14ac:dyDescent="0.3">
      <c r="A220" s="2" t="s">
        <v>261</v>
      </c>
      <c r="B220" s="2"/>
      <c r="C220" s="2"/>
      <c r="D220" s="2">
        <v>4445</v>
      </c>
      <c r="E220" s="2">
        <f t="shared" si="29"/>
        <v>1411.1111111111113</v>
      </c>
      <c r="F220" s="2"/>
      <c r="G220" s="2"/>
      <c r="H220" s="2"/>
      <c r="I220" s="2"/>
      <c r="J220" s="2">
        <v>19607</v>
      </c>
      <c r="K220" s="2">
        <f t="shared" si="33"/>
        <v>4782.1951219512193</v>
      </c>
      <c r="L220" s="2"/>
      <c r="M220" s="2"/>
      <c r="N220" s="2"/>
      <c r="O220" s="2"/>
      <c r="P220" s="2"/>
      <c r="Q220" s="2"/>
      <c r="R220" s="39">
        <f t="shared" si="31"/>
        <v>6193.3062330623306</v>
      </c>
    </row>
    <row r="221" spans="1:18" x14ac:dyDescent="0.3">
      <c r="A221" s="2" t="s">
        <v>262</v>
      </c>
      <c r="B221" s="2"/>
      <c r="C221" s="2"/>
      <c r="D221" s="2">
        <v>6524</v>
      </c>
      <c r="E221" s="2">
        <f t="shared" si="29"/>
        <v>2071.1111111111113</v>
      </c>
      <c r="F221" s="2"/>
      <c r="G221" s="2"/>
      <c r="H221" s="2">
        <v>18585</v>
      </c>
      <c r="I221" s="2">
        <f t="shared" si="32"/>
        <v>4478.3132530120483</v>
      </c>
      <c r="J221" s="2"/>
      <c r="K221" s="2"/>
      <c r="L221" s="2"/>
      <c r="M221" s="2"/>
      <c r="N221" s="2"/>
      <c r="O221" s="2"/>
      <c r="P221" s="2"/>
      <c r="Q221" s="2"/>
      <c r="R221" s="39">
        <f t="shared" si="31"/>
        <v>6549.4243641231596</v>
      </c>
    </row>
    <row r="222" spans="1:18" x14ac:dyDescent="0.3">
      <c r="A222" s="2" t="s">
        <v>263</v>
      </c>
      <c r="B222" s="2">
        <v>1167871</v>
      </c>
      <c r="C222" s="2">
        <f t="shared" si="34"/>
        <v>333677.42857142858</v>
      </c>
      <c r="D222" s="2"/>
      <c r="E222" s="2"/>
      <c r="F222" s="2"/>
      <c r="G222" s="2"/>
      <c r="H222" s="2">
        <v>400</v>
      </c>
      <c r="I222" s="2">
        <f t="shared" si="32"/>
        <v>96.385542168674689</v>
      </c>
      <c r="J222" s="2">
        <v>1189</v>
      </c>
      <c r="K222" s="2">
        <f t="shared" si="33"/>
        <v>290</v>
      </c>
      <c r="L222" s="2"/>
      <c r="M222" s="2"/>
      <c r="N222" s="2"/>
      <c r="O222" s="2"/>
      <c r="P222" s="2"/>
      <c r="Q222" s="2"/>
      <c r="R222" s="39">
        <f t="shared" si="31"/>
        <v>334063.81411359727</v>
      </c>
    </row>
    <row r="223" spans="1:18" x14ac:dyDescent="0.3">
      <c r="A223" s="2" t="s">
        <v>264</v>
      </c>
      <c r="B223" s="2">
        <v>2742192</v>
      </c>
      <c r="C223" s="2">
        <f t="shared" si="34"/>
        <v>783483.42857142852</v>
      </c>
      <c r="D223" s="2">
        <v>4268655</v>
      </c>
      <c r="E223" s="2">
        <f t="shared" si="29"/>
        <v>1355128.5714285714</v>
      </c>
      <c r="F223" s="2">
        <v>519288</v>
      </c>
      <c r="G223" s="2">
        <f t="shared" si="35"/>
        <v>155011.3432835821</v>
      </c>
      <c r="H223" s="2">
        <v>7551924</v>
      </c>
      <c r="I223" s="2">
        <f t="shared" si="32"/>
        <v>1819740.7228915661</v>
      </c>
      <c r="J223" s="2">
        <v>1094467</v>
      </c>
      <c r="K223" s="2">
        <f t="shared" si="33"/>
        <v>266943.17073170736</v>
      </c>
      <c r="L223" s="2">
        <v>1741090</v>
      </c>
      <c r="M223" s="2">
        <f t="shared" si="36"/>
        <v>570849.1803278689</v>
      </c>
      <c r="N223" s="2">
        <v>551960</v>
      </c>
      <c r="O223" s="2">
        <f t="shared" si="37"/>
        <v>153322.22222222222</v>
      </c>
      <c r="P223" s="2">
        <v>830573</v>
      </c>
      <c r="Q223" s="2">
        <f t="shared" si="30"/>
        <v>251688.7878787879</v>
      </c>
      <c r="R223" s="39">
        <f t="shared" si="31"/>
        <v>5356167.4273357345</v>
      </c>
    </row>
    <row r="224" spans="1:18" x14ac:dyDescent="0.3">
      <c r="A224" s="2" t="s">
        <v>265</v>
      </c>
      <c r="B224" s="2"/>
      <c r="C224" s="2"/>
      <c r="D224" s="2"/>
      <c r="E224" s="2"/>
      <c r="F224" s="2"/>
      <c r="G224" s="2"/>
      <c r="H224" s="2">
        <v>2</v>
      </c>
      <c r="I224" s="2">
        <f t="shared" si="32"/>
        <v>0.48192771084337344</v>
      </c>
      <c r="J224" s="2"/>
      <c r="K224" s="2"/>
      <c r="L224" s="2"/>
      <c r="M224" s="2"/>
      <c r="N224" s="2"/>
      <c r="O224" s="2"/>
      <c r="P224" s="2"/>
      <c r="Q224" s="2"/>
      <c r="R224" s="39">
        <f t="shared" si="31"/>
        <v>0.48192771084337344</v>
      </c>
    </row>
    <row r="225" spans="1:18" x14ac:dyDescent="0.3">
      <c r="A225" s="2" t="s">
        <v>266</v>
      </c>
      <c r="B225" s="2">
        <v>156461</v>
      </c>
      <c r="C225" s="2">
        <f t="shared" si="34"/>
        <v>44703.142857142855</v>
      </c>
      <c r="D225" s="2"/>
      <c r="E225" s="2"/>
      <c r="F225" s="2"/>
      <c r="G225" s="2"/>
      <c r="H225" s="2"/>
      <c r="I225" s="2"/>
      <c r="J225" s="2">
        <v>4901</v>
      </c>
      <c r="K225" s="2">
        <f t="shared" si="33"/>
        <v>1195.3658536585367</v>
      </c>
      <c r="L225" s="2"/>
      <c r="M225" s="2"/>
      <c r="N225" s="2"/>
      <c r="O225" s="2"/>
      <c r="P225" s="2"/>
      <c r="Q225" s="2"/>
      <c r="R225" s="39">
        <f t="shared" si="31"/>
        <v>45898.50871080139</v>
      </c>
    </row>
    <row r="226" spans="1:18" x14ac:dyDescent="0.3">
      <c r="A226" s="2" t="s">
        <v>267</v>
      </c>
      <c r="B226" s="2"/>
      <c r="C226" s="2"/>
      <c r="D226" s="2">
        <v>128397</v>
      </c>
      <c r="E226" s="2">
        <f t="shared" si="29"/>
        <v>40760.952380952382</v>
      </c>
      <c r="F226" s="2"/>
      <c r="G226" s="2"/>
      <c r="H226" s="2">
        <v>38799</v>
      </c>
      <c r="I226" s="2">
        <f t="shared" si="32"/>
        <v>9349.1566265060228</v>
      </c>
      <c r="J226" s="2"/>
      <c r="K226" s="2"/>
      <c r="L226" s="2"/>
      <c r="M226" s="2"/>
      <c r="N226" s="2"/>
      <c r="O226" s="2"/>
      <c r="P226" s="2"/>
      <c r="Q226" s="2"/>
      <c r="R226" s="39">
        <f t="shared" si="31"/>
        <v>50110.109007458406</v>
      </c>
    </row>
    <row r="227" spans="1:18" x14ac:dyDescent="0.3">
      <c r="A227" s="2" t="s">
        <v>268</v>
      </c>
      <c r="B227" s="2"/>
      <c r="C227" s="2"/>
      <c r="D227" s="2">
        <v>6263</v>
      </c>
      <c r="E227" s="2">
        <f t="shared" si="29"/>
        <v>1988.2539682539682</v>
      </c>
      <c r="F227" s="2"/>
      <c r="G227" s="2"/>
      <c r="H227" s="2"/>
      <c r="I227" s="2"/>
      <c r="J227" s="2">
        <v>233</v>
      </c>
      <c r="K227" s="2">
        <f t="shared" si="33"/>
        <v>56.829268292682926</v>
      </c>
      <c r="L227" s="2"/>
      <c r="M227" s="2"/>
      <c r="N227" s="2"/>
      <c r="O227" s="2"/>
      <c r="P227" s="2">
        <v>399</v>
      </c>
      <c r="Q227" s="2">
        <f t="shared" si="30"/>
        <v>120.90909090909091</v>
      </c>
      <c r="R227" s="39">
        <f t="shared" si="31"/>
        <v>2165.9923274557418</v>
      </c>
    </row>
    <row r="228" spans="1:18" x14ac:dyDescent="0.3">
      <c r="A228" s="2" t="s">
        <v>269</v>
      </c>
      <c r="B228" s="2">
        <v>171001</v>
      </c>
      <c r="C228" s="2">
        <f t="shared" si="34"/>
        <v>48857.428571428572</v>
      </c>
      <c r="D228" s="2">
        <v>1850151</v>
      </c>
      <c r="E228" s="2">
        <f t="shared" si="29"/>
        <v>587349.52380952379</v>
      </c>
      <c r="F228" s="2">
        <v>407014</v>
      </c>
      <c r="G228" s="2">
        <f t="shared" si="35"/>
        <v>121496.71641791044</v>
      </c>
      <c r="H228" s="2">
        <v>2122740</v>
      </c>
      <c r="I228" s="2">
        <f t="shared" si="32"/>
        <v>511503.61445783125</v>
      </c>
      <c r="J228" s="2">
        <v>824369</v>
      </c>
      <c r="K228" s="2">
        <f t="shared" si="33"/>
        <v>201065.60975609758</v>
      </c>
      <c r="L228" s="2">
        <v>168566</v>
      </c>
      <c r="M228" s="2">
        <f t="shared" si="36"/>
        <v>55267.540983606559</v>
      </c>
      <c r="N228" s="2">
        <v>23</v>
      </c>
      <c r="O228" s="2">
        <f t="shared" si="37"/>
        <v>6.3888888888888884</v>
      </c>
      <c r="P228" s="2">
        <v>6536</v>
      </c>
      <c r="Q228" s="2">
        <f t="shared" si="30"/>
        <v>1980.6060606060607</v>
      </c>
      <c r="R228" s="39">
        <f t="shared" si="31"/>
        <v>1527527.4289458932</v>
      </c>
    </row>
    <row r="229" spans="1:18" x14ac:dyDescent="0.3">
      <c r="A229" s="2" t="s">
        <v>270</v>
      </c>
      <c r="B229" s="2">
        <v>1110908</v>
      </c>
      <c r="C229" s="2">
        <f t="shared" si="34"/>
        <v>317402.28571428574</v>
      </c>
      <c r="D229" s="2"/>
      <c r="E229" s="2"/>
      <c r="F229" s="2"/>
      <c r="G229" s="2"/>
      <c r="H229" s="2">
        <v>430975</v>
      </c>
      <c r="I229" s="2">
        <f t="shared" si="32"/>
        <v>103849.39759036143</v>
      </c>
      <c r="J229" s="2"/>
      <c r="K229" s="2"/>
      <c r="L229" s="2"/>
      <c r="M229" s="2"/>
      <c r="N229" s="2"/>
      <c r="O229" s="2"/>
      <c r="P229" s="2">
        <v>2289</v>
      </c>
      <c r="Q229" s="2">
        <f t="shared" si="30"/>
        <v>693.63636363636363</v>
      </c>
      <c r="R229" s="39">
        <f t="shared" si="31"/>
        <v>421945.31966828351</v>
      </c>
    </row>
    <row r="230" spans="1:18" x14ac:dyDescent="0.3">
      <c r="A230" s="2" t="s">
        <v>271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>
        <v>4907</v>
      </c>
      <c r="M230" s="2">
        <f t="shared" si="36"/>
        <v>1608.8524590163936</v>
      </c>
      <c r="N230" s="2"/>
      <c r="O230" s="2"/>
      <c r="P230" s="2"/>
      <c r="Q230" s="2"/>
      <c r="R230" s="39">
        <f t="shared" si="31"/>
        <v>1608.8524590163936</v>
      </c>
    </row>
    <row r="231" spans="1:18" x14ac:dyDescent="0.3">
      <c r="A231" s="2" t="s">
        <v>272</v>
      </c>
      <c r="B231" s="2"/>
      <c r="C231" s="2"/>
      <c r="D231" s="2"/>
      <c r="E231" s="2"/>
      <c r="F231" s="2"/>
      <c r="G231" s="2"/>
      <c r="H231" s="2">
        <v>1390</v>
      </c>
      <c r="I231" s="2">
        <f t="shared" si="32"/>
        <v>334.93975903614455</v>
      </c>
      <c r="J231" s="2">
        <v>1471</v>
      </c>
      <c r="K231" s="2">
        <f t="shared" si="33"/>
        <v>358.78048780487808</v>
      </c>
      <c r="L231" s="2"/>
      <c r="M231" s="2"/>
      <c r="N231" s="2"/>
      <c r="O231" s="2"/>
      <c r="P231" s="2"/>
      <c r="Q231" s="2"/>
      <c r="R231" s="39">
        <f t="shared" si="31"/>
        <v>693.72024684102257</v>
      </c>
    </row>
    <row r="232" spans="1:18" x14ac:dyDescent="0.3">
      <c r="A232" s="2" t="s">
        <v>273</v>
      </c>
      <c r="B232" s="2"/>
      <c r="C232" s="2"/>
      <c r="D232" s="2">
        <v>566</v>
      </c>
      <c r="E232" s="2">
        <f t="shared" si="29"/>
        <v>179.68253968253967</v>
      </c>
      <c r="F232" s="2"/>
      <c r="G232" s="2"/>
      <c r="H232" s="2">
        <v>412</v>
      </c>
      <c r="I232" s="2">
        <f t="shared" si="32"/>
        <v>99.277108433734938</v>
      </c>
      <c r="J232" s="2"/>
      <c r="K232" s="2"/>
      <c r="L232" s="2"/>
      <c r="M232" s="2"/>
      <c r="N232" s="2"/>
      <c r="O232" s="2"/>
      <c r="P232" s="2">
        <v>77</v>
      </c>
      <c r="Q232" s="2">
        <f t="shared" si="30"/>
        <v>23.333333333333336</v>
      </c>
      <c r="R232" s="39">
        <f t="shared" si="31"/>
        <v>302.29298144960791</v>
      </c>
    </row>
    <row r="233" spans="1:18" x14ac:dyDescent="0.3">
      <c r="A233" s="2" t="s">
        <v>274</v>
      </c>
      <c r="B233" s="2">
        <v>24567522</v>
      </c>
      <c r="C233" s="2">
        <f t="shared" si="34"/>
        <v>7019292</v>
      </c>
      <c r="D233" s="2">
        <v>4979</v>
      </c>
      <c r="E233" s="2">
        <f t="shared" si="29"/>
        <v>1580.6349206349207</v>
      </c>
      <c r="F233" s="2">
        <v>341268</v>
      </c>
      <c r="G233" s="2">
        <f t="shared" si="35"/>
        <v>101871.04477611939</v>
      </c>
      <c r="H233" s="2">
        <v>136559</v>
      </c>
      <c r="I233" s="2">
        <f t="shared" si="32"/>
        <v>32905.783132530116</v>
      </c>
      <c r="J233" s="2"/>
      <c r="K233" s="2"/>
      <c r="L233" s="2"/>
      <c r="M233" s="2"/>
      <c r="N233" s="2"/>
      <c r="O233" s="2"/>
      <c r="P233" s="2"/>
      <c r="Q233" s="2"/>
      <c r="R233" s="39">
        <f t="shared" si="31"/>
        <v>7155649.4628292844</v>
      </c>
    </row>
    <row r="234" spans="1:18" x14ac:dyDescent="0.3">
      <c r="A234" s="2" t="s">
        <v>275</v>
      </c>
      <c r="B234" s="2">
        <v>3158</v>
      </c>
      <c r="C234" s="2">
        <f t="shared" si="34"/>
        <v>902.28571428571433</v>
      </c>
      <c r="D234" s="2"/>
      <c r="E234" s="2"/>
      <c r="F234" s="2"/>
      <c r="G234" s="2"/>
      <c r="H234" s="2">
        <v>144231</v>
      </c>
      <c r="I234" s="2">
        <f t="shared" si="32"/>
        <v>34754.457831325301</v>
      </c>
      <c r="J234" s="2">
        <v>3035</v>
      </c>
      <c r="K234" s="2">
        <f t="shared" si="33"/>
        <v>740.2439024390244</v>
      </c>
      <c r="L234" s="2">
        <v>83280</v>
      </c>
      <c r="M234" s="2">
        <f t="shared" si="36"/>
        <v>27304.918032786889</v>
      </c>
      <c r="N234" s="2"/>
      <c r="O234" s="2"/>
      <c r="P234" s="2"/>
      <c r="Q234" s="2"/>
      <c r="R234" s="39">
        <f t="shared" si="31"/>
        <v>63701.905480836933</v>
      </c>
    </row>
    <row r="235" spans="1:18" x14ac:dyDescent="0.3">
      <c r="A235" s="2" t="s">
        <v>276</v>
      </c>
      <c r="B235" s="2">
        <v>720377</v>
      </c>
      <c r="C235" s="2">
        <f t="shared" si="34"/>
        <v>205822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39">
        <f t="shared" si="31"/>
        <v>205822</v>
      </c>
    </row>
    <row r="236" spans="1:18" x14ac:dyDescent="0.3">
      <c r="A236" s="2" t="s">
        <v>277</v>
      </c>
      <c r="B236" s="2"/>
      <c r="C236" s="2"/>
      <c r="D236" s="2">
        <v>801452</v>
      </c>
      <c r="E236" s="2">
        <f t="shared" si="29"/>
        <v>254429.20634920636</v>
      </c>
      <c r="F236" s="2">
        <v>474848</v>
      </c>
      <c r="G236" s="2">
        <f t="shared" si="35"/>
        <v>141745.67164179104</v>
      </c>
      <c r="H236" s="2">
        <v>1187025</v>
      </c>
      <c r="I236" s="2">
        <f t="shared" si="32"/>
        <v>286030.1204819277</v>
      </c>
      <c r="J236" s="2">
        <v>154357</v>
      </c>
      <c r="K236" s="2">
        <f t="shared" si="33"/>
        <v>37648.048780487807</v>
      </c>
      <c r="L236" s="2">
        <v>157199</v>
      </c>
      <c r="M236" s="2">
        <f t="shared" si="36"/>
        <v>51540.655737704918</v>
      </c>
      <c r="N236" s="2"/>
      <c r="O236" s="2"/>
      <c r="P236" s="2"/>
      <c r="Q236" s="2"/>
      <c r="R236" s="39">
        <f t="shared" si="31"/>
        <v>771393.70299111784</v>
      </c>
    </row>
    <row r="237" spans="1:18" x14ac:dyDescent="0.3">
      <c r="A237" s="2" t="s">
        <v>278</v>
      </c>
      <c r="B237" s="2"/>
      <c r="C237" s="2"/>
      <c r="D237" s="2">
        <v>7308</v>
      </c>
      <c r="E237" s="2">
        <f t="shared" si="29"/>
        <v>2320</v>
      </c>
      <c r="F237" s="2">
        <v>533584</v>
      </c>
      <c r="G237" s="2">
        <f t="shared" si="35"/>
        <v>159278.80597014926</v>
      </c>
      <c r="H237" s="2">
        <v>77373</v>
      </c>
      <c r="I237" s="2">
        <f t="shared" si="32"/>
        <v>18644.096385542165</v>
      </c>
      <c r="J237" s="2">
        <v>4738</v>
      </c>
      <c r="K237" s="2">
        <f t="shared" si="33"/>
        <v>1155.6097560975609</v>
      </c>
      <c r="L237" s="2">
        <v>1299</v>
      </c>
      <c r="M237" s="2">
        <f t="shared" si="36"/>
        <v>425.90163934426232</v>
      </c>
      <c r="N237" s="2">
        <v>1355</v>
      </c>
      <c r="O237" s="2">
        <f t="shared" si="37"/>
        <v>376.38888888888886</v>
      </c>
      <c r="P237" s="2">
        <v>42826</v>
      </c>
      <c r="Q237" s="2">
        <f t="shared" si="30"/>
        <v>12977.575757575758</v>
      </c>
      <c r="R237" s="39">
        <f t="shared" si="31"/>
        <v>195178.37839759784</v>
      </c>
    </row>
    <row r="238" spans="1:18" x14ac:dyDescent="0.3">
      <c r="A238" s="2" t="s">
        <v>279</v>
      </c>
      <c r="B238" s="2">
        <v>559995</v>
      </c>
      <c r="C238" s="2">
        <f t="shared" si="34"/>
        <v>159998.57142857142</v>
      </c>
      <c r="D238" s="2"/>
      <c r="E238" s="2"/>
      <c r="F238" s="2"/>
      <c r="G238" s="2"/>
      <c r="H238" s="2">
        <v>200</v>
      </c>
      <c r="I238" s="2">
        <f t="shared" si="32"/>
        <v>48.192771084337345</v>
      </c>
      <c r="J238" s="2">
        <v>3844</v>
      </c>
      <c r="K238" s="2">
        <f t="shared" si="33"/>
        <v>937.56097560975616</v>
      </c>
      <c r="L238" s="2"/>
      <c r="M238" s="2"/>
      <c r="N238" s="2"/>
      <c r="O238" s="2"/>
      <c r="P238" s="2"/>
      <c r="Q238" s="2"/>
      <c r="R238" s="39">
        <f t="shared" si="31"/>
        <v>160984.32517526552</v>
      </c>
    </row>
    <row r="239" spans="1:18" x14ac:dyDescent="0.3">
      <c r="A239" s="2" t="s">
        <v>280</v>
      </c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>
        <v>6099</v>
      </c>
      <c r="Q239" s="2">
        <f t="shared" si="30"/>
        <v>1848.1818181818182</v>
      </c>
      <c r="R239" s="39">
        <f t="shared" si="31"/>
        <v>1848.1818181818182</v>
      </c>
    </row>
    <row r="240" spans="1:18" x14ac:dyDescent="0.3">
      <c r="A240" s="2" t="s">
        <v>281</v>
      </c>
      <c r="B240" s="2"/>
      <c r="C240" s="2"/>
      <c r="D240" s="2">
        <v>11288</v>
      </c>
      <c r="E240" s="2">
        <f t="shared" si="29"/>
        <v>3583.4920634920636</v>
      </c>
      <c r="F240" s="2"/>
      <c r="G240" s="2"/>
      <c r="H240" s="2">
        <v>7962</v>
      </c>
      <c r="I240" s="2">
        <f t="shared" si="32"/>
        <v>1918.5542168674697</v>
      </c>
      <c r="J240" s="2">
        <v>119562</v>
      </c>
      <c r="K240" s="2">
        <f t="shared" si="33"/>
        <v>29161.463414634149</v>
      </c>
      <c r="L240" s="2"/>
      <c r="M240" s="2"/>
      <c r="N240" s="2"/>
      <c r="O240" s="2"/>
      <c r="P240" s="2">
        <v>10</v>
      </c>
      <c r="Q240" s="2">
        <f t="shared" si="30"/>
        <v>3.0303030303030303</v>
      </c>
      <c r="R240" s="39">
        <f t="shared" si="31"/>
        <v>34666.539998023989</v>
      </c>
    </row>
    <row r="241" spans="1:18" x14ac:dyDescent="0.3">
      <c r="A241" s="2" t="s">
        <v>282</v>
      </c>
      <c r="B241" s="2"/>
      <c r="C241" s="2"/>
      <c r="D241" s="2">
        <v>84</v>
      </c>
      <c r="E241" s="2">
        <f t="shared" si="29"/>
        <v>26.666666666666668</v>
      </c>
      <c r="F241" s="2"/>
      <c r="G241" s="2"/>
      <c r="H241" s="2">
        <v>37995</v>
      </c>
      <c r="I241" s="2">
        <f t="shared" si="32"/>
        <v>9155.4216867469859</v>
      </c>
      <c r="J241" s="2"/>
      <c r="K241" s="2"/>
      <c r="L241" s="2">
        <v>37</v>
      </c>
      <c r="M241" s="2">
        <f t="shared" si="36"/>
        <v>12.131147540983607</v>
      </c>
      <c r="N241" s="2"/>
      <c r="O241" s="2"/>
      <c r="P241" s="2">
        <v>1086</v>
      </c>
      <c r="Q241" s="2">
        <f t="shared" si="30"/>
        <v>329.09090909090912</v>
      </c>
      <c r="R241" s="39">
        <f t="shared" si="31"/>
        <v>9523.3104100455457</v>
      </c>
    </row>
    <row r="242" spans="1:18" x14ac:dyDescent="0.3">
      <c r="A242" s="2" t="s">
        <v>283</v>
      </c>
      <c r="B242" s="2"/>
      <c r="C242" s="2"/>
      <c r="D242" s="2"/>
      <c r="E242" s="2"/>
      <c r="F242" s="2"/>
      <c r="G242" s="2"/>
      <c r="H242" s="2">
        <v>19</v>
      </c>
      <c r="I242" s="2">
        <f t="shared" si="32"/>
        <v>4.5783132530120474</v>
      </c>
      <c r="J242" s="2">
        <v>70258</v>
      </c>
      <c r="K242" s="2">
        <f t="shared" si="33"/>
        <v>17136.09756097561</v>
      </c>
      <c r="L242" s="2"/>
      <c r="M242" s="2"/>
      <c r="N242" s="2"/>
      <c r="O242" s="2"/>
      <c r="P242" s="2">
        <v>3475</v>
      </c>
      <c r="Q242" s="2">
        <f t="shared" si="30"/>
        <v>1053.030303030303</v>
      </c>
      <c r="R242" s="39">
        <f t="shared" si="31"/>
        <v>18193.706177258926</v>
      </c>
    </row>
    <row r="243" spans="1:18" x14ac:dyDescent="0.3">
      <c r="A243" s="2" t="s">
        <v>284</v>
      </c>
      <c r="B243" s="2"/>
      <c r="C243" s="2"/>
      <c r="D243" s="2">
        <v>146</v>
      </c>
      <c r="E243" s="2">
        <f t="shared" si="29"/>
        <v>46.349206349206355</v>
      </c>
      <c r="F243" s="2"/>
      <c r="G243" s="2"/>
      <c r="H243" s="2">
        <v>41725</v>
      </c>
      <c r="I243" s="2">
        <f t="shared" si="32"/>
        <v>10054.216867469879</v>
      </c>
      <c r="J243" s="2"/>
      <c r="K243" s="2"/>
      <c r="L243" s="2"/>
      <c r="M243" s="2"/>
      <c r="N243" s="2">
        <v>28</v>
      </c>
      <c r="O243" s="2">
        <f t="shared" si="37"/>
        <v>7.7777777777777777</v>
      </c>
      <c r="P243" s="2">
        <v>1963</v>
      </c>
      <c r="Q243" s="2">
        <f t="shared" si="30"/>
        <v>594.84848484848487</v>
      </c>
      <c r="R243" s="39">
        <f t="shared" si="31"/>
        <v>10703.192336445347</v>
      </c>
    </row>
    <row r="244" spans="1:18" x14ac:dyDescent="0.3">
      <c r="A244" s="2" t="s">
        <v>285</v>
      </c>
      <c r="B244" s="2"/>
      <c r="C244" s="2"/>
      <c r="D244" s="2">
        <v>292</v>
      </c>
      <c r="E244" s="2">
        <f t="shared" si="29"/>
        <v>92.69841269841271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>
        <v>1</v>
      </c>
      <c r="Q244" s="2">
        <f t="shared" si="30"/>
        <v>0.30303030303030304</v>
      </c>
      <c r="R244" s="39">
        <f t="shared" si="31"/>
        <v>93.001443001443008</v>
      </c>
    </row>
    <row r="245" spans="1:18" x14ac:dyDescent="0.3">
      <c r="A245" s="2" t="s">
        <v>286</v>
      </c>
      <c r="B245" s="2"/>
      <c r="C245" s="2"/>
      <c r="D245" s="2">
        <v>5099</v>
      </c>
      <c r="E245" s="2">
        <f t="shared" si="29"/>
        <v>1618.7301587301588</v>
      </c>
      <c r="F245" s="2"/>
      <c r="G245" s="2"/>
      <c r="H245" s="2"/>
      <c r="I245" s="2"/>
      <c r="J245" s="2">
        <v>238</v>
      </c>
      <c r="K245" s="2">
        <f t="shared" si="33"/>
        <v>58.048780487804883</v>
      </c>
      <c r="L245" s="2"/>
      <c r="M245" s="2"/>
      <c r="N245" s="2"/>
      <c r="O245" s="2"/>
      <c r="P245" s="2">
        <v>337</v>
      </c>
      <c r="Q245" s="2">
        <f t="shared" si="30"/>
        <v>102.12121212121212</v>
      </c>
      <c r="R245" s="39">
        <f t="shared" si="31"/>
        <v>1778.9001513391759</v>
      </c>
    </row>
    <row r="246" spans="1:18" x14ac:dyDescent="0.3">
      <c r="A246" s="2" t="s">
        <v>287</v>
      </c>
      <c r="B246" s="2"/>
      <c r="C246" s="2"/>
      <c r="D246" s="2">
        <v>1</v>
      </c>
      <c r="E246" s="2">
        <f t="shared" si="29"/>
        <v>0.31746031746031744</v>
      </c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39">
        <f t="shared" si="31"/>
        <v>0.31746031746031744</v>
      </c>
    </row>
    <row r="247" spans="1:18" x14ac:dyDescent="0.3">
      <c r="A247" s="2" t="s">
        <v>288</v>
      </c>
      <c r="B247" s="2"/>
      <c r="C247" s="2"/>
      <c r="D247" s="2"/>
      <c r="E247" s="2"/>
      <c r="F247" s="2"/>
      <c r="G247" s="2"/>
      <c r="H247" s="2">
        <v>46357</v>
      </c>
      <c r="I247" s="2">
        <f t="shared" si="32"/>
        <v>11170.36144578313</v>
      </c>
      <c r="J247" s="2">
        <v>11391</v>
      </c>
      <c r="K247" s="2">
        <f t="shared" si="33"/>
        <v>2778.2926829268295</v>
      </c>
      <c r="L247" s="2">
        <v>1400</v>
      </c>
      <c r="M247" s="2">
        <f t="shared" si="36"/>
        <v>459.01639344262298</v>
      </c>
      <c r="N247" s="2"/>
      <c r="O247" s="2"/>
      <c r="P247" s="2"/>
      <c r="Q247" s="2"/>
      <c r="R247" s="39">
        <f t="shared" si="31"/>
        <v>14407.670522152583</v>
      </c>
    </row>
    <row r="248" spans="1:18" x14ac:dyDescent="0.3">
      <c r="A248" s="2" t="s">
        <v>289</v>
      </c>
      <c r="B248" s="2">
        <v>140104</v>
      </c>
      <c r="C248" s="2">
        <f t="shared" si="34"/>
        <v>40029.714285714283</v>
      </c>
      <c r="D248" s="2">
        <v>847129</v>
      </c>
      <c r="E248" s="2">
        <f t="shared" si="29"/>
        <v>268929.84126984124</v>
      </c>
      <c r="F248" s="2"/>
      <c r="G248" s="2"/>
      <c r="H248" s="2">
        <v>328311</v>
      </c>
      <c r="I248" s="2">
        <f t="shared" si="32"/>
        <v>79111.084337349384</v>
      </c>
      <c r="J248" s="2"/>
      <c r="K248" s="2"/>
      <c r="L248" s="2"/>
      <c r="M248" s="2"/>
      <c r="N248" s="2"/>
      <c r="O248" s="2"/>
      <c r="P248" s="2"/>
      <c r="Q248" s="2"/>
      <c r="R248" s="39">
        <f t="shared" si="31"/>
        <v>388070.6398929049</v>
      </c>
    </row>
  </sheetData>
  <sortState xmlns:xlrd2="http://schemas.microsoft.com/office/spreadsheetml/2017/richdata2" ref="A4:P248">
    <sortCondition ref="A4:A248"/>
  </sortState>
  <mergeCells count="16">
    <mergeCell ref="A1:R1"/>
    <mergeCell ref="T40:AA40"/>
    <mergeCell ref="AF1:AM7"/>
    <mergeCell ref="T1:AC1"/>
    <mergeCell ref="U28:U29"/>
    <mergeCell ref="T28:T29"/>
    <mergeCell ref="V28:V29"/>
    <mergeCell ref="W28:X28"/>
    <mergeCell ref="N2:O2"/>
    <mergeCell ref="P2:Q2"/>
    <mergeCell ref="L2:M2"/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09B64-7F8A-4A00-A23B-CC1A0978339E}">
  <dimension ref="A1:N246"/>
  <sheetViews>
    <sheetView topLeftCell="F1" workbookViewId="0">
      <selection activeCell="E2" sqref="E1:M1048576"/>
    </sheetView>
  </sheetViews>
  <sheetFormatPr defaultRowHeight="14.4" x14ac:dyDescent="0.3"/>
  <cols>
    <col min="1" max="1" width="67.33203125" customWidth="1"/>
    <col min="2" max="2" width="22" customWidth="1"/>
    <col min="3" max="3" width="40.109375" customWidth="1"/>
    <col min="5" max="5" width="15.88671875" customWidth="1"/>
    <col min="6" max="6" width="64.88671875" customWidth="1"/>
    <col min="7" max="7" width="36.5546875" customWidth="1"/>
    <col min="8" max="8" width="20.109375" customWidth="1"/>
    <col min="10" max="10" width="17.44140625" customWidth="1"/>
    <col min="11" max="11" width="43.88671875" customWidth="1"/>
  </cols>
  <sheetData>
    <row r="1" spans="1:3" x14ac:dyDescent="0.3">
      <c r="A1" s="40" t="s">
        <v>290</v>
      </c>
      <c r="B1" s="40" t="s">
        <v>291</v>
      </c>
      <c r="C1" s="40" t="s">
        <v>292</v>
      </c>
    </row>
    <row r="2" spans="1:3" x14ac:dyDescent="0.3">
      <c r="A2" t="s">
        <v>44</v>
      </c>
      <c r="B2" t="s">
        <v>293</v>
      </c>
      <c r="C2">
        <v>1095.1462423967369</v>
      </c>
    </row>
    <row r="3" spans="1:3" x14ac:dyDescent="0.3">
      <c r="A3" t="s">
        <v>76</v>
      </c>
      <c r="B3" t="s">
        <v>293</v>
      </c>
      <c r="C3">
        <v>76.907753493119344</v>
      </c>
    </row>
    <row r="4" spans="1:3" x14ac:dyDescent="0.3">
      <c r="A4" t="s">
        <v>92</v>
      </c>
      <c r="B4" t="s">
        <v>293</v>
      </c>
      <c r="C4">
        <v>6.0975609756097562</v>
      </c>
    </row>
    <row r="5" spans="1:3" x14ac:dyDescent="0.3">
      <c r="A5" t="s">
        <v>109</v>
      </c>
      <c r="B5" t="s">
        <v>293</v>
      </c>
      <c r="C5">
        <v>74.620068278604876</v>
      </c>
    </row>
    <row r="6" spans="1:3" x14ac:dyDescent="0.3">
      <c r="A6" t="s">
        <v>112</v>
      </c>
      <c r="B6" t="s">
        <v>293</v>
      </c>
      <c r="C6">
        <v>1660.3395399780943</v>
      </c>
    </row>
    <row r="7" spans="1:3" x14ac:dyDescent="0.3">
      <c r="A7" t="s">
        <v>117</v>
      </c>
      <c r="B7" t="s">
        <v>293</v>
      </c>
      <c r="C7">
        <v>10.793650793650793</v>
      </c>
    </row>
    <row r="8" spans="1:3" x14ac:dyDescent="0.3">
      <c r="A8" t="s">
        <v>131</v>
      </c>
      <c r="B8" t="s">
        <v>293</v>
      </c>
      <c r="C8">
        <v>465.33734558124803</v>
      </c>
    </row>
    <row r="9" spans="1:3" x14ac:dyDescent="0.3">
      <c r="A9" t="s">
        <v>132</v>
      </c>
      <c r="B9" t="s">
        <v>293</v>
      </c>
      <c r="C9">
        <v>399.32460493436105</v>
      </c>
    </row>
    <row r="10" spans="1:3" x14ac:dyDescent="0.3">
      <c r="A10" t="s">
        <v>133</v>
      </c>
      <c r="B10" t="s">
        <v>293</v>
      </c>
      <c r="C10">
        <v>83.027487417731322</v>
      </c>
    </row>
    <row r="11" spans="1:3" x14ac:dyDescent="0.3">
      <c r="A11" t="s">
        <v>136</v>
      </c>
      <c r="B11" t="s">
        <v>293</v>
      </c>
      <c r="C11">
        <v>2165.9923274557418</v>
      </c>
    </row>
    <row r="12" spans="1:3" x14ac:dyDescent="0.3">
      <c r="A12" t="s">
        <v>138</v>
      </c>
      <c r="B12" t="s">
        <v>293</v>
      </c>
      <c r="C12">
        <v>0.30303030303030304</v>
      </c>
    </row>
    <row r="13" spans="1:3" x14ac:dyDescent="0.3">
      <c r="A13" t="s">
        <v>139</v>
      </c>
      <c r="B13" t="s">
        <v>293</v>
      </c>
      <c r="C13">
        <v>363.61445783132524</v>
      </c>
    </row>
    <row r="14" spans="1:3" x14ac:dyDescent="0.3">
      <c r="A14" t="s">
        <v>140</v>
      </c>
      <c r="B14" t="s">
        <v>293</v>
      </c>
      <c r="C14">
        <v>448.46342013398294</v>
      </c>
    </row>
    <row r="15" spans="1:3" x14ac:dyDescent="0.3">
      <c r="A15" t="s">
        <v>147</v>
      </c>
      <c r="B15" t="s">
        <v>293</v>
      </c>
      <c r="C15" s="16">
        <v>104.65702319360857</v>
      </c>
    </row>
    <row r="16" spans="1:3" x14ac:dyDescent="0.3">
      <c r="A16" t="s">
        <v>161</v>
      </c>
      <c r="B16" t="s">
        <v>293</v>
      </c>
      <c r="C16" s="16">
        <v>111.27175368139224</v>
      </c>
    </row>
    <row r="17" spans="1:14" x14ac:dyDescent="0.3">
      <c r="A17" t="s">
        <v>171</v>
      </c>
      <c r="B17" t="s">
        <v>293</v>
      </c>
      <c r="C17" s="16">
        <v>204375.36500840247</v>
      </c>
      <c r="E17" s="24"/>
      <c r="F17" s="25"/>
      <c r="G17" s="26"/>
      <c r="H17" s="26"/>
      <c r="I17" s="26"/>
      <c r="J17" s="26"/>
      <c r="K17" s="26"/>
      <c r="L17" s="26"/>
      <c r="M17" s="26"/>
      <c r="N17" s="27"/>
    </row>
    <row r="18" spans="1:14" x14ac:dyDescent="0.3">
      <c r="A18" t="s">
        <v>172</v>
      </c>
      <c r="B18" t="s">
        <v>293</v>
      </c>
      <c r="C18" s="16">
        <v>3079.2233403472387</v>
      </c>
      <c r="E18" s="27"/>
      <c r="F18" s="27"/>
      <c r="G18" s="27"/>
      <c r="H18" s="27"/>
      <c r="I18" s="27"/>
      <c r="J18" s="27"/>
      <c r="K18" s="27"/>
      <c r="L18" s="27"/>
      <c r="M18" s="27"/>
      <c r="N18" s="27"/>
    </row>
    <row r="19" spans="1:14" x14ac:dyDescent="0.3">
      <c r="A19" t="s">
        <v>188</v>
      </c>
      <c r="B19" t="s">
        <v>293</v>
      </c>
      <c r="C19" s="16">
        <v>1778.9001513391759</v>
      </c>
      <c r="E19" s="27"/>
      <c r="F19" s="27"/>
      <c r="G19" s="27"/>
      <c r="H19" s="27"/>
      <c r="I19" s="27"/>
      <c r="J19" s="27"/>
      <c r="K19" s="27"/>
      <c r="L19" s="27"/>
      <c r="M19" s="27"/>
      <c r="N19" s="27"/>
    </row>
    <row r="20" spans="1:14" x14ac:dyDescent="0.3">
      <c r="A20" t="s">
        <v>201</v>
      </c>
      <c r="B20" t="s">
        <v>293</v>
      </c>
      <c r="C20" s="16">
        <v>386.51758628460487</v>
      </c>
      <c r="E20" s="27"/>
      <c r="F20" s="27"/>
      <c r="G20" s="27"/>
      <c r="H20" s="27"/>
      <c r="I20" s="27"/>
      <c r="J20" s="27"/>
      <c r="K20" s="27"/>
      <c r="L20" s="27"/>
      <c r="M20" s="27"/>
      <c r="N20" s="27"/>
    </row>
    <row r="21" spans="1:14" x14ac:dyDescent="0.3">
      <c r="A21" t="s">
        <v>245</v>
      </c>
      <c r="B21" t="s">
        <v>293</v>
      </c>
      <c r="C21" s="16">
        <v>52.131418716784573</v>
      </c>
      <c r="E21" s="27"/>
      <c r="F21" s="27"/>
      <c r="G21" s="27"/>
      <c r="H21" s="27"/>
      <c r="I21" s="27"/>
      <c r="J21" s="27"/>
      <c r="K21" s="27"/>
      <c r="L21" s="27"/>
      <c r="M21" s="27"/>
      <c r="N21" s="27"/>
    </row>
    <row r="22" spans="1:14" x14ac:dyDescent="0.3">
      <c r="A22" t="s">
        <v>246</v>
      </c>
      <c r="B22" t="s">
        <v>293</v>
      </c>
      <c r="C22" s="16">
        <v>45.201140323091543</v>
      </c>
      <c r="E22" s="27"/>
      <c r="F22" s="27"/>
      <c r="G22" s="27"/>
      <c r="H22" s="27"/>
      <c r="I22" s="27"/>
      <c r="J22" s="27"/>
      <c r="K22" s="27"/>
      <c r="L22" s="27"/>
      <c r="M22" s="27"/>
      <c r="N22" s="27"/>
    </row>
    <row r="23" spans="1:14" x14ac:dyDescent="0.3">
      <c r="A23" t="s">
        <v>268</v>
      </c>
      <c r="B23" t="s">
        <v>293</v>
      </c>
      <c r="C23" s="16">
        <v>2165.9923274557418</v>
      </c>
      <c r="E23" s="27"/>
      <c r="F23" s="27"/>
      <c r="G23" s="27"/>
      <c r="H23" s="27"/>
      <c r="I23" s="27"/>
      <c r="J23" s="27"/>
      <c r="K23" s="27"/>
      <c r="L23" s="27"/>
      <c r="M23" s="27"/>
      <c r="N23" s="27"/>
    </row>
    <row r="24" spans="1:14" x14ac:dyDescent="0.3">
      <c r="A24" t="s">
        <v>273</v>
      </c>
      <c r="B24" t="s">
        <v>293</v>
      </c>
      <c r="C24" s="16">
        <v>302.29298144960791</v>
      </c>
      <c r="E24" s="27"/>
      <c r="F24" s="27"/>
      <c r="G24" s="27"/>
      <c r="H24" s="27"/>
      <c r="I24" s="27"/>
      <c r="J24" s="27"/>
      <c r="K24" s="27"/>
      <c r="L24" s="27"/>
      <c r="M24" s="27"/>
      <c r="N24" s="27"/>
    </row>
    <row r="25" spans="1:14" x14ac:dyDescent="0.3">
      <c r="A25" t="s">
        <v>274</v>
      </c>
      <c r="B25" t="s">
        <v>293</v>
      </c>
      <c r="C25" s="16">
        <v>7155649.4628292844</v>
      </c>
      <c r="E25" s="24"/>
      <c r="F25" s="25"/>
      <c r="G25" s="26"/>
      <c r="H25" s="26"/>
      <c r="I25" s="26"/>
      <c r="J25" s="26"/>
      <c r="K25" s="26"/>
      <c r="L25" s="26"/>
      <c r="M25" s="26"/>
      <c r="N25" s="27"/>
    </row>
    <row r="26" spans="1:14" x14ac:dyDescent="0.3">
      <c r="A26" t="s">
        <v>285</v>
      </c>
      <c r="B26" t="s">
        <v>293</v>
      </c>
      <c r="C26">
        <v>93.001443001443008</v>
      </c>
      <c r="E26" s="27"/>
      <c r="F26" s="27"/>
      <c r="G26" s="27"/>
      <c r="H26" s="27"/>
      <c r="I26" s="27"/>
      <c r="J26" s="27"/>
      <c r="K26" s="27"/>
      <c r="L26" s="27"/>
      <c r="M26" s="27"/>
      <c r="N26" s="27"/>
    </row>
    <row r="27" spans="1:14" x14ac:dyDescent="0.3">
      <c r="A27" t="s">
        <v>286</v>
      </c>
      <c r="B27" t="s">
        <v>293</v>
      </c>
      <c r="C27">
        <v>1778.9001513391759</v>
      </c>
    </row>
    <row r="28" spans="1:14" x14ac:dyDescent="0.3">
      <c r="A28" t="s">
        <v>287</v>
      </c>
      <c r="B28" t="s">
        <v>293</v>
      </c>
      <c r="C28">
        <v>0.31746031746031744</v>
      </c>
    </row>
    <row r="29" spans="1:14" x14ac:dyDescent="0.3">
      <c r="A29" t="s">
        <v>48</v>
      </c>
      <c r="B29" t="s">
        <v>294</v>
      </c>
      <c r="C29" s="16">
        <v>3542.6506024096384</v>
      </c>
      <c r="E29" s="24"/>
      <c r="F29" s="25"/>
      <c r="G29" s="26"/>
      <c r="H29" s="26"/>
      <c r="I29" s="26"/>
      <c r="J29" s="26"/>
      <c r="K29" s="26"/>
      <c r="L29" s="26"/>
      <c r="M29" s="26"/>
    </row>
    <row r="30" spans="1:14" x14ac:dyDescent="0.3">
      <c r="A30" t="s">
        <v>80</v>
      </c>
      <c r="B30" t="s">
        <v>294</v>
      </c>
      <c r="C30" s="16">
        <v>85064.596644417383</v>
      </c>
      <c r="E30" s="27"/>
      <c r="F30" s="27"/>
      <c r="G30" s="27"/>
      <c r="H30" s="27"/>
      <c r="I30" s="27"/>
      <c r="J30" s="27"/>
      <c r="K30" s="27"/>
      <c r="L30" s="27"/>
      <c r="M30" s="27"/>
    </row>
    <row r="31" spans="1:14" x14ac:dyDescent="0.3">
      <c r="A31" t="s">
        <v>157</v>
      </c>
      <c r="B31" t="s">
        <v>294</v>
      </c>
      <c r="C31" s="16">
        <v>608819.62485393579</v>
      </c>
      <c r="E31" s="24"/>
      <c r="F31" s="25"/>
      <c r="G31" s="26"/>
      <c r="H31" s="26"/>
      <c r="I31" s="26"/>
      <c r="J31" s="26"/>
      <c r="K31" s="26"/>
      <c r="L31" s="26"/>
      <c r="M31" s="26"/>
    </row>
    <row r="32" spans="1:14" x14ac:dyDescent="0.3">
      <c r="A32" t="s">
        <v>265</v>
      </c>
      <c r="B32" t="s">
        <v>294</v>
      </c>
      <c r="C32" s="16">
        <v>0.48192771084337344</v>
      </c>
      <c r="E32" s="24"/>
      <c r="F32" s="25"/>
      <c r="G32" s="26"/>
      <c r="H32" s="26"/>
      <c r="I32" s="26"/>
      <c r="J32" s="26"/>
      <c r="K32" s="26"/>
      <c r="L32" s="26"/>
      <c r="M32" s="26"/>
    </row>
    <row r="33" spans="1:13" x14ac:dyDescent="0.3">
      <c r="A33" t="s">
        <v>266</v>
      </c>
      <c r="B33" t="s">
        <v>294</v>
      </c>
      <c r="C33" s="16">
        <v>45898.50871080139</v>
      </c>
      <c r="E33" s="24"/>
      <c r="F33" s="25"/>
      <c r="G33" s="26"/>
      <c r="H33" s="26"/>
      <c r="I33" s="26"/>
      <c r="J33" s="26"/>
      <c r="K33" s="26"/>
      <c r="L33" s="26"/>
      <c r="M33" s="26"/>
    </row>
    <row r="34" spans="1:13" x14ac:dyDescent="0.3">
      <c r="A34" t="s">
        <v>145</v>
      </c>
      <c r="B34" t="s">
        <v>295</v>
      </c>
      <c r="C34" s="16">
        <v>1759.077284748751</v>
      </c>
      <c r="E34" s="24"/>
      <c r="F34" s="25"/>
      <c r="G34" s="26"/>
      <c r="H34" s="26"/>
      <c r="I34" s="26"/>
      <c r="J34" s="26"/>
      <c r="K34" s="26"/>
      <c r="L34" s="26"/>
      <c r="M34" s="26"/>
    </row>
    <row r="35" spans="1:13" x14ac:dyDescent="0.3">
      <c r="A35" t="s">
        <v>150</v>
      </c>
      <c r="B35" t="s">
        <v>295</v>
      </c>
      <c r="C35" s="16">
        <v>2552.0775786071113</v>
      </c>
      <c r="E35" s="24"/>
      <c r="F35" s="25"/>
      <c r="G35" s="26"/>
      <c r="H35" s="26"/>
      <c r="I35" s="26"/>
      <c r="J35" s="26"/>
      <c r="K35" s="26"/>
      <c r="L35" s="26"/>
      <c r="M35" s="26"/>
    </row>
    <row r="36" spans="1:13" x14ac:dyDescent="0.3">
      <c r="A36" t="s">
        <v>69</v>
      </c>
      <c r="B36" t="s">
        <v>296</v>
      </c>
      <c r="C36" s="16">
        <v>483072.88960193889</v>
      </c>
      <c r="E36" s="24"/>
      <c r="F36" s="25"/>
      <c r="G36" s="26"/>
      <c r="H36" s="26"/>
      <c r="I36" s="26"/>
      <c r="J36" s="26"/>
      <c r="K36" s="26"/>
      <c r="L36" s="26"/>
      <c r="M36" s="26"/>
    </row>
    <row r="37" spans="1:13" x14ac:dyDescent="0.3">
      <c r="A37" t="s">
        <v>175</v>
      </c>
      <c r="B37" t="s">
        <v>296</v>
      </c>
      <c r="C37" s="16">
        <v>2931.0180114396981</v>
      </c>
      <c r="E37" s="27"/>
      <c r="F37" s="27"/>
      <c r="G37" s="27"/>
      <c r="H37" s="27"/>
      <c r="I37" s="27"/>
      <c r="J37" s="27"/>
      <c r="K37" s="27"/>
      <c r="L37" s="27"/>
      <c r="M37" s="27"/>
    </row>
    <row r="38" spans="1:13" x14ac:dyDescent="0.3">
      <c r="A38" t="s">
        <v>180</v>
      </c>
      <c r="B38" t="s">
        <v>296</v>
      </c>
      <c r="C38" s="16">
        <v>51.661190215407082</v>
      </c>
      <c r="E38" s="27"/>
      <c r="F38" s="27"/>
      <c r="G38" s="27"/>
      <c r="H38" s="27"/>
      <c r="I38" s="27"/>
      <c r="J38" s="27"/>
      <c r="K38" s="27"/>
      <c r="L38" s="27"/>
      <c r="M38" s="27"/>
    </row>
    <row r="39" spans="1:13" x14ac:dyDescent="0.3">
      <c r="A39" t="s">
        <v>199</v>
      </c>
      <c r="B39" t="s">
        <v>296</v>
      </c>
      <c r="C39" s="16">
        <v>52.570281124497996</v>
      </c>
      <c r="E39" s="27"/>
      <c r="F39" s="27"/>
      <c r="G39" s="27"/>
      <c r="H39" s="27"/>
      <c r="I39" s="27"/>
      <c r="J39" s="27"/>
      <c r="K39" s="27"/>
      <c r="L39" s="27"/>
      <c r="M39" s="27"/>
    </row>
    <row r="40" spans="1:13" x14ac:dyDescent="0.3">
      <c r="A40" t="s">
        <v>211</v>
      </c>
      <c r="B40" t="s">
        <v>296</v>
      </c>
      <c r="C40" s="16">
        <v>372275.5224729412</v>
      </c>
      <c r="E40" s="24"/>
      <c r="F40" s="25"/>
      <c r="G40" s="26"/>
      <c r="H40" s="26"/>
      <c r="I40" s="26"/>
      <c r="J40" s="26"/>
      <c r="K40" s="26"/>
      <c r="L40" s="26"/>
      <c r="M40" s="26"/>
    </row>
    <row r="41" spans="1:13" x14ac:dyDescent="0.3">
      <c r="A41" t="s">
        <v>212</v>
      </c>
      <c r="B41" t="s">
        <v>296</v>
      </c>
      <c r="C41" s="16">
        <v>225497.8279459902</v>
      </c>
      <c r="E41" s="24"/>
      <c r="F41" s="25"/>
      <c r="G41" s="26"/>
      <c r="H41" s="26"/>
      <c r="I41" s="26"/>
      <c r="J41" s="26"/>
      <c r="K41" s="26"/>
      <c r="L41" s="26"/>
      <c r="M41" s="26"/>
    </row>
    <row r="42" spans="1:13" x14ac:dyDescent="0.3">
      <c r="A42" t="s">
        <v>213</v>
      </c>
      <c r="B42" t="s">
        <v>296</v>
      </c>
      <c r="C42" s="16">
        <v>2479.1757741347906</v>
      </c>
      <c r="E42" s="24"/>
      <c r="F42" s="25"/>
      <c r="G42" s="26"/>
      <c r="H42" s="26"/>
      <c r="I42" s="26"/>
      <c r="J42" s="26"/>
      <c r="K42" s="26"/>
      <c r="L42" s="26"/>
      <c r="M42" s="26"/>
    </row>
    <row r="43" spans="1:13" x14ac:dyDescent="0.3">
      <c r="A43" t="s">
        <v>229</v>
      </c>
      <c r="B43" t="s">
        <v>296</v>
      </c>
      <c r="C43" s="16">
        <v>1028248.3766918032</v>
      </c>
      <c r="E43" s="24"/>
      <c r="F43" s="25"/>
      <c r="G43" s="26"/>
      <c r="H43" s="26"/>
      <c r="I43" s="26"/>
      <c r="J43" s="26"/>
      <c r="K43" s="26"/>
      <c r="L43" s="26"/>
      <c r="M43" s="26"/>
    </row>
    <row r="44" spans="1:13" x14ac:dyDescent="0.3">
      <c r="A44" t="s">
        <v>235</v>
      </c>
      <c r="B44" t="s">
        <v>296</v>
      </c>
      <c r="C44" s="16">
        <v>466.07441697950071</v>
      </c>
      <c r="E44" s="27"/>
      <c r="F44" s="27"/>
      <c r="G44" s="27"/>
      <c r="H44" s="27"/>
      <c r="I44" s="27"/>
      <c r="J44" s="27"/>
      <c r="K44" s="27"/>
      <c r="L44" s="27"/>
      <c r="M44" s="27"/>
    </row>
    <row r="45" spans="1:13" x14ac:dyDescent="0.3">
      <c r="A45" t="s">
        <v>236</v>
      </c>
      <c r="B45" t="s">
        <v>296</v>
      </c>
      <c r="C45" s="16">
        <v>4030.602409638554</v>
      </c>
      <c r="E45" s="27"/>
      <c r="F45" s="27"/>
      <c r="G45" s="27"/>
      <c r="H45" s="27"/>
      <c r="I45" s="27"/>
      <c r="J45" s="27"/>
      <c r="K45" s="27"/>
      <c r="L45" s="27"/>
      <c r="M45" s="27"/>
    </row>
    <row r="46" spans="1:13" x14ac:dyDescent="0.3">
      <c r="A46" t="s">
        <v>237</v>
      </c>
      <c r="B46" t="s">
        <v>296</v>
      </c>
      <c r="C46" s="16">
        <v>7507.7142857142853</v>
      </c>
      <c r="E46" s="27"/>
      <c r="F46" s="27"/>
      <c r="G46" s="27"/>
      <c r="H46" s="27"/>
      <c r="I46" s="27"/>
      <c r="J46" s="27"/>
      <c r="K46" s="27"/>
      <c r="L46" s="27"/>
      <c r="M46" s="27"/>
    </row>
    <row r="47" spans="1:13" x14ac:dyDescent="0.3">
      <c r="A47" t="s">
        <v>239</v>
      </c>
      <c r="B47" t="s">
        <v>296</v>
      </c>
      <c r="C47" s="16">
        <v>132393.86535689796</v>
      </c>
      <c r="E47" s="24"/>
      <c r="F47" s="25"/>
      <c r="G47" s="26"/>
      <c r="H47" s="26"/>
      <c r="I47" s="26"/>
      <c r="J47" s="26"/>
      <c r="K47" s="26"/>
      <c r="L47" s="26"/>
      <c r="M47" s="26"/>
    </row>
    <row r="48" spans="1:13" x14ac:dyDescent="0.3">
      <c r="A48" t="s">
        <v>257</v>
      </c>
      <c r="B48" t="s">
        <v>296</v>
      </c>
      <c r="C48" s="16">
        <v>7507.7142857142853</v>
      </c>
      <c r="E48" s="27"/>
      <c r="F48" s="27"/>
      <c r="G48" s="27"/>
      <c r="H48" s="27"/>
      <c r="I48" s="27"/>
      <c r="J48" s="27"/>
      <c r="K48" s="27"/>
      <c r="L48" s="27"/>
      <c r="M48" s="27"/>
    </row>
    <row r="49" spans="1:14" x14ac:dyDescent="0.3">
      <c r="A49" t="s">
        <v>258</v>
      </c>
      <c r="B49" t="s">
        <v>296</v>
      </c>
      <c r="C49" s="16">
        <v>18337.308257419925</v>
      </c>
      <c r="E49" s="24"/>
      <c r="F49" s="25"/>
      <c r="G49" s="26"/>
      <c r="H49" s="26"/>
      <c r="I49" s="26"/>
      <c r="J49" s="26"/>
      <c r="K49" s="26"/>
      <c r="L49" s="26"/>
      <c r="M49" s="26"/>
    </row>
    <row r="50" spans="1:14" x14ac:dyDescent="0.3">
      <c r="A50" t="s">
        <v>269</v>
      </c>
      <c r="B50" t="s">
        <v>296</v>
      </c>
      <c r="C50" s="16">
        <v>1527527.4289458932</v>
      </c>
    </row>
    <row r="51" spans="1:14" x14ac:dyDescent="0.3">
      <c r="A51" t="s">
        <v>164</v>
      </c>
      <c r="B51" t="s">
        <v>297</v>
      </c>
      <c r="C51" s="16">
        <v>24867.988757080777</v>
      </c>
    </row>
    <row r="52" spans="1:14" x14ac:dyDescent="0.3">
      <c r="A52" t="s">
        <v>225</v>
      </c>
      <c r="B52" t="s">
        <v>298</v>
      </c>
      <c r="C52" s="16">
        <v>326.09756097560984</v>
      </c>
      <c r="E52" s="28"/>
      <c r="F52" s="29"/>
      <c r="G52" s="30"/>
      <c r="H52" s="30"/>
      <c r="I52" s="30"/>
      <c r="J52" s="30"/>
      <c r="K52" s="30"/>
      <c r="L52" s="30"/>
      <c r="M52" s="30"/>
      <c r="N52" s="31"/>
    </row>
    <row r="53" spans="1:14" x14ac:dyDescent="0.3">
      <c r="A53" t="s">
        <v>281</v>
      </c>
      <c r="B53" t="s">
        <v>299</v>
      </c>
      <c r="C53" s="16">
        <v>34666.539998023989</v>
      </c>
      <c r="E53" s="31"/>
      <c r="F53" s="31"/>
      <c r="G53" s="31"/>
      <c r="H53" s="31"/>
      <c r="I53" s="31"/>
      <c r="J53" s="31"/>
      <c r="K53" s="31"/>
      <c r="L53" s="31"/>
      <c r="M53" s="31"/>
      <c r="N53" s="31"/>
    </row>
    <row r="54" spans="1:14" x14ac:dyDescent="0.3">
      <c r="A54" t="s">
        <v>283</v>
      </c>
      <c r="B54" t="s">
        <v>299</v>
      </c>
      <c r="C54" s="16">
        <v>18193.706177258926</v>
      </c>
      <c r="E54" s="31"/>
      <c r="F54" s="31"/>
      <c r="G54" s="31"/>
      <c r="H54" s="31"/>
      <c r="I54" s="31"/>
      <c r="J54" s="31"/>
      <c r="K54" s="31"/>
      <c r="L54" s="31"/>
      <c r="M54" s="31"/>
      <c r="N54" s="31"/>
    </row>
    <row r="55" spans="1:14" x14ac:dyDescent="0.3">
      <c r="A55" t="s">
        <v>67</v>
      </c>
      <c r="B55" t="s">
        <v>300</v>
      </c>
      <c r="C55" s="16">
        <v>4436.4514334393853</v>
      </c>
      <c r="E55" s="31"/>
      <c r="F55" s="31"/>
      <c r="G55" s="31"/>
      <c r="H55" s="31"/>
      <c r="I55" s="31"/>
      <c r="J55" s="31"/>
      <c r="K55" s="31"/>
      <c r="L55" s="31"/>
      <c r="M55" s="31"/>
      <c r="N55" s="31"/>
    </row>
    <row r="56" spans="1:14" x14ac:dyDescent="0.3">
      <c r="A56" t="s">
        <v>98</v>
      </c>
      <c r="B56" t="s">
        <v>300</v>
      </c>
      <c r="C56" s="16">
        <v>28.853587652718605</v>
      </c>
      <c r="E56" s="31"/>
      <c r="F56" s="31"/>
      <c r="G56" s="31"/>
      <c r="H56" s="31"/>
      <c r="I56" s="31"/>
      <c r="J56" s="31"/>
      <c r="K56" s="31"/>
      <c r="L56" s="31"/>
      <c r="M56" s="31"/>
      <c r="N56" s="31"/>
    </row>
    <row r="57" spans="1:14" x14ac:dyDescent="0.3">
      <c r="A57" t="s">
        <v>107</v>
      </c>
      <c r="B57" t="s">
        <v>300</v>
      </c>
      <c r="C57" s="16">
        <v>1289998.360787614</v>
      </c>
    </row>
    <row r="58" spans="1:14" x14ac:dyDescent="0.3">
      <c r="A58" t="s">
        <v>126</v>
      </c>
      <c r="B58" t="s">
        <v>300</v>
      </c>
      <c r="C58">
        <v>15393.192070397794</v>
      </c>
    </row>
    <row r="59" spans="1:14" x14ac:dyDescent="0.3">
      <c r="A59" t="s">
        <v>148</v>
      </c>
      <c r="B59" t="s">
        <v>300</v>
      </c>
      <c r="C59">
        <v>19929.512195121952</v>
      </c>
    </row>
    <row r="60" spans="1:14" x14ac:dyDescent="0.3">
      <c r="A60" t="s">
        <v>153</v>
      </c>
      <c r="B60" t="s">
        <v>300</v>
      </c>
      <c r="C60">
        <v>17722.725083093203</v>
      </c>
    </row>
    <row r="61" spans="1:14" x14ac:dyDescent="0.3">
      <c r="A61" t="s">
        <v>154</v>
      </c>
      <c r="B61" t="s">
        <v>300</v>
      </c>
      <c r="C61">
        <v>524.74324806143886</v>
      </c>
    </row>
    <row r="62" spans="1:14" x14ac:dyDescent="0.3">
      <c r="A62" t="s">
        <v>176</v>
      </c>
      <c r="B62" t="s">
        <v>300</v>
      </c>
      <c r="C62">
        <v>28.853587652718605</v>
      </c>
    </row>
    <row r="63" spans="1:14" x14ac:dyDescent="0.3">
      <c r="A63" t="s">
        <v>182</v>
      </c>
      <c r="B63" t="s">
        <v>300</v>
      </c>
      <c r="C63">
        <v>2273.4335893127295</v>
      </c>
    </row>
    <row r="64" spans="1:14" x14ac:dyDescent="0.3">
      <c r="A64" t="s">
        <v>183</v>
      </c>
      <c r="B64" t="s">
        <v>300</v>
      </c>
      <c r="C64">
        <v>172.53968253968253</v>
      </c>
    </row>
    <row r="65" spans="1:13" x14ac:dyDescent="0.3">
      <c r="A65" t="s">
        <v>196</v>
      </c>
      <c r="B65" t="s">
        <v>300</v>
      </c>
      <c r="C65">
        <v>66704.45146530382</v>
      </c>
    </row>
    <row r="66" spans="1:13" x14ac:dyDescent="0.3">
      <c r="A66" t="s">
        <v>197</v>
      </c>
      <c r="B66" t="s">
        <v>300</v>
      </c>
      <c r="C66">
        <v>4573552.0997282593</v>
      </c>
    </row>
    <row r="67" spans="1:13" x14ac:dyDescent="0.3">
      <c r="A67" t="s">
        <v>200</v>
      </c>
      <c r="B67" t="s">
        <v>300</v>
      </c>
      <c r="C67">
        <v>19929.512195121952</v>
      </c>
    </row>
    <row r="68" spans="1:13" x14ac:dyDescent="0.3">
      <c r="A68" t="s">
        <v>214</v>
      </c>
      <c r="B68" t="s">
        <v>300</v>
      </c>
      <c r="C68">
        <v>2273.4335893127295</v>
      </c>
    </row>
    <row r="69" spans="1:13" x14ac:dyDescent="0.3">
      <c r="A69" t="s">
        <v>223</v>
      </c>
      <c r="B69" t="s">
        <v>300</v>
      </c>
      <c r="C69">
        <v>19022.345828293652</v>
      </c>
    </row>
    <row r="70" spans="1:13" x14ac:dyDescent="0.3">
      <c r="A70" t="s">
        <v>260</v>
      </c>
      <c r="B70" t="s">
        <v>300</v>
      </c>
      <c r="C70">
        <v>18832.172778538927</v>
      </c>
    </row>
    <row r="71" spans="1:13" x14ac:dyDescent="0.3">
      <c r="A71" t="s">
        <v>53</v>
      </c>
      <c r="B71" t="s">
        <v>301</v>
      </c>
      <c r="C71">
        <v>107.55385177071925</v>
      </c>
    </row>
    <row r="72" spans="1:13" x14ac:dyDescent="0.3">
      <c r="A72" t="s">
        <v>204</v>
      </c>
      <c r="B72" t="s">
        <v>301</v>
      </c>
      <c r="C72">
        <v>107.55385177071925</v>
      </c>
      <c r="E72" s="24"/>
      <c r="F72" s="25"/>
      <c r="G72" s="26"/>
      <c r="H72" s="26"/>
      <c r="I72" s="26"/>
      <c r="J72" s="26"/>
      <c r="K72" s="26"/>
      <c r="L72" s="26"/>
      <c r="M72" s="26"/>
    </row>
    <row r="73" spans="1:13" x14ac:dyDescent="0.3">
      <c r="A73" t="s">
        <v>218</v>
      </c>
      <c r="B73" t="s">
        <v>301</v>
      </c>
      <c r="C73">
        <v>52216.797730964114</v>
      </c>
      <c r="E73" s="24"/>
      <c r="F73" s="25"/>
      <c r="G73" s="26"/>
      <c r="H73" s="26"/>
      <c r="I73" s="26"/>
      <c r="J73" s="26"/>
      <c r="K73" s="26"/>
      <c r="L73" s="26"/>
      <c r="M73" s="26"/>
    </row>
    <row r="74" spans="1:13" x14ac:dyDescent="0.3">
      <c r="A74" t="s">
        <v>28</v>
      </c>
      <c r="B74" t="s">
        <v>302</v>
      </c>
      <c r="C74" s="16">
        <v>471468.27321038366</v>
      </c>
      <c r="E74" s="24"/>
      <c r="F74" s="25"/>
      <c r="G74" s="26"/>
      <c r="H74" s="26"/>
      <c r="I74" s="26"/>
      <c r="J74" s="26"/>
      <c r="K74" s="26"/>
      <c r="L74" s="26"/>
      <c r="M74" s="26"/>
    </row>
    <row r="75" spans="1:13" x14ac:dyDescent="0.3">
      <c r="A75" t="s">
        <v>111</v>
      </c>
      <c r="B75" t="s">
        <v>302</v>
      </c>
      <c r="C75" s="16">
        <v>368.62914862914863</v>
      </c>
      <c r="E75" s="32"/>
      <c r="F75" s="33"/>
      <c r="G75" s="34"/>
      <c r="H75" s="34"/>
      <c r="I75" s="34"/>
      <c r="J75" s="34"/>
      <c r="K75" s="34"/>
      <c r="L75" s="34"/>
      <c r="M75" s="34"/>
    </row>
    <row r="76" spans="1:13" x14ac:dyDescent="0.3">
      <c r="A76" t="s">
        <v>113</v>
      </c>
      <c r="B76" t="s">
        <v>302</v>
      </c>
      <c r="C76" s="16">
        <v>235588.53120548205</v>
      </c>
      <c r="E76" s="24"/>
      <c r="F76" s="25"/>
      <c r="G76" s="26"/>
      <c r="H76" s="26"/>
      <c r="I76" s="26"/>
      <c r="J76" s="26"/>
      <c r="K76" s="26"/>
      <c r="L76" s="26"/>
      <c r="M76" s="26"/>
    </row>
    <row r="77" spans="1:13" x14ac:dyDescent="0.3">
      <c r="A77" t="s">
        <v>134</v>
      </c>
      <c r="B77" t="s">
        <v>302</v>
      </c>
      <c r="C77" s="16">
        <v>471468.27321038366</v>
      </c>
      <c r="E77" s="24"/>
      <c r="F77" s="25"/>
      <c r="G77" s="26"/>
      <c r="H77" s="26"/>
      <c r="I77" s="26"/>
      <c r="J77" s="26"/>
      <c r="K77" s="26"/>
      <c r="L77" s="26"/>
      <c r="M77" s="26"/>
    </row>
    <row r="78" spans="1:13" x14ac:dyDescent="0.3">
      <c r="A78" t="s">
        <v>187</v>
      </c>
      <c r="B78" t="s">
        <v>302</v>
      </c>
      <c r="C78" s="16">
        <v>3211.3432835820895</v>
      </c>
      <c r="E78" s="27"/>
      <c r="F78" s="27"/>
      <c r="G78" s="27"/>
      <c r="H78" s="27"/>
      <c r="I78" s="27"/>
      <c r="J78" s="27"/>
      <c r="K78" s="27"/>
      <c r="L78" s="27"/>
      <c r="M78" s="27"/>
    </row>
    <row r="79" spans="1:13" x14ac:dyDescent="0.3">
      <c r="A79" t="s">
        <v>95</v>
      </c>
      <c r="B79" t="s">
        <v>303</v>
      </c>
      <c r="C79" s="16">
        <v>912.69841269841277</v>
      </c>
      <c r="E79" s="27"/>
      <c r="F79" s="27"/>
      <c r="G79" s="27"/>
      <c r="H79" s="27"/>
      <c r="I79" s="27"/>
      <c r="J79" s="27"/>
      <c r="K79" s="27"/>
      <c r="L79" s="27"/>
      <c r="M79" s="27"/>
    </row>
    <row r="80" spans="1:13" x14ac:dyDescent="0.3">
      <c r="A80" t="s">
        <v>95</v>
      </c>
      <c r="B80" t="s">
        <v>303</v>
      </c>
      <c r="C80" s="16">
        <v>54649.971139971138</v>
      </c>
      <c r="E80" s="27"/>
      <c r="F80" s="27"/>
      <c r="G80" s="27"/>
      <c r="H80" s="27"/>
      <c r="I80" s="27"/>
      <c r="J80" s="27"/>
      <c r="K80" s="27"/>
      <c r="L80" s="27"/>
      <c r="M80" s="27"/>
    </row>
    <row r="81" spans="1:13" x14ac:dyDescent="0.3">
      <c r="A81" t="s">
        <v>19</v>
      </c>
      <c r="B81" t="s">
        <v>304</v>
      </c>
      <c r="C81" s="16">
        <v>125092.17907635187</v>
      </c>
      <c r="E81" s="27"/>
      <c r="F81" s="27"/>
      <c r="G81" s="27"/>
      <c r="H81" s="27"/>
      <c r="I81" s="27"/>
      <c r="J81" s="27"/>
      <c r="K81" s="27"/>
      <c r="L81" s="27"/>
      <c r="M81" s="27"/>
    </row>
    <row r="82" spans="1:13" x14ac:dyDescent="0.3">
      <c r="A82" t="s">
        <v>66</v>
      </c>
      <c r="B82" t="s">
        <v>304</v>
      </c>
      <c r="C82" s="16">
        <v>18637.285002617809</v>
      </c>
      <c r="E82" s="24"/>
      <c r="F82" s="25"/>
      <c r="G82" s="26"/>
      <c r="H82" s="26"/>
      <c r="I82" s="26"/>
      <c r="J82" s="26"/>
      <c r="K82" s="26"/>
      <c r="L82" s="26"/>
      <c r="M82" s="26"/>
    </row>
    <row r="83" spans="1:13" x14ac:dyDescent="0.3">
      <c r="A83" t="s">
        <v>78</v>
      </c>
      <c r="B83" t="s">
        <v>304</v>
      </c>
      <c r="C83" s="16">
        <v>116836.23402117794</v>
      </c>
      <c r="E83" s="27"/>
      <c r="F83" s="27"/>
      <c r="G83" s="27"/>
      <c r="H83" s="27"/>
      <c r="I83" s="27"/>
      <c r="J83" s="27"/>
      <c r="K83" s="27"/>
      <c r="L83" s="27"/>
      <c r="M83" s="27"/>
    </row>
    <row r="84" spans="1:13" x14ac:dyDescent="0.3">
      <c r="A84" t="s">
        <v>110</v>
      </c>
      <c r="B84" t="s">
        <v>304</v>
      </c>
      <c r="C84" s="16">
        <v>170462.12121212122</v>
      </c>
      <c r="E84" s="27"/>
      <c r="F84" s="27"/>
      <c r="G84" s="27"/>
      <c r="H84" s="27"/>
      <c r="I84" s="27"/>
      <c r="J84" s="27"/>
      <c r="K84" s="27"/>
      <c r="L84" s="27"/>
      <c r="M84" s="27"/>
    </row>
    <row r="85" spans="1:13" x14ac:dyDescent="0.3">
      <c r="A85" t="s">
        <v>118</v>
      </c>
      <c r="B85" t="s">
        <v>304</v>
      </c>
      <c r="C85" s="16">
        <v>31896.060606060608</v>
      </c>
      <c r="E85" s="27"/>
      <c r="F85" s="27"/>
      <c r="G85" s="27"/>
      <c r="H85" s="27"/>
      <c r="I85" s="27"/>
      <c r="J85" s="27"/>
      <c r="K85" s="27"/>
      <c r="L85" s="27"/>
      <c r="M85" s="27"/>
    </row>
    <row r="86" spans="1:13" x14ac:dyDescent="0.3">
      <c r="A86" t="s">
        <v>119</v>
      </c>
      <c r="B86" t="s">
        <v>304</v>
      </c>
      <c r="C86" s="16">
        <v>618983.58449851512</v>
      </c>
      <c r="E86" s="27"/>
      <c r="F86" s="27"/>
      <c r="G86" s="27"/>
      <c r="H86" s="27"/>
      <c r="I86" s="27"/>
      <c r="J86" s="27"/>
      <c r="K86" s="27"/>
      <c r="L86" s="27"/>
      <c r="M86" s="27"/>
    </row>
    <row r="87" spans="1:13" x14ac:dyDescent="0.3">
      <c r="A87" t="s">
        <v>120</v>
      </c>
      <c r="B87" t="s">
        <v>304</v>
      </c>
      <c r="C87" s="16">
        <v>90824.84848484848</v>
      </c>
      <c r="E87" s="27"/>
      <c r="F87" s="27"/>
      <c r="G87" s="27"/>
      <c r="H87" s="27"/>
      <c r="I87" s="27"/>
      <c r="J87" s="27"/>
      <c r="K87" s="27"/>
      <c r="L87" s="27"/>
      <c r="M87" s="27"/>
    </row>
    <row r="88" spans="1:13" x14ac:dyDescent="0.3">
      <c r="A88" t="s">
        <v>121</v>
      </c>
      <c r="B88" t="s">
        <v>304</v>
      </c>
      <c r="C88" s="16">
        <v>261631.30704636732</v>
      </c>
      <c r="E88" s="27"/>
      <c r="F88" s="27"/>
      <c r="G88" s="27"/>
      <c r="H88" s="27"/>
      <c r="I88" s="27"/>
      <c r="J88" s="27"/>
      <c r="K88" s="27"/>
      <c r="L88" s="27"/>
      <c r="M88" s="27"/>
    </row>
    <row r="89" spans="1:13" x14ac:dyDescent="0.3">
      <c r="A89" t="s">
        <v>122</v>
      </c>
      <c r="B89" t="s">
        <v>304</v>
      </c>
      <c r="C89" s="16">
        <v>650603.13225586526</v>
      </c>
      <c r="E89" s="45"/>
      <c r="F89" s="27"/>
      <c r="G89" s="46"/>
      <c r="H89" s="46"/>
      <c r="I89" s="46"/>
      <c r="J89" s="46"/>
      <c r="K89" s="46"/>
      <c r="L89" s="46"/>
      <c r="M89" s="46"/>
    </row>
    <row r="90" spans="1:13" x14ac:dyDescent="0.3">
      <c r="A90" t="s">
        <v>130</v>
      </c>
      <c r="B90" t="s">
        <v>304</v>
      </c>
      <c r="C90" s="16">
        <v>414485.17404378502</v>
      </c>
    </row>
    <row r="91" spans="1:13" x14ac:dyDescent="0.3">
      <c r="A91" t="s">
        <v>242</v>
      </c>
      <c r="B91" t="s">
        <v>304</v>
      </c>
      <c r="C91" s="16">
        <v>344.33734939759034</v>
      </c>
    </row>
    <row r="92" spans="1:13" x14ac:dyDescent="0.3">
      <c r="A92" t="s">
        <v>243</v>
      </c>
      <c r="B92" t="s">
        <v>304</v>
      </c>
      <c r="C92" s="16">
        <v>344.33734939759034</v>
      </c>
    </row>
    <row r="93" spans="1:13" x14ac:dyDescent="0.3">
      <c r="A93" t="s">
        <v>251</v>
      </c>
      <c r="B93" t="s">
        <v>304</v>
      </c>
      <c r="C93" s="16">
        <v>204002.68867678507</v>
      </c>
    </row>
    <row r="94" spans="1:13" x14ac:dyDescent="0.3">
      <c r="A94" t="s">
        <v>65</v>
      </c>
      <c r="B94" t="s">
        <v>305</v>
      </c>
      <c r="C94" s="16">
        <v>30669.696969696972</v>
      </c>
    </row>
    <row r="95" spans="1:13" x14ac:dyDescent="0.3">
      <c r="A95" t="s">
        <v>254</v>
      </c>
      <c r="B95" t="s">
        <v>306</v>
      </c>
      <c r="C95" s="16">
        <v>417164.36431397649</v>
      </c>
    </row>
    <row r="96" spans="1:13" x14ac:dyDescent="0.3">
      <c r="A96" t="s">
        <v>123</v>
      </c>
      <c r="B96" t="s">
        <v>307</v>
      </c>
      <c r="C96">
        <v>35757.345126971202</v>
      </c>
    </row>
    <row r="97" spans="1:3" x14ac:dyDescent="0.3">
      <c r="A97" t="s">
        <v>160</v>
      </c>
      <c r="B97" t="s">
        <v>307</v>
      </c>
      <c r="C97">
        <v>44906.508402949781</v>
      </c>
    </row>
    <row r="98" spans="1:3" x14ac:dyDescent="0.3">
      <c r="A98" t="s">
        <v>174</v>
      </c>
      <c r="B98" t="s">
        <v>307</v>
      </c>
      <c r="C98">
        <v>86971.407581545689</v>
      </c>
    </row>
    <row r="99" spans="1:3" x14ac:dyDescent="0.3">
      <c r="A99" t="s">
        <v>250</v>
      </c>
      <c r="B99" t="s">
        <v>307</v>
      </c>
      <c r="C99">
        <v>787481.05963400542</v>
      </c>
    </row>
    <row r="100" spans="1:3" x14ac:dyDescent="0.3">
      <c r="A100" t="s">
        <v>87</v>
      </c>
      <c r="B100" t="s">
        <v>308</v>
      </c>
      <c r="C100">
        <v>225270.62821320124</v>
      </c>
    </row>
    <row r="101" spans="1:3" x14ac:dyDescent="0.3">
      <c r="A101" t="s">
        <v>146</v>
      </c>
      <c r="B101" t="s">
        <v>308</v>
      </c>
      <c r="C101">
        <v>16528.362649203085</v>
      </c>
    </row>
    <row r="102" spans="1:3" x14ac:dyDescent="0.3">
      <c r="A102" t="s">
        <v>179</v>
      </c>
      <c r="B102" t="s">
        <v>308</v>
      </c>
      <c r="C102">
        <v>20400.24096385542</v>
      </c>
    </row>
    <row r="103" spans="1:3" x14ac:dyDescent="0.3">
      <c r="A103" t="s">
        <v>181</v>
      </c>
      <c r="B103" t="s">
        <v>308</v>
      </c>
      <c r="C103">
        <v>2294.6341463414637</v>
      </c>
    </row>
    <row r="104" spans="1:3" x14ac:dyDescent="0.3">
      <c r="A104" t="s">
        <v>116</v>
      </c>
      <c r="B104" t="s">
        <v>309</v>
      </c>
      <c r="C104">
        <v>2086055.4068655865</v>
      </c>
    </row>
    <row r="105" spans="1:3" x14ac:dyDescent="0.3">
      <c r="A105" t="s">
        <v>46</v>
      </c>
      <c r="B105" t="s">
        <v>310</v>
      </c>
      <c r="C105">
        <v>44883.319973597871</v>
      </c>
    </row>
    <row r="106" spans="1:3" x14ac:dyDescent="0.3">
      <c r="A106" t="s">
        <v>22</v>
      </c>
      <c r="B106" t="s">
        <v>311</v>
      </c>
      <c r="C106">
        <v>266.57142857142856</v>
      </c>
    </row>
    <row r="107" spans="1:3" x14ac:dyDescent="0.3">
      <c r="A107" t="s">
        <v>24</v>
      </c>
      <c r="B107" t="s">
        <v>311</v>
      </c>
      <c r="C107">
        <v>356839.49639513099</v>
      </c>
    </row>
    <row r="108" spans="1:3" x14ac:dyDescent="0.3">
      <c r="A108" t="s">
        <v>30</v>
      </c>
      <c r="B108" t="s">
        <v>311</v>
      </c>
      <c r="C108">
        <v>119542.22222222222</v>
      </c>
    </row>
    <row r="109" spans="1:3" x14ac:dyDescent="0.3">
      <c r="A109" t="s">
        <v>38</v>
      </c>
      <c r="B109" t="s">
        <v>311</v>
      </c>
      <c r="C109">
        <v>32186.034351835853</v>
      </c>
    </row>
    <row r="110" spans="1:3" x14ac:dyDescent="0.3">
      <c r="A110" t="s">
        <v>40</v>
      </c>
      <c r="B110" t="s">
        <v>311</v>
      </c>
      <c r="C110">
        <v>4590.5714285714284</v>
      </c>
    </row>
    <row r="111" spans="1:3" x14ac:dyDescent="0.3">
      <c r="A111" t="s">
        <v>55</v>
      </c>
      <c r="B111" t="s">
        <v>311</v>
      </c>
      <c r="C111">
        <v>25717.831325301206</v>
      </c>
    </row>
    <row r="112" spans="1:3" x14ac:dyDescent="0.3">
      <c r="A112" t="s">
        <v>60</v>
      </c>
      <c r="B112" t="s">
        <v>311</v>
      </c>
      <c r="C112">
        <v>6156273.3213917157</v>
      </c>
    </row>
    <row r="113" spans="1:3" x14ac:dyDescent="0.3">
      <c r="A113" t="s">
        <v>103</v>
      </c>
      <c r="B113" t="s">
        <v>311</v>
      </c>
      <c r="C113">
        <v>28434.285894592249</v>
      </c>
    </row>
    <row r="114" spans="1:3" x14ac:dyDescent="0.3">
      <c r="A114" t="s">
        <v>124</v>
      </c>
      <c r="B114" t="s">
        <v>311</v>
      </c>
      <c r="C114">
        <v>656.85714285714289</v>
      </c>
    </row>
    <row r="115" spans="1:3" x14ac:dyDescent="0.3">
      <c r="A115" t="s">
        <v>125</v>
      </c>
      <c r="B115" t="s">
        <v>311</v>
      </c>
      <c r="C115">
        <v>24653.493975903613</v>
      </c>
    </row>
    <row r="116" spans="1:3" x14ac:dyDescent="0.3">
      <c r="A116" t="s">
        <v>141</v>
      </c>
      <c r="B116" t="s">
        <v>311</v>
      </c>
      <c r="C116">
        <v>119711.89832500735</v>
      </c>
    </row>
    <row r="117" spans="1:3" x14ac:dyDescent="0.3">
      <c r="A117" t="s">
        <v>142</v>
      </c>
      <c r="B117" t="s">
        <v>311</v>
      </c>
      <c r="C117">
        <v>6159943.2800836274</v>
      </c>
    </row>
    <row r="118" spans="1:3" x14ac:dyDescent="0.3">
      <c r="A118" t="s">
        <v>152</v>
      </c>
      <c r="B118" t="s">
        <v>311</v>
      </c>
      <c r="C118">
        <v>3477.4285714285716</v>
      </c>
    </row>
    <row r="119" spans="1:3" x14ac:dyDescent="0.3">
      <c r="A119" t="s">
        <v>159</v>
      </c>
      <c r="B119" t="s">
        <v>311</v>
      </c>
      <c r="C119">
        <v>11663.92082616179</v>
      </c>
    </row>
    <row r="120" spans="1:3" x14ac:dyDescent="0.3">
      <c r="A120" t="s">
        <v>165</v>
      </c>
      <c r="B120" t="s">
        <v>311</v>
      </c>
      <c r="C120">
        <v>2321783.4448997159</v>
      </c>
    </row>
    <row r="121" spans="1:3" x14ac:dyDescent="0.3">
      <c r="A121" t="s">
        <v>191</v>
      </c>
      <c r="B121" t="s">
        <v>311</v>
      </c>
      <c r="C121">
        <v>1176244.0629958929</v>
      </c>
    </row>
    <row r="122" spans="1:3" x14ac:dyDescent="0.3">
      <c r="A122" t="s">
        <v>207</v>
      </c>
      <c r="B122" t="s">
        <v>311</v>
      </c>
      <c r="C122">
        <v>3477680.4141879119</v>
      </c>
    </row>
    <row r="123" spans="1:3" x14ac:dyDescent="0.3">
      <c r="A123" t="s">
        <v>249</v>
      </c>
      <c r="B123" t="s">
        <v>311</v>
      </c>
      <c r="C123">
        <v>8393763.5517363194</v>
      </c>
    </row>
    <row r="124" spans="1:3" x14ac:dyDescent="0.3">
      <c r="A124" t="s">
        <v>263</v>
      </c>
      <c r="B124" t="s">
        <v>311</v>
      </c>
      <c r="C124">
        <v>334063.81411359727</v>
      </c>
    </row>
    <row r="125" spans="1:3" x14ac:dyDescent="0.3">
      <c r="A125" t="s">
        <v>279</v>
      </c>
      <c r="B125" t="s">
        <v>311</v>
      </c>
      <c r="C125">
        <v>160984.32517526552</v>
      </c>
    </row>
    <row r="126" spans="1:3" x14ac:dyDescent="0.3">
      <c r="A126" t="s">
        <v>49</v>
      </c>
      <c r="B126" t="s">
        <v>312</v>
      </c>
      <c r="C126">
        <v>8967.5610855906671</v>
      </c>
    </row>
    <row r="127" spans="1:3" x14ac:dyDescent="0.3">
      <c r="A127" t="s">
        <v>50</v>
      </c>
      <c r="B127" t="s">
        <v>312</v>
      </c>
      <c r="C127">
        <v>0.60606060606060608</v>
      </c>
    </row>
    <row r="128" spans="1:3" x14ac:dyDescent="0.3">
      <c r="A128" t="s">
        <v>77</v>
      </c>
      <c r="B128" t="s">
        <v>312</v>
      </c>
      <c r="C128">
        <v>316.3855421686747</v>
      </c>
    </row>
    <row r="129" spans="1:3" x14ac:dyDescent="0.3">
      <c r="A129" t="s">
        <v>97</v>
      </c>
      <c r="B129" t="s">
        <v>312</v>
      </c>
      <c r="C129">
        <v>643.41463414634143</v>
      </c>
    </row>
    <row r="130" spans="1:3" x14ac:dyDescent="0.3">
      <c r="A130" t="s">
        <v>101</v>
      </c>
      <c r="B130" t="s">
        <v>312</v>
      </c>
      <c r="C130">
        <v>920.96385542168662</v>
      </c>
    </row>
    <row r="131" spans="1:3" x14ac:dyDescent="0.3">
      <c r="A131" t="s">
        <v>163</v>
      </c>
      <c r="B131" t="s">
        <v>312</v>
      </c>
      <c r="C131">
        <v>2908.3082620843425</v>
      </c>
    </row>
    <row r="132" spans="1:3" x14ac:dyDescent="0.3">
      <c r="A132" t="s">
        <v>203</v>
      </c>
      <c r="B132" t="s">
        <v>312</v>
      </c>
      <c r="C132">
        <v>6794.8333224349235</v>
      </c>
    </row>
    <row r="133" spans="1:3" x14ac:dyDescent="0.3">
      <c r="A133" t="s">
        <v>280</v>
      </c>
      <c r="B133" t="s">
        <v>312</v>
      </c>
      <c r="C133">
        <v>1848.1818181818182</v>
      </c>
    </row>
    <row r="134" spans="1:3" x14ac:dyDescent="0.3">
      <c r="A134" t="s">
        <v>26</v>
      </c>
      <c r="B134" t="s">
        <v>313</v>
      </c>
      <c r="C134">
        <v>98914.003917186041</v>
      </c>
    </row>
    <row r="135" spans="1:3" x14ac:dyDescent="0.3">
      <c r="A135" t="s">
        <v>221</v>
      </c>
      <c r="B135" t="s">
        <v>314</v>
      </c>
      <c r="C135">
        <v>1244.5454545454545</v>
      </c>
    </row>
    <row r="136" spans="1:3" x14ac:dyDescent="0.3">
      <c r="A136" t="s">
        <v>75</v>
      </c>
      <c r="B136" t="s">
        <v>315</v>
      </c>
      <c r="C136">
        <v>361.27366609294324</v>
      </c>
    </row>
    <row r="137" spans="1:3" x14ac:dyDescent="0.3">
      <c r="A137" t="s">
        <v>137</v>
      </c>
      <c r="B137" t="s">
        <v>315</v>
      </c>
      <c r="C137">
        <v>2.1686746987951806</v>
      </c>
    </row>
    <row r="138" spans="1:3" x14ac:dyDescent="0.3">
      <c r="A138" t="s">
        <v>144</v>
      </c>
      <c r="B138" t="s">
        <v>315</v>
      </c>
      <c r="C138">
        <v>69519.842105196207</v>
      </c>
    </row>
    <row r="139" spans="1:3" x14ac:dyDescent="0.3">
      <c r="A139" t="s">
        <v>156</v>
      </c>
      <c r="B139" t="s">
        <v>315</v>
      </c>
      <c r="C139">
        <v>12950342.118852518</v>
      </c>
    </row>
    <row r="140" spans="1:3" x14ac:dyDescent="0.3">
      <c r="A140" t="s">
        <v>255</v>
      </c>
      <c r="B140" t="s">
        <v>316</v>
      </c>
      <c r="C140">
        <v>9697.0731707317082</v>
      </c>
    </row>
    <row r="141" spans="1:3" x14ac:dyDescent="0.3">
      <c r="A141" t="s">
        <v>155</v>
      </c>
      <c r="B141" t="s">
        <v>317</v>
      </c>
      <c r="C141">
        <v>175.18072289156626</v>
      </c>
    </row>
    <row r="142" spans="1:3" x14ac:dyDescent="0.3">
      <c r="A142" t="s">
        <v>252</v>
      </c>
      <c r="B142" t="s">
        <v>317</v>
      </c>
      <c r="C142">
        <v>58589.910684868075</v>
      </c>
    </row>
    <row r="143" spans="1:3" x14ac:dyDescent="0.3">
      <c r="A143" t="s">
        <v>253</v>
      </c>
      <c r="B143" t="s">
        <v>317</v>
      </c>
      <c r="C143">
        <v>5158.3315078495807</v>
      </c>
    </row>
    <row r="144" spans="1:3" x14ac:dyDescent="0.3">
      <c r="A144" t="s">
        <v>36</v>
      </c>
      <c r="B144" t="s">
        <v>318</v>
      </c>
      <c r="C144">
        <v>3231866.5644121724</v>
      </c>
    </row>
    <row r="145" spans="1:3" x14ac:dyDescent="0.3">
      <c r="A145" t="s">
        <v>106</v>
      </c>
      <c r="B145" t="s">
        <v>318</v>
      </c>
      <c r="C145">
        <v>1276.4403066812706</v>
      </c>
    </row>
    <row r="146" spans="1:3" x14ac:dyDescent="0.3">
      <c r="A146" t="s">
        <v>108</v>
      </c>
      <c r="B146" t="s">
        <v>318</v>
      </c>
      <c r="C146">
        <v>1388.5104052573931</v>
      </c>
    </row>
    <row r="147" spans="1:3" x14ac:dyDescent="0.3">
      <c r="A147" t="s">
        <v>162</v>
      </c>
      <c r="B147" t="s">
        <v>318</v>
      </c>
      <c r="C147">
        <v>22928.285714285714</v>
      </c>
    </row>
    <row r="148" spans="1:3" x14ac:dyDescent="0.3">
      <c r="A148" t="s">
        <v>184</v>
      </c>
      <c r="B148" t="s">
        <v>318</v>
      </c>
      <c r="C148">
        <v>3232017.4606801714</v>
      </c>
    </row>
    <row r="149" spans="1:3" x14ac:dyDescent="0.3">
      <c r="A149" t="s">
        <v>208</v>
      </c>
      <c r="B149" t="s">
        <v>318</v>
      </c>
      <c r="C149">
        <v>419.09090909090912</v>
      </c>
    </row>
    <row r="150" spans="1:3" x14ac:dyDescent="0.3">
      <c r="A150" t="s">
        <v>209</v>
      </c>
      <c r="B150" t="s">
        <v>318</v>
      </c>
      <c r="C150">
        <v>1385.7831325301204</v>
      </c>
    </row>
    <row r="151" spans="1:3" x14ac:dyDescent="0.3">
      <c r="A151" t="s">
        <v>215</v>
      </c>
      <c r="B151" t="s">
        <v>318</v>
      </c>
      <c r="C151">
        <v>3232017.4606801714</v>
      </c>
    </row>
    <row r="152" spans="1:3" x14ac:dyDescent="0.3">
      <c r="A152" t="s">
        <v>219</v>
      </c>
      <c r="B152" t="s">
        <v>318</v>
      </c>
      <c r="C152">
        <v>33356.291073931876</v>
      </c>
    </row>
    <row r="153" spans="1:3" x14ac:dyDescent="0.3">
      <c r="A153" t="s">
        <v>275</v>
      </c>
      <c r="B153" t="s">
        <v>318</v>
      </c>
      <c r="C153">
        <v>63701.905480836933</v>
      </c>
    </row>
    <row r="154" spans="1:3" x14ac:dyDescent="0.3">
      <c r="A154" t="s">
        <v>288</v>
      </c>
      <c r="B154" t="s">
        <v>318</v>
      </c>
      <c r="C154">
        <v>14407.670522152583</v>
      </c>
    </row>
    <row r="155" spans="1:3" x14ac:dyDescent="0.3">
      <c r="A155" t="s">
        <v>282</v>
      </c>
      <c r="B155" t="s">
        <v>319</v>
      </c>
      <c r="C155">
        <v>9523.3104100455457</v>
      </c>
    </row>
    <row r="156" spans="1:3" x14ac:dyDescent="0.3">
      <c r="A156" t="s">
        <v>284</v>
      </c>
      <c r="B156" t="s">
        <v>319</v>
      </c>
      <c r="C156">
        <v>10703.192336445347</v>
      </c>
    </row>
    <row r="157" spans="1:3" x14ac:dyDescent="0.3">
      <c r="A157" t="s">
        <v>224</v>
      </c>
      <c r="B157" t="s">
        <v>320</v>
      </c>
      <c r="C157">
        <v>859.40298507462683</v>
      </c>
    </row>
    <row r="158" spans="1:3" x14ac:dyDescent="0.3">
      <c r="A158" t="s">
        <v>94</v>
      </c>
      <c r="B158" t="s">
        <v>321</v>
      </c>
      <c r="C158">
        <v>1228709.1549117856</v>
      </c>
    </row>
    <row r="159" spans="1:3" x14ac:dyDescent="0.3">
      <c r="A159" t="s">
        <v>168</v>
      </c>
      <c r="B159" t="s">
        <v>321</v>
      </c>
      <c r="C159">
        <v>42731.379259998197</v>
      </c>
    </row>
    <row r="160" spans="1:3" x14ac:dyDescent="0.3">
      <c r="A160" t="s">
        <v>185</v>
      </c>
      <c r="B160" t="s">
        <v>321</v>
      </c>
      <c r="C160">
        <v>191875.5762104484</v>
      </c>
    </row>
    <row r="161" spans="1:3" x14ac:dyDescent="0.3">
      <c r="A161" t="s">
        <v>186</v>
      </c>
      <c r="B161" t="s">
        <v>321</v>
      </c>
      <c r="C161">
        <v>605594.68124045082</v>
      </c>
    </row>
    <row r="162" spans="1:3" x14ac:dyDescent="0.3">
      <c r="A162" t="s">
        <v>228</v>
      </c>
      <c r="B162" t="s">
        <v>321</v>
      </c>
      <c r="C162">
        <v>112743.86245312345</v>
      </c>
    </row>
    <row r="163" spans="1:3" x14ac:dyDescent="0.3">
      <c r="A163" t="s">
        <v>233</v>
      </c>
      <c r="B163" t="s">
        <v>321</v>
      </c>
      <c r="C163">
        <v>15.293902884264329</v>
      </c>
    </row>
    <row r="164" spans="1:3" x14ac:dyDescent="0.3">
      <c r="A164" t="s">
        <v>248</v>
      </c>
      <c r="B164" t="s">
        <v>321</v>
      </c>
      <c r="C164">
        <v>1047940.810177333</v>
      </c>
    </row>
    <row r="165" spans="1:3" x14ac:dyDescent="0.3">
      <c r="A165" t="s">
        <v>15</v>
      </c>
      <c r="B165" t="s">
        <v>322</v>
      </c>
      <c r="C165">
        <v>162802.46753246753</v>
      </c>
    </row>
    <row r="166" spans="1:3" x14ac:dyDescent="0.3">
      <c r="A166" t="s">
        <v>32</v>
      </c>
      <c r="B166" t="s">
        <v>322</v>
      </c>
      <c r="C166">
        <v>419.99999999999994</v>
      </c>
    </row>
    <row r="167" spans="1:3" x14ac:dyDescent="0.3">
      <c r="A167" t="s">
        <v>54</v>
      </c>
      <c r="B167" t="s">
        <v>322</v>
      </c>
      <c r="C167">
        <v>549.05992004352652</v>
      </c>
    </row>
    <row r="168" spans="1:3" x14ac:dyDescent="0.3">
      <c r="A168" t="s">
        <v>96</v>
      </c>
      <c r="B168" t="s">
        <v>322</v>
      </c>
      <c r="C168">
        <v>20069.576843961207</v>
      </c>
    </row>
    <row r="169" spans="1:3" x14ac:dyDescent="0.3">
      <c r="A169" t="s">
        <v>99</v>
      </c>
      <c r="B169" t="s">
        <v>322</v>
      </c>
      <c r="C169">
        <v>176.14457831325299</v>
      </c>
    </row>
    <row r="170" spans="1:3" x14ac:dyDescent="0.3">
      <c r="A170" t="s">
        <v>127</v>
      </c>
      <c r="B170" t="s">
        <v>322</v>
      </c>
      <c r="C170">
        <v>1172.1212121212122</v>
      </c>
    </row>
    <row r="171" spans="1:3" x14ac:dyDescent="0.3">
      <c r="A171" t="s">
        <v>143</v>
      </c>
      <c r="B171" t="s">
        <v>322</v>
      </c>
      <c r="C171">
        <v>50139.265633964431</v>
      </c>
    </row>
    <row r="172" spans="1:3" x14ac:dyDescent="0.3">
      <c r="A172" t="s">
        <v>170</v>
      </c>
      <c r="B172" t="s">
        <v>322</v>
      </c>
      <c r="C172">
        <v>1713.3189033189033</v>
      </c>
    </row>
    <row r="173" spans="1:3" x14ac:dyDescent="0.3">
      <c r="A173" t="s">
        <v>195</v>
      </c>
      <c r="B173" t="s">
        <v>322</v>
      </c>
      <c r="C173">
        <v>401.21951219512198</v>
      </c>
    </row>
    <row r="174" spans="1:3" x14ac:dyDescent="0.3">
      <c r="A174" t="s">
        <v>166</v>
      </c>
      <c r="B174" t="s">
        <v>323</v>
      </c>
      <c r="C174">
        <v>157892.47412889308</v>
      </c>
    </row>
    <row r="175" spans="1:3" x14ac:dyDescent="0.3">
      <c r="A175" t="s">
        <v>167</v>
      </c>
      <c r="B175" t="s">
        <v>323</v>
      </c>
      <c r="C175">
        <v>6888535.1185900653</v>
      </c>
    </row>
    <row r="176" spans="1:3" x14ac:dyDescent="0.3">
      <c r="A176" t="s">
        <v>86</v>
      </c>
      <c r="B176" t="s">
        <v>324</v>
      </c>
      <c r="C176">
        <v>23472.129493584092</v>
      </c>
    </row>
    <row r="177" spans="1:3" x14ac:dyDescent="0.3">
      <c r="A177" t="s">
        <v>89</v>
      </c>
      <c r="B177" t="s">
        <v>324</v>
      </c>
      <c r="C177">
        <v>29.156626506024097</v>
      </c>
    </row>
    <row r="178" spans="1:3" x14ac:dyDescent="0.3">
      <c r="A178" t="s">
        <v>177</v>
      </c>
      <c r="B178" t="s">
        <v>324</v>
      </c>
      <c r="C178">
        <v>480102.49251181842</v>
      </c>
    </row>
    <row r="179" spans="1:3" x14ac:dyDescent="0.3">
      <c r="A179" t="s">
        <v>267</v>
      </c>
      <c r="B179" t="s">
        <v>324</v>
      </c>
      <c r="C179">
        <v>50110.109007458406</v>
      </c>
    </row>
    <row r="180" spans="1:3" x14ac:dyDescent="0.3">
      <c r="A180" t="s">
        <v>272</v>
      </c>
      <c r="B180" t="s">
        <v>325</v>
      </c>
      <c r="C180">
        <v>693.72024684102257</v>
      </c>
    </row>
    <row r="181" spans="1:3" x14ac:dyDescent="0.3">
      <c r="A181" t="s">
        <v>206</v>
      </c>
      <c r="B181" t="s">
        <v>326</v>
      </c>
      <c r="C181">
        <v>103385.06024096385</v>
      </c>
    </row>
    <row r="182" spans="1:3" x14ac:dyDescent="0.3">
      <c r="A182" t="s">
        <v>216</v>
      </c>
      <c r="B182" t="s">
        <v>326</v>
      </c>
      <c r="C182">
        <v>698802.7200946114</v>
      </c>
    </row>
    <row r="183" spans="1:3" x14ac:dyDescent="0.3">
      <c r="A183" t="s">
        <v>222</v>
      </c>
      <c r="B183" t="s">
        <v>326</v>
      </c>
      <c r="C183">
        <v>103385.06024096385</v>
      </c>
    </row>
    <row r="184" spans="1:3" x14ac:dyDescent="0.3">
      <c r="A184" t="s">
        <v>247</v>
      </c>
      <c r="B184" t="s">
        <v>327</v>
      </c>
      <c r="C184">
        <v>67684.375597628619</v>
      </c>
    </row>
    <row r="185" spans="1:3" x14ac:dyDescent="0.3">
      <c r="A185" t="s">
        <v>270</v>
      </c>
      <c r="B185" t="s">
        <v>327</v>
      </c>
      <c r="C185">
        <v>421945.31966828351</v>
      </c>
    </row>
    <row r="186" spans="1:3" x14ac:dyDescent="0.3">
      <c r="A186" t="s">
        <v>17</v>
      </c>
      <c r="B186" t="s">
        <v>328</v>
      </c>
      <c r="C186">
        <v>19738.181016749928</v>
      </c>
    </row>
    <row r="187" spans="1:3" x14ac:dyDescent="0.3">
      <c r="A187" t="s">
        <v>189</v>
      </c>
      <c r="B187" t="s">
        <v>328</v>
      </c>
      <c r="C187">
        <v>451942.69638108229</v>
      </c>
    </row>
    <row r="188" spans="1:3" x14ac:dyDescent="0.3">
      <c r="A188" t="s">
        <v>190</v>
      </c>
      <c r="B188" t="s">
        <v>328</v>
      </c>
      <c r="C188">
        <v>27574.99713367665</v>
      </c>
    </row>
    <row r="189" spans="1:3" x14ac:dyDescent="0.3">
      <c r="A189" t="s">
        <v>240</v>
      </c>
      <c r="B189" t="s">
        <v>328</v>
      </c>
      <c r="C189">
        <v>44607.895181189335</v>
      </c>
    </row>
    <row r="190" spans="1:3" x14ac:dyDescent="0.3">
      <c r="A190" t="s">
        <v>158</v>
      </c>
      <c r="B190" t="s">
        <v>329</v>
      </c>
      <c r="C190">
        <v>1473.4426229508199</v>
      </c>
    </row>
    <row r="191" spans="1:3" x14ac:dyDescent="0.3">
      <c r="A191" t="s">
        <v>192</v>
      </c>
      <c r="B191" t="s">
        <v>330</v>
      </c>
      <c r="C191">
        <v>44039.050837496325</v>
      </c>
    </row>
    <row r="192" spans="1:3" x14ac:dyDescent="0.3">
      <c r="A192" t="s">
        <v>238</v>
      </c>
      <c r="B192" t="s">
        <v>330</v>
      </c>
      <c r="C192">
        <v>63394.049785008916</v>
      </c>
    </row>
    <row r="193" spans="1:3" x14ac:dyDescent="0.3">
      <c r="A193" t="s">
        <v>217</v>
      </c>
      <c r="B193" t="s">
        <v>331</v>
      </c>
      <c r="C193">
        <v>1036856.6393120995</v>
      </c>
    </row>
    <row r="194" spans="1:3" x14ac:dyDescent="0.3">
      <c r="A194" t="s">
        <v>226</v>
      </c>
      <c r="B194" t="s">
        <v>331</v>
      </c>
      <c r="C194">
        <v>11456.783688443989</v>
      </c>
    </row>
    <row r="195" spans="1:3" x14ac:dyDescent="0.3">
      <c r="A195" t="s">
        <v>73</v>
      </c>
      <c r="B195" t="s">
        <v>332</v>
      </c>
      <c r="C195">
        <v>11070.937894278242</v>
      </c>
    </row>
    <row r="196" spans="1:3" x14ac:dyDescent="0.3">
      <c r="A196" t="s">
        <v>91</v>
      </c>
      <c r="B196" t="s">
        <v>332</v>
      </c>
      <c r="C196">
        <v>421945.31966828351</v>
      </c>
    </row>
    <row r="197" spans="1:3" x14ac:dyDescent="0.3">
      <c r="A197" t="s">
        <v>205</v>
      </c>
      <c r="B197" t="s">
        <v>332</v>
      </c>
      <c r="C197">
        <v>11070.937894278242</v>
      </c>
    </row>
    <row r="198" spans="1:3" x14ac:dyDescent="0.3">
      <c r="A198" t="s">
        <v>244</v>
      </c>
      <c r="B198" t="s">
        <v>332</v>
      </c>
      <c r="C198">
        <v>619.51219512195132</v>
      </c>
    </row>
    <row r="199" spans="1:3" x14ac:dyDescent="0.3">
      <c r="A199" t="s">
        <v>151</v>
      </c>
      <c r="B199" t="s">
        <v>333</v>
      </c>
      <c r="C199">
        <v>336986.64176343189</v>
      </c>
    </row>
    <row r="200" spans="1:3" x14ac:dyDescent="0.3">
      <c r="A200" t="s">
        <v>262</v>
      </c>
      <c r="B200" t="s">
        <v>333</v>
      </c>
      <c r="C200">
        <v>6549.4243641231596</v>
      </c>
    </row>
    <row r="201" spans="1:3" x14ac:dyDescent="0.3">
      <c r="A201" t="s">
        <v>261</v>
      </c>
      <c r="B201" t="s">
        <v>334</v>
      </c>
      <c r="C201">
        <v>6193.3062330623306</v>
      </c>
    </row>
    <row r="202" spans="1:3" x14ac:dyDescent="0.3">
      <c r="A202" t="s">
        <v>21</v>
      </c>
      <c r="B202" t="s">
        <v>335</v>
      </c>
      <c r="C202">
        <v>3686.828764535494</v>
      </c>
    </row>
    <row r="203" spans="1:3" x14ac:dyDescent="0.3">
      <c r="A203" t="s">
        <v>42</v>
      </c>
      <c r="B203" t="s">
        <v>335</v>
      </c>
      <c r="C203">
        <v>9999935.9539494105</v>
      </c>
    </row>
    <row r="204" spans="1:3" x14ac:dyDescent="0.3">
      <c r="A204" t="s">
        <v>51</v>
      </c>
      <c r="B204" t="s">
        <v>335</v>
      </c>
      <c r="C204">
        <v>311369.51323514129</v>
      </c>
    </row>
    <row r="205" spans="1:3" x14ac:dyDescent="0.3">
      <c r="A205" t="s">
        <v>52</v>
      </c>
      <c r="B205" t="s">
        <v>335</v>
      </c>
      <c r="C205">
        <v>311369.51323514129</v>
      </c>
    </row>
    <row r="206" spans="1:3" x14ac:dyDescent="0.3">
      <c r="A206" t="s">
        <v>63</v>
      </c>
      <c r="B206" t="s">
        <v>335</v>
      </c>
      <c r="C206">
        <v>216268.28452940178</v>
      </c>
    </row>
    <row r="207" spans="1:3" x14ac:dyDescent="0.3">
      <c r="A207" t="s">
        <v>71</v>
      </c>
      <c r="B207" t="s">
        <v>335</v>
      </c>
      <c r="C207">
        <v>25384.552845528458</v>
      </c>
    </row>
    <row r="208" spans="1:3" x14ac:dyDescent="0.3">
      <c r="A208" t="s">
        <v>84</v>
      </c>
      <c r="B208" t="s">
        <v>335</v>
      </c>
      <c r="C208">
        <v>17809.523809523809</v>
      </c>
    </row>
    <row r="209" spans="1:3" x14ac:dyDescent="0.3">
      <c r="A209" t="s">
        <v>90</v>
      </c>
      <c r="B209" t="s">
        <v>335</v>
      </c>
      <c r="C209">
        <v>213122.63203463203</v>
      </c>
    </row>
    <row r="210" spans="1:3" x14ac:dyDescent="0.3">
      <c r="A210" t="s">
        <v>93</v>
      </c>
      <c r="B210" t="s">
        <v>335</v>
      </c>
      <c r="C210">
        <v>34288230.628757745</v>
      </c>
    </row>
    <row r="211" spans="1:3" x14ac:dyDescent="0.3">
      <c r="A211" t="s">
        <v>100</v>
      </c>
      <c r="B211" t="s">
        <v>335</v>
      </c>
      <c r="C211">
        <v>1092842.4622787223</v>
      </c>
    </row>
    <row r="212" spans="1:3" x14ac:dyDescent="0.3">
      <c r="A212" t="s">
        <v>105</v>
      </c>
      <c r="B212" t="s">
        <v>335</v>
      </c>
      <c r="C212">
        <v>483492.38382847531</v>
      </c>
    </row>
    <row r="213" spans="1:3" x14ac:dyDescent="0.3">
      <c r="A213" t="s">
        <v>114</v>
      </c>
      <c r="B213" t="s">
        <v>335</v>
      </c>
      <c r="C213">
        <v>28156698.608084142</v>
      </c>
    </row>
    <row r="214" spans="1:3" x14ac:dyDescent="0.3">
      <c r="A214" t="s">
        <v>115</v>
      </c>
      <c r="B214" t="s">
        <v>335</v>
      </c>
      <c r="C214">
        <v>24449805.74869436</v>
      </c>
    </row>
    <row r="215" spans="1:3" x14ac:dyDescent="0.3">
      <c r="A215" t="s">
        <v>149</v>
      </c>
      <c r="B215" t="s">
        <v>335</v>
      </c>
      <c r="C215">
        <v>227589.21834778669</v>
      </c>
    </row>
    <row r="216" spans="1:3" x14ac:dyDescent="0.3">
      <c r="A216" t="s">
        <v>178</v>
      </c>
      <c r="B216" t="s">
        <v>335</v>
      </c>
      <c r="C216">
        <v>770213.23271785188</v>
      </c>
    </row>
    <row r="217" spans="1:3" x14ac:dyDescent="0.3">
      <c r="A217" t="s">
        <v>194</v>
      </c>
      <c r="B217" t="s">
        <v>335</v>
      </c>
      <c r="C217">
        <v>5938078.4014672861</v>
      </c>
    </row>
    <row r="218" spans="1:3" x14ac:dyDescent="0.3">
      <c r="A218" t="s">
        <v>198</v>
      </c>
      <c r="B218" t="s">
        <v>335</v>
      </c>
      <c r="C218">
        <v>1667547.0608910804</v>
      </c>
    </row>
    <row r="219" spans="1:3" x14ac:dyDescent="0.3">
      <c r="A219" t="s">
        <v>202</v>
      </c>
      <c r="B219" t="s">
        <v>335</v>
      </c>
      <c r="C219">
        <v>213122.63203463203</v>
      </c>
    </row>
    <row r="220" spans="1:3" x14ac:dyDescent="0.3">
      <c r="A220" t="s">
        <v>210</v>
      </c>
      <c r="B220" t="s">
        <v>335</v>
      </c>
      <c r="C220">
        <v>1608.8524590163936</v>
      </c>
    </row>
    <row r="221" spans="1:3" x14ac:dyDescent="0.3">
      <c r="A221" t="s">
        <v>231</v>
      </c>
      <c r="B221" t="s">
        <v>335</v>
      </c>
      <c r="C221">
        <v>6560.8571428571431</v>
      </c>
    </row>
    <row r="222" spans="1:3" x14ac:dyDescent="0.3">
      <c r="A222" t="s">
        <v>232</v>
      </c>
      <c r="B222" t="s">
        <v>335</v>
      </c>
      <c r="C222">
        <v>16477743.099972688</v>
      </c>
    </row>
    <row r="223" spans="1:3" x14ac:dyDescent="0.3">
      <c r="A223" t="s">
        <v>234</v>
      </c>
      <c r="B223" t="s">
        <v>335</v>
      </c>
      <c r="C223">
        <v>61834.074127924592</v>
      </c>
    </row>
    <row r="224" spans="1:3" x14ac:dyDescent="0.3">
      <c r="A224" t="s">
        <v>264</v>
      </c>
      <c r="B224" t="s">
        <v>335</v>
      </c>
      <c r="C224">
        <v>5356167.4273357345</v>
      </c>
    </row>
    <row r="225" spans="1:3" x14ac:dyDescent="0.3">
      <c r="A225" t="s">
        <v>271</v>
      </c>
      <c r="B225" t="s">
        <v>335</v>
      </c>
      <c r="C225">
        <v>1608.8524590163936</v>
      </c>
    </row>
    <row r="226" spans="1:3" x14ac:dyDescent="0.3">
      <c r="A226" t="s">
        <v>276</v>
      </c>
      <c r="B226" t="s">
        <v>335</v>
      </c>
      <c r="C226">
        <v>205822</v>
      </c>
    </row>
    <row r="227" spans="1:3" x14ac:dyDescent="0.3">
      <c r="A227" t="s">
        <v>128</v>
      </c>
      <c r="B227" t="s">
        <v>336</v>
      </c>
      <c r="C227">
        <v>29232.530120481926</v>
      </c>
    </row>
    <row r="228" spans="1:3" x14ac:dyDescent="0.3">
      <c r="A228" t="s">
        <v>169</v>
      </c>
      <c r="B228" t="s">
        <v>336</v>
      </c>
      <c r="C228">
        <v>5206.2650602409631</v>
      </c>
    </row>
    <row r="229" spans="1:3" x14ac:dyDescent="0.3">
      <c r="A229" t="s">
        <v>173</v>
      </c>
      <c r="B229" t="s">
        <v>336</v>
      </c>
      <c r="C229">
        <v>198579.67431296667</v>
      </c>
    </row>
    <row r="230" spans="1:3" x14ac:dyDescent="0.3">
      <c r="A230" t="s">
        <v>230</v>
      </c>
      <c r="B230" t="s">
        <v>336</v>
      </c>
      <c r="C230">
        <v>31567.46987951807</v>
      </c>
    </row>
    <row r="231" spans="1:3" x14ac:dyDescent="0.3">
      <c r="A231" t="s">
        <v>278</v>
      </c>
      <c r="B231" t="s">
        <v>336</v>
      </c>
      <c r="C231">
        <v>195178.37839759784</v>
      </c>
    </row>
    <row r="232" spans="1:3" x14ac:dyDescent="0.3">
      <c r="A232" t="s">
        <v>289</v>
      </c>
      <c r="B232" t="s">
        <v>336</v>
      </c>
      <c r="C232">
        <v>388070.6398929049</v>
      </c>
    </row>
    <row r="233" spans="1:3" x14ac:dyDescent="0.3">
      <c r="A233" t="s">
        <v>85</v>
      </c>
      <c r="B233" t="s">
        <v>337</v>
      </c>
      <c r="C233">
        <v>3179.6748329494239</v>
      </c>
    </row>
    <row r="234" spans="1:3" x14ac:dyDescent="0.3">
      <c r="A234" t="s">
        <v>256</v>
      </c>
      <c r="B234" t="s">
        <v>337</v>
      </c>
      <c r="C234">
        <v>996.79445052939013</v>
      </c>
    </row>
    <row r="235" spans="1:3" x14ac:dyDescent="0.3">
      <c r="A235" t="s">
        <v>277</v>
      </c>
      <c r="B235" t="s">
        <v>337</v>
      </c>
      <c r="C235">
        <v>771393.70299111784</v>
      </c>
    </row>
    <row r="236" spans="1:3" x14ac:dyDescent="0.3">
      <c r="A236" t="s">
        <v>88</v>
      </c>
      <c r="B236" t="s">
        <v>338</v>
      </c>
      <c r="C236">
        <v>39263.442622950824</v>
      </c>
    </row>
    <row r="237" spans="1:3" x14ac:dyDescent="0.3">
      <c r="A237" t="s">
        <v>102</v>
      </c>
      <c r="B237" t="s">
        <v>338</v>
      </c>
      <c r="C237">
        <v>1738.688524590164</v>
      </c>
    </row>
    <row r="238" spans="1:3" x14ac:dyDescent="0.3">
      <c r="A238" t="s">
        <v>129</v>
      </c>
      <c r="B238" t="s">
        <v>338</v>
      </c>
      <c r="C238">
        <v>4.3373493975903612</v>
      </c>
    </row>
    <row r="239" spans="1:3" x14ac:dyDescent="0.3">
      <c r="A239" t="s">
        <v>193</v>
      </c>
      <c r="B239" t="s">
        <v>338</v>
      </c>
      <c r="C239">
        <v>39263.442622950824</v>
      </c>
    </row>
    <row r="240" spans="1:3" x14ac:dyDescent="0.3">
      <c r="A240" t="s">
        <v>220</v>
      </c>
      <c r="B240" t="s">
        <v>338</v>
      </c>
      <c r="C240">
        <v>4.3373493975903612</v>
      </c>
    </row>
    <row r="241" spans="1:3" x14ac:dyDescent="0.3">
      <c r="A241" t="s">
        <v>227</v>
      </c>
      <c r="B241" t="s">
        <v>338</v>
      </c>
      <c r="C241">
        <v>1495914.4613941077</v>
      </c>
    </row>
    <row r="242" spans="1:3" x14ac:dyDescent="0.3">
      <c r="A242" t="s">
        <v>241</v>
      </c>
      <c r="B242" t="s">
        <v>338</v>
      </c>
      <c r="C242">
        <v>6021.306262592062</v>
      </c>
    </row>
    <row r="243" spans="1:3" x14ac:dyDescent="0.3">
      <c r="A243" t="s">
        <v>259</v>
      </c>
      <c r="B243" t="s">
        <v>338</v>
      </c>
      <c r="C243">
        <v>206534.34339166369</v>
      </c>
    </row>
    <row r="244" spans="1:3" x14ac:dyDescent="0.3">
      <c r="A244" t="s">
        <v>34</v>
      </c>
      <c r="B244" t="s">
        <v>339</v>
      </c>
      <c r="C244">
        <v>111.2182061579652</v>
      </c>
    </row>
    <row r="245" spans="1:3" x14ac:dyDescent="0.3">
      <c r="A245" t="s">
        <v>104</v>
      </c>
      <c r="B245" t="s">
        <v>339</v>
      </c>
      <c r="C245">
        <v>14059.95670995671</v>
      </c>
    </row>
    <row r="246" spans="1:3" x14ac:dyDescent="0.3">
      <c r="A246" t="s">
        <v>135</v>
      </c>
      <c r="B246" t="s">
        <v>340</v>
      </c>
      <c r="C246">
        <v>12843.333333333334</v>
      </c>
    </row>
  </sheetData>
  <sortState xmlns:xlrd2="http://schemas.microsoft.com/office/spreadsheetml/2017/richdata2" ref="A2:C247">
    <sortCondition ref="B2:B24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F84A8-8CC1-4BB4-948D-C8FDFDF31C43}">
  <dimension ref="A1:R85"/>
  <sheetViews>
    <sheetView tabSelected="1" workbookViewId="0">
      <selection activeCell="H80" sqref="H80"/>
    </sheetView>
  </sheetViews>
  <sheetFormatPr defaultRowHeight="14.4" x14ac:dyDescent="0.3"/>
  <cols>
    <col min="1" max="1" width="60.109375" customWidth="1"/>
    <col min="3" max="3" width="10.88671875" bestFit="1" customWidth="1"/>
    <col min="18" max="18" width="16.44140625" customWidth="1"/>
  </cols>
  <sheetData>
    <row r="1" spans="1:18" x14ac:dyDescent="0.3">
      <c r="A1" s="47" t="s">
        <v>341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</row>
    <row r="2" spans="1:18" x14ac:dyDescent="0.3">
      <c r="A2" s="2"/>
      <c r="B2" s="60" t="s">
        <v>2</v>
      </c>
      <c r="C2" s="60"/>
      <c r="D2" s="60" t="s">
        <v>3</v>
      </c>
      <c r="E2" s="60"/>
      <c r="F2" s="60" t="s">
        <v>4</v>
      </c>
      <c r="G2" s="60"/>
      <c r="H2" s="60" t="s">
        <v>5</v>
      </c>
      <c r="I2" s="60"/>
      <c r="J2" s="60" t="s">
        <v>6</v>
      </c>
      <c r="K2" s="60"/>
      <c r="L2" s="60" t="s">
        <v>7</v>
      </c>
      <c r="M2" s="60"/>
      <c r="N2" s="60" t="s">
        <v>8</v>
      </c>
      <c r="O2" s="60"/>
      <c r="P2" s="60" t="s">
        <v>9</v>
      </c>
      <c r="Q2" s="60"/>
      <c r="R2" s="37" t="s">
        <v>342</v>
      </c>
    </row>
    <row r="3" spans="1:18" x14ac:dyDescent="0.3">
      <c r="A3" s="2"/>
      <c r="B3" s="38" t="s">
        <v>12</v>
      </c>
      <c r="C3" s="38" t="s">
        <v>13</v>
      </c>
      <c r="D3" s="38" t="s">
        <v>12</v>
      </c>
      <c r="E3" s="38" t="s">
        <v>13</v>
      </c>
      <c r="F3" s="38" t="s">
        <v>12</v>
      </c>
      <c r="G3" s="38" t="s">
        <v>13</v>
      </c>
      <c r="H3" s="38" t="s">
        <v>12</v>
      </c>
      <c r="I3" s="38" t="s">
        <v>13</v>
      </c>
      <c r="J3" s="38" t="s">
        <v>12</v>
      </c>
      <c r="K3" s="38" t="s">
        <v>13</v>
      </c>
      <c r="L3" s="38" t="s">
        <v>12</v>
      </c>
      <c r="M3" s="38" t="s">
        <v>13</v>
      </c>
      <c r="N3" s="38" t="s">
        <v>12</v>
      </c>
      <c r="O3" s="38" t="s">
        <v>13</v>
      </c>
      <c r="P3" s="38" t="s">
        <v>12</v>
      </c>
      <c r="Q3" s="38" t="s">
        <v>13</v>
      </c>
      <c r="R3" s="38" t="s">
        <v>13</v>
      </c>
    </row>
    <row r="4" spans="1:18" x14ac:dyDescent="0.3">
      <c r="A4" s="2" t="s">
        <v>46</v>
      </c>
      <c r="B4" s="2"/>
      <c r="C4" s="2"/>
      <c r="D4" s="2">
        <v>6992</v>
      </c>
      <c r="E4" s="2">
        <v>2219.6825396825398</v>
      </c>
      <c r="F4" s="2"/>
      <c r="G4" s="2"/>
      <c r="H4" s="2"/>
      <c r="I4" s="2"/>
      <c r="J4" s="2">
        <v>116830</v>
      </c>
      <c r="K4" s="2">
        <v>28495.121951219513</v>
      </c>
      <c r="L4" s="2">
        <v>13590</v>
      </c>
      <c r="M4" s="2">
        <v>4455.7377049180332</v>
      </c>
      <c r="N4" s="2">
        <v>34966</v>
      </c>
      <c r="O4" s="2">
        <v>9712.7777777777774</v>
      </c>
      <c r="P4" s="2"/>
      <c r="Q4" s="2"/>
      <c r="R4" s="39">
        <v>44883.319973597871</v>
      </c>
    </row>
    <row r="5" spans="1:18" x14ac:dyDescent="0.3">
      <c r="A5" s="2" t="s">
        <v>95</v>
      </c>
      <c r="B5" s="2"/>
      <c r="C5" s="2"/>
      <c r="D5" s="2">
        <v>2875</v>
      </c>
      <c r="E5" s="2">
        <v>912.69841269841277</v>
      </c>
      <c r="F5" s="2"/>
      <c r="G5" s="2"/>
      <c r="H5" s="2"/>
      <c r="I5" s="2"/>
      <c r="J5" s="2"/>
      <c r="K5" s="2"/>
      <c r="L5" s="2"/>
      <c r="M5" s="2"/>
      <c r="N5" s="2"/>
      <c r="O5" s="2"/>
      <c r="P5" s="2">
        <v>177333</v>
      </c>
      <c r="Q5" s="2">
        <v>53737.272727272728</v>
      </c>
      <c r="R5" s="39">
        <v>54649.971139971138</v>
      </c>
    </row>
    <row r="6" spans="1:18" x14ac:dyDescent="0.3">
      <c r="A6" s="2" t="s">
        <v>143</v>
      </c>
      <c r="B6" s="2"/>
      <c r="C6" s="2"/>
      <c r="D6" s="2">
        <v>128397</v>
      </c>
      <c r="E6" s="2">
        <v>40760.952380952382</v>
      </c>
      <c r="F6" s="2"/>
      <c r="G6" s="2"/>
      <c r="H6" s="2">
        <v>38920</v>
      </c>
      <c r="I6" s="2">
        <v>9378.3132530120474</v>
      </c>
      <c r="J6" s="2"/>
      <c r="K6" s="2"/>
      <c r="L6" s="2"/>
      <c r="M6" s="2"/>
      <c r="N6" s="2"/>
      <c r="O6" s="2"/>
      <c r="P6" s="2"/>
      <c r="Q6" s="2"/>
      <c r="R6" s="39">
        <v>50139.265633964431</v>
      </c>
    </row>
    <row r="7" spans="1:18" x14ac:dyDescent="0.3">
      <c r="A7" s="2" t="s">
        <v>160</v>
      </c>
      <c r="B7" s="2"/>
      <c r="C7" s="2"/>
      <c r="D7" s="2">
        <v>66711</v>
      </c>
      <c r="E7" s="2">
        <v>21178.09523809524</v>
      </c>
      <c r="F7" s="2"/>
      <c r="G7" s="2"/>
      <c r="H7" s="2">
        <v>64118</v>
      </c>
      <c r="I7" s="2">
        <v>15450.12048192771</v>
      </c>
      <c r="J7" s="2">
        <v>33941</v>
      </c>
      <c r="K7" s="2">
        <v>8278.292682926829</v>
      </c>
      <c r="L7" s="2"/>
      <c r="M7" s="2"/>
      <c r="N7" s="2"/>
      <c r="O7" s="2"/>
      <c r="P7" s="2"/>
      <c r="Q7" s="2"/>
      <c r="R7" s="39">
        <v>44906.508402949781</v>
      </c>
    </row>
    <row r="8" spans="1:18" x14ac:dyDescent="0.3">
      <c r="A8" s="2" t="s">
        <v>168</v>
      </c>
      <c r="B8" s="2"/>
      <c r="C8" s="2"/>
      <c r="D8" s="2">
        <v>3560</v>
      </c>
      <c r="E8" s="2">
        <v>1130.1587301587301</v>
      </c>
      <c r="F8" s="2">
        <v>7385</v>
      </c>
      <c r="G8" s="2">
        <v>2204.4776119402982</v>
      </c>
      <c r="H8" s="2">
        <v>61921</v>
      </c>
      <c r="I8" s="2">
        <v>14920.722891566264</v>
      </c>
      <c r="J8" s="2">
        <v>36197</v>
      </c>
      <c r="K8" s="2">
        <v>8828.536585365855</v>
      </c>
      <c r="L8" s="2">
        <v>650</v>
      </c>
      <c r="M8" s="2">
        <v>213.11475409836066</v>
      </c>
      <c r="N8" s="2">
        <v>1471</v>
      </c>
      <c r="O8" s="2">
        <v>408.61111111111114</v>
      </c>
      <c r="P8" s="2">
        <v>49585</v>
      </c>
      <c r="Q8" s="2">
        <v>15025.757575757576</v>
      </c>
      <c r="R8" s="39">
        <v>42731.379259998197</v>
      </c>
    </row>
    <row r="9" spans="1:18" x14ac:dyDescent="0.3">
      <c r="A9" s="2" t="s">
        <v>192</v>
      </c>
      <c r="B9" s="2"/>
      <c r="C9" s="2"/>
      <c r="D9" s="2"/>
      <c r="E9" s="2"/>
      <c r="F9" s="2"/>
      <c r="G9" s="2"/>
      <c r="H9" s="2">
        <v>26136</v>
      </c>
      <c r="I9" s="2">
        <v>6297.8313253012038</v>
      </c>
      <c r="J9" s="2">
        <v>154739</v>
      </c>
      <c r="K9" s="2">
        <v>37741.219512195123</v>
      </c>
      <c r="L9" s="2"/>
      <c r="M9" s="2"/>
      <c r="N9" s="2"/>
      <c r="O9" s="2"/>
      <c r="P9" s="2"/>
      <c r="Q9" s="2"/>
      <c r="R9" s="39">
        <v>44039.050837496325</v>
      </c>
    </row>
    <row r="10" spans="1:18" x14ac:dyDescent="0.3">
      <c r="A10" s="2" t="s">
        <v>218</v>
      </c>
      <c r="B10" s="2">
        <v>2168</v>
      </c>
      <c r="C10" s="2">
        <v>619.42857142857144</v>
      </c>
      <c r="D10" s="2">
        <v>12783</v>
      </c>
      <c r="E10" s="2">
        <v>4058.0952380952385</v>
      </c>
      <c r="F10" s="2"/>
      <c r="G10" s="2"/>
      <c r="H10" s="2">
        <v>146980</v>
      </c>
      <c r="I10" s="2">
        <v>35416.867469879515</v>
      </c>
      <c r="J10" s="2">
        <v>15258</v>
      </c>
      <c r="K10" s="2">
        <v>3721.4634146341468</v>
      </c>
      <c r="L10" s="2">
        <v>1138</v>
      </c>
      <c r="M10" s="2">
        <v>373.11475409836066</v>
      </c>
      <c r="N10" s="2">
        <v>794</v>
      </c>
      <c r="O10" s="2">
        <v>220.55555555555557</v>
      </c>
      <c r="P10" s="2">
        <v>25764</v>
      </c>
      <c r="Q10" s="2">
        <v>7807.2727272727279</v>
      </c>
      <c r="R10" s="39">
        <v>52216.797730964114</v>
      </c>
    </row>
    <row r="11" spans="1:18" x14ac:dyDescent="0.3">
      <c r="A11" s="2" t="s">
        <v>240</v>
      </c>
      <c r="B11" s="2"/>
      <c r="C11" s="2"/>
      <c r="D11" s="2">
        <v>8528</v>
      </c>
      <c r="E11" s="2">
        <v>2707.301587301587</v>
      </c>
      <c r="F11" s="2"/>
      <c r="G11" s="2"/>
      <c r="H11" s="2">
        <v>6604</v>
      </c>
      <c r="I11" s="2">
        <v>1591.3253012048192</v>
      </c>
      <c r="J11" s="2">
        <v>165268</v>
      </c>
      <c r="K11" s="2">
        <v>40309.268292682929</v>
      </c>
      <c r="L11" s="2"/>
      <c r="M11" s="2"/>
      <c r="N11" s="2"/>
      <c r="O11" s="2"/>
      <c r="P11" s="2"/>
      <c r="Q11" s="2"/>
      <c r="R11" s="39">
        <v>44607.895181189335</v>
      </c>
    </row>
    <row r="12" spans="1:18" x14ac:dyDescent="0.3">
      <c r="A12" s="2" t="s">
        <v>252</v>
      </c>
      <c r="B12" s="2"/>
      <c r="C12" s="2"/>
      <c r="D12" s="2"/>
      <c r="E12" s="2"/>
      <c r="F12" s="2"/>
      <c r="G12" s="2"/>
      <c r="H12" s="2">
        <v>188126</v>
      </c>
      <c r="I12" s="2">
        <v>45331.566265060239</v>
      </c>
      <c r="J12" s="2">
        <v>23644</v>
      </c>
      <c r="K12" s="2">
        <v>5766.8292682926831</v>
      </c>
      <c r="L12" s="2"/>
      <c r="M12" s="2"/>
      <c r="N12" s="2"/>
      <c r="O12" s="2"/>
      <c r="P12" s="2">
        <v>24722</v>
      </c>
      <c r="Q12" s="2">
        <v>7491.515151515152</v>
      </c>
      <c r="R12" s="39">
        <v>58589.910684868075</v>
      </c>
    </row>
    <row r="13" spans="1:18" x14ac:dyDescent="0.3">
      <c r="A13" s="2" t="s">
        <v>266</v>
      </c>
      <c r="B13" s="2">
        <v>156461</v>
      </c>
      <c r="C13" s="2">
        <v>44703.142857142855</v>
      </c>
      <c r="D13" s="2"/>
      <c r="E13" s="2"/>
      <c r="F13" s="2"/>
      <c r="G13" s="2"/>
      <c r="H13" s="2"/>
      <c r="I13" s="2"/>
      <c r="J13" s="2">
        <v>4901</v>
      </c>
      <c r="K13" s="2">
        <v>1195.3658536585367</v>
      </c>
      <c r="L13" s="2"/>
      <c r="M13" s="2"/>
      <c r="N13" s="2"/>
      <c r="O13" s="2"/>
      <c r="P13" s="2"/>
      <c r="Q13" s="2"/>
      <c r="R13" s="39">
        <v>45898.50871080139</v>
      </c>
    </row>
    <row r="14" spans="1:18" x14ac:dyDescent="0.3">
      <c r="A14" s="2" t="s">
        <v>267</v>
      </c>
      <c r="B14" s="2"/>
      <c r="C14" s="2"/>
      <c r="D14" s="2">
        <v>128397</v>
      </c>
      <c r="E14" s="2">
        <v>40760.952380952382</v>
      </c>
      <c r="F14" s="2"/>
      <c r="G14" s="2"/>
      <c r="H14" s="2">
        <v>38799</v>
      </c>
      <c r="I14" s="2">
        <v>9349.1566265060228</v>
      </c>
      <c r="J14" s="2"/>
      <c r="K14" s="2"/>
      <c r="L14" s="2"/>
      <c r="M14" s="2"/>
      <c r="N14" s="2"/>
      <c r="O14" s="2"/>
      <c r="P14" s="2"/>
      <c r="Q14" s="2"/>
      <c r="R14" s="39">
        <v>50110.109007458406</v>
      </c>
    </row>
    <row r="15" spans="1:18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36"/>
    </row>
    <row r="16" spans="1:18" x14ac:dyDescent="0.3">
      <c r="A16" s="35" t="s">
        <v>343</v>
      </c>
      <c r="B16" s="35"/>
      <c r="C16" s="35">
        <f>SUM(C4:C15)/11</f>
        <v>4120.2337662337659</v>
      </c>
      <c r="D16" s="35"/>
      <c r="E16" s="35">
        <f t="shared" ref="E16:Q16" si="0">SUM(E4:E15)/11</f>
        <v>10338.90331890332</v>
      </c>
      <c r="F16" s="35"/>
      <c r="G16" s="35">
        <f t="shared" si="0"/>
        <v>200.40705563093618</v>
      </c>
      <c r="H16" s="35"/>
      <c r="I16" s="35">
        <f t="shared" si="0"/>
        <v>12521.445783132529</v>
      </c>
      <c r="J16" s="35"/>
      <c r="K16" s="35">
        <f t="shared" si="0"/>
        <v>12212.372505543235</v>
      </c>
      <c r="L16" s="35"/>
      <c r="M16" s="35">
        <f t="shared" si="0"/>
        <v>458.36065573770497</v>
      </c>
      <c r="N16" s="35"/>
      <c r="O16" s="35">
        <f t="shared" si="0"/>
        <v>940.17676767676755</v>
      </c>
      <c r="P16" s="35"/>
      <c r="Q16" s="35">
        <f t="shared" si="0"/>
        <v>7641.9834710743808</v>
      </c>
      <c r="R16" s="35">
        <f>SUM(C16:Q16)</f>
        <v>48433.883323932641</v>
      </c>
    </row>
    <row r="19" spans="1:18" x14ac:dyDescent="0.3">
      <c r="A19" s="47" t="s">
        <v>344</v>
      </c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</row>
    <row r="20" spans="1:18" ht="14.4" customHeight="1" x14ac:dyDescent="0.3">
      <c r="A20" s="2"/>
      <c r="B20" s="60" t="s">
        <v>2</v>
      </c>
      <c r="C20" s="60"/>
      <c r="D20" s="60" t="s">
        <v>3</v>
      </c>
      <c r="E20" s="60"/>
      <c r="F20" s="60" t="s">
        <v>4</v>
      </c>
      <c r="G20" s="60"/>
      <c r="H20" s="60" t="s">
        <v>5</v>
      </c>
      <c r="I20" s="60"/>
      <c r="J20" s="60" t="s">
        <v>6</v>
      </c>
      <c r="K20" s="60"/>
      <c r="L20" s="60" t="s">
        <v>7</v>
      </c>
      <c r="M20" s="60"/>
      <c r="N20" s="60" t="s">
        <v>8</v>
      </c>
      <c r="O20" s="60"/>
      <c r="P20" s="60" t="s">
        <v>9</v>
      </c>
      <c r="Q20" s="60"/>
      <c r="R20" s="37" t="s">
        <v>342</v>
      </c>
    </row>
    <row r="21" spans="1:18" ht="14.4" customHeight="1" x14ac:dyDescent="0.3">
      <c r="A21" s="2"/>
      <c r="B21" s="38" t="s">
        <v>12</v>
      </c>
      <c r="C21" s="38" t="s">
        <v>13</v>
      </c>
      <c r="D21" s="38" t="s">
        <v>12</v>
      </c>
      <c r="E21" s="38" t="s">
        <v>13</v>
      </c>
      <c r="F21" s="38" t="s">
        <v>12</v>
      </c>
      <c r="G21" s="38" t="s">
        <v>13</v>
      </c>
      <c r="H21" s="38" t="s">
        <v>12</v>
      </c>
      <c r="I21" s="38" t="s">
        <v>13</v>
      </c>
      <c r="J21" s="38" t="s">
        <v>12</v>
      </c>
      <c r="K21" s="38" t="s">
        <v>13</v>
      </c>
      <c r="L21" s="38" t="s">
        <v>12</v>
      </c>
      <c r="M21" s="38" t="s">
        <v>13</v>
      </c>
      <c r="N21" s="38" t="s">
        <v>12</v>
      </c>
      <c r="O21" s="38" t="s">
        <v>13</v>
      </c>
      <c r="P21" s="38" t="s">
        <v>12</v>
      </c>
      <c r="Q21" s="38" t="s">
        <v>13</v>
      </c>
      <c r="R21" s="38" t="s">
        <v>13</v>
      </c>
    </row>
    <row r="22" spans="1:18" x14ac:dyDescent="0.3">
      <c r="A22" s="2" t="s">
        <v>28</v>
      </c>
      <c r="B22" s="2">
        <v>22348</v>
      </c>
      <c r="C22" s="2">
        <v>6385.1428571428569</v>
      </c>
      <c r="D22" s="2">
        <v>421303</v>
      </c>
      <c r="E22" s="2">
        <v>133746.98412698414</v>
      </c>
      <c r="F22" s="2">
        <v>354127</v>
      </c>
      <c r="G22" s="2">
        <v>105709.55223880596</v>
      </c>
      <c r="H22" s="2">
        <v>580699</v>
      </c>
      <c r="I22" s="2">
        <v>139927.46987951806</v>
      </c>
      <c r="J22" s="2">
        <v>293649</v>
      </c>
      <c r="K22" s="2">
        <v>71621.707317073175</v>
      </c>
      <c r="L22" s="2">
        <v>27651</v>
      </c>
      <c r="M22" s="2">
        <v>9065.9016393442616</v>
      </c>
      <c r="N22" s="2"/>
      <c r="O22" s="2"/>
      <c r="P22" s="2">
        <v>16538</v>
      </c>
      <c r="Q22" s="2">
        <v>5011.515151515151</v>
      </c>
      <c r="R22" s="39">
        <v>471468.27321038366</v>
      </c>
    </row>
    <row r="23" spans="1:18" x14ac:dyDescent="0.3">
      <c r="A23" s="2" t="s">
        <v>69</v>
      </c>
      <c r="B23" s="2">
        <v>60159</v>
      </c>
      <c r="C23" s="2">
        <v>17188.285714285714</v>
      </c>
      <c r="D23" s="2">
        <v>571150</v>
      </c>
      <c r="E23" s="2">
        <v>181317.46031746033</v>
      </c>
      <c r="F23" s="2">
        <v>203462</v>
      </c>
      <c r="G23" s="2">
        <v>60734.925373134327</v>
      </c>
      <c r="H23" s="2">
        <v>426970</v>
      </c>
      <c r="I23" s="2">
        <v>102884.33734939758</v>
      </c>
      <c r="J23" s="2">
        <v>336481</v>
      </c>
      <c r="K23" s="2">
        <v>82068.536585365859</v>
      </c>
      <c r="L23" s="2">
        <v>118582</v>
      </c>
      <c r="M23" s="2">
        <v>38879.344262295082</v>
      </c>
      <c r="N23" s="2"/>
      <c r="O23" s="2"/>
      <c r="P23" s="2"/>
      <c r="Q23" s="2"/>
      <c r="R23" s="39">
        <v>483072.88960193889</v>
      </c>
    </row>
    <row r="24" spans="1:18" x14ac:dyDescent="0.3">
      <c r="A24" s="2" t="s">
        <v>91</v>
      </c>
      <c r="B24" s="2">
        <v>1110908</v>
      </c>
      <c r="C24" s="2">
        <v>317402.28571428574</v>
      </c>
      <c r="D24" s="2"/>
      <c r="E24" s="2"/>
      <c r="F24" s="2"/>
      <c r="G24" s="2"/>
      <c r="H24" s="2">
        <v>430975</v>
      </c>
      <c r="I24" s="2">
        <v>103849.39759036143</v>
      </c>
      <c r="J24" s="2"/>
      <c r="K24" s="2"/>
      <c r="L24" s="2"/>
      <c r="M24" s="2"/>
      <c r="N24" s="2"/>
      <c r="O24" s="2"/>
      <c r="P24" s="2">
        <v>2289</v>
      </c>
      <c r="Q24" s="2">
        <v>693.63636363636363</v>
      </c>
      <c r="R24" s="39">
        <v>421945.31966828351</v>
      </c>
    </row>
    <row r="25" spans="1:18" x14ac:dyDescent="0.3">
      <c r="A25" s="2" t="s">
        <v>105</v>
      </c>
      <c r="B25" s="2"/>
      <c r="C25" s="2"/>
      <c r="D25" s="2">
        <v>775423</v>
      </c>
      <c r="E25" s="2">
        <v>246166.03174603177</v>
      </c>
      <c r="F25" s="2">
        <v>7650</v>
      </c>
      <c r="G25" s="2">
        <v>2283.5820895522384</v>
      </c>
      <c r="H25" s="2">
        <v>658965</v>
      </c>
      <c r="I25" s="2">
        <v>158786.74698795177</v>
      </c>
      <c r="J25" s="2">
        <v>3404</v>
      </c>
      <c r="K25" s="2">
        <v>830.2439024390244</v>
      </c>
      <c r="L25" s="2">
        <v>206433</v>
      </c>
      <c r="M25" s="2">
        <v>67682.950819672144</v>
      </c>
      <c r="N25" s="2">
        <v>8144</v>
      </c>
      <c r="O25" s="2">
        <v>2262.2222222222222</v>
      </c>
      <c r="P25" s="2">
        <v>18086</v>
      </c>
      <c r="Q25" s="2">
        <v>5480.606060606061</v>
      </c>
      <c r="R25" s="39">
        <v>483492.38382847531</v>
      </c>
    </row>
    <row r="26" spans="1:18" x14ac:dyDescent="0.3">
      <c r="A26" s="2" t="s">
        <v>119</v>
      </c>
      <c r="B26" s="2">
        <v>5693</v>
      </c>
      <c r="C26" s="2">
        <v>1626.5714285714287</v>
      </c>
      <c r="D26" s="2">
        <v>32975</v>
      </c>
      <c r="E26" s="2">
        <v>10468.253968253968</v>
      </c>
      <c r="F26" s="2"/>
      <c r="G26" s="2"/>
      <c r="H26" s="2">
        <v>885529</v>
      </c>
      <c r="I26" s="2">
        <v>213380.48192771082</v>
      </c>
      <c r="J26" s="2">
        <v>442843</v>
      </c>
      <c r="K26" s="2">
        <v>108010.48780487805</v>
      </c>
      <c r="L26" s="2">
        <v>73843</v>
      </c>
      <c r="M26" s="2">
        <v>24210.819672131147</v>
      </c>
      <c r="N26" s="2"/>
      <c r="O26" s="2"/>
      <c r="P26" s="2">
        <v>862247</v>
      </c>
      <c r="Q26" s="2">
        <v>261286.96969696973</v>
      </c>
      <c r="R26" s="39">
        <v>618983.58449851512</v>
      </c>
    </row>
    <row r="27" spans="1:18" x14ac:dyDescent="0.3">
      <c r="A27" s="2" t="s">
        <v>122</v>
      </c>
      <c r="B27" s="2">
        <v>5693</v>
      </c>
      <c r="C27" s="2">
        <v>1626.5714285714287</v>
      </c>
      <c r="D27" s="2"/>
      <c r="E27" s="2"/>
      <c r="F27" s="2"/>
      <c r="G27" s="2"/>
      <c r="H27" s="2">
        <v>1070293</v>
      </c>
      <c r="I27" s="2">
        <v>257901.92771084336</v>
      </c>
      <c r="J27" s="2">
        <v>460903</v>
      </c>
      <c r="K27" s="2">
        <v>112415.36585365854</v>
      </c>
      <c r="L27" s="2">
        <v>7626</v>
      </c>
      <c r="M27" s="2">
        <v>2500.3278688524592</v>
      </c>
      <c r="N27" s="2">
        <v>29730</v>
      </c>
      <c r="O27" s="2">
        <v>8258.3333333333321</v>
      </c>
      <c r="P27" s="2">
        <v>884072</v>
      </c>
      <c r="Q27" s="2">
        <v>267900.60606060608</v>
      </c>
      <c r="R27" s="39">
        <v>650603.13225586526</v>
      </c>
    </row>
    <row r="28" spans="1:18" x14ac:dyDescent="0.3">
      <c r="A28" s="2" t="s">
        <v>130</v>
      </c>
      <c r="B28" s="2">
        <v>5693</v>
      </c>
      <c r="C28" s="2">
        <v>1626.5714285714287</v>
      </c>
      <c r="D28" s="2">
        <v>32975</v>
      </c>
      <c r="E28" s="2">
        <v>10468.253968253968</v>
      </c>
      <c r="F28" s="2"/>
      <c r="G28" s="2"/>
      <c r="H28" s="2">
        <v>1050203</v>
      </c>
      <c r="I28" s="2">
        <v>253060.96385542167</v>
      </c>
      <c r="J28" s="2">
        <v>457700</v>
      </c>
      <c r="K28" s="2">
        <v>111634.14634146343</v>
      </c>
      <c r="L28" s="2">
        <v>81469</v>
      </c>
      <c r="M28" s="2">
        <v>26711.147540983609</v>
      </c>
      <c r="N28" s="2">
        <v>29730</v>
      </c>
      <c r="O28" s="2">
        <v>8258.3333333333321</v>
      </c>
      <c r="P28" s="2">
        <v>8995</v>
      </c>
      <c r="Q28" s="2">
        <v>2725.7575757575755</v>
      </c>
      <c r="R28" s="39">
        <v>414485.17404378502</v>
      </c>
    </row>
    <row r="29" spans="1:18" x14ac:dyDescent="0.3">
      <c r="A29" s="2" t="s">
        <v>134</v>
      </c>
      <c r="B29" s="2">
        <v>22348</v>
      </c>
      <c r="C29" s="2">
        <v>6385.1428571428569</v>
      </c>
      <c r="D29" s="2">
        <v>421303</v>
      </c>
      <c r="E29" s="2">
        <v>133746.98412698414</v>
      </c>
      <c r="F29" s="2">
        <v>354127</v>
      </c>
      <c r="G29" s="2">
        <v>105709.55223880596</v>
      </c>
      <c r="H29" s="2">
        <v>580699</v>
      </c>
      <c r="I29" s="2">
        <v>139927.46987951806</v>
      </c>
      <c r="J29" s="2">
        <v>293649</v>
      </c>
      <c r="K29" s="2">
        <v>71621.707317073175</v>
      </c>
      <c r="L29" s="2">
        <v>27651</v>
      </c>
      <c r="M29" s="2">
        <v>9065.9016393442616</v>
      </c>
      <c r="N29" s="2"/>
      <c r="O29" s="2"/>
      <c r="P29" s="2">
        <v>16538</v>
      </c>
      <c r="Q29" s="2">
        <v>5011.515151515151</v>
      </c>
      <c r="R29" s="39">
        <v>471468.27321038366</v>
      </c>
    </row>
    <row r="30" spans="1:18" x14ac:dyDescent="0.3">
      <c r="A30" s="2" t="s">
        <v>157</v>
      </c>
      <c r="B30" s="2">
        <v>453458</v>
      </c>
      <c r="C30" s="2">
        <v>129559.42857142857</v>
      </c>
      <c r="D30" s="2">
        <v>326582</v>
      </c>
      <c r="E30" s="2">
        <v>103676.8253968254</v>
      </c>
      <c r="F30" s="2">
        <v>201981</v>
      </c>
      <c r="G30" s="2">
        <v>60292.835820895525</v>
      </c>
      <c r="H30" s="2">
        <v>845781</v>
      </c>
      <c r="I30" s="2">
        <v>203802.65060240965</v>
      </c>
      <c r="J30" s="2">
        <v>118459</v>
      </c>
      <c r="K30" s="2">
        <v>28892.439024390245</v>
      </c>
      <c r="L30" s="2">
        <v>21921</v>
      </c>
      <c r="M30" s="2">
        <v>7187.2131147540986</v>
      </c>
      <c r="N30" s="2">
        <v>190</v>
      </c>
      <c r="O30" s="2">
        <v>52.777777777777771</v>
      </c>
      <c r="P30" s="2">
        <v>248673</v>
      </c>
      <c r="Q30" s="2">
        <v>75355.454545454544</v>
      </c>
      <c r="R30" s="39">
        <v>608819.62485393579</v>
      </c>
    </row>
    <row r="31" spans="1:18" x14ac:dyDescent="0.3">
      <c r="A31" s="2" t="s">
        <v>177</v>
      </c>
      <c r="B31" s="2">
        <v>918745</v>
      </c>
      <c r="C31" s="2">
        <v>262498.57142857142</v>
      </c>
      <c r="D31" s="2">
        <v>197520</v>
      </c>
      <c r="E31" s="2">
        <v>62704.761904761901</v>
      </c>
      <c r="F31" s="2"/>
      <c r="G31" s="2"/>
      <c r="H31" s="2">
        <v>154674</v>
      </c>
      <c r="I31" s="2">
        <v>37270.843373493968</v>
      </c>
      <c r="J31" s="2">
        <v>175478</v>
      </c>
      <c r="K31" s="2">
        <v>42799.512195121948</v>
      </c>
      <c r="L31" s="2">
        <v>75846</v>
      </c>
      <c r="M31" s="2">
        <v>24867.540983606559</v>
      </c>
      <c r="N31" s="2">
        <v>34966</v>
      </c>
      <c r="O31" s="2">
        <v>9712.7777777777774</v>
      </c>
      <c r="P31" s="2">
        <v>132820</v>
      </c>
      <c r="Q31" s="2">
        <v>40248.484848484848</v>
      </c>
      <c r="R31" s="39">
        <v>480102.49251181842</v>
      </c>
    </row>
    <row r="32" spans="1:18" x14ac:dyDescent="0.3">
      <c r="A32" s="2" t="s">
        <v>186</v>
      </c>
      <c r="B32" s="2">
        <v>19991</v>
      </c>
      <c r="C32" s="2">
        <v>5711.7142857142853</v>
      </c>
      <c r="D32" s="2">
        <v>723871</v>
      </c>
      <c r="E32" s="2">
        <v>229800.31746031746</v>
      </c>
      <c r="F32" s="2"/>
      <c r="G32" s="2"/>
      <c r="H32" s="2">
        <v>740336</v>
      </c>
      <c r="I32" s="2">
        <v>178394.21686746989</v>
      </c>
      <c r="J32" s="2">
        <v>448545</v>
      </c>
      <c r="K32" s="2">
        <v>109401.21951219512</v>
      </c>
      <c r="L32" s="2">
        <v>250976</v>
      </c>
      <c r="M32" s="2">
        <v>82287.213114754108</v>
      </c>
      <c r="N32" s="2"/>
      <c r="O32" s="2"/>
      <c r="P32" s="2"/>
      <c r="Q32" s="2"/>
      <c r="R32" s="39">
        <v>605594.68124045082</v>
      </c>
    </row>
    <row r="33" spans="1:18" x14ac:dyDescent="0.3">
      <c r="A33" s="2" t="s">
        <v>189</v>
      </c>
      <c r="B33" s="2"/>
      <c r="C33" s="2"/>
      <c r="D33" s="2">
        <v>333755</v>
      </c>
      <c r="E33" s="2">
        <v>105953.96825396825</v>
      </c>
      <c r="F33" s="2">
        <v>162361</v>
      </c>
      <c r="G33" s="2">
        <v>48465.970149253735</v>
      </c>
      <c r="H33" s="2">
        <v>204788</v>
      </c>
      <c r="I33" s="2">
        <v>49346.506024096387</v>
      </c>
      <c r="J33" s="2">
        <v>399066</v>
      </c>
      <c r="K33" s="2">
        <v>97333.170731707316</v>
      </c>
      <c r="L33" s="2">
        <v>487</v>
      </c>
      <c r="M33" s="2">
        <v>159.67213114754099</v>
      </c>
      <c r="N33" s="2">
        <v>117</v>
      </c>
      <c r="O33" s="2">
        <v>32.5</v>
      </c>
      <c r="P33" s="2">
        <v>497148</v>
      </c>
      <c r="Q33" s="2">
        <v>150650.90909090909</v>
      </c>
      <c r="R33" s="39">
        <v>451942.69638108229</v>
      </c>
    </row>
    <row r="34" spans="1:18" x14ac:dyDescent="0.3">
      <c r="A34" s="2" t="s">
        <v>254</v>
      </c>
      <c r="B34" s="2">
        <v>99940</v>
      </c>
      <c r="C34" s="2">
        <v>28554.285714285714</v>
      </c>
      <c r="D34" s="2"/>
      <c r="E34" s="2"/>
      <c r="F34" s="2"/>
      <c r="G34" s="2"/>
      <c r="H34" s="2">
        <v>331710</v>
      </c>
      <c r="I34" s="2">
        <v>79930.120481927705</v>
      </c>
      <c r="J34" s="2">
        <v>150428</v>
      </c>
      <c r="K34" s="2">
        <v>36689.756097560981</v>
      </c>
      <c r="L34" s="2"/>
      <c r="M34" s="2"/>
      <c r="N34" s="2">
        <v>104368</v>
      </c>
      <c r="O34" s="2">
        <v>28991.111111111113</v>
      </c>
      <c r="P34" s="2">
        <v>801897</v>
      </c>
      <c r="Q34" s="2">
        <v>242999.09090909094</v>
      </c>
      <c r="R34" s="39">
        <v>417164.36431397649</v>
      </c>
    </row>
    <row r="35" spans="1:18" x14ac:dyDescent="0.3">
      <c r="A35" s="2" t="s">
        <v>270</v>
      </c>
      <c r="B35" s="2">
        <v>1110908</v>
      </c>
      <c r="C35" s="2">
        <v>317402.28571428574</v>
      </c>
      <c r="D35" s="2"/>
      <c r="E35" s="2"/>
      <c r="F35" s="2"/>
      <c r="G35" s="2"/>
      <c r="H35" s="2">
        <v>430975</v>
      </c>
      <c r="I35" s="2">
        <v>103849.39759036143</v>
      </c>
      <c r="J35" s="2"/>
      <c r="K35" s="2"/>
      <c r="L35" s="2"/>
      <c r="M35" s="2"/>
      <c r="N35" s="2"/>
      <c r="O35" s="2"/>
      <c r="P35" s="2">
        <v>2289</v>
      </c>
      <c r="Q35" s="2">
        <v>693.63636363636363</v>
      </c>
      <c r="R35" s="39">
        <v>421945.31966828351</v>
      </c>
    </row>
    <row r="36" spans="1:18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35"/>
    </row>
    <row r="37" spans="1:18" x14ac:dyDescent="0.3">
      <c r="A37" s="35" t="s">
        <v>343</v>
      </c>
      <c r="B37" s="2"/>
      <c r="C37" s="35">
        <f>SUM(C22:C35)/14</f>
        <v>78283.346938775503</v>
      </c>
      <c r="D37" s="35"/>
      <c r="E37" s="35">
        <f t="shared" ref="E37:Q37" si="1">SUM(E22:E35)/14</f>
        <v>87003.560090702958</v>
      </c>
      <c r="F37" s="35"/>
      <c r="G37" s="35">
        <f t="shared" si="1"/>
        <v>27371.172707889124</v>
      </c>
      <c r="H37" s="35"/>
      <c r="I37" s="35">
        <f t="shared" si="1"/>
        <v>144450.89500860585</v>
      </c>
      <c r="J37" s="35"/>
      <c r="K37" s="35">
        <f t="shared" si="1"/>
        <v>62379.878048780483</v>
      </c>
      <c r="L37" s="35"/>
      <c r="M37" s="35">
        <f t="shared" si="1"/>
        <v>20901.288056206093</v>
      </c>
      <c r="N37" s="35"/>
      <c r="O37" s="35">
        <f t="shared" si="1"/>
        <v>4112.0039682539682</v>
      </c>
      <c r="P37" s="35"/>
      <c r="Q37" s="35">
        <f t="shared" si="1"/>
        <v>75575.584415584424</v>
      </c>
      <c r="R37" s="35">
        <f>SUM(C37:Q37)</f>
        <v>500077.72923479835</v>
      </c>
    </row>
    <row r="41" spans="1:18" x14ac:dyDescent="0.3">
      <c r="A41" s="47" t="s">
        <v>345</v>
      </c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</row>
    <row r="42" spans="1:18" ht="14.4" customHeight="1" x14ac:dyDescent="0.3">
      <c r="A42" s="2"/>
      <c r="B42" s="60" t="s">
        <v>2</v>
      </c>
      <c r="C42" s="60"/>
      <c r="D42" s="60" t="s">
        <v>3</v>
      </c>
      <c r="E42" s="60"/>
      <c r="F42" s="60" t="s">
        <v>4</v>
      </c>
      <c r="G42" s="60"/>
      <c r="H42" s="60" t="s">
        <v>5</v>
      </c>
      <c r="I42" s="60"/>
      <c r="J42" s="60" t="s">
        <v>6</v>
      </c>
      <c r="K42" s="60"/>
      <c r="L42" s="60" t="s">
        <v>7</v>
      </c>
      <c r="M42" s="60"/>
      <c r="N42" s="60" t="s">
        <v>8</v>
      </c>
      <c r="O42" s="60"/>
      <c r="P42" s="60" t="s">
        <v>9</v>
      </c>
      <c r="Q42" s="60"/>
      <c r="R42" s="37" t="s">
        <v>342</v>
      </c>
    </row>
    <row r="43" spans="1:18" ht="14.4" customHeight="1" x14ac:dyDescent="0.3">
      <c r="A43" s="2"/>
      <c r="B43" s="38" t="s">
        <v>12</v>
      </c>
      <c r="C43" s="38" t="s">
        <v>13</v>
      </c>
      <c r="D43" s="38" t="s">
        <v>12</v>
      </c>
      <c r="E43" s="38" t="s">
        <v>13</v>
      </c>
      <c r="F43" s="38" t="s">
        <v>12</v>
      </c>
      <c r="G43" s="38" t="s">
        <v>13</v>
      </c>
      <c r="H43" s="38" t="s">
        <v>12</v>
      </c>
      <c r="I43" s="38" t="s">
        <v>13</v>
      </c>
      <c r="J43" s="38" t="s">
        <v>12</v>
      </c>
      <c r="K43" s="38" t="s">
        <v>13</v>
      </c>
      <c r="L43" s="38" t="s">
        <v>12</v>
      </c>
      <c r="M43" s="38" t="s">
        <v>13</v>
      </c>
      <c r="N43" s="38" t="s">
        <v>12</v>
      </c>
      <c r="O43" s="38" t="s">
        <v>13</v>
      </c>
      <c r="P43" s="38" t="s">
        <v>12</v>
      </c>
      <c r="Q43" s="38" t="s">
        <v>13</v>
      </c>
      <c r="R43" s="38" t="s">
        <v>13</v>
      </c>
    </row>
    <row r="44" spans="1:18" x14ac:dyDescent="0.3">
      <c r="A44" s="2" t="s">
        <v>36</v>
      </c>
      <c r="B44" s="2"/>
      <c r="C44" s="2"/>
      <c r="D44" s="2">
        <v>4229444</v>
      </c>
      <c r="E44" s="2">
        <v>1342680.634920635</v>
      </c>
      <c r="F44" s="2">
        <v>2661128</v>
      </c>
      <c r="G44" s="2">
        <v>794366.56716417905</v>
      </c>
      <c r="H44" s="2">
        <v>3613954</v>
      </c>
      <c r="I44" s="2">
        <v>870832.28915662644</v>
      </c>
      <c r="J44" s="2">
        <v>335778</v>
      </c>
      <c r="K44" s="2">
        <v>81897.073170731703</v>
      </c>
      <c r="L44" s="2"/>
      <c r="M44" s="2"/>
      <c r="N44" s="2">
        <v>511524</v>
      </c>
      <c r="O44" s="2">
        <v>142090</v>
      </c>
      <c r="P44" s="2"/>
      <c r="Q44" s="2"/>
      <c r="R44" s="39">
        <v>3231866.5644121724</v>
      </c>
    </row>
    <row r="45" spans="1:18" x14ac:dyDescent="0.3">
      <c r="A45" s="2" t="s">
        <v>60</v>
      </c>
      <c r="B45" s="2">
        <v>204240</v>
      </c>
      <c r="C45" s="2">
        <v>58354.285714285717</v>
      </c>
      <c r="D45" s="2">
        <v>6246668</v>
      </c>
      <c r="E45" s="2">
        <v>1983069.2063492064</v>
      </c>
      <c r="F45" s="2">
        <v>1674485</v>
      </c>
      <c r="G45" s="2">
        <v>499846.26865671639</v>
      </c>
      <c r="H45" s="2">
        <v>9003218</v>
      </c>
      <c r="I45" s="2">
        <v>2169450.1204819274</v>
      </c>
      <c r="J45" s="2">
        <v>787927</v>
      </c>
      <c r="K45" s="2">
        <v>192177.31707317077</v>
      </c>
      <c r="L45" s="2">
        <v>2823600</v>
      </c>
      <c r="M45" s="2">
        <v>925770.49180327868</v>
      </c>
      <c r="N45" s="2">
        <v>169781</v>
      </c>
      <c r="O45" s="2">
        <v>47161.388888888891</v>
      </c>
      <c r="P45" s="2">
        <v>925466</v>
      </c>
      <c r="Q45" s="2">
        <v>280444.24242424243</v>
      </c>
      <c r="R45" s="39">
        <v>6156273.3213917157</v>
      </c>
    </row>
    <row r="46" spans="1:18" x14ac:dyDescent="0.3">
      <c r="A46" s="2" t="s">
        <v>142</v>
      </c>
      <c r="B46" s="2">
        <v>222081</v>
      </c>
      <c r="C46" s="2">
        <v>63451.714285714283</v>
      </c>
      <c r="D46" s="2">
        <v>6246668</v>
      </c>
      <c r="E46" s="2">
        <v>1983069.2063492064</v>
      </c>
      <c r="F46" s="2">
        <v>1674485</v>
      </c>
      <c r="G46" s="2">
        <v>499846.26865671639</v>
      </c>
      <c r="H46" s="2">
        <v>8997294</v>
      </c>
      <c r="I46" s="2">
        <v>2168022.6506024092</v>
      </c>
      <c r="J46" s="2">
        <v>787927</v>
      </c>
      <c r="K46" s="2">
        <v>192177.31707317077</v>
      </c>
      <c r="L46" s="2">
        <v>2823600</v>
      </c>
      <c r="M46" s="2">
        <v>925770.49180327868</v>
      </c>
      <c r="N46" s="2">
        <v>169781</v>
      </c>
      <c r="O46" s="2">
        <v>47161.388888888891</v>
      </c>
      <c r="P46" s="2">
        <v>925466</v>
      </c>
      <c r="Q46" s="2">
        <v>280444.24242424243</v>
      </c>
      <c r="R46" s="39">
        <v>6159943.2800836274</v>
      </c>
    </row>
    <row r="47" spans="1:18" x14ac:dyDescent="0.3">
      <c r="A47" s="2" t="s">
        <v>167</v>
      </c>
      <c r="B47" s="2">
        <v>21993</v>
      </c>
      <c r="C47" s="2">
        <v>6283.7142857142853</v>
      </c>
      <c r="D47" s="2">
        <v>11356961</v>
      </c>
      <c r="E47" s="2">
        <v>3605384.4444444445</v>
      </c>
      <c r="F47" s="2">
        <v>1748867</v>
      </c>
      <c r="G47" s="2">
        <v>522049.85074626864</v>
      </c>
      <c r="H47" s="2">
        <v>6278403</v>
      </c>
      <c r="I47" s="2">
        <v>1512868.1927710844</v>
      </c>
      <c r="J47" s="2">
        <v>2270699</v>
      </c>
      <c r="K47" s="2">
        <v>553829.02439024404</v>
      </c>
      <c r="L47" s="2">
        <v>307579</v>
      </c>
      <c r="M47" s="2">
        <v>100845.57377049181</v>
      </c>
      <c r="N47" s="2">
        <v>1629</v>
      </c>
      <c r="O47" s="2">
        <v>452.5</v>
      </c>
      <c r="P47" s="2">
        <v>1936512</v>
      </c>
      <c r="Q47" s="2">
        <v>586821.81818181823</v>
      </c>
      <c r="R47" s="39">
        <v>6888535.1185900653</v>
      </c>
    </row>
    <row r="48" spans="1:18" x14ac:dyDescent="0.3">
      <c r="A48" s="2" t="s">
        <v>184</v>
      </c>
      <c r="B48" s="2"/>
      <c r="C48" s="2"/>
      <c r="D48" s="2">
        <v>4229444</v>
      </c>
      <c r="E48" s="2">
        <v>1342680.634920635</v>
      </c>
      <c r="F48" s="2">
        <v>2661128</v>
      </c>
      <c r="G48" s="2">
        <v>794366.56716417905</v>
      </c>
      <c r="H48" s="2">
        <v>3615226</v>
      </c>
      <c r="I48" s="2">
        <v>871138.79518072284</v>
      </c>
      <c r="J48" s="2">
        <v>335140</v>
      </c>
      <c r="K48" s="2">
        <v>81741.463414634156</v>
      </c>
      <c r="L48" s="2"/>
      <c r="M48" s="2"/>
      <c r="N48" s="2">
        <v>511524</v>
      </c>
      <c r="O48" s="2">
        <v>142090</v>
      </c>
      <c r="P48" s="2"/>
      <c r="Q48" s="2"/>
      <c r="R48" s="39">
        <v>3232017.4606801714</v>
      </c>
    </row>
    <row r="49" spans="1:18" x14ac:dyDescent="0.3">
      <c r="A49" s="2" t="s">
        <v>194</v>
      </c>
      <c r="B49" s="2">
        <v>1211743</v>
      </c>
      <c r="C49" s="2">
        <v>346212.28571428574</v>
      </c>
      <c r="D49" s="2">
        <v>7498391</v>
      </c>
      <c r="E49" s="2">
        <v>2380441.5873015877</v>
      </c>
      <c r="F49" s="2">
        <v>1187388</v>
      </c>
      <c r="G49" s="2">
        <v>354444.17910447757</v>
      </c>
      <c r="H49" s="2">
        <v>9548813</v>
      </c>
      <c r="I49" s="2">
        <v>2300918.7951807226</v>
      </c>
      <c r="J49" s="2">
        <v>459588</v>
      </c>
      <c r="K49" s="2">
        <v>112094.63414634147</v>
      </c>
      <c r="L49" s="2">
        <v>949280</v>
      </c>
      <c r="M49" s="2">
        <v>311239.34426229511</v>
      </c>
      <c r="N49" s="2">
        <v>182412</v>
      </c>
      <c r="O49" s="2">
        <v>50670</v>
      </c>
      <c r="P49" s="2">
        <v>270790</v>
      </c>
      <c r="Q49" s="2">
        <v>82057.57575757576</v>
      </c>
      <c r="R49" s="39">
        <v>5938078.4014672861</v>
      </c>
    </row>
    <row r="50" spans="1:18" x14ac:dyDescent="0.3">
      <c r="A50" s="2" t="s">
        <v>197</v>
      </c>
      <c r="B50" s="2"/>
      <c r="C50" s="2"/>
      <c r="D50" s="2">
        <v>7911522</v>
      </c>
      <c r="E50" s="2">
        <v>2511594.2857142859</v>
      </c>
      <c r="F50" s="2">
        <v>4496662</v>
      </c>
      <c r="G50" s="2">
        <v>1342287.1641791044</v>
      </c>
      <c r="H50" s="2">
        <v>2593518</v>
      </c>
      <c r="I50" s="2">
        <v>624944.09638554219</v>
      </c>
      <c r="J50" s="2">
        <v>180895</v>
      </c>
      <c r="K50" s="2">
        <v>44120.731707317078</v>
      </c>
      <c r="L50" s="2">
        <v>638</v>
      </c>
      <c r="M50" s="2">
        <v>209.18032786885249</v>
      </c>
      <c r="N50" s="2">
        <v>1</v>
      </c>
      <c r="O50" s="2">
        <v>0.27777777777777779</v>
      </c>
      <c r="P50" s="2">
        <v>166308</v>
      </c>
      <c r="Q50" s="2">
        <v>50396.36363636364</v>
      </c>
      <c r="R50" s="39">
        <v>4573552.0997282593</v>
      </c>
    </row>
    <row r="51" spans="1:18" x14ac:dyDescent="0.3">
      <c r="A51" s="2" t="s">
        <v>207</v>
      </c>
      <c r="B51" s="2">
        <v>200687</v>
      </c>
      <c r="C51" s="2">
        <v>57339.142857142855</v>
      </c>
      <c r="D51" s="2">
        <v>2406330</v>
      </c>
      <c r="E51" s="2">
        <v>763914.28571428568</v>
      </c>
      <c r="F51" s="2">
        <v>750959</v>
      </c>
      <c r="G51" s="2">
        <v>224166.8656716418</v>
      </c>
      <c r="H51" s="2">
        <v>4985802</v>
      </c>
      <c r="I51" s="2">
        <v>1201398.0722891565</v>
      </c>
      <c r="J51" s="2">
        <v>958699</v>
      </c>
      <c r="K51" s="2">
        <v>233829.02439024393</v>
      </c>
      <c r="L51" s="2">
        <v>769898</v>
      </c>
      <c r="M51" s="2">
        <v>252425.57377049181</v>
      </c>
      <c r="N51" s="2">
        <v>354077</v>
      </c>
      <c r="O51" s="2">
        <v>98354.722222222219</v>
      </c>
      <c r="P51" s="2">
        <v>2132634</v>
      </c>
      <c r="Q51" s="2">
        <v>646252.72727272729</v>
      </c>
      <c r="R51" s="39">
        <v>3477680.4141879119</v>
      </c>
    </row>
    <row r="52" spans="1:18" x14ac:dyDescent="0.3">
      <c r="A52" s="2" t="s">
        <v>215</v>
      </c>
      <c r="B52" s="2"/>
      <c r="C52" s="2"/>
      <c r="D52" s="2">
        <v>4229444</v>
      </c>
      <c r="E52" s="2">
        <v>1342680.634920635</v>
      </c>
      <c r="F52" s="2">
        <v>2661128</v>
      </c>
      <c r="G52" s="2">
        <v>794366.56716417905</v>
      </c>
      <c r="H52" s="2">
        <v>3615226</v>
      </c>
      <c r="I52" s="2">
        <v>871138.79518072284</v>
      </c>
      <c r="J52" s="2">
        <v>335140</v>
      </c>
      <c r="K52" s="2">
        <v>81741.463414634156</v>
      </c>
      <c r="L52" s="2"/>
      <c r="M52" s="2"/>
      <c r="N52" s="2">
        <v>511524</v>
      </c>
      <c r="O52" s="2">
        <v>142090</v>
      </c>
      <c r="P52" s="2"/>
      <c r="Q52" s="2"/>
      <c r="R52" s="39">
        <v>3232017.4606801714</v>
      </c>
    </row>
    <row r="53" spans="1:18" x14ac:dyDescent="0.3">
      <c r="A53" s="2" t="s">
        <v>264</v>
      </c>
      <c r="B53" s="2">
        <v>2742192</v>
      </c>
      <c r="C53" s="2">
        <v>783483.42857142852</v>
      </c>
      <c r="D53" s="2">
        <v>4268655</v>
      </c>
      <c r="E53" s="2">
        <v>1355128.5714285714</v>
      </c>
      <c r="F53" s="2">
        <v>519288</v>
      </c>
      <c r="G53" s="2">
        <v>155011.3432835821</v>
      </c>
      <c r="H53" s="2">
        <v>7551924</v>
      </c>
      <c r="I53" s="2">
        <v>1819740.7228915661</v>
      </c>
      <c r="J53" s="2">
        <v>1094467</v>
      </c>
      <c r="K53" s="2">
        <v>266943.17073170736</v>
      </c>
      <c r="L53" s="2">
        <v>1741090</v>
      </c>
      <c r="M53" s="2">
        <v>570849.1803278689</v>
      </c>
      <c r="N53" s="2">
        <v>551960</v>
      </c>
      <c r="O53" s="2">
        <v>153322.22222222222</v>
      </c>
      <c r="P53" s="2">
        <v>830573</v>
      </c>
      <c r="Q53" s="2">
        <v>251688.7878787879</v>
      </c>
      <c r="R53" s="39">
        <v>5356167.4273357345</v>
      </c>
    </row>
    <row r="54" spans="1:18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1:18" x14ac:dyDescent="0.3">
      <c r="A55" s="35" t="s">
        <v>343</v>
      </c>
      <c r="B55" s="35"/>
      <c r="C55" s="35">
        <f>SUM(C44:C53)/10</f>
        <v>131512.45714285714</v>
      </c>
      <c r="D55" s="35"/>
      <c r="E55" s="35">
        <f t="shared" ref="E55:Q55" si="2">SUM(E44:E53)/10</f>
        <v>1861064.3492063493</v>
      </c>
      <c r="F55" s="35"/>
      <c r="G55" s="35">
        <f t="shared" si="2"/>
        <v>598075.16417910461</v>
      </c>
      <c r="H55" s="35"/>
      <c r="I55" s="35">
        <f t="shared" si="2"/>
        <v>1441045.2530120481</v>
      </c>
      <c r="J55" s="35"/>
      <c r="K55" s="35">
        <f t="shared" si="2"/>
        <v>184055.12195121954</v>
      </c>
      <c r="L55" s="35"/>
      <c r="M55" s="35">
        <f t="shared" si="2"/>
        <v>308710.98360655742</v>
      </c>
      <c r="N55" s="35"/>
      <c r="O55" s="35">
        <f t="shared" si="2"/>
        <v>82339.25</v>
      </c>
      <c r="P55" s="35"/>
      <c r="Q55" s="35">
        <f t="shared" si="2"/>
        <v>217810.57575757577</v>
      </c>
      <c r="R55" s="35">
        <f>SUM(C55:Q55)</f>
        <v>4824613.1548557123</v>
      </c>
    </row>
    <row r="59" spans="1:18" x14ac:dyDescent="0.3">
      <c r="A59" s="47" t="s">
        <v>346</v>
      </c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</row>
    <row r="60" spans="1:18" ht="14.4" customHeight="1" x14ac:dyDescent="0.3">
      <c r="A60" s="2"/>
      <c r="B60" s="60" t="s">
        <v>2</v>
      </c>
      <c r="C60" s="60"/>
      <c r="D60" s="60" t="s">
        <v>3</v>
      </c>
      <c r="E60" s="60"/>
      <c r="F60" s="60" t="s">
        <v>4</v>
      </c>
      <c r="G60" s="60"/>
      <c r="H60" s="60" t="s">
        <v>5</v>
      </c>
      <c r="I60" s="60"/>
      <c r="J60" s="60" t="s">
        <v>6</v>
      </c>
      <c r="K60" s="60"/>
      <c r="L60" s="60" t="s">
        <v>7</v>
      </c>
      <c r="M60" s="60"/>
      <c r="N60" s="60" t="s">
        <v>8</v>
      </c>
      <c r="O60" s="60"/>
      <c r="P60" s="60" t="s">
        <v>9</v>
      </c>
      <c r="Q60" s="60"/>
      <c r="R60" s="37" t="s">
        <v>342</v>
      </c>
    </row>
    <row r="61" spans="1:18" ht="14.4" customHeight="1" x14ac:dyDescent="0.3">
      <c r="A61" s="2"/>
      <c r="B61" s="38" t="s">
        <v>12</v>
      </c>
      <c r="C61" s="38" t="s">
        <v>13</v>
      </c>
      <c r="D61" s="38" t="s">
        <v>12</v>
      </c>
      <c r="E61" s="38" t="s">
        <v>13</v>
      </c>
      <c r="F61" s="38" t="s">
        <v>12</v>
      </c>
      <c r="G61" s="38" t="s">
        <v>13</v>
      </c>
      <c r="H61" s="38" t="s">
        <v>12</v>
      </c>
      <c r="I61" s="38" t="s">
        <v>13</v>
      </c>
      <c r="J61" s="38" t="s">
        <v>12</v>
      </c>
      <c r="K61" s="38" t="s">
        <v>13</v>
      </c>
      <c r="L61" s="38" t="s">
        <v>12</v>
      </c>
      <c r="M61" s="38" t="s">
        <v>13</v>
      </c>
      <c r="N61" s="38" t="s">
        <v>12</v>
      </c>
      <c r="O61" s="38" t="s">
        <v>13</v>
      </c>
      <c r="P61" s="38" t="s">
        <v>12</v>
      </c>
      <c r="Q61" s="38" t="s">
        <v>13</v>
      </c>
      <c r="R61" s="38" t="s">
        <v>13</v>
      </c>
    </row>
    <row r="62" spans="1:18" x14ac:dyDescent="0.3">
      <c r="A62" s="2" t="s">
        <v>93</v>
      </c>
      <c r="B62" s="2">
        <v>98756190</v>
      </c>
      <c r="C62" s="2">
        <v>28216054.285714287</v>
      </c>
      <c r="D62" s="2">
        <v>5833353</v>
      </c>
      <c r="E62" s="2">
        <v>1851858.0952380954</v>
      </c>
      <c r="F62" s="2">
        <v>1753734</v>
      </c>
      <c r="G62" s="2">
        <v>523502.6865671642</v>
      </c>
      <c r="H62" s="2">
        <v>7071135</v>
      </c>
      <c r="I62" s="2">
        <v>1703887.9518072288</v>
      </c>
      <c r="J62" s="2">
        <v>1023854</v>
      </c>
      <c r="K62" s="2">
        <v>249720.48780487807</v>
      </c>
      <c r="L62" s="2">
        <v>4538643</v>
      </c>
      <c r="M62" s="2">
        <v>1488079.6721311477</v>
      </c>
      <c r="N62" s="2">
        <v>283853</v>
      </c>
      <c r="O62" s="2">
        <v>78848.055555555547</v>
      </c>
      <c r="P62" s="2">
        <v>581722</v>
      </c>
      <c r="Q62" s="2">
        <v>176279.39393939395</v>
      </c>
      <c r="R62" s="39">
        <v>34288230.628757745</v>
      </c>
    </row>
    <row r="63" spans="1:18" x14ac:dyDescent="0.3">
      <c r="A63" s="2" t="s">
        <v>114</v>
      </c>
      <c r="B63" s="2">
        <v>43628948</v>
      </c>
      <c r="C63" s="2">
        <v>12465413.714285715</v>
      </c>
      <c r="D63" s="2">
        <v>18773694</v>
      </c>
      <c r="E63" s="2">
        <v>5959902.8571428573</v>
      </c>
      <c r="F63" s="2">
        <v>1660686</v>
      </c>
      <c r="G63" s="2">
        <v>495727.16417910444</v>
      </c>
      <c r="H63" s="2">
        <v>20071112</v>
      </c>
      <c r="I63" s="2">
        <v>4836412.5301204817</v>
      </c>
      <c r="J63" s="2">
        <v>3699601</v>
      </c>
      <c r="K63" s="2">
        <v>902341.70731707325</v>
      </c>
      <c r="L63" s="2">
        <v>7462792</v>
      </c>
      <c r="M63" s="2">
        <v>2446817.0491803279</v>
      </c>
      <c r="N63" s="2">
        <v>744314</v>
      </c>
      <c r="O63" s="2">
        <v>206753.88888888891</v>
      </c>
      <c r="P63" s="2">
        <v>2782988</v>
      </c>
      <c r="Q63" s="2">
        <v>843329.69696969702</v>
      </c>
      <c r="R63" s="39">
        <v>28156698.608084142</v>
      </c>
    </row>
    <row r="64" spans="1:18" x14ac:dyDescent="0.3">
      <c r="A64" s="2" t="s">
        <v>115</v>
      </c>
      <c r="B64" s="2">
        <v>32910621</v>
      </c>
      <c r="C64" s="2">
        <v>9403034.5714285709</v>
      </c>
      <c r="D64" s="2">
        <v>17998265</v>
      </c>
      <c r="E64" s="2">
        <v>5713734.9206349207</v>
      </c>
      <c r="F64" s="2">
        <v>1653021</v>
      </c>
      <c r="G64" s="2">
        <v>493439.10447761189</v>
      </c>
      <c r="H64" s="2">
        <v>19135722</v>
      </c>
      <c r="I64" s="2">
        <v>4611017.3493975895</v>
      </c>
      <c r="J64" s="2">
        <v>4771097</v>
      </c>
      <c r="K64" s="2">
        <v>1163682.1951219514</v>
      </c>
      <c r="L64" s="2">
        <v>7209269</v>
      </c>
      <c r="M64" s="2">
        <v>2363694.7540983609</v>
      </c>
      <c r="N64" s="2">
        <v>716971</v>
      </c>
      <c r="O64" s="2">
        <v>199158.61111111109</v>
      </c>
      <c r="P64" s="2">
        <v>1656746</v>
      </c>
      <c r="Q64" s="2">
        <v>502044.24242424243</v>
      </c>
      <c r="R64" s="39">
        <v>24449805.74869436</v>
      </c>
    </row>
    <row r="65" spans="1:18" x14ac:dyDescent="0.3">
      <c r="A65" s="2" t="s">
        <v>156</v>
      </c>
      <c r="B65" s="2">
        <v>4843866</v>
      </c>
      <c r="C65" s="2">
        <v>1383961.7142857143</v>
      </c>
      <c r="D65" s="2">
        <v>10136009</v>
      </c>
      <c r="E65" s="2">
        <v>3217780.6349206353</v>
      </c>
      <c r="F65" s="2">
        <v>950564</v>
      </c>
      <c r="G65" s="2">
        <v>283750.44776119402</v>
      </c>
      <c r="H65" s="2">
        <v>22669769</v>
      </c>
      <c r="I65" s="2">
        <v>5462594.9397590365</v>
      </c>
      <c r="J65" s="2">
        <v>2695782</v>
      </c>
      <c r="K65" s="2">
        <v>657507.80487804895</v>
      </c>
      <c r="L65" s="2">
        <v>1911773</v>
      </c>
      <c r="M65" s="2">
        <v>626810.81967213121</v>
      </c>
      <c r="N65" s="2">
        <v>607092</v>
      </c>
      <c r="O65" s="2">
        <v>168636.66666666666</v>
      </c>
      <c r="P65" s="2">
        <v>3792687</v>
      </c>
      <c r="Q65" s="2">
        <v>1149299.0909090911</v>
      </c>
      <c r="R65" s="39">
        <v>12950342.118852518</v>
      </c>
    </row>
    <row r="66" spans="1:18" x14ac:dyDescent="0.3">
      <c r="A66" s="2" t="s">
        <v>232</v>
      </c>
      <c r="B66" s="2">
        <v>22434482</v>
      </c>
      <c r="C66" s="2">
        <v>6409852</v>
      </c>
      <c r="D66" s="2">
        <v>15687066</v>
      </c>
      <c r="E66" s="2">
        <v>4980020.9523809524</v>
      </c>
      <c r="F66" s="2">
        <v>1194824</v>
      </c>
      <c r="G66" s="2">
        <v>356663.88059701491</v>
      </c>
      <c r="H66" s="2">
        <v>12744632</v>
      </c>
      <c r="I66" s="2">
        <v>3070995.6626506024</v>
      </c>
      <c r="J66" s="2">
        <v>1416842</v>
      </c>
      <c r="K66" s="2">
        <v>345571.21951219515</v>
      </c>
      <c r="L66" s="2">
        <v>2146795</v>
      </c>
      <c r="M66" s="2">
        <v>703867.21311475406</v>
      </c>
      <c r="N66" s="2">
        <v>247594</v>
      </c>
      <c r="O66" s="2">
        <v>68776.111111111109</v>
      </c>
      <c r="P66" s="2">
        <v>1788587</v>
      </c>
      <c r="Q66" s="2">
        <v>541996.06060606067</v>
      </c>
      <c r="R66" s="39">
        <v>16477743.099972688</v>
      </c>
    </row>
    <row r="67" spans="1:18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spans="1:18" x14ac:dyDescent="0.3">
      <c r="A68" s="35" t="s">
        <v>343</v>
      </c>
      <c r="B68" s="2"/>
      <c r="C68" s="35">
        <f>SUM(C62:C66)/5</f>
        <v>11575663.257142857</v>
      </c>
      <c r="D68" s="35"/>
      <c r="E68" s="35">
        <f t="shared" ref="E68:Q68" si="3">SUM(E62:E66)/5</f>
        <v>4344659.4920634916</v>
      </c>
      <c r="F68" s="35"/>
      <c r="G68" s="35">
        <f t="shared" si="3"/>
        <v>430616.65671641787</v>
      </c>
      <c r="H68" s="35"/>
      <c r="I68" s="35">
        <f t="shared" si="3"/>
        <v>3936981.6867469875</v>
      </c>
      <c r="J68" s="35"/>
      <c r="K68" s="35">
        <f t="shared" si="3"/>
        <v>663764.68292682944</v>
      </c>
      <c r="L68" s="35"/>
      <c r="M68" s="35">
        <f t="shared" si="3"/>
        <v>1525853.9016393444</v>
      </c>
      <c r="N68" s="35"/>
      <c r="O68" s="35">
        <f t="shared" si="3"/>
        <v>144434.66666666666</v>
      </c>
      <c r="P68" s="35"/>
      <c r="Q68" s="35">
        <f t="shared" si="3"/>
        <v>642589.69696969702</v>
      </c>
      <c r="R68" s="35">
        <f>SUM(C68:Q68)</f>
        <v>23264564.040872294</v>
      </c>
    </row>
    <row r="71" spans="1:18" x14ac:dyDescent="0.3">
      <c r="A71" s="47" t="s">
        <v>347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</row>
    <row r="72" spans="1:18" ht="14.4" customHeight="1" x14ac:dyDescent="0.3">
      <c r="A72" s="2"/>
      <c r="B72" s="60" t="s">
        <v>2</v>
      </c>
      <c r="C72" s="60"/>
      <c r="D72" s="60" t="s">
        <v>3</v>
      </c>
      <c r="E72" s="60"/>
      <c r="F72" s="60" t="s">
        <v>4</v>
      </c>
      <c r="G72" s="60"/>
      <c r="H72" s="60" t="s">
        <v>5</v>
      </c>
      <c r="I72" s="60"/>
      <c r="J72" s="60" t="s">
        <v>6</v>
      </c>
      <c r="K72" s="60"/>
      <c r="L72" s="60" t="s">
        <v>7</v>
      </c>
      <c r="M72" s="60"/>
      <c r="N72" s="60" t="s">
        <v>8</v>
      </c>
      <c r="O72" s="60"/>
      <c r="P72" s="60" t="s">
        <v>9</v>
      </c>
      <c r="Q72" s="60"/>
      <c r="R72" s="37" t="s">
        <v>342</v>
      </c>
    </row>
    <row r="73" spans="1:18" ht="14.4" customHeight="1" x14ac:dyDescent="0.3">
      <c r="A73" s="2"/>
      <c r="B73" s="38" t="s">
        <v>12</v>
      </c>
      <c r="C73" s="38" t="s">
        <v>13</v>
      </c>
      <c r="D73" s="38" t="s">
        <v>12</v>
      </c>
      <c r="E73" s="38" t="s">
        <v>13</v>
      </c>
      <c r="F73" s="38" t="s">
        <v>12</v>
      </c>
      <c r="G73" s="38" t="s">
        <v>13</v>
      </c>
      <c r="H73" s="38" t="s">
        <v>12</v>
      </c>
      <c r="I73" s="38" t="s">
        <v>13</v>
      </c>
      <c r="J73" s="38" t="s">
        <v>12</v>
      </c>
      <c r="K73" s="38" t="s">
        <v>13</v>
      </c>
      <c r="L73" s="38" t="s">
        <v>12</v>
      </c>
      <c r="M73" s="38" t="s">
        <v>13</v>
      </c>
      <c r="N73" s="38" t="s">
        <v>12</v>
      </c>
      <c r="O73" s="38" t="s">
        <v>13</v>
      </c>
      <c r="P73" s="38" t="s">
        <v>12</v>
      </c>
      <c r="Q73" s="38" t="s">
        <v>13</v>
      </c>
      <c r="R73" s="38" t="s">
        <v>13</v>
      </c>
    </row>
    <row r="74" spans="1:18" ht="14.4" customHeight="1" x14ac:dyDescent="0.3">
      <c r="A74" s="2" t="s">
        <v>19</v>
      </c>
      <c r="B74" s="2">
        <v>99940</v>
      </c>
      <c r="C74" s="2">
        <f>B74*2000/7/1000</f>
        <v>28554.285714285714</v>
      </c>
      <c r="D74" s="2"/>
      <c r="E74" s="2"/>
      <c r="F74" s="2"/>
      <c r="G74" s="2"/>
      <c r="H74" s="2">
        <v>151989</v>
      </c>
      <c r="I74" s="2">
        <f t="shared" ref="I74:I75" si="4">H74*2000/8.3/1000</f>
        <v>36623.855421686749</v>
      </c>
      <c r="J74" s="2">
        <v>126784</v>
      </c>
      <c r="K74" s="2">
        <f t="shared" ref="K74:K75" si="5">J74*2000/8.2/1000</f>
        <v>30922.926829268294</v>
      </c>
      <c r="L74" s="2"/>
      <c r="M74" s="2"/>
      <c r="N74" s="2">
        <v>104368</v>
      </c>
      <c r="O74" s="2">
        <f>N74*2000/7.2/1000</f>
        <v>28991.111111111113</v>
      </c>
      <c r="P74" s="2"/>
      <c r="Q74" s="2"/>
      <c r="R74" s="39">
        <f t="shared" ref="R74:R83" si="6">C74+E74+G74+I74+K74+M74+O74+Q74</f>
        <v>125092.17907635187</v>
      </c>
    </row>
    <row r="75" spans="1:18" x14ac:dyDescent="0.3">
      <c r="A75" s="2" t="s">
        <v>26</v>
      </c>
      <c r="B75" s="2"/>
      <c r="C75" s="2"/>
      <c r="D75" s="2">
        <v>88</v>
      </c>
      <c r="E75" s="2">
        <f t="shared" ref="E75" si="7">D75*2000/6.3/1000</f>
        <v>27.936507936507937</v>
      </c>
      <c r="F75" s="2">
        <v>232196</v>
      </c>
      <c r="G75" s="2">
        <f>F75*2000/6.7/1000</f>
        <v>69312.238805970148</v>
      </c>
      <c r="H75" s="2">
        <v>64620</v>
      </c>
      <c r="I75" s="2">
        <f t="shared" si="4"/>
        <v>15571.084337349395</v>
      </c>
      <c r="J75" s="2">
        <v>52820</v>
      </c>
      <c r="K75" s="2">
        <f t="shared" si="5"/>
        <v>12882.926829268294</v>
      </c>
      <c r="L75" s="2">
        <v>14</v>
      </c>
      <c r="M75" s="2">
        <f t="shared" ref="M75" si="8">L75*2000/6.1/1000</f>
        <v>4.5901639344262293</v>
      </c>
      <c r="N75" s="2">
        <v>21</v>
      </c>
      <c r="O75" s="2">
        <f t="shared" ref="O75:O77" si="9">N75*2000/7.2/1000</f>
        <v>5.833333333333333</v>
      </c>
      <c r="P75" s="2">
        <v>3661</v>
      </c>
      <c r="Q75" s="2">
        <f t="shared" ref="Q75" si="10">P75*2000/6.6/1000</f>
        <v>1109.3939393939395</v>
      </c>
      <c r="R75" s="39">
        <f t="shared" si="6"/>
        <v>98914.003917186041</v>
      </c>
    </row>
    <row r="76" spans="1:18" x14ac:dyDescent="0.3">
      <c r="A76" s="2" t="s">
        <v>30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>
        <v>430352</v>
      </c>
      <c r="O76" s="2">
        <f t="shared" si="9"/>
        <v>119542.22222222222</v>
      </c>
      <c r="P76" s="2"/>
      <c r="Q76" s="2"/>
      <c r="R76" s="39">
        <f t="shared" si="6"/>
        <v>119542.22222222222</v>
      </c>
    </row>
    <row r="77" spans="1:18" x14ac:dyDescent="0.3">
      <c r="A77" s="2" t="s">
        <v>78</v>
      </c>
      <c r="B77" s="2"/>
      <c r="C77" s="2"/>
      <c r="D77" s="2"/>
      <c r="E77" s="2"/>
      <c r="F77" s="2"/>
      <c r="G77" s="2"/>
      <c r="H77" s="2">
        <v>218374</v>
      </c>
      <c r="I77" s="2">
        <f t="shared" ref="I77:I78" si="11">H77*2000/8.3/1000</f>
        <v>52620.240963855416</v>
      </c>
      <c r="J77" s="2">
        <v>30257</v>
      </c>
      <c r="K77" s="2">
        <f t="shared" ref="K77:K78" si="12">J77*2000/8.2/1000</f>
        <v>7379.7560975609767</v>
      </c>
      <c r="L77" s="2">
        <v>7626</v>
      </c>
      <c r="M77" s="2">
        <f t="shared" ref="M77" si="13">L77*2000/6.1/1000</f>
        <v>2500.3278688524592</v>
      </c>
      <c r="N77" s="2">
        <v>29730</v>
      </c>
      <c r="O77" s="2">
        <f t="shared" si="9"/>
        <v>8258.3333333333321</v>
      </c>
      <c r="P77" s="2">
        <v>152056</v>
      </c>
      <c r="Q77" s="2">
        <f t="shared" ref="Q77" si="14">P77*2000/6.6/1000</f>
        <v>46077.57575757576</v>
      </c>
      <c r="R77" s="39">
        <f t="shared" si="6"/>
        <v>116836.23402117794</v>
      </c>
    </row>
    <row r="78" spans="1:18" x14ac:dyDescent="0.3">
      <c r="A78" s="2" t="s">
        <v>80</v>
      </c>
      <c r="B78" s="2"/>
      <c r="C78" s="2"/>
      <c r="D78" s="2">
        <v>96114</v>
      </c>
      <c r="E78" s="2">
        <f t="shared" ref="E78" si="15">D78*2000/6.3/1000</f>
        <v>30512.38095238095</v>
      </c>
      <c r="F78" s="2"/>
      <c r="G78" s="2"/>
      <c r="H78" s="2">
        <v>155369</v>
      </c>
      <c r="I78" s="2">
        <f t="shared" si="11"/>
        <v>37438.313253012049</v>
      </c>
      <c r="J78" s="2">
        <v>70167</v>
      </c>
      <c r="K78" s="2">
        <f t="shared" si="12"/>
        <v>17113.902439024394</v>
      </c>
      <c r="L78" s="2"/>
      <c r="M78" s="2"/>
      <c r="N78" s="2"/>
      <c r="O78" s="2"/>
      <c r="P78" s="2"/>
      <c r="Q78" s="2"/>
      <c r="R78" s="39">
        <f t="shared" si="6"/>
        <v>85064.596644417383</v>
      </c>
    </row>
    <row r="79" spans="1:18" x14ac:dyDescent="0.3">
      <c r="A79" s="2" t="s">
        <v>120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>
        <v>299722</v>
      </c>
      <c r="Q79" s="2">
        <f t="shared" ref="Q79" si="16">P79*2000/6.6/1000</f>
        <v>90824.84848484848</v>
      </c>
      <c r="R79" s="39">
        <f t="shared" si="6"/>
        <v>90824.84848484848</v>
      </c>
    </row>
    <row r="80" spans="1:18" x14ac:dyDescent="0.3">
      <c r="A80" s="2" t="s">
        <v>141</v>
      </c>
      <c r="B80" s="2">
        <v>415625</v>
      </c>
      <c r="C80" s="2">
        <f t="shared" ref="C80" si="17">B80*2000/7/1000</f>
        <v>118750</v>
      </c>
      <c r="D80" s="2"/>
      <c r="E80" s="2"/>
      <c r="F80" s="2"/>
      <c r="G80" s="2"/>
      <c r="H80" s="2">
        <v>101</v>
      </c>
      <c r="I80" s="2">
        <f t="shared" ref="I80:I83" si="18">H80*2000/8.3/1000</f>
        <v>24.337349397590359</v>
      </c>
      <c r="J80" s="2">
        <v>3844</v>
      </c>
      <c r="K80" s="2">
        <f t="shared" ref="K80:K81" si="19">J80*2000/8.2/1000</f>
        <v>937.56097560975616</v>
      </c>
      <c r="L80" s="2"/>
      <c r="M80" s="2"/>
      <c r="N80" s="2"/>
      <c r="O80" s="2"/>
      <c r="P80" s="2"/>
      <c r="Q80" s="2"/>
      <c r="R80" s="39">
        <f t="shared" si="6"/>
        <v>119711.89832500735</v>
      </c>
    </row>
    <row r="81" spans="1:18" x14ac:dyDescent="0.3">
      <c r="A81" s="2" t="s">
        <v>174</v>
      </c>
      <c r="B81" s="2"/>
      <c r="C81" s="2"/>
      <c r="D81" s="2"/>
      <c r="E81" s="2"/>
      <c r="F81" s="2"/>
      <c r="G81" s="2"/>
      <c r="H81" s="2">
        <v>349864</v>
      </c>
      <c r="I81" s="2">
        <f t="shared" si="18"/>
        <v>84304.578313253005</v>
      </c>
      <c r="J81" s="2">
        <v>10934</v>
      </c>
      <c r="K81" s="2">
        <f t="shared" si="19"/>
        <v>2666.8292682926831</v>
      </c>
      <c r="L81" s="2"/>
      <c r="M81" s="2"/>
      <c r="N81" s="2"/>
      <c r="O81" s="2"/>
      <c r="P81" s="2"/>
      <c r="Q81" s="2"/>
      <c r="R81" s="39">
        <f t="shared" si="6"/>
        <v>86971.407581545689</v>
      </c>
    </row>
    <row r="82" spans="1:18" x14ac:dyDescent="0.3">
      <c r="A82" s="2" t="s">
        <v>206</v>
      </c>
      <c r="B82" s="2"/>
      <c r="C82" s="2"/>
      <c r="D82" s="2"/>
      <c r="E82" s="2"/>
      <c r="F82" s="2"/>
      <c r="G82" s="2"/>
      <c r="H82" s="2">
        <v>429048</v>
      </c>
      <c r="I82" s="2">
        <f t="shared" si="18"/>
        <v>103385.06024096385</v>
      </c>
      <c r="J82" s="2"/>
      <c r="K82" s="2"/>
      <c r="L82" s="2"/>
      <c r="M82" s="2"/>
      <c r="N82" s="2"/>
      <c r="O82" s="2"/>
      <c r="P82" s="2"/>
      <c r="Q82" s="2"/>
      <c r="R82" s="39">
        <f t="shared" si="6"/>
        <v>103385.06024096385</v>
      </c>
    </row>
    <row r="83" spans="1:18" x14ac:dyDescent="0.3">
      <c r="A83" s="2" t="s">
        <v>228</v>
      </c>
      <c r="B83" s="2"/>
      <c r="C83" s="2"/>
      <c r="D83" s="2">
        <v>132334</v>
      </c>
      <c r="E83" s="2">
        <f t="shared" ref="E83" si="20">D83*2000/6.3/1000</f>
        <v>42010.793650793647</v>
      </c>
      <c r="F83" s="2">
        <v>3969</v>
      </c>
      <c r="G83" s="2">
        <f t="shared" ref="G83" si="21">F83*2000/6.7/1000</f>
        <v>1184.7761194029852</v>
      </c>
      <c r="H83" s="2">
        <v>211982</v>
      </c>
      <c r="I83" s="2">
        <f t="shared" si="18"/>
        <v>51079.999999999993</v>
      </c>
      <c r="J83" s="2">
        <v>75720</v>
      </c>
      <c r="K83" s="2">
        <f t="shared" ref="K83" si="22">J83*2000/8.2/1000</f>
        <v>18468.292682926829</v>
      </c>
      <c r="L83" s="2"/>
      <c r="M83" s="2"/>
      <c r="N83" s="2"/>
      <c r="O83" s="2"/>
      <c r="P83" s="2"/>
      <c r="Q83" s="2"/>
      <c r="R83" s="39">
        <f t="shared" si="6"/>
        <v>112743.86245312345</v>
      </c>
    </row>
    <row r="84" spans="1:18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39"/>
    </row>
    <row r="85" spans="1:18" x14ac:dyDescent="0.3">
      <c r="A85" s="35" t="s">
        <v>343</v>
      </c>
      <c r="B85" s="35"/>
      <c r="C85" s="35">
        <f>SUM(C74:C83)/10</f>
        <v>14730.428571428571</v>
      </c>
      <c r="D85" s="35"/>
      <c r="E85" s="35">
        <f t="shared" ref="E85:Q85" si="23">SUM(E74:E83)/10</f>
        <v>7255.1111111111113</v>
      </c>
      <c r="F85" s="35"/>
      <c r="G85" s="35">
        <f t="shared" si="23"/>
        <v>7049.7014925373132</v>
      </c>
      <c r="H85" s="35"/>
      <c r="I85" s="35">
        <f t="shared" si="23"/>
        <v>38104.746987951803</v>
      </c>
      <c r="J85" s="35"/>
      <c r="K85" s="35">
        <f t="shared" si="23"/>
        <v>9037.2195121951227</v>
      </c>
      <c r="L85" s="35"/>
      <c r="M85" s="35">
        <f t="shared" si="23"/>
        <v>250.49180327868854</v>
      </c>
      <c r="N85" s="35"/>
      <c r="O85" s="35">
        <f t="shared" si="23"/>
        <v>15679.75</v>
      </c>
      <c r="P85" s="35"/>
      <c r="Q85" s="35">
        <f t="shared" si="23"/>
        <v>13801.181818181818</v>
      </c>
      <c r="R85" s="35">
        <f>SUM(C85:Q85)</f>
        <v>105908.63129668444</v>
      </c>
    </row>
  </sheetData>
  <mergeCells count="45">
    <mergeCell ref="A59:R59"/>
    <mergeCell ref="B60:C60"/>
    <mergeCell ref="D60:E60"/>
    <mergeCell ref="F60:G60"/>
    <mergeCell ref="H60:I60"/>
    <mergeCell ref="J60:K60"/>
    <mergeCell ref="L60:M60"/>
    <mergeCell ref="N60:O60"/>
    <mergeCell ref="P60:Q60"/>
    <mergeCell ref="N20:O20"/>
    <mergeCell ref="P20:Q20"/>
    <mergeCell ref="A41:R41"/>
    <mergeCell ref="B42:C42"/>
    <mergeCell ref="D42:E42"/>
    <mergeCell ref="F42:G42"/>
    <mergeCell ref="H42:I42"/>
    <mergeCell ref="J42:K42"/>
    <mergeCell ref="L42:M42"/>
    <mergeCell ref="N42:O42"/>
    <mergeCell ref="P42:Q42"/>
    <mergeCell ref="N2:O2"/>
    <mergeCell ref="P2:Q2"/>
    <mergeCell ref="A1:R1"/>
    <mergeCell ref="A19:R19"/>
    <mergeCell ref="B20:C20"/>
    <mergeCell ref="D20:E20"/>
    <mergeCell ref="F20:G20"/>
    <mergeCell ref="H20:I20"/>
    <mergeCell ref="J20:K20"/>
    <mergeCell ref="L20:M20"/>
    <mergeCell ref="B2:C2"/>
    <mergeCell ref="D2:E2"/>
    <mergeCell ref="F2:G2"/>
    <mergeCell ref="H2:I2"/>
    <mergeCell ref="J2:K2"/>
    <mergeCell ref="L2:M2"/>
    <mergeCell ref="A71:R71"/>
    <mergeCell ref="B72:C72"/>
    <mergeCell ref="D72:E72"/>
    <mergeCell ref="F72:G72"/>
    <mergeCell ref="H72:I72"/>
    <mergeCell ref="J72:K72"/>
    <mergeCell ref="L72:M72"/>
    <mergeCell ref="N72:O72"/>
    <mergeCell ref="P72:Q7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ACEB5CD14E544C890619B1F504DD44" ma:contentTypeVersion="12" ma:contentTypeDescription="Create a new document." ma:contentTypeScope="" ma:versionID="7885eb2a9d71f4f3de64996143593645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bd6563f2-84fd-49bb-ba49-e16e67e66c70" xmlns:ns6="88ca8544-bb20-4614-9b73-bf8401c81147" targetNamespace="http://schemas.microsoft.com/office/2006/metadata/properties" ma:root="true" ma:fieldsID="ec2196ef3727cc2b6ab09906bcc1f931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bd6563f2-84fd-49bb-ba49-e16e67e66c70"/>
    <xsd:import namespace="88ca8544-bb20-4614-9b73-bf8401c81147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ObjectDetectorVersions" minOccurs="0"/>
                <xsd:element ref="ns6:SharedWithUsers" minOccurs="0"/>
                <xsd:element ref="ns6:SharedWithDetails" minOccurs="0"/>
                <xsd:element ref="ns5:MediaServiceSearchProperties" minOccurs="0"/>
                <xsd:element ref="ns5:MediaServiceDateTaken" minOccurs="0"/>
                <xsd:element ref="ns5:MediaServiceGenerationTime" minOccurs="0"/>
                <xsd:element ref="ns5:MediaServiceEventHashCode" minOccurs="0"/>
                <xsd:element ref="ns5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2416a9ae-61a2-4525-842e-f75ab01c9399}" ma:internalName="TaxCatchAllLabel" ma:readOnly="true" ma:showField="CatchAllDataLabel" ma:web="88ca8544-bb20-4614-9b73-bf8401c811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2416a9ae-61a2-4525-842e-f75ab01c9399}" ma:internalName="TaxCatchAll" ma:showField="CatchAllData" ma:web="88ca8544-bb20-4614-9b73-bf8401c811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6563f2-84fd-49bb-ba49-e16e67e66c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3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3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a8544-bb20-4614-9b73-bf8401c81147" elementFormDefault="qualified">
    <xsd:import namespace="http://schemas.microsoft.com/office/2006/documentManagement/types"/>
    <xsd:import namespace="http://schemas.microsoft.com/office/infopath/2007/PartnerControls"/>
    <xsd:element name="SharedWithUsers" ma:index="3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2025-02-04T02:38:27+00:00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</documentManagement>
</p:properties>
</file>

<file path=customXml/itemProps1.xml><?xml version="1.0" encoding="utf-8"?>
<ds:datastoreItem xmlns:ds="http://schemas.openxmlformats.org/officeDocument/2006/customXml" ds:itemID="{2C003242-89EC-480A-A075-73A8EF2CC82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338C85-5300-4456-AA40-D0EFBF159464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E0CF4A7A-6D64-42C4-9D89-E9D5159560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bd6563f2-84fd-49bb-ba49-e16e67e66c70"/>
    <ds:schemaRef ds:uri="88ca8544-bb20-4614-9b73-bf8401c811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2BC141F-D828-46A7-8CD9-C91B1475C045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4ffa91fb-a0ff-4ac5-b2db-65c790d184a4"/>
    <ds:schemaRef ds:uri="http://schemas.microsoft.com/sharepoint.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Commodity Loading Analysis</vt:lpstr>
      <vt:lpstr>Total Loading</vt:lpstr>
      <vt:lpstr>Model Plant Analysis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Tyropolis, Allison</dc:creator>
  <cp:keywords/>
  <dc:description/>
  <cp:lastModifiedBy>Clemens, Fallon</cp:lastModifiedBy>
  <cp:revision/>
  <dcterms:created xsi:type="dcterms:W3CDTF">2024-12-30T18:22:55Z</dcterms:created>
  <dcterms:modified xsi:type="dcterms:W3CDTF">2026-01-13T20:55:18Z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0x01010089ACEB5CD14E544C890619B1F504DD44</vt:lpwstr>
  </property>
  <property fmtid="{D5CDD505-2E9C-101B-9397-08002B2CF9AE}" pid="3" name="TaxKeyword">
    <vt:lpwstr/>
  </property>
  <property fmtid="{D5CDD505-2E9C-101B-9397-08002B2CF9AE}" pid="4" name="e3f09c3df709400db2417a7161762d62">
    <vt:lpwstr/>
  </property>
  <property fmtid="{D5CDD505-2E9C-101B-9397-08002B2CF9AE}" pid="5" name="EPA_x0020_Subject">
    <vt:lpwstr/>
  </property>
  <property fmtid="{D5CDD505-2E9C-101B-9397-08002B2CF9AE}" pid="6" name="Document Type">
    <vt:lpwstr/>
  </property>
  <property fmtid="{D5CDD505-2E9C-101B-9397-08002B2CF9AE}" pid="7" name="EPA Subject">
    <vt:lpwstr/>
  </property>
</Properties>
</file>