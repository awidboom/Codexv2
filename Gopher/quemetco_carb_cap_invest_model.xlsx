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0218bb7dcb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ad5b54904284064"/>
    <x:sheet xmlns:r="http://schemas.openxmlformats.org/officeDocument/2006/relationships" name="Inputs" sheetId="2" r:id="R48942d19fdc549ff"/>
    <x:sheet xmlns:r="http://schemas.openxmlformats.org/officeDocument/2006/relationships" name="Model" sheetId="3" r:id="Ra1eb599a56f64317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5" authorId="0">
      <x:text>
        <x:r>
          <x:t>Default anchor is 55,777.2 mtCO2e for 2023 on the EPA GHGRP facility page for Ecobat/Quemetco. Replace with the actual CARB MRR row once extracted.
Sources:
https://ghgdata.epa.gov/ghgp/service/html/latest?et=undefined&amp;id=1002231
https://ww2.arb.ca.gov/mrr-data</x:t>
        </x:r>
      </x:text>
    </x:comment>
    <x:comment ref="B6" authorId="0">
      <x:text>
        <x:r>
          <x:t>Default anchor is ~120,000 tons annual production from Ecobat's public locations page. Replace with the facility's CARB-relevant short ton output if available.
Source:
https://ecobat.com/about-us/locations/</x:t>
        </x:r>
      </x:text>
    </x:comment>
    <x:comment ref="B9" authorId="0">
      <x:text>
        <x:r>
          <x:t>Program parameters from CARB 2026 Appendix A-1 for NAICS 331492 and industrial electricity allocation.
Source:
https://ww2.arb.ca.gov/sites/default/files/barcu/regact/2026/cap_invest/nc_app%20a-1.pdf</x:t>
        </x:r>
      </x:text>
    </x:comment>
    <x:comment ref="B10" authorId="0">
      <x:text>
        <x:r>
          <x:t>Program parameters from CARB 2026 Appendix A-1 for NAICS 331492 and industrial electricity allocation.
Source:
https://ww2.arb.ca.gov/sites/default/files/barcu/regact/2026/cap_invest/nc_app%20a-1.pdf</x:t>
        </x:r>
      </x:text>
    </x:comment>
    <x:comment ref="B11" authorId="0">
      <x:text>
        <x:r>
          <x:t>Program parameters from CARB 2026 Appendix A-1 for NAICS 331492 and industrial electricity allocation.
Source:
https://ww2.arb.ca.gov/sites/default/files/barcu/regact/2026/cap_invest/nc_app%20a-1.pdf</x:t>
        </x:r>
      </x:text>
    </x:comment>
    <x:comment ref="B12" authorId="0">
      <x:text>
        <x:r>
          <x:t>Program parameters from CARB 2026 Appendix A-1 for NAICS 331492 and industrial electricity allocation.
Source:
https://ww2.arb.ca.gov/sites/default/files/barcu/regact/2026/cap_invest/nc_app%20a-1.pdf</x:t>
        </x:r>
      </x:text>
    </x:comment>
    <x:comment ref="B13" authorId="0">
      <x:text>
        <x:r>
          <x:t>Program parameters from CARB 2026 Appendix A-1 for NAICS 331492 and industrial electricity allocation.
Source:
https://ww2.arb.ca.gov/sites/default/files/barcu/regact/2026/cap_invest/nc_app%20a-1.pdf</x:t>
        </x:r>
      </x:text>
    </x:comment>
    <x:comment ref="B14" authorId="0">
      <x:text>
        <x:r>
          <x:t>Offsets can cover 6% of the compliance obligation from 2026 onward; at least 50% of offsets must be DEBS.
Source:
https://ww2.arb.ca.gov/sites/default/files/2025-05/Cap-and-Trade%20Fact%20Sheet_May%202025_1.pdf</x:t>
        </x:r>
      </x:text>
    </x:comment>
    <x:comment ref="B15" authorId="0">
      <x:text>
        <x:r>
          <x:t>Offsets can cover 6% of the compliance obligation from 2026 onward; at least 50% of offsets must be DEBS.
Source:
https://ww2.arb.ca.gov/sites/default/files/2025-05/Cap-and-Trade%20Fact%20Sheet_May%202025_1.pdf</x:t>
        </x:r>
      </x:text>
    </x:comment>
    <x:comment ref="B18" authorId="0">
      <x:text>
        <x:r>
          <x:t>2026 annual reserve price notice; February 2026 joint auction settled at the reserve price.
Source:
https://ww2.arb.ca.gov/sites/default/files/2025-12/nc-2026_annual_reserve_price_notice_joint_auction.pdf</x:t>
        </x:r>
      </x:text>
    </x:comment>
    <x:comment ref="B20" authorId="0">
      <x:text>
        <x:r>
          <x:t>2026 APCR reserve sale tier prices.
Source:
https://ww2.arb.ca.gov/sites/default/files/2025-12/nc-2026_reserve_sale_apcr_notice.pdf</x:t>
        </x:r>
      </x:text>
    </x:comment>
    <x:comment ref="B21" authorId="0">
      <x:text>
        <x:r>
          <x:t>2026 APCR reserve sale tier prices.
Source:
https://ww2.arb.ca.gov/sites/default/files/2025-12/nc-2026_reserve_sale_apcr_notice.pdf</x:t>
        </x:r>
      </x:text>
    </x:comment>
    <x:comment ref="B26" authorId="0">
      <x:text>
        <x:r>
          <x:t>Standard CAF values from CARB 2026 Appendix A-1.
Source:
https://ww2.arb.ca.gov/sites/default/files/barcu/regact/2026/cap_invest/nc_app%20a-1.pdf</x:t>
        </x:r>
      </x:text>
    </x:comment>
    <x:comment ref="B27" authorId="0">
      <x:text>
        <x:r>
          <x:t>Enter any facility-specific manufacturing decarbonization incentive allocation by year if identified. Default is zero.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#,##0.0;[Red](#,##0.0);-"/>
    <x:numFmt numFmtId="165" formatCode="#,##0;[Red](#,##0);-"/>
    <x:numFmt numFmtId="166" formatCode="0.0%;[Red](0.0%);-"/>
    <x:numFmt numFmtId="167" formatCode="0.000;[Red](0.000);-"/>
    <x:numFmt numFmtId="168" formatCode="$#,##0.00;[Red]($#,##0.00);-"/>
    <x:numFmt numFmtId="169" formatCode="$#,##0;[Red]($#,##0);-"/>
  </x:numFmts>
  <x:fonts count="9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</x:font>
    <x:font>
      <x:b/>
      <x:color rgb="00FFFFFF"/>
    </x:font>
    <x:font>
      <x:u val="single"/>
      <x:color rgb="00008000"/>
    </x:font>
    <x:font>
      <x:color rgb="00000000"/>
    </x:font>
    <x:font>
      <x:color rgb="000000FF"/>
    </x:font>
    <x:font>
      <x:i/>
      <x:color rgb="00666666"/>
    </x:font>
    <x:font>
      <x:b/>
      <x:color rgb="00000000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FF2CC"/>
      </x:patternFill>
    </x:fill>
    <x:fill>
      <x:patternFill patternType="solid">
        <x:fgColor rgb="00F3F3F3"/>
      </x:patternFill>
    </x:fill>
    <x:fill>
      <x:patternFill patternType="solid">
        <x:fgColor rgb="00D9EAF7"/>
      </x:patternFill>
    </x:fill>
  </x:fills>
  <x:borders count="2">
    <x:border>
      <x:left/>
      <x:right/>
      <x:top/>
      <x:bottom/>
      <x:diagonal/>
    </x:border>
    <x:border>
      <x:top style="medium">
        <x:color rgb="001F4E78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/>
    <x:xf numFmtId="0" fontId="0" fillId="0" borderId="0" xfId="0" applyAlignment="1">
      <x:alignment wrapText="1"/>
    </x:xf>
    <x:xf numFmtId="0" fontId="3" fillId="2" borderId="0" xfId="0" applyAlignment="1">
      <x:alignment horizontal="left"/>
    </x:xf>
    <x:xf numFmtId="0" fontId="3" fillId="2" borderId="0" xfId="0"/>
    <x:xf numFmtId="0" fontId="4" fillId="0" borderId="0" xfId="0"/>
    <x:xf numFmtId="0" fontId="5" fillId="0" borderId="0" xfId="0" applyAlignment="1">
      <x:alignment horizontal="left"/>
    </x:xf>
    <x:xf numFmtId="0" fontId="6" fillId="3" borderId="0" xfId="0" applyAlignment="1">
      <x:alignment horizontal="left"/>
    </x:xf>
    <x:xf numFmtId="164" fontId="6" fillId="3" borderId="0" xfId="0" applyAlignment="1">
      <x:alignment horizontal="right"/>
    </x:xf>
    <x:xf numFmtId="165" fontId="6" fillId="3" borderId="0" xfId="0" applyAlignment="1">
      <x:alignment horizontal="right"/>
    </x:xf>
    <x:xf numFmtId="166" fontId="6" fillId="3" borderId="0" xfId="0" applyAlignment="1">
      <x:alignment horizontal="right"/>
    </x:xf>
    <x:xf numFmtId="167" fontId="6" fillId="3" borderId="0" xfId="0" applyAlignment="1">
      <x:alignment horizontal="right"/>
    </x:xf>
    <x:xf numFmtId="1" fontId="6" fillId="3" borderId="0" xfId="0" applyAlignment="1">
      <x:alignment horizontal="right"/>
    </x:xf>
    <x:xf numFmtId="168" fontId="6" fillId="3" borderId="0" xfId="0" applyAlignment="1">
      <x:alignment horizontal="right"/>
    </x:xf>
    <x:xf numFmtId="0" fontId="3" fillId="2" borderId="0" xfId="0" applyAlignment="1">
      <x:alignment horizontal="center"/>
    </x:xf>
    <x:xf numFmtId="0" fontId="7" fillId="4" borderId="0" xfId="0" applyAlignment="1">
      <x:alignment vertical="top" wrapText="1"/>
    </x:xf>
    <x:xf numFmtId="165" fontId="7" fillId="0" borderId="0" xfId="0" applyAlignment="1">
      <x:alignment horizontal="center"/>
    </x:xf>
    <x:xf numFmtId="164" fontId="5" fillId="0" borderId="0" xfId="0" applyAlignment="1">
      <x:alignment horizontal="right"/>
    </x:xf>
    <x:xf numFmtId="165" fontId="5" fillId="0" borderId="0" xfId="0" applyAlignment="1">
      <x:alignment horizontal="right"/>
    </x:xf>
    <x:xf numFmtId="167" fontId="5" fillId="0" borderId="0" xfId="0" applyAlignment="1">
      <x:alignment horizontal="right"/>
    </x:xf>
    <x:xf numFmtId="0" fontId="8" fillId="0" borderId="1" xfId="0" applyAlignment="1">
      <x:alignment horizontal="left"/>
    </x:xf>
    <x:xf numFmtId="165" fontId="8" fillId="5" borderId="1" xfId="0" applyAlignment="1">
      <x:alignment horizontal="right"/>
    </x:xf>
    <x:xf numFmtId="166" fontId="5" fillId="0" borderId="0" xfId="0" applyAlignment="1">
      <x:alignment horizontal="right"/>
    </x:xf>
    <x:xf numFmtId="169" fontId="8" fillId="5" borderId="1" xfId="0" applyAlignment="1">
      <x:alignment horizontal="right"/>
    </x:xf>
    <x:xf numFmtId="169" fontId="5" fillId="0" borderId="0" xfId="0" applyAlignment="1">
      <x:alignment horizontal="right"/>
    </x:xf>
    <x:xf numFmtId="166" fontId="8" fillId="5" borderId="1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a23f4d0fd4899" /><Relationship Type="http://schemas.openxmlformats.org/officeDocument/2006/relationships/theme" Target="/xl/theme/theme1.xml" Id="Reef1c3b6b4b04831" /><Relationship Type="http://schemas.openxmlformats.org/officeDocument/2006/relationships/sharedStrings" Target="/xl/sharedStrings.xml" Id="R71bda2cb0b2044ff" /><Relationship Type="http://schemas.openxmlformats.org/officeDocument/2006/relationships/worksheet" Target="/xl/worksheets/sheet1.xml" Id="R7ad5b54904284064" /><Relationship Type="http://schemas.openxmlformats.org/officeDocument/2006/relationships/worksheet" Target="/xl/worksheets/sheet2.xml" Id="R48942d19fdc549ff" /><Relationship Type="http://schemas.openxmlformats.org/officeDocument/2006/relationships/worksheet" Target="/xl/worksheets/sheet3.xml" Id="Ra1eb599a56f64317" /><Relationship Type="http://schemas.microsoft.com/office/2017/10/relationships/person" Target="/xl/persons/person.xml" Id="Ra57c356c44d74a3b" /></Relationships>
</file>

<file path=xl/persons/person.xml><?xml version="1.0" encoding="utf-8"?>
<xltc:personList xmlns:xltc="http://schemas.microsoft.com/office/spreadsheetml/2018/threadedcomments">
  <xltc:person displayName="OpenAI" id="{0894574E-0A37-99CA-9D8F-D3356BBBF227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e55790c23294dee" /><Relationship Type="http://schemas.openxmlformats.org/officeDocument/2006/relationships/vmlDrawing" Target="/xl/drawings/vmldrawing.vml" Id="Ra30eb13998fc4a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6" customWidth="1"/>
    <x:col min="2" max="2" width="10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</x:cols>
  <x:sheetData>
    <x:row r="1" ht="22" customHeight="1">
      <x:c r="A1" s="1" t="inlineStr">
        <x:is>
          <x:t xml:space="preserve">Quemetco / Ecobat - CARB Cap-and-Invest rough impact model</x:t>
        </x:is>
      </x:c>
    </x:row>
    <x:row r="3">
      <x:c r="A3" s="2" t="inlineStr">
        <x:is>
          <x:t xml:space="preserve">Purpose</x:t>
        </x:is>
      </x:c>
      <x:c r="B3" s="3" t="inlineStr">
        <x:is>
          <x:t xml:space="preserve">Working model to compare rough gross and net compliance obligations today (2026-style) versus the proposed 2027-2031 CARB framework.</x:t>
        </x:is>
      </x:c>
    </x:row>
    <x:row r="5">
      <x:c r="A5" s="2" t="inlineStr">
        <x:is>
          <x:t xml:space="preserve">How to use</x:t>
        </x:is>
      </x:c>
    </x:row>
    <x:row r="6">
      <x:c r="A6" s="3" t="inlineStr">
        <x:is>
          <x:t xml:space="preserve">1) On Inputs, replace yellow cells with facility-specific values when you have them.</x:t>
        </x:is>
      </x:c>
    </x:row>
    <x:row r="7">
      <x:c r="A7" s="3" t="inlineStr">
        <x:is>
          <x:t xml:space="preserve">2) The model currently uses a 55,777.2 mtCO2e emissions anchor and a 120,000 short ton output anchor.</x:t>
        </x:is>
      </x:c>
    </x:row>
    <x:row r="8">
      <x:c r="A8" s="3" t="inlineStr">
        <x:is>
          <x:t xml:space="preserve">3) The Model sheet calculates gross obligation, free allocation, net obligation, offset cap, and cost under four price cases.</x:t>
        </x:is>
      </x:c>
    </x:row>
    <x:row r="9">
      <x:c r="A9" s="3" t="inlineStr">
        <x:is>
          <x:t xml:space="preserve">4) 2026 is treated as a rough 'current-style' year with direct allocation only; 2027+ applies the proposed electricity allocation.</x:t>
        </x:is>
      </x:c>
    </x:row>
    <x:row r="10">
      <x:c r="A10" s="3" t="inlineStr">
        <x:is>
          <x:t xml:space="preserve">5) If you identify manufacturing decarbonization incentive allocation, enter it manually by year on Inputs row 27.</x:t>
        </x:is>
      </x:c>
    </x:row>
    <x:row r="13" ht="20" customHeight="1">
      <x:c r="A13" s="4" t="inlineStr">
        <x:is>
          <x:t xml:space="preserve">Key caveats</x:t>
        </x:is>
      </x:c>
    </x:row>
    <x:row r="14">
      <x:c r="A14" s="3" t="inlineStr">
        <x:is>
          <x:t xml:space="preserve">This is a screening model, not a compliance forecast. Update it with the actual CARB MRR facility row, CARB allocation summaries, and the facility's true short-ton output.</x:t>
        </x:is>
      </x:c>
    </x:row>
    <x:row r="15">
      <x:c r="A15" s="3" t="inlineStr">
        <x:is>
          <x:t xml:space="preserve">APCR tier prices are allowance reserve sale trigger prices, not offset prices. They are included here as high-end marginal compliance price scenarios.</x:t>
        </x:is>
      </x:c>
    </x:row>
    <x:row r="16">
      <x:c r="A16" s="3" t="inlineStr">
        <x:is>
          <x:t xml:space="preserve">Offsets are capped (6% from 2026 onward), so allowances remain the dominant compliance instrument for most of the obligation.</x:t>
        </x:is>
      </x:c>
    </x:row>
    <x:row r="17">
      <x:c r="A17" s="3" t="inlineStr">
        <x:is>
          <x:t xml:space="preserve">Manufacturing decarbonization incentive allocation is not modeled mechanically because eligibility and value depend on project applications and auction outcomes.</x:t>
        </x:is>
      </x:c>
    </x:row>
    <x:row r="20" ht="20" customHeight="1">
      <x:c r="A20" s="4" t="inlineStr">
        <x:is>
          <x:t xml:space="preserve">Source URLs used in the workbook</x:t>
        </x:is>
      </x:c>
    </x:row>
    <x:row r="21">
      <x:c r="A21" s="5" t="inlineStr">
        <x:is>
          <x:t xml:space="preserve">Item</x:t>
        </x:is>
      </x:c>
      <x:c r="B21" s="5" t="inlineStr">
        <x:is>
          <x:t xml:space="preserve">URL</x:t>
        </x:is>
      </x:c>
    </x:row>
    <x:row r="22">
      <x:c r="A22" t="inlineStr">
        <x:is>
          <x:t xml:space="preserve">CARB MRR data landing page</x:t>
        </x:is>
      </x:c>
      <x:c r="B22" s="6" t="inlineStr">
        <x:is>
          <x:t xml:space="preserve">https://ww2.arb.ca.gov/mrr-data</x:t>
        </x:is>
      </x:c>
    </x:row>
    <x:row r="23">
      <x:c r="A23" t="inlineStr">
        <x:is>
          <x:t xml:space="preserve">CARB industrial allocation overview</x:t>
        </x:is>
      </x:c>
      <x:c r="B23" s="6" t="inlineStr">
        <x:is>
          <x:t xml:space="preserve">https://ww2.arb.ca.gov/our-work/programs/cap-and-trade-program/allowance-allocation/allowance-allocation-industrial</x:t>
        </x:is>
      </x:c>
    </x:row>
    <x:row r="24">
      <x:c r="A24" t="inlineStr">
        <x:is>
          <x:t xml:space="preserve">CARB 2026 proposed Appendix A-1</x:t>
        </x:is>
      </x:c>
      <x:c r="B24" s="6" t="inlineStr">
        <x:is>
          <x:t xml:space="preserve">https://ww2.arb.ca.gov/sites/default/files/barcu/regact/2026/cap_invest/nc_app%20a-1.pdf</x:t>
        </x:is>
      </x:c>
    </x:row>
    <x:row r="25">
      <x:c r="A25" t="inlineStr">
        <x:is>
          <x:t xml:space="preserve">CARB 2026 annual reserve price notice</x:t>
        </x:is>
      </x:c>
      <x:c r="B25" s="6" t="inlineStr">
        <x:is>
          <x:t xml:space="preserve">https://ww2.arb.ca.gov/sites/default/files/2025-12/nc-2026_annual_reserve_price_notice_joint_auction.pdf</x:t>
        </x:is>
      </x:c>
    </x:row>
    <x:row r="26">
      <x:c r="A26" t="inlineStr">
        <x:is>
          <x:t xml:space="preserve">CARB 2026 reserve sale / APCR notice</x:t>
        </x:is>
      </x:c>
      <x:c r="B26" s="6" t="inlineStr">
        <x:is>
          <x:t xml:space="preserve">https://ww2.arb.ca.gov/sites/default/files/2025-12/nc-2026_reserve_sale_apcr_notice.pdf</x:t>
        </x:is>
      </x:c>
    </x:row>
    <x:row r="27">
      <x:c r="A27" t="inlineStr">
        <x:is>
          <x:t xml:space="preserve">CARB May 2025 fact sheet (offset limits)</x:t>
        </x:is>
      </x:c>
      <x:c r="B27" s="6" t="inlineStr">
        <x:is>
          <x:t xml:space="preserve">https://ww2.arb.ca.gov/sites/default/files/2025-05/Cap-and-Trade%20Fact%20Sheet_May%202025_1.pdf</x:t>
        </x:is>
      </x:c>
    </x:row>
    <x:row r="28">
      <x:c r="A28" t="inlineStr">
        <x:is>
          <x:t xml:space="preserve">Ecobat locations page (120,000 ton anchor)</x:t>
        </x:is>
      </x:c>
      <x:c r="B28" s="6" t="inlineStr">
        <x:is>
          <x:t xml:space="preserve">https://ecobat.com/about-us/locations/</x:t>
        </x:is>
      </x:c>
    </x:row>
    <x:row r="29">
      <x:c r="A29" t="inlineStr">
        <x:is>
          <x:t xml:space="preserve">EPA GHGRP facility page (55,777.2 mtCO2e anchor)</x:t>
        </x:is>
      </x:c>
      <x:c r="B29" s="6" t="inlineStr">
        <x:is>
          <x:t xml:space="preserve">https://ghgdata.epa.gov/ghgp/service/html/latest?et=undefined&amp;id=1002231</x:t>
        </x:is>
      </x:c>
    </x:row>
  </x:sheetData>
  <x:mergeCells>
    <x:mergeCell ref="A20:H20"/>
    <x:mergeCell ref="A13:H13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2" customWidth="1"/>
  </x:cols>
  <x:sheetData>
    <x:row r="1" ht="22" customHeight="1">
      <x:c r="A1" s="1" t="inlineStr">
        <x:is>
          <x:t xml:space="preserve">Inputs and scenario controls</x:t>
        </x:is>
      </x:c>
    </x:row>
    <x:row r="3" ht="20" customHeight="1">
      <x:c r="A3" s="4" t="inlineStr">
        <x:is>
          <x:t xml:space="preserve">Facility anchors and user-editable assumptions</x:t>
        </x:is>
      </x:c>
    </x:row>
    <x:row r="4">
      <x:c r="A4" s="7" t="inlineStr">
        <x:is>
          <x:t xml:space="preserve">Facility</x:t>
        </x:is>
      </x:c>
      <x:c r="B4" s="8" t="inlineStr">
        <x:is>
          <x:t xml:space="preserve">Ecobat Resources California / Quemetco</x:t>
        </x:is>
      </x:c>
    </x:row>
    <x:row r="5">
      <x:c r="A5" s="7" t="inlineStr">
        <x:is>
          <x:t xml:space="preserve">Emissions anchor (mtCO2e)</x:t>
        </x:is>
      </x:c>
      <x:c r="B5" s="9" t="n">
        <x:v>55777.2</x:v>
      </x:c>
    </x:row>
    <x:row r="6">
      <x:c r="A6" s="7" t="inlineStr">
        <x:is>
          <x:t xml:space="preserve">Output anchor (short tons of lead/alloys)</x:t>
        </x:is>
      </x:c>
      <x:c r="B6" s="10" t="n">
        <x:v>120000</x:v>
      </x:c>
    </x:row>
    <x:row r="7">
      <x:c r="A7" s="7" t="inlineStr">
        <x:is>
          <x:t xml:space="preserve">Annual emissions growth</x:t>
        </x:is>
      </x:c>
      <x:c r="B7" s="11" t="n">
        <x:v>0</x:v>
      </x:c>
    </x:row>
    <x:row r="8">
      <x:c r="A8" s="7" t="inlineStr">
        <x:is>
          <x:t xml:space="preserve">Annual output growth</x:t>
        </x:is>
      </x:c>
      <x:c r="B8" s="11" t="n">
        <x:v>0</x:v>
      </x:c>
    </x:row>
    <x:row r="9">
      <x:c r="A9" s="7" t="inlineStr">
        <x:is>
          <x:t xml:space="preserve">Direct benchmark (allowances / short ton)</x:t>
        </x:is>
      </x:c>
      <x:c r="B9" s="12" t="n">
        <x:v>0.511</x:v>
      </x:c>
    </x:row>
    <x:row r="10">
      <x:c r="A10" s="7" t="inlineStr">
        <x:is>
          <x:t xml:space="preserve">Electricity benchmark (MWh / short ton)</x:t>
        </x:is>
      </x:c>
      <x:c r="B10" s="12" t="n">
        <x:v>0.359</x:v>
      </x:c>
    </x:row>
    <x:row r="11">
      <x:c r="A11" s="7" t="inlineStr">
        <x:is>
          <x:t xml:space="preserve">Grid factor (mtCO2e / MWh)</x:t>
        </x:is>
      </x:c>
      <x:c r="B11" s="12" t="n">
        <x:v>0.212</x:v>
      </x:c>
    </x:row>
    <x:row r="12">
      <x:c r="A12" s="7" t="inlineStr">
        <x:is>
          <x:t xml:space="preserve">Assistance factor</x:t>
        </x:is>
      </x:c>
      <x:c r="B12" s="11" t="n">
        <x:v>1</x:v>
      </x:c>
    </x:row>
    <x:row r="13">
      <x:c r="A13" s="7" t="inlineStr">
        <x:is>
          <x:t xml:space="preserve">Electricity allocation start year</x:t>
        </x:is>
      </x:c>
      <x:c r="B13" s="13" t="n">
        <x:v>2027</x:v>
      </x:c>
    </x:row>
    <x:row r="14">
      <x:c r="A14" s="7" t="inlineStr">
        <x:is>
          <x:t xml:space="preserve">Offset usage limit (% of compliance obligation)</x:t>
        </x:is>
      </x:c>
      <x:c r="B14" s="11" t="n">
        <x:v>0.06</x:v>
      </x:c>
    </x:row>
    <x:row r="15">
      <x:c r="A15" s="7" t="inlineStr">
        <x:is>
          <x:t xml:space="preserve">DEBS share of offsets minimum</x:t>
        </x:is>
      </x:c>
      <x:c r="B15" s="11" t="n">
        <x:v>0.5</x:v>
      </x:c>
    </x:row>
    <x:row r="17" ht="20" customHeight="1">
      <x:c r="A17" s="4" t="inlineStr">
        <x:is>
          <x:t xml:space="preserve">Allowance price scenarios ($ / allowance)</x:t>
        </x:is>
      </x:c>
    </x:row>
    <x:row r="18">
      <x:c r="A18" s="7" t="inlineStr">
        <x:is>
          <x:t xml:space="preserve">2026 auction reserve / Feb 2026 settlement</x:t>
        </x:is>
      </x:c>
      <x:c r="B18" s="14" t="n">
        <x:v>27.94</x:v>
      </x:c>
    </x:row>
    <x:row r="19">
      <x:c r="A19" s="7" t="inlineStr">
        <x:is>
          <x:t xml:space="preserve">Mid-case scenario</x:t>
        </x:is>
      </x:c>
      <x:c r="B19" s="14" t="n">
        <x:v>40</x:v>
      </x:c>
    </x:row>
    <x:row r="20">
      <x:c r="A20" s="7" t="inlineStr">
        <x:is>
          <x:t xml:space="preserve">2026 APCR Tier 1</x:t>
        </x:is>
      </x:c>
      <x:c r="B20" s="14" t="n">
        <x:v>65.31</x:v>
      </x:c>
    </x:row>
    <x:row r="21">
      <x:c r="A21" s="7" t="inlineStr">
        <x:is>
          <x:t xml:space="preserve">2026 APCR Tier 2</x:t>
        </x:is>
      </x:c>
      <x:c r="B21" s="14" t="n">
        <x:v>83.92</x:v>
      </x:c>
    </x:row>
    <x:row r="24" ht="20" customHeight="1">
      <x:c r="A24" s="4" t="inlineStr">
        <x:is>
          <x:t xml:space="preserve">Year-specific policy assumptions</x:t>
        </x:is>
      </x:c>
    </x:row>
    <x:row r="25">
      <x:c r="B25" s="15" t="n">
        <x:v>2026</x:v>
      </x:c>
      <x:c r="C25" s="15" t="n">
        <x:v>2027</x:v>
      </x:c>
      <x:c r="D25" s="15" t="n">
        <x:v>2028</x:v>
      </x:c>
      <x:c r="E25" s="15" t="n">
        <x:v>2029</x:v>
      </x:c>
      <x:c r="F25" s="15" t="n">
        <x:v>2030</x:v>
      </x:c>
      <x:c r="G25" s="15" t="n">
        <x:v>2031</x:v>
      </x:c>
    </x:row>
    <x:row r="26">
      <x:c r="A26" s="7" t="inlineStr">
        <x:is>
          <x:t xml:space="preserve">Standard CAF</x:t>
        </x:is>
      </x:c>
      <x:c r="B26" s="12" t="n">
        <x:v>0.647</x:v>
      </x:c>
      <x:c r="C26" s="12" t="n">
        <x:v>0.613</x:v>
      </x:c>
      <x:c r="D26" s="12" t="n">
        <x:v>0.579</x:v>
      </x:c>
      <x:c r="E26" s="12" t="n">
        <x:v>0.545</x:v>
      </x:c>
      <x:c r="F26" s="12" t="n">
        <x:v>0.511</x:v>
      </x:c>
      <x:c r="G26" s="12" t="n">
        <x:v>0.494</x:v>
      </x:c>
    </x:row>
    <x:row r="27">
      <x:c r="A27" s="7" t="inlineStr">
        <x:is>
          <x:t xml:space="preserve">Manual decarb incentive allocation (allowances)</x:t>
        </x:is>
      </x:c>
      <x:c r="B27" s="10" t="n">
        <x:v>0</x:v>
      </x:c>
      <x:c r="C27" s="10" t="n">
        <x:v>0</x:v>
      </x:c>
      <x:c r="D27" s="10" t="n">
        <x:v>0</x:v>
      </x:c>
      <x:c r="E27" s="10" t="n">
        <x:v>0</x:v>
      </x:c>
      <x:c r="F27" s="10" t="n">
        <x:v>0</x:v>
      </x:c>
      <x:c r="G27" s="10" t="n">
        <x:v>0</x:v>
      </x:c>
    </x:row>
    <x:row r="29">
      <x:c r="A29" s="16" t="inlineStr">
        <x:is>
          <x:t xml:space="preserve">Blue/yellow cells are intended to be changed. Formulas live on the Model sheet.</x:t>
        </x:is>
      </x:c>
    </x:row>
    <x:row r="30"/>
  </x:sheetData>
  <x:mergeCells>
    <x:mergeCell ref="A3:H3"/>
    <x:mergeCell ref="A29:H30"/>
    <x:mergeCell ref="A24:H24"/>
    <x:mergeCell ref="A1:H1"/>
    <x:mergeCell ref="A17:H17"/>
  </x:mergeCells>
  <x:pageMargins left="0.7" right="0.7" top="0.75" bottom="0.75" header="0.3" footer="0.3"/>
  <x:legacyDrawing xmlns:r="http://schemas.openxmlformats.org/officeDocument/2006/relationships" r:id="Ra30eb13998fc4ad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2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  <x:col min="7" max="7" width="15" customWidth="1"/>
    <x:col min="8" max="8" width="12" customWidth="1"/>
  </x:cols>
  <x:sheetData>
    <x:row r="1" ht="22" customHeight="1">
      <x:c r="A1" s="1" t="inlineStr">
        <x:is>
          <x:t xml:space="preserve">Rough compliance obligation model</x:t>
        </x:is>
      </x:c>
    </x:row>
    <x:row r="3" ht="20" customHeight="1">
      <x:c r="A3" s="4" t="inlineStr">
        <x:is>
          <x:t xml:space="preserve">2026 current-style baseline vs proposed 2027-2031 path</x:t>
        </x:is>
      </x:c>
    </x:row>
    <x:row r="4">
      <x:c r="A4" s="5" t="inlineStr">
        <x:is>
          <x:t xml:space="preserve">Metric</x:t>
        </x:is>
      </x:c>
      <x:c r="B4" s="15">
        <x:f>Inputs!B25</x:f>
        <x:v>2026</x:v>
      </x:c>
      <x:c r="C4" s="15">
        <x:f>Inputs!C25</x:f>
        <x:v>2027</x:v>
      </x:c>
      <x:c r="D4" s="15">
        <x:f>Inputs!D25</x:f>
        <x:v>2028</x:v>
      </x:c>
      <x:c r="E4" s="15">
        <x:f>Inputs!E25</x:f>
        <x:v>2029</x:v>
      </x:c>
      <x:c r="F4" s="15">
        <x:f>Inputs!F25</x:f>
        <x:v>2030</x:v>
      </x:c>
      <x:c r="G4" s="15">
        <x:f>Inputs!G25</x:f>
        <x:v>2031</x:v>
      </x:c>
    </x:row>
    <x:row r="5">
      <x:c r="A5" s="7" t="inlineStr">
        <x:is>
          <x:t xml:space="preserve">Regime</x:t>
        </x:is>
      </x:c>
      <x:c r="B5" s="17" t="str">
        <x:f>IF(B$4=2026,"Current-style","Proposed")</x:f>
        <x:v>Current-style</x:v>
      </x:c>
      <x:c r="C5" s="17" t="str">
        <x:f>IF(C$4=2026,"Current-style","Proposed")</x:f>
        <x:v>Proposed</x:v>
      </x:c>
      <x:c r="D5" s="17" t="str">
        <x:f>IF(D$4=2026,"Current-style","Proposed")</x:f>
        <x:v>Proposed</x:v>
      </x:c>
      <x:c r="E5" s="17" t="str">
        <x:f>IF(E$4=2026,"Current-style","Proposed")</x:f>
        <x:v>Proposed</x:v>
      </x:c>
      <x:c r="F5" s="17" t="str">
        <x:f>IF(F$4=2026,"Current-style","Proposed")</x:f>
        <x:v>Proposed</x:v>
      </x:c>
      <x:c r="G5" s="17" t="str">
        <x:f>IF(G$4=2026,"Current-style","Proposed")</x:f>
        <x:v>Proposed</x:v>
      </x:c>
    </x:row>
    <x:row r="6">
      <x:c r="A6" s="7" t="inlineStr">
        <x:is>
          <x:t xml:space="preserve">Modeled emissions (mtCO2e)</x:t>
        </x:is>
      </x:c>
      <x:c r="B6" s="18">
        <x:f>Inputs!$B$5*(1+Inputs!$B$7)^(B$4-2026)</x:f>
        <x:v>55777.2</x:v>
      </x:c>
      <x:c r="C6" s="18">
        <x:f>Inputs!$B$5*(1+Inputs!$B$7)^(C$4-2026)</x:f>
        <x:v>55777.2</x:v>
      </x:c>
      <x:c r="D6" s="18">
        <x:f>Inputs!$B$5*(1+Inputs!$B$7)^(D$4-2026)</x:f>
        <x:v>55777.2</x:v>
      </x:c>
      <x:c r="E6" s="18">
        <x:f>Inputs!$B$5*(1+Inputs!$B$7)^(E$4-2026)</x:f>
        <x:v>55777.2</x:v>
      </x:c>
      <x:c r="F6" s="18">
        <x:f>Inputs!$B$5*(1+Inputs!$B$7)^(F$4-2026)</x:f>
        <x:v>55777.2</x:v>
      </x:c>
      <x:c r="G6" s="18">
        <x:f>Inputs!$B$5*(1+Inputs!$B$7)^(G$4-2026)</x:f>
        <x:v>55777.2</x:v>
      </x:c>
    </x:row>
    <x:row r="7">
      <x:c r="A7" s="7" t="inlineStr">
        <x:is>
          <x:t xml:space="preserve">Modeled output (short tons)</x:t>
        </x:is>
      </x:c>
      <x:c r="B7" s="19">
        <x:f>Inputs!$B$6*(1+Inputs!$B$8)^(B$4-2026)</x:f>
        <x:v>120000</x:v>
      </x:c>
      <x:c r="C7" s="19">
        <x:f>Inputs!$B$6*(1+Inputs!$B$8)^(C$4-2026)</x:f>
        <x:v>120000</x:v>
      </x:c>
      <x:c r="D7" s="19">
        <x:f>Inputs!$B$6*(1+Inputs!$B$8)^(D$4-2026)</x:f>
        <x:v>120000</x:v>
      </x:c>
      <x:c r="E7" s="19">
        <x:f>Inputs!$B$6*(1+Inputs!$B$8)^(E$4-2026)</x:f>
        <x:v>120000</x:v>
      </x:c>
      <x:c r="F7" s="19">
        <x:f>Inputs!$B$6*(1+Inputs!$B$8)^(F$4-2026)</x:f>
        <x:v>120000</x:v>
      </x:c>
      <x:c r="G7" s="19">
        <x:f>Inputs!$B$6*(1+Inputs!$B$8)^(G$4-2026)</x:f>
        <x:v>120000</x:v>
      </x:c>
    </x:row>
    <x:row r="8">
      <x:c r="A8" s="7" t="inlineStr">
        <x:is>
          <x:t xml:space="preserve">CAF</x:t>
        </x:is>
      </x:c>
      <x:c r="B8" s="20">
        <x:f>Inputs!B26</x:f>
        <x:v>0.647</x:v>
      </x:c>
      <x:c r="C8" s="20">
        <x:f>Inputs!C26</x:f>
        <x:v>0.613</x:v>
      </x:c>
      <x:c r="D8" s="20">
        <x:f>Inputs!D26</x:f>
        <x:v>0.579</x:v>
      </x:c>
      <x:c r="E8" s="20">
        <x:f>Inputs!E26</x:f>
        <x:v>0.545</x:v>
      </x:c>
      <x:c r="F8" s="20">
        <x:f>Inputs!F26</x:f>
        <x:v>0.511</x:v>
      </x:c>
      <x:c r="G8" s="20">
        <x:f>Inputs!G26</x:f>
        <x:v>0.494</x:v>
      </x:c>
    </x:row>
    <x:row r="9">
      <x:c r="A9" s="7" t="inlineStr">
        <x:is>
          <x:t xml:space="preserve">Direct allocation intensity (allowances / short ton)</x:t>
        </x:is>
      </x:c>
      <x:c r="B9" s="20">
        <x:f>Inputs!$B$9*Inputs!$B$12*B8</x:f>
        <x:v>0.330617</x:v>
      </x:c>
      <x:c r="C9" s="20">
        <x:f>Inputs!$B$9*Inputs!$B$12*C8</x:f>
        <x:v>0.313243</x:v>
      </x:c>
      <x:c r="D9" s="20">
        <x:f>Inputs!$B$9*Inputs!$B$12*D8</x:f>
        <x:v>0.295869</x:v>
      </x:c>
      <x:c r="E9" s="20">
        <x:f>Inputs!$B$9*Inputs!$B$12*E8</x:f>
        <x:v>0.27849500000000005</x:v>
      </x:c>
      <x:c r="F9" s="20">
        <x:f>Inputs!$B$9*Inputs!$B$12*F8</x:f>
        <x:v>0.261121</x:v>
      </x:c>
      <x:c r="G9" s="20">
        <x:f>Inputs!$B$9*Inputs!$B$12*G8</x:f>
        <x:v>0.252434</x:v>
      </x:c>
    </x:row>
    <x:row r="10">
      <x:c r="A10" s="7" t="inlineStr">
        <x:is>
          <x:t xml:space="preserve">Electricity allocation intensity (allowances / short ton)</x:t>
        </x:is>
      </x:c>
      <x:c r="B10" s="20">
        <x:f>IF(B$4&gt;=Inputs!$B$13,Inputs!$B$10*Inputs!$B$11*Inputs!$B$12*B8,0)</x:f>
        <x:v>0</x:v>
      </x:c>
      <x:c r="C10" s="20">
        <x:f>IF(C$4&gt;=Inputs!$B$13,Inputs!$B$10*Inputs!$B$11*Inputs!$B$12*C8,0)</x:f>
        <x:v>0.046654204</x:v>
      </x:c>
      <x:c r="D10" s="20">
        <x:f>IF(D$4&gt;=Inputs!$B$13,Inputs!$B$10*Inputs!$B$11*Inputs!$B$12*D8,0)</x:f>
        <x:v>0.04406653199999999</x:v>
      </x:c>
      <x:c r="E10" s="20">
        <x:f>IF(E$4&gt;=Inputs!$B$13,Inputs!$B$10*Inputs!$B$11*Inputs!$B$12*E8,0)</x:f>
        <x:v>0.04147886</x:v>
      </x:c>
      <x:c r="F10" s="20">
        <x:f>IF(F$4&gt;=Inputs!$B$13,Inputs!$B$10*Inputs!$B$11*Inputs!$B$12*F8,0)</x:f>
        <x:v>0.038891188</x:v>
      </x:c>
      <x:c r="G10" s="20">
        <x:f>IF(G$4&gt;=Inputs!$B$13,Inputs!$B$10*Inputs!$B$11*Inputs!$B$12*G8,0)</x:f>
        <x:v>0.037597352</x:v>
      </x:c>
    </x:row>
    <x:row r="11">
      <x:c r="A11" s="7" t="inlineStr">
        <x:is>
          <x:t xml:space="preserve">Direct allocation (allowances)</x:t>
        </x:is>
      </x:c>
      <x:c r="B11" s="19">
        <x:f>B7*B9</x:f>
        <x:v>39674.04</x:v>
      </x:c>
      <x:c r="C11" s="19">
        <x:f>C7*C9</x:f>
        <x:v>37589.159999999996</x:v>
      </x:c>
      <x:c r="D11" s="19">
        <x:f>D7*D9</x:f>
        <x:v>35504.28</x:v>
      </x:c>
      <x:c r="E11" s="19">
        <x:f>E7*E9</x:f>
        <x:v>33419.40000000001</x:v>
      </x:c>
      <x:c r="F11" s="19">
        <x:f>F7*F9</x:f>
        <x:v>31334.52</x:v>
      </x:c>
      <x:c r="G11" s="19">
        <x:f>G7*G9</x:f>
        <x:v>30292.079999999998</x:v>
      </x:c>
    </x:row>
    <x:row r="12">
      <x:c r="A12" s="7" t="inlineStr">
        <x:is>
          <x:t xml:space="preserve">Electricity allocation (allowances)</x:t>
        </x:is>
      </x:c>
      <x:c r="B12" s="19">
        <x:f>B7*B10</x:f>
        <x:v>0</x:v>
      </x:c>
      <x:c r="C12" s="19">
        <x:f>C7*C10</x:f>
        <x:v>5598.50448</x:v>
      </x:c>
      <x:c r="D12" s="19">
        <x:f>D7*D10</x:f>
        <x:v>5287.983839999999</x:v>
      </x:c>
      <x:c r="E12" s="19">
        <x:f>E7*E10</x:f>
        <x:v>4977.4632</x:v>
      </x:c>
      <x:c r="F12" s="19">
        <x:f>F7*F10</x:f>
        <x:v>4666.94256</x:v>
      </x:c>
      <x:c r="G12" s="19">
        <x:f>G7*G10</x:f>
        <x:v>4511.68224</x:v>
      </x:c>
    </x:row>
    <x:row r="13">
      <x:c r="A13" s="7" t="inlineStr">
        <x:is>
          <x:t xml:space="preserve">Manual decarb incentive allocation (allowances)</x:t>
        </x:is>
      </x:c>
      <x:c r="B13" s="19">
        <x:f>Inputs!B27</x:f>
        <x:v>0</x:v>
      </x:c>
      <x:c r="C13" s="19">
        <x:f>Inputs!C27</x:f>
        <x:v>0</x:v>
      </x:c>
      <x:c r="D13" s="19">
        <x:f>Inputs!D27</x:f>
        <x:v>0</x:v>
      </x:c>
      <x:c r="E13" s="19">
        <x:f>Inputs!E27</x:f>
        <x:v>0</x:v>
      </x:c>
      <x:c r="F13" s="19">
        <x:f>Inputs!F27</x:f>
        <x:v>0</x:v>
      </x:c>
      <x:c r="G13" s="19">
        <x:f>Inputs!G27</x:f>
        <x:v>0</x:v>
      </x:c>
    </x:row>
    <x:row r="14">
      <x:c r="A14" s="21" t="inlineStr">
        <x:is>
          <x:t xml:space="preserve">Total free allocation (allowances)</x:t>
        </x:is>
      </x:c>
      <x:c r="B14" s="22">
        <x:f>SUM(B11:B13)</x:f>
        <x:v>39674.04</x:v>
      </x:c>
      <x:c r="C14" s="22">
        <x:f>SUM(C11:C13)</x:f>
        <x:v>43187.66447999999</x:v>
      </x:c>
      <x:c r="D14" s="22">
        <x:f>SUM(D11:D13)</x:f>
        <x:v>40792.26384</x:v>
      </x:c>
      <x:c r="E14" s="22">
        <x:f>SUM(E11:E13)</x:f>
        <x:v>38396.86320000001</x:v>
      </x:c>
      <x:c r="F14" s="22">
        <x:f>SUM(F11:F13)</x:f>
        <x:v>36001.46256</x:v>
      </x:c>
      <x:c r="G14" s="22">
        <x:f>SUM(G11:G13)</x:f>
        <x:v>34803.76224</x:v>
      </x:c>
    </x:row>
    <x:row r="15">
      <x:c r="A15" s="7" t="inlineStr">
        <x:is>
          <x:t xml:space="preserve">Gross obligation (allowances)</x:t>
        </x:is>
      </x:c>
      <x:c r="B15" s="19">
        <x:f>B6</x:f>
        <x:v>55777.2</x:v>
      </x:c>
      <x:c r="C15" s="19">
        <x:f>C6</x:f>
        <x:v>55777.2</x:v>
      </x:c>
      <x:c r="D15" s="19">
        <x:f>D6</x:f>
        <x:v>55777.2</x:v>
      </x:c>
      <x:c r="E15" s="19">
        <x:f>E6</x:f>
        <x:v>55777.2</x:v>
      </x:c>
      <x:c r="F15" s="19">
        <x:f>F6</x:f>
        <x:v>55777.2</x:v>
      </x:c>
      <x:c r="G15" s="19">
        <x:f>G6</x:f>
        <x:v>55777.2</x:v>
      </x:c>
    </x:row>
    <x:row r="16">
      <x:c r="A16" s="21" t="inlineStr">
        <x:is>
          <x:t xml:space="preserve">Net obligation (allowances)</x:t>
        </x:is>
      </x:c>
      <x:c r="B16" s="22">
        <x:f>MAX(B15-B14,0)</x:f>
        <x:v>16103.159999999996</x:v>
      </x:c>
      <x:c r="C16" s="22">
        <x:f>MAX(C15-C14,0)</x:f>
        <x:v>12589.535520000005</x:v>
      </x:c>
      <x:c r="D16" s="22">
        <x:f>MAX(D15-D14,0)</x:f>
        <x:v>14984.936159999997</x:v>
      </x:c>
      <x:c r="E16" s="22">
        <x:f>MAX(E15-E14,0)</x:f>
        <x:v>17380.33679999999</x:v>
      </x:c>
      <x:c r="F16" s="22">
        <x:f>MAX(F15-F14,0)</x:f>
        <x:v>19775.737439999997</x:v>
      </x:c>
      <x:c r="G16" s="22">
        <x:f>MAX(G15-G14,0)</x:f>
        <x:v>20973.43776</x:v>
      </x:c>
    </x:row>
    <x:row r="17">
      <x:c r="A17" s="7" t="inlineStr">
        <x:is>
          <x:t xml:space="preserve">Change vs 2026 net obligation</x:t>
        </x:is>
      </x:c>
      <x:c r="B17" s="23">
        <x:f>IF(B$4=2026,0,B16/$B$16-1)</x:f>
        <x:v>0</x:v>
      </x:c>
      <x:c r="C17" s="23">
        <x:f>IF(C$4=2026,0,C16/$B$16-1)</x:f>
        <x:v>-0.21819471954572844</x:v>
      </x:c>
      <x:c r="D17" s="23">
        <x:f>IF(D$4=2026,0,D16/$B$16-1)</x:f>
        <x:v>-0.06944126742825629</x:v>
      </x:c>
      <x:c r="E17" s="23">
        <x:f>IF(E$4=2026,0,E16/$B$16-1)</x:f>
        <x:v>0.07931218468921597</x:v>
      </x:c>
      <x:c r="F17" s="23">
        <x:f>IF(F$4=2026,0,F16/$B$16-1)</x:f>
        <x:v>0.2280656368066889</x:v>
      </x:c>
      <x:c r="G17" s="23">
        <x:f>IF(G$4=2026,0,G16/$B$16-1)</x:f>
        <x:v>0.3024423628654256</x:v>
      </x:c>
    </x:row>
    <x:row r="18">
      <x:c r="A18" s="7" t="inlineStr">
        <x:is>
          <x:t xml:space="preserve">Offset cap (max offsets at rule limit)</x:t>
        </x:is>
      </x:c>
      <x:c r="B18" s="19">
        <x:f>B15*Inputs!$B$14</x:f>
        <x:v>3346.6319999999996</x:v>
      </x:c>
      <x:c r="C18" s="19">
        <x:f>C15*Inputs!$B$14</x:f>
        <x:v>3346.6319999999996</x:v>
      </x:c>
      <x:c r="D18" s="19">
        <x:f>D15*Inputs!$B$14</x:f>
        <x:v>3346.6319999999996</x:v>
      </x:c>
      <x:c r="E18" s="19">
        <x:f>E15*Inputs!$B$14</x:f>
        <x:v>3346.6319999999996</x:v>
      </x:c>
      <x:c r="F18" s="19">
        <x:f>F15*Inputs!$B$14</x:f>
        <x:v>3346.6319999999996</x:v>
      </x:c>
      <x:c r="G18" s="19">
        <x:f>G15*Inputs!$B$14</x:f>
        <x:v>3346.6319999999996</x:v>
      </x:c>
    </x:row>
    <x:row r="19">
      <x:c r="A19" s="21" t="inlineStr">
        <x:is>
          <x:t xml:space="preserve">Minimum allowance purchases after max offsets</x:t>
        </x:is>
      </x:c>
      <x:c r="B19" s="22">
        <x:f>MAX(B16-B18,0)</x:f>
        <x:v>12756.527999999997</x:v>
      </x:c>
      <x:c r="C19" s="22">
        <x:f>MAX(C16-C18,0)</x:f>
        <x:v>9242.903520000005</x:v>
      </x:c>
      <x:c r="D19" s="22">
        <x:f>MAX(D16-D18,0)</x:f>
        <x:v>11638.304159999998</x:v>
      </x:c>
      <x:c r="E19" s="22">
        <x:f>MAX(E16-E18,0)</x:f>
        <x:v>14033.70479999999</x:v>
      </x:c>
      <x:c r="F19" s="22">
        <x:f>MAX(F16-F18,0)</x:f>
        <x:v>16429.10544</x:v>
      </x:c>
      <x:c r="G19" s="22">
        <x:f>MAX(G16-G18,0)</x:f>
        <x:v>17626.805760000003</x:v>
      </x:c>
    </x:row>
    <x:row r="20">
      <x:c r="A20" s="21" t="inlineStr">
        <x:is>
          <x:t xml:space="preserve">Net cost @ reserve / settlement price</x:t>
        </x:is>
      </x:c>
      <x:c r="B20" s="24">
        <x:f>B16*Inputs!$B$18</x:f>
        <x:v>449922.29039999994</x:v>
      </x:c>
      <x:c r="C20" s="24">
        <x:f>C16*Inputs!$B$18</x:f>
        <x:v>351751.62242880015</x:v>
      </x:c>
      <x:c r="D20" s="24">
        <x:f>D16*Inputs!$B$18</x:f>
        <x:v>418679.11631039996</x:v>
      </x:c>
      <x:c r="E20" s="24">
        <x:f>E16*Inputs!$B$18</x:f>
        <x:v>485606.61019199976</x:v>
      </x:c>
      <x:c r="F20" s="24">
        <x:f>F16*Inputs!$B$18</x:f>
        <x:v>552534.1040735999</x:v>
      </x:c>
      <x:c r="G20" s="24">
        <x:f>G16*Inputs!$B$18</x:f>
        <x:v>585997.8510144</x:v>
      </x:c>
    </x:row>
    <x:row r="21">
      <x:c r="A21" s="7" t="inlineStr">
        <x:is>
          <x:t xml:space="preserve">Net cost @ mid-case price</x:t>
        </x:is>
      </x:c>
      <x:c r="B21" s="25">
        <x:f>B16*Inputs!$B$19</x:f>
        <x:v>644126.3999999999</x:v>
      </x:c>
      <x:c r="C21" s="25">
        <x:f>C16*Inputs!$B$19</x:f>
        <x:v>503581.4208000002</x:v>
      </x:c>
      <x:c r="D21" s="25">
        <x:f>D16*Inputs!$B$19</x:f>
        <x:v>599397.4463999999</x:v>
      </x:c>
      <x:c r="E21" s="25">
        <x:f>E16*Inputs!$B$19</x:f>
        <x:v>695213.4719999996</x:v>
      </x:c>
      <x:c r="F21" s="25">
        <x:f>F16*Inputs!$B$19</x:f>
        <x:v>791029.4975999999</x:v>
      </x:c>
      <x:c r="G21" s="25">
        <x:f>G16*Inputs!$B$19</x:f>
        <x:v>838937.5104</x:v>
      </x:c>
    </x:row>
    <x:row r="22">
      <x:c r="A22" s="7" t="inlineStr">
        <x:is>
          <x:t xml:space="preserve">Net cost @ APCR Tier 1</x:t>
        </x:is>
      </x:c>
      <x:c r="B22" s="25">
        <x:f>B16*Inputs!$B$20</x:f>
        <x:v>1051697.3795999999</x:v>
      </x:c>
      <x:c r="C22" s="25">
        <x:f>C16*Inputs!$B$20</x:f>
        <x:v>822222.5648112004</x:v>
      </x:c>
      <x:c r="D22" s="25">
        <x:f>D16*Inputs!$B$20</x:f>
        <x:v>978666.1806095999</x:v>
      </x:c>
      <x:c r="E22" s="25">
        <x:f>E16*Inputs!$B$20</x:f>
        <x:v>1135109.7964079995</x:v>
      </x:c>
      <x:c r="F22" s="25">
        <x:f>F16*Inputs!$B$20</x:f>
        <x:v>1291553.4122064</x:v>
      </x:c>
      <x:c r="G22" s="25">
        <x:f>G16*Inputs!$B$20</x:f>
        <x:v>1369775.2201056</x:v>
      </x:c>
    </x:row>
    <x:row r="23">
      <x:c r="A23" s="7" t="inlineStr">
        <x:is>
          <x:t xml:space="preserve">Net cost @ APCR Tier 2</x:t>
        </x:is>
      </x:c>
      <x:c r="B23" s="25">
        <x:f>B16*Inputs!$B$21</x:f>
        <x:v>1351377.1871999998</x:v>
      </x:c>
      <x:c r="C23" s="25">
        <x:f>C16*Inputs!$B$21</x:f>
        <x:v>1056513.8208384004</x:v>
      </x:c>
      <x:c r="D23" s="25">
        <x:f>D16*Inputs!$B$21</x:f>
        <x:v>1257535.8425472</x:v>
      </x:c>
      <x:c r="E23" s="25">
        <x:f>E16*Inputs!$B$21</x:f>
        <x:v>1458557.8642559992</x:v>
      </x:c>
      <x:c r="F23" s="25">
        <x:f>F16*Inputs!$B$21</x:f>
        <x:v>1659579.8859648</x:v>
      </x:c>
      <x:c r="G23" s="25">
        <x:f>G16*Inputs!$B$21</x:f>
        <x:v>1760090.8968192001</x:v>
      </x:c>
    </x:row>
    <x:row r="24">
      <x:c r="A24" s="7" t="inlineStr">
        <x:is>
          <x:t xml:space="preserve">Gross cost @ reserve / settlement price</x:t>
        </x:is>
      </x:c>
      <x:c r="B24" s="25">
        <x:f>B15*Inputs!$B$18</x:f>
        <x:v>1558414.9679999999</x:v>
      </x:c>
      <x:c r="C24" s="25">
        <x:f>C15*Inputs!$B$18</x:f>
        <x:v>1558414.9679999999</x:v>
      </x:c>
      <x:c r="D24" s="25">
        <x:f>D15*Inputs!$B$18</x:f>
        <x:v>1558414.9679999999</x:v>
      </x:c>
      <x:c r="E24" s="25">
        <x:f>E15*Inputs!$B$18</x:f>
        <x:v>1558414.9679999999</x:v>
      </x:c>
      <x:c r="F24" s="25">
        <x:f>F15*Inputs!$B$18</x:f>
        <x:v>1558414.9679999999</x:v>
      </x:c>
      <x:c r="G24" s="25">
        <x:f>G15*Inputs!$B$18</x:f>
        <x:v>1558414.9679999999</x:v>
      </x:c>
    </x:row>
    <x:row r="25">
      <x:c r="A25" s="21" t="inlineStr">
        <x:is>
          <x:t xml:space="preserve">Free allocation coverage (% of gross obligation)</x:t>
        </x:is>
      </x:c>
      <x:c r="B25" s="26">
        <x:f>IFERROR(B14/B15,0)</x:f>
        <x:v>0.7112949377164863</x:v>
      </x:c>
      <x:c r="C25" s="26">
        <x:f>IFERROR(C14/C15,0)</x:f>
        <x:v>0.7742888578128697</x:v>
      </x:c>
      <x:c r="D25" s="26">
        <x:f>IFERROR(D14/D15,0)</x:f>
        <x:v>0.7313429831544072</x:v>
      </x:c>
      <x:c r="E25" s="26">
        <x:f>IFERROR(E14/E15,0)</x:f>
        <x:v>0.6883971084959447</x:v>
      </x:c>
      <x:c r="F25" s="26">
        <x:f>IFERROR(F14/F15,0)</x:f>
        <x:v>0.645451233837482</x:v>
      </x:c>
      <x:c r="G25" s="26">
        <x:f>IFERROR(G14/G15,0)</x:f>
        <x:v>0.6239782965082507</x:v>
      </x:c>
    </x:row>
    <x:row r="27" ht="20" customHeight="1">
      <x:c r="A27" s="4" t="inlineStr">
        <x:is>
          <x:t xml:space="preserve">Interpretation notes</x:t>
        </x:is>
      </x:c>
    </x:row>
    <x:row r="28">
      <x:c r="A28" s="16" t="inlineStr">
        <x:is>
          <x:t xml:space="preserve">Net obligation = gross obligation minus direct allocation, electricity allocation (from 2027 onward), and any manual decarb incentive allowances entered on Inputs row 27.</x:t>
        </x:is>
      </x:c>
    </x:row>
    <x:row r="29">
      <x:c r="A29" s="16" t="inlineStr">
        <x:is>
          <x:t xml:space="preserve">Minimum allowance purchases after max offsets assumes offsets are used to the legal limit (6% of the compliance obligation).</x:t>
        </x:is>
      </x:c>
    </x:row>
    <x:row r="30">
      <x:c r="A30" s="16" t="inlineStr">
        <x:is>
          <x:t xml:space="preserve">APCR Tier 1 / Tier 2 lines are scenario prices for marginal allowance cost, not expected offset prices.</x:t>
        </x:is>
      </x:c>
    </x:row>
  </x:sheetData>
  <x:mergeCells>
    <x:mergeCell ref="A3:H3"/>
    <x:mergeCell ref="A30:H30"/>
    <x:mergeCell ref="A29:H29"/>
    <x:mergeCell ref="A28:H28"/>
    <x:mergeCell ref="A1:H1"/>
    <x:mergeCell ref="A27:H27"/>
  </x:mergeCells>
  <x:pageMargins left="0.7" right="0.7" top="0.75" bottom="0.75" header="0.3" footer="0.3"/>
</x:worksheet>
</file>