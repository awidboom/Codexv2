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aw\Codex\Gopher\"/>
    </mc:Choice>
  </mc:AlternateContent>
  <xr:revisionPtr revIDLastSave="0" documentId="13_ncr:1_{B8C8F5C4-9AC9-4609-90A7-5CE22F7CC5C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README" sheetId="1" r:id="rId1"/>
    <sheet name="Inputs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3" l="1"/>
  <c r="F13" i="3"/>
  <c r="E13" i="3"/>
  <c r="D13" i="3"/>
  <c r="C13" i="3"/>
  <c r="B13" i="3"/>
  <c r="D10" i="3"/>
  <c r="C10" i="3"/>
  <c r="D9" i="3"/>
  <c r="C9" i="3"/>
  <c r="B9" i="3"/>
  <c r="G8" i="3"/>
  <c r="G9" i="3" s="1"/>
  <c r="F8" i="3"/>
  <c r="F9" i="3" s="1"/>
  <c r="E8" i="3"/>
  <c r="E9" i="3" s="1"/>
  <c r="D8" i="3"/>
  <c r="C8" i="3"/>
  <c r="B8" i="3"/>
  <c r="E7" i="3"/>
  <c r="D7" i="3"/>
  <c r="D12" i="3" s="1"/>
  <c r="C7" i="3"/>
  <c r="C11" i="3" s="1"/>
  <c r="D6" i="3"/>
  <c r="D15" i="3" s="1"/>
  <c r="C6" i="3"/>
  <c r="C15" i="3" s="1"/>
  <c r="D5" i="3"/>
  <c r="C5" i="3"/>
  <c r="G4" i="3"/>
  <c r="F4" i="3"/>
  <c r="E4" i="3"/>
  <c r="E5" i="3" s="1"/>
  <c r="D4" i="3"/>
  <c r="C4" i="3"/>
  <c r="B4" i="3"/>
  <c r="B7" i="3" s="1"/>
  <c r="D24" i="3" l="1"/>
  <c r="D18" i="3"/>
  <c r="B11" i="3"/>
  <c r="C24" i="3"/>
  <c r="C18" i="3"/>
  <c r="G5" i="3"/>
  <c r="B6" i="3"/>
  <c r="B15" i="3" s="1"/>
  <c r="B10" i="3"/>
  <c r="B12" i="3" s="1"/>
  <c r="D11" i="3"/>
  <c r="D14" i="3" s="1"/>
  <c r="D25" i="3" s="1"/>
  <c r="E11" i="3"/>
  <c r="B5" i="3"/>
  <c r="F7" i="3"/>
  <c r="B17" i="3"/>
  <c r="E6" i="3"/>
  <c r="E15" i="3" s="1"/>
  <c r="G7" i="3"/>
  <c r="E10" i="3"/>
  <c r="E12" i="3" s="1"/>
  <c r="F6" i="3"/>
  <c r="F15" i="3" s="1"/>
  <c r="F10" i="3"/>
  <c r="G6" i="3"/>
  <c r="G15" i="3" s="1"/>
  <c r="G10" i="3"/>
  <c r="C12" i="3"/>
  <c r="C14" i="3" s="1"/>
  <c r="F5" i="3"/>
  <c r="D16" i="3" l="1"/>
  <c r="D23" i="3" s="1"/>
  <c r="C25" i="3"/>
  <c r="C16" i="3"/>
  <c r="B24" i="3"/>
  <c r="B18" i="3"/>
  <c r="G11" i="3"/>
  <c r="G12" i="3"/>
  <c r="B14" i="3"/>
  <c r="B25" i="3" s="1"/>
  <c r="G18" i="3"/>
  <c r="G24" i="3"/>
  <c r="F11" i="3"/>
  <c r="F12" i="3"/>
  <c r="E24" i="3"/>
  <c r="E18" i="3"/>
  <c r="E14" i="3"/>
  <c r="E25" i="3" s="1"/>
  <c r="F18" i="3"/>
  <c r="F24" i="3"/>
  <c r="D19" i="3" l="1"/>
  <c r="D21" i="3"/>
  <c r="D22" i="3"/>
  <c r="D20" i="3"/>
  <c r="F14" i="3"/>
  <c r="B16" i="3"/>
  <c r="G14" i="3"/>
  <c r="E16" i="3"/>
  <c r="C23" i="3"/>
  <c r="C19" i="3"/>
  <c r="C20" i="3"/>
  <c r="C21" i="3"/>
  <c r="C22" i="3"/>
  <c r="G25" i="3" l="1"/>
  <c r="G16" i="3"/>
  <c r="E20" i="3"/>
  <c r="E21" i="3"/>
  <c r="E22" i="3"/>
  <c r="E23" i="3"/>
  <c r="E19" i="3"/>
  <c r="E17" i="3"/>
  <c r="B23" i="3"/>
  <c r="B19" i="3"/>
  <c r="B20" i="3"/>
  <c r="B21" i="3"/>
  <c r="B22" i="3"/>
  <c r="D17" i="3"/>
  <c r="C17" i="3"/>
  <c r="F25" i="3"/>
  <c r="F16" i="3"/>
  <c r="G21" i="3" l="1"/>
  <c r="G22" i="3"/>
  <c r="G23" i="3"/>
  <c r="G19" i="3"/>
  <c r="G20" i="3"/>
  <c r="G17" i="3"/>
  <c r="F21" i="3"/>
  <c r="F22" i="3"/>
  <c r="F23" i="3"/>
  <c r="F19" i="3"/>
  <c r="F20" i="3"/>
  <c r="F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Default anchor is 55,777.2 mtCO2e for 2023 on the EPA GHGRP facility page for Ecobat/Quemetco. Replace with the actual CARB MRR row once extracted.
Sources:
https://ghgdata.epa.gov/ghgp/service/html/latest?et=undefined&amp;id=1002231
https://ww2.arb.ca.gov/mrr-data</t>
        </r>
      </text>
    </comment>
    <comment ref="B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Default anchor is ~120,000 tons annual production from Ecobat's public locations page. Replace with the facility's CARB-relevant short ton output if available.
Source:
https://ecobat.com/about-us/locations/</t>
        </r>
      </text>
    </comment>
    <comment ref="B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Program parameters from CARB 2026 Appendix A-1 for NAICS 331492 and industrial electricity allocation.
Source:
https://ww2.arb.ca.gov/sites/default/files/barcu/regact/2026/cap_invest/nc_app%20a-1.pdf</t>
        </r>
      </text>
    </comment>
    <comment ref="B10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Program parameters from CARB 2026 Appendix A-1 for NAICS 331492 and industrial electricity allocation.
Source:
https://ww2.arb.ca.gov/sites/default/files/barcu/regact/2026/cap_invest/nc_app%20a-1.pdf</t>
        </r>
      </text>
    </comment>
    <comment ref="B1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Program parameters from CARB 2026 Appendix A-1 for NAICS 331492 and industrial electricity allocation.
Source:
https://ww2.arb.ca.gov/sites/default/files/barcu/regact/2026/cap_invest/nc_app%20a-1.pdf</t>
        </r>
      </text>
    </comment>
    <comment ref="B1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Program parameters from CARB 2026 Appendix A-1 for NAICS 331492 and industrial electricity allocation.
Source:
https://ww2.arb.ca.gov/sites/default/files/barcu/regact/2026/cap_invest/nc_app%20a-1.pdf</t>
        </r>
      </text>
    </comment>
    <comment ref="B13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Program parameters from CARB 2026 Appendix A-1 for NAICS 331492 and industrial electricity allocation.
Source:
https://ww2.arb.ca.gov/sites/default/files/barcu/regact/2026/cap_invest/nc_app%20a-1.pdf</t>
        </r>
      </text>
    </comment>
    <comment ref="B1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Offsets can cover 6% of the compliance obligation from 2026 onward; at least 50% of offsets must be DEBS.
Source:
https://ww2.arb.ca.gov/sites/default/files/2025-05/Cap-and-Trade%20Fact%20Sheet_May%202025_1.pdf</t>
        </r>
      </text>
    </comment>
    <comment ref="B1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Offsets can cover 6% of the compliance obligation from 2026 onward; at least 50% of offsets must be DEBS.
Source:
https://ww2.arb.ca.gov/sites/default/files/2025-05/Cap-and-Trade%20Fact%20Sheet_May%202025_1.pdf</t>
        </r>
      </text>
    </comment>
    <comment ref="B18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2026 annual reserve price notice; February 2026 joint auction settled at the reserve price.
Source:
https://ww2.arb.ca.gov/sites/default/files/2025-12/nc-2026_annual_reserve_price_notice_joint_auction.pdf</t>
        </r>
      </text>
    </comment>
    <comment ref="B2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2026 APCR reserve sale tier prices.
Source:
https://ww2.arb.ca.gov/sites/default/files/2025-12/nc-2026_reserve_sale_apcr_notice.pdf</t>
        </r>
      </text>
    </comment>
    <comment ref="B2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2026 APCR reserve sale tier prices.
Source:
https://ww2.arb.ca.gov/sites/default/files/2025-12/nc-2026_reserve_sale_apcr_notice.pdf</t>
        </r>
      </text>
    </comment>
    <comment ref="B2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Standard CAF values from CARB 2026 Appendix A-1.
Source:
https://ww2.arb.ca.gov/sites/default/files/barcu/regact/2026/cap_invest/nc_app%20a-1.pdf</t>
        </r>
      </text>
    </comment>
    <comment ref="B2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Enter any facility-specific manufacturing decarbonization incentive allocation by year if identified. Default is zero.</t>
        </r>
      </text>
    </comment>
  </commentList>
</comments>
</file>

<file path=xl/sharedStrings.xml><?xml version="1.0" encoding="utf-8"?>
<sst xmlns="http://schemas.openxmlformats.org/spreadsheetml/2006/main" count="85" uniqueCount="84">
  <si>
    <t>Quemetco / Ecobat - CARB Cap-and-Invest rough impact model</t>
  </si>
  <si>
    <t>Purpose</t>
  </si>
  <si>
    <t>Working model to compare rough gross and net compliance obligations today (2026-style) versus the proposed 2027-2031 CARB framework.</t>
  </si>
  <si>
    <t>How to use</t>
  </si>
  <si>
    <t>1) On Inputs, replace yellow cells with facility-specific values when you have them.</t>
  </si>
  <si>
    <t>2) The model currently uses a 55,777.2 mtCO2e emissions anchor and a 120,000 short ton output anchor.</t>
  </si>
  <si>
    <t>3) The Model sheet calculates gross obligation, free allocation, net obligation, offset cap, and cost under four price cases.</t>
  </si>
  <si>
    <t>4) 2026 is treated as a rough 'current-style' year with direct allocation only; 2027+ applies the proposed electricity allocation.</t>
  </si>
  <si>
    <t>5) If you identify manufacturing decarbonization incentive allocation, enter it manually by year on Inputs row 27.</t>
  </si>
  <si>
    <t>Key caveats</t>
  </si>
  <si>
    <t>This is a screening model, not a compliance forecast. Update it with the actual CARB MRR facility row, CARB allocation summaries, and the facility's true short-ton output.</t>
  </si>
  <si>
    <t>APCR tier prices are allowance reserve sale trigger prices, not offset prices. They are included here as high-end marginal compliance price scenarios.</t>
  </si>
  <si>
    <t>Offsets are capped (6% from 2026 onward), so allowances remain the dominant compliance instrument for most of the obligation.</t>
  </si>
  <si>
    <t>Manufacturing decarbonization incentive allocation is not modeled mechanically because eligibility and value depend on project applications and auction outcomes.</t>
  </si>
  <si>
    <t>Source URLs used in the workbook</t>
  </si>
  <si>
    <t>Item</t>
  </si>
  <si>
    <t>URL</t>
  </si>
  <si>
    <t>CARB MRR data landing page</t>
  </si>
  <si>
    <t>https://ww2.arb.ca.gov/mrr-data</t>
  </si>
  <si>
    <t>CARB industrial allocation overview</t>
  </si>
  <si>
    <t>https://ww2.arb.ca.gov/our-work/programs/cap-and-trade-program/allowance-allocation/allowance-allocation-industrial</t>
  </si>
  <si>
    <t>CARB 2026 proposed Appendix A-1</t>
  </si>
  <si>
    <t>https://ww2.arb.ca.gov/sites/default/files/barcu/regact/2026/cap_invest/nc_app%20a-1.pdf</t>
  </si>
  <si>
    <t>CARB 2026 annual reserve price notice</t>
  </si>
  <si>
    <t>https://ww2.arb.ca.gov/sites/default/files/2025-12/nc-2026_annual_reserve_price_notice_joint_auction.pdf</t>
  </si>
  <si>
    <t>CARB 2026 reserve sale / APCR notice</t>
  </si>
  <si>
    <t>https://ww2.arb.ca.gov/sites/default/files/2025-12/nc-2026_reserve_sale_apcr_notice.pdf</t>
  </si>
  <si>
    <t>CARB May 2025 fact sheet (offset limits)</t>
  </si>
  <si>
    <t>https://ww2.arb.ca.gov/sites/default/files/2025-05/Cap-and-Trade%20Fact%20Sheet_May%202025_1.pdf</t>
  </si>
  <si>
    <t>Ecobat locations page (120,000 ton anchor)</t>
  </si>
  <si>
    <t>https://ecobat.com/about-us/locations/</t>
  </si>
  <si>
    <t>EPA GHGRP facility page (55,777.2 mtCO2e anchor)</t>
  </si>
  <si>
    <t>https://ghgdata.epa.gov/ghgp/service/html/latest?et=undefined&amp;id=1002231</t>
  </si>
  <si>
    <t>Inputs and scenario controls</t>
  </si>
  <si>
    <t>Facility anchors and user-editable assumptions</t>
  </si>
  <si>
    <t>Facility</t>
  </si>
  <si>
    <t>Ecobat Resources California / Quemetco</t>
  </si>
  <si>
    <t>Emissions anchor (mtCO2e)</t>
  </si>
  <si>
    <t>Output anchor (short tons of lead/alloys)</t>
  </si>
  <si>
    <t>Annual emissions growth</t>
  </si>
  <si>
    <t>Annual output growth</t>
  </si>
  <si>
    <t>Direct benchmark (allowances / short ton)</t>
  </si>
  <si>
    <t>Electricity benchmark (MWh / short ton)</t>
  </si>
  <si>
    <t>Grid factor (mtCO2e / MWh)</t>
  </si>
  <si>
    <t>Assistance factor</t>
  </si>
  <si>
    <t>Electricity allocation start year</t>
  </si>
  <si>
    <t>Offset usage limit (% of compliance obligation)</t>
  </si>
  <si>
    <t>DEBS share of offsets minimum</t>
  </si>
  <si>
    <t>Allowance price scenarios ($ / allowance)</t>
  </si>
  <si>
    <t>2026 auction reserve / Feb 2026 settlement</t>
  </si>
  <si>
    <t>Mid-case scenario</t>
  </si>
  <si>
    <t>2026 APCR Tier 1</t>
  </si>
  <si>
    <t>2026 APCR Tier 2</t>
  </si>
  <si>
    <t>Year-specific policy assumptions</t>
  </si>
  <si>
    <t>Standard CAF</t>
  </si>
  <si>
    <t>Manual decarb incentive allocation (allowances)</t>
  </si>
  <si>
    <t>Blue/yellow cells are intended to be changed. Formulas live on the Model sheet.</t>
  </si>
  <si>
    <t>Rough compliance obligation model</t>
  </si>
  <si>
    <t>2026 current-style baseline vs proposed 2027-2031 path</t>
  </si>
  <si>
    <t>Metric</t>
  </si>
  <si>
    <t>Regime</t>
  </si>
  <si>
    <t>Modeled emissions (mtCO2e)</t>
  </si>
  <si>
    <t>Modeled output (short tons)</t>
  </si>
  <si>
    <t>CAF</t>
  </si>
  <si>
    <t>Direct allocation intensity (allowances / short ton)</t>
  </si>
  <si>
    <t>Electricity allocation intensity (allowances / short ton)</t>
  </si>
  <si>
    <t>Direct allocation (allowances)</t>
  </si>
  <si>
    <t>Electricity allocation (allowances)</t>
  </si>
  <si>
    <t>Total free allocation (allowances)</t>
  </si>
  <si>
    <t>Gross obligation (allowances)</t>
  </si>
  <si>
    <t>Net obligation (allowances)</t>
  </si>
  <si>
    <t>Change vs 2026 net obligation</t>
  </si>
  <si>
    <t>Offset cap (max offsets at rule limit)</t>
  </si>
  <si>
    <t>Minimum allowance purchases after max offsets</t>
  </si>
  <si>
    <t>Net cost @ reserve / settlement price</t>
  </si>
  <si>
    <t>Net cost @ mid-case price</t>
  </si>
  <si>
    <t>Net cost @ APCR Tier 1</t>
  </si>
  <si>
    <t>Net cost @ APCR Tier 2</t>
  </si>
  <si>
    <t>Gross cost @ reserve / settlement price</t>
  </si>
  <si>
    <t>Free allocation coverage (% of gross obligation)</t>
  </si>
  <si>
    <t>Interpretation notes</t>
  </si>
  <si>
    <t>Net obligation = gross obligation minus direct allocation, electricity allocation (from 2027 onward), and any manual decarb incentive allowances entered on Inputs row 27.</t>
  </si>
  <si>
    <t>Minimum allowance purchases after max offsets assumes offsets are used to the legal limit (6% of the compliance obligation).</t>
  </si>
  <si>
    <t>APCR Tier 1 / Tier 2 lines are scenario prices for marginal allowance cost, not expected offset prices.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</si>
</sst>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;[Red]\(#,##0.0\);\-"/>
    <numFmt numFmtId="165" formatCode="#,##0;[Red]\(#,##0\);\-"/>
    <numFmt numFmtId="166" formatCode="0.0%;[Red]\(0.0%\);\-"/>
    <numFmt numFmtId="167" formatCode="0.000;[Red]\(0.000\);\-"/>
    <numFmt numFmtId="168" formatCode="\$#,##0.00;[Red]\(\$#,##0.00\);\-"/>
    <numFmt numFmtId="169" formatCode="\$#,##0;[Red]\(\$#,##0\);\-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u/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i/>
      <sz val="11"/>
      <color rgb="FF666666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3F3F3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 style="medium">
        <color rgb="FF1F4E78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6" fillId="3" borderId="0" xfId="0" applyFont="1" applyFill="1" applyAlignment="1">
      <alignment horizontal="left"/>
    </xf>
    <xf numFmtId="164" fontId="6" fillId="3" borderId="0" xfId="0" applyNumberFormat="1" applyFont="1" applyFill="1" applyAlignment="1">
      <alignment horizontal="right"/>
    </xf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7" fontId="6" fillId="3" borderId="0" xfId="0" applyNumberFormat="1" applyFont="1" applyFill="1" applyAlignment="1">
      <alignment horizontal="right"/>
    </xf>
    <xf numFmtId="1" fontId="6" fillId="3" borderId="0" xfId="0" applyNumberFormat="1" applyFont="1" applyFill="1" applyAlignment="1">
      <alignment horizontal="right"/>
    </xf>
    <xf numFmtId="168" fontId="6" fillId="3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center"/>
    </xf>
    <xf numFmtId="165" fontId="7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0" fontId="8" fillId="0" borderId="1" xfId="0" applyFont="1" applyBorder="1" applyAlignment="1">
      <alignment horizontal="left"/>
    </xf>
    <xf numFmtId="165" fontId="8" fillId="5" borderId="1" xfId="0" applyNumberFormat="1" applyFont="1" applyFill="1" applyBorder="1" applyAlignment="1">
      <alignment horizontal="right"/>
    </xf>
    <xf numFmtId="166" fontId="5" fillId="0" borderId="0" xfId="0" applyNumberFormat="1" applyFont="1" applyAlignment="1">
      <alignment horizontal="right"/>
    </xf>
    <xf numFmtId="169" fontId="8" fillId="5" borderId="1" xfId="0" applyNumberFormat="1" applyFont="1" applyFill="1" applyBorder="1" applyAlignment="1">
      <alignment horizontal="right"/>
    </xf>
    <xf numFmtId="169" fontId="5" fillId="0" borderId="0" xfId="0" applyNumberFormat="1" applyFont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3" fillId="2" borderId="0" xfId="0" applyFont="1" applyFill="1" applyAlignment="1">
      <alignment horizontal="left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7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57150</xdr:colOff>
      <xdr:row>48</xdr:row>
      <xdr:rowOff>123825</xdr:rowOff>
    </xdr:to>
    <xdr:sp macro="" textlink="">
      <xdr:nvSpPr>
        <xdr:cNvPr id="1039" name="Text Box 15" hidden="1">
          <a:extLst>
            <a:ext uri="{FF2B5EF4-FFF2-40B4-BE49-F238E27FC236}">
              <a16:creationId xmlns:a16="http://schemas.microsoft.com/office/drawing/2014/main" id="{17AF8ADA-4B78-28DB-D632-183A6A55D55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showGridLines="0" topLeftCell="A14" workbookViewId="0">
      <selection sqref="A1:H1"/>
    </sheetView>
  </sheetViews>
  <sheetFormatPr defaultRowHeight="15" x14ac:dyDescent="0.25"/>
  <cols>
    <col min="1" max="1" width="36" customWidth="1"/>
    <col min="2" max="2" width="102" customWidth="1"/>
    <col min="3" max="8" width="12" customWidth="1"/>
  </cols>
  <sheetData>
    <row r="1" spans="1:8" ht="21.95" customHeight="1" x14ac:dyDescent="0.25">
      <c r="A1" s="26" t="s">
        <v>0</v>
      </c>
      <c r="B1" s="25"/>
      <c r="C1" s="25"/>
      <c r="D1" s="25"/>
      <c r="E1" s="25"/>
      <c r="F1" s="25"/>
      <c r="G1" s="25"/>
      <c r="H1" s="25"/>
    </row>
    <row r="3" spans="1:8" ht="30" x14ac:dyDescent="0.25">
      <c r="A3" s="1" t="s">
        <v>1</v>
      </c>
      <c r="B3" s="2" t="s">
        <v>2</v>
      </c>
    </row>
    <row r="5" spans="1:8" x14ac:dyDescent="0.25">
      <c r="A5" s="1" t="s">
        <v>3</v>
      </c>
    </row>
    <row r="6" spans="1:8" ht="45" x14ac:dyDescent="0.25">
      <c r="A6" s="2" t="s">
        <v>4</v>
      </c>
    </row>
    <row r="7" spans="1:8" ht="45" x14ac:dyDescent="0.25">
      <c r="A7" s="2" t="s">
        <v>5</v>
      </c>
    </row>
    <row r="8" spans="1:8" ht="60" x14ac:dyDescent="0.25">
      <c r="A8" s="2" t="s">
        <v>6</v>
      </c>
    </row>
    <row r="9" spans="1:8" ht="60" x14ac:dyDescent="0.25">
      <c r="A9" s="2" t="s">
        <v>7</v>
      </c>
    </row>
    <row r="10" spans="1:8" ht="60" x14ac:dyDescent="0.25">
      <c r="A10" s="2" t="s">
        <v>8</v>
      </c>
    </row>
    <row r="13" spans="1:8" ht="20.100000000000001" customHeight="1" x14ac:dyDescent="0.25">
      <c r="A13" s="24" t="s">
        <v>9</v>
      </c>
      <c r="B13" s="25"/>
      <c r="C13" s="25"/>
      <c r="D13" s="25"/>
      <c r="E13" s="25"/>
      <c r="F13" s="25"/>
      <c r="G13" s="25"/>
      <c r="H13" s="25"/>
    </row>
    <row r="14" spans="1:8" ht="75" x14ac:dyDescent="0.25">
      <c r="A14" s="2" t="s">
        <v>10</v>
      </c>
    </row>
    <row r="15" spans="1:8" ht="60" x14ac:dyDescent="0.25">
      <c r="A15" s="2" t="s">
        <v>11</v>
      </c>
    </row>
    <row r="16" spans="1:8" ht="60" x14ac:dyDescent="0.25">
      <c r="A16" s="2" t="s">
        <v>12</v>
      </c>
    </row>
    <row r="17" spans="1:8" ht="75" x14ac:dyDescent="0.25">
      <c r="A17" s="2" t="s">
        <v>13</v>
      </c>
    </row>
    <row r="20" spans="1:8" ht="20.100000000000001" customHeight="1" x14ac:dyDescent="0.25">
      <c r="A20" s="24" t="s">
        <v>14</v>
      </c>
      <c r="B20" s="25"/>
      <c r="C20" s="25"/>
      <c r="D20" s="25"/>
      <c r="E20" s="25"/>
      <c r="F20" s="25"/>
      <c r="G20" s="25"/>
      <c r="H20" s="25"/>
    </row>
    <row r="21" spans="1:8" x14ac:dyDescent="0.25">
      <c r="A21" s="3" t="s">
        <v>15</v>
      </c>
      <c r="B21" s="3" t="s">
        <v>16</v>
      </c>
    </row>
    <row r="22" spans="1:8" x14ac:dyDescent="0.25">
      <c r="A22" t="s">
        <v>17</v>
      </c>
      <c r="B22" s="4" t="s">
        <v>18</v>
      </c>
    </row>
    <row r="23" spans="1:8" x14ac:dyDescent="0.25">
      <c r="A23" t="s">
        <v>19</v>
      </c>
      <c r="B23" s="4" t="s">
        <v>20</v>
      </c>
    </row>
    <row r="24" spans="1:8" x14ac:dyDescent="0.25">
      <c r="A24" t="s">
        <v>21</v>
      </c>
      <c r="B24" s="4" t="s">
        <v>22</v>
      </c>
    </row>
    <row r="25" spans="1:8" x14ac:dyDescent="0.25">
      <c r="A25" t="s">
        <v>23</v>
      </c>
      <c r="B25" s="4" t="s">
        <v>24</v>
      </c>
    </row>
    <row r="26" spans="1:8" x14ac:dyDescent="0.25">
      <c r="A26" t="s">
        <v>25</v>
      </c>
      <c r="B26" s="4" t="s">
        <v>26</v>
      </c>
    </row>
    <row r="27" spans="1:8" x14ac:dyDescent="0.25">
      <c r="A27" t="s">
        <v>27</v>
      </c>
      <c r="B27" s="4" t="s">
        <v>28</v>
      </c>
    </row>
    <row r="28" spans="1:8" x14ac:dyDescent="0.25">
      <c r="A28" t="s">
        <v>29</v>
      </c>
      <c r="B28" s="4" t="s">
        <v>30</v>
      </c>
    </row>
    <row r="29" spans="1:8" x14ac:dyDescent="0.25">
      <c r="A29" t="s">
        <v>31</v>
      </c>
      <c r="B29" s="4" t="s">
        <v>32</v>
      </c>
    </row>
  </sheetData>
  <mergeCells count="3">
    <mergeCell ref="A20:H20"/>
    <mergeCell ref="A13:H1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workbookViewId="0">
      <selection activeCell="C6" sqref="C6"/>
    </sheetView>
  </sheetViews>
  <sheetFormatPr defaultRowHeight="15" x14ac:dyDescent="0.25"/>
  <cols>
    <col min="1" max="1" width="46" customWidth="1"/>
    <col min="2" max="7" width="16" customWidth="1"/>
    <col min="8" max="8" width="12" customWidth="1"/>
  </cols>
  <sheetData>
    <row r="1" spans="1:8" ht="21.95" customHeight="1" x14ac:dyDescent="0.25">
      <c r="A1" s="26" t="s">
        <v>33</v>
      </c>
      <c r="B1" s="25"/>
      <c r="C1" s="25"/>
      <c r="D1" s="25"/>
      <c r="E1" s="25"/>
      <c r="F1" s="25"/>
      <c r="G1" s="25"/>
      <c r="H1" s="25"/>
    </row>
    <row r="3" spans="1:8" ht="20.100000000000001" customHeight="1" x14ac:dyDescent="0.25">
      <c r="A3" s="24" t="s">
        <v>34</v>
      </c>
      <c r="B3" s="25"/>
      <c r="C3" s="25"/>
      <c r="D3" s="25"/>
      <c r="E3" s="25"/>
      <c r="F3" s="25"/>
      <c r="G3" s="25"/>
      <c r="H3" s="25"/>
    </row>
    <row r="4" spans="1:8" x14ac:dyDescent="0.25">
      <c r="A4" s="5" t="s">
        <v>35</v>
      </c>
      <c r="B4" s="6" t="s">
        <v>36</v>
      </c>
    </row>
    <row r="5" spans="1:8" x14ac:dyDescent="0.25">
      <c r="A5" s="5" t="s">
        <v>37</v>
      </c>
      <c r="B5" s="7">
        <v>45505.75</v>
      </c>
      <c r="C5">
        <v>2024</v>
      </c>
    </row>
    <row r="6" spans="1:8" x14ac:dyDescent="0.25">
      <c r="A6" s="5" t="s">
        <v>38</v>
      </c>
      <c r="B6" s="8">
        <v>123642</v>
      </c>
      <c r="C6">
        <v>2024</v>
      </c>
    </row>
    <row r="7" spans="1:8" x14ac:dyDescent="0.25">
      <c r="A7" s="5" t="s">
        <v>39</v>
      </c>
      <c r="B7" s="9">
        <v>0</v>
      </c>
    </row>
    <row r="8" spans="1:8" x14ac:dyDescent="0.25">
      <c r="A8" s="5" t="s">
        <v>40</v>
      </c>
      <c r="B8" s="9">
        <v>0</v>
      </c>
    </row>
    <row r="9" spans="1:8" x14ac:dyDescent="0.25">
      <c r="A9" s="5" t="s">
        <v>41</v>
      </c>
      <c r="B9" s="10">
        <v>0.51100000000000001</v>
      </c>
    </row>
    <row r="10" spans="1:8" x14ac:dyDescent="0.25">
      <c r="A10" s="5" t="s">
        <v>42</v>
      </c>
      <c r="B10" s="10">
        <v>0.35899999999999999</v>
      </c>
    </row>
    <row r="11" spans="1:8" x14ac:dyDescent="0.25">
      <c r="A11" s="5" t="s">
        <v>43</v>
      </c>
      <c r="B11" s="10">
        <v>0.21199999999999999</v>
      </c>
    </row>
    <row r="12" spans="1:8" x14ac:dyDescent="0.25">
      <c r="A12" s="5" t="s">
        <v>44</v>
      </c>
      <c r="B12" s="9">
        <v>1</v>
      </c>
    </row>
    <row r="13" spans="1:8" x14ac:dyDescent="0.25">
      <c r="A13" s="5" t="s">
        <v>45</v>
      </c>
      <c r="B13" s="11">
        <v>2027</v>
      </c>
    </row>
    <row r="14" spans="1:8" x14ac:dyDescent="0.25">
      <c r="A14" s="5" t="s">
        <v>46</v>
      </c>
      <c r="B14" s="9">
        <v>0.06</v>
      </c>
    </row>
    <row r="15" spans="1:8" x14ac:dyDescent="0.25">
      <c r="A15" s="5" t="s">
        <v>47</v>
      </c>
      <c r="B15" s="9">
        <v>0.5</v>
      </c>
    </row>
    <row r="17" spans="1:8" ht="20.100000000000001" customHeight="1" x14ac:dyDescent="0.25">
      <c r="A17" s="24" t="s">
        <v>48</v>
      </c>
      <c r="B17" s="25"/>
      <c r="C17" s="25"/>
      <c r="D17" s="25"/>
      <c r="E17" s="25"/>
      <c r="F17" s="25"/>
      <c r="G17" s="25"/>
      <c r="H17" s="25"/>
    </row>
    <row r="18" spans="1:8" x14ac:dyDescent="0.25">
      <c r="A18" s="5" t="s">
        <v>49</v>
      </c>
      <c r="B18" s="12">
        <v>27.94</v>
      </c>
    </row>
    <row r="19" spans="1:8" x14ac:dyDescent="0.25">
      <c r="A19" s="5" t="s">
        <v>50</v>
      </c>
      <c r="B19" s="12">
        <v>40</v>
      </c>
    </row>
    <row r="20" spans="1:8" x14ac:dyDescent="0.25">
      <c r="A20" s="5" t="s">
        <v>51</v>
      </c>
      <c r="B20" s="12">
        <v>65.31</v>
      </c>
    </row>
    <row r="21" spans="1:8" x14ac:dyDescent="0.25">
      <c r="A21" s="5" t="s">
        <v>52</v>
      </c>
      <c r="B21" s="12">
        <v>83.92</v>
      </c>
    </row>
    <row r="24" spans="1:8" ht="20.100000000000001" customHeight="1" x14ac:dyDescent="0.25">
      <c r="A24" s="24" t="s">
        <v>53</v>
      </c>
      <c r="B24" s="25"/>
      <c r="C24" s="25"/>
      <c r="D24" s="25"/>
      <c r="E24" s="25"/>
      <c r="F24" s="25"/>
      <c r="G24" s="25"/>
      <c r="H24" s="25"/>
    </row>
    <row r="25" spans="1:8" x14ac:dyDescent="0.25">
      <c r="B25" s="13">
        <v>2026</v>
      </c>
      <c r="C25" s="13">
        <v>2027</v>
      </c>
      <c r="D25" s="13">
        <v>2028</v>
      </c>
      <c r="E25" s="13">
        <v>2029</v>
      </c>
      <c r="F25" s="13">
        <v>2030</v>
      </c>
      <c r="G25" s="13">
        <v>2031</v>
      </c>
    </row>
    <row r="26" spans="1:8" x14ac:dyDescent="0.25">
      <c r="A26" s="5" t="s">
        <v>54</v>
      </c>
      <c r="B26" s="10">
        <v>0.64700000000000002</v>
      </c>
      <c r="C26" s="10">
        <v>0.61299999999999999</v>
      </c>
      <c r="D26" s="10">
        <v>0.57899999999999996</v>
      </c>
      <c r="E26" s="10">
        <v>0.54500000000000004</v>
      </c>
      <c r="F26" s="10">
        <v>0.51100000000000001</v>
      </c>
      <c r="G26" s="10">
        <v>0.49399999999999999</v>
      </c>
    </row>
    <row r="27" spans="1:8" x14ac:dyDescent="0.25">
      <c r="A27" s="5" t="s">
        <v>55</v>
      </c>
      <c r="B27" s="8">
        <v>0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</row>
    <row r="29" spans="1:8" x14ac:dyDescent="0.25">
      <c r="A29" s="27" t="s">
        <v>56</v>
      </c>
      <c r="B29" s="25"/>
      <c r="C29" s="25"/>
      <c r="D29" s="25"/>
      <c r="E29" s="25"/>
      <c r="F29" s="25"/>
      <c r="G29" s="25"/>
      <c r="H29" s="25"/>
    </row>
    <row r="30" spans="1:8" x14ac:dyDescent="0.25">
      <c r="A30" s="25"/>
      <c r="B30" s="25"/>
      <c r="C30" s="25"/>
      <c r="D30" s="25"/>
      <c r="E30" s="25"/>
      <c r="F30" s="25"/>
      <c r="G30" s="25"/>
      <c r="H30" s="25"/>
    </row>
  </sheetData>
  <mergeCells count="5">
    <mergeCell ref="A3:H3"/>
    <mergeCell ref="A29:H30"/>
    <mergeCell ref="A24:H24"/>
    <mergeCell ref="A1:H1"/>
    <mergeCell ref="A17:H17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tabSelected="1" topLeftCell="A3" workbookViewId="0">
      <selection activeCell="B20" sqref="B20"/>
    </sheetView>
  </sheetViews>
  <sheetFormatPr defaultRowHeight="15" x14ac:dyDescent="0.25"/>
  <cols>
    <col min="1" max="1" width="52" customWidth="1"/>
    <col min="2" max="7" width="15" customWidth="1"/>
    <col min="8" max="8" width="12" customWidth="1"/>
  </cols>
  <sheetData>
    <row r="1" spans="1:8" ht="21.95" customHeight="1" x14ac:dyDescent="0.25">
      <c r="A1" s="26" t="s">
        <v>57</v>
      </c>
      <c r="B1" s="25"/>
      <c r="C1" s="25"/>
      <c r="D1" s="25"/>
      <c r="E1" s="25"/>
      <c r="F1" s="25"/>
      <c r="G1" s="25"/>
      <c r="H1" s="25"/>
    </row>
    <row r="3" spans="1:8" ht="20.100000000000001" customHeight="1" x14ac:dyDescent="0.25">
      <c r="A3" s="24" t="s">
        <v>58</v>
      </c>
      <c r="B3" s="25"/>
      <c r="C3" s="25"/>
      <c r="D3" s="25"/>
      <c r="E3" s="25"/>
      <c r="F3" s="25"/>
      <c r="G3" s="25"/>
      <c r="H3" s="25"/>
    </row>
    <row r="4" spans="1:8" x14ac:dyDescent="0.25">
      <c r="A4" s="3" t="s">
        <v>59</v>
      </c>
      <c r="B4" s="13">
        <f>Inputs!B25</f>
        <v>2026</v>
      </c>
      <c r="C4" s="13">
        <f>Inputs!C25</f>
        <v>2027</v>
      </c>
      <c r="D4" s="13">
        <f>Inputs!D25</f>
        <v>2028</v>
      </c>
      <c r="E4" s="13">
        <f>Inputs!E25</f>
        <v>2029</v>
      </c>
      <c r="F4" s="13">
        <f>Inputs!F25</f>
        <v>2030</v>
      </c>
      <c r="G4" s="13">
        <f>Inputs!G25</f>
        <v>2031</v>
      </c>
    </row>
    <row r="5" spans="1:8" x14ac:dyDescent="0.25">
      <c r="A5" s="5" t="s">
        <v>60</v>
      </c>
      <c r="B5" s="14" t="str">
        <f t="shared" ref="B5:G5" si="0">IF(B$4=2026,"Current-style","Proposed")</f>
        <v>Current-style</v>
      </c>
      <c r="C5" s="14" t="str">
        <f t="shared" si="0"/>
        <v>Proposed</v>
      </c>
      <c r="D5" s="14" t="str">
        <f t="shared" si="0"/>
        <v>Proposed</v>
      </c>
      <c r="E5" s="14" t="str">
        <f t="shared" si="0"/>
        <v>Proposed</v>
      </c>
      <c r="F5" s="14" t="str">
        <f t="shared" si="0"/>
        <v>Proposed</v>
      </c>
      <c r="G5" s="14" t="str">
        <f t="shared" si="0"/>
        <v>Proposed</v>
      </c>
    </row>
    <row r="6" spans="1:8" x14ac:dyDescent="0.25">
      <c r="A6" s="5" t="s">
        <v>61</v>
      </c>
      <c r="B6" s="15">
        <f>Inputs!$B$5*(1+Inputs!$B$7)^(B$4-2026)</f>
        <v>45505.75</v>
      </c>
      <c r="C6" s="15">
        <f>Inputs!$B$5*(1+Inputs!$B$7)^(C$4-2026)</f>
        <v>45505.75</v>
      </c>
      <c r="D6" s="15">
        <f>Inputs!$B$5*(1+Inputs!$B$7)^(D$4-2026)</f>
        <v>45505.75</v>
      </c>
      <c r="E6" s="15">
        <f>Inputs!$B$5*(1+Inputs!$B$7)^(E$4-2026)</f>
        <v>45505.75</v>
      </c>
      <c r="F6" s="15">
        <f>Inputs!$B$5*(1+Inputs!$B$7)^(F$4-2026)</f>
        <v>45505.75</v>
      </c>
      <c r="G6" s="15">
        <f>Inputs!$B$5*(1+Inputs!$B$7)^(G$4-2026)</f>
        <v>45505.75</v>
      </c>
    </row>
    <row r="7" spans="1:8" x14ac:dyDescent="0.25">
      <c r="A7" s="5" t="s">
        <v>62</v>
      </c>
      <c r="B7" s="16">
        <f>Inputs!$B$6*(1+Inputs!$B$8)^(B$4-2026)</f>
        <v>123642</v>
      </c>
      <c r="C7" s="16">
        <f>Inputs!$B$6*(1+Inputs!$B$8)^(C$4-2026)</f>
        <v>123642</v>
      </c>
      <c r="D7" s="16">
        <f>Inputs!$B$6*(1+Inputs!$B$8)^(D$4-2026)</f>
        <v>123642</v>
      </c>
      <c r="E7" s="16">
        <f>Inputs!$B$6*(1+Inputs!$B$8)^(E$4-2026)</f>
        <v>123642</v>
      </c>
      <c r="F7" s="16">
        <f>Inputs!$B$6*(1+Inputs!$B$8)^(F$4-2026)</f>
        <v>123642</v>
      </c>
      <c r="G7" s="16">
        <f>Inputs!$B$6*(1+Inputs!$B$8)^(G$4-2026)</f>
        <v>123642</v>
      </c>
    </row>
    <row r="8" spans="1:8" x14ac:dyDescent="0.25">
      <c r="A8" s="5" t="s">
        <v>63</v>
      </c>
      <c r="B8" s="17">
        <f>Inputs!B26</f>
        <v>0.64700000000000002</v>
      </c>
      <c r="C8" s="17">
        <f>Inputs!C26</f>
        <v>0.61299999999999999</v>
      </c>
      <c r="D8" s="17">
        <f>Inputs!D26</f>
        <v>0.57899999999999996</v>
      </c>
      <c r="E8" s="17">
        <f>Inputs!E26</f>
        <v>0.54500000000000004</v>
      </c>
      <c r="F8" s="17">
        <f>Inputs!F26</f>
        <v>0.51100000000000001</v>
      </c>
      <c r="G8" s="17">
        <f>Inputs!G26</f>
        <v>0.49399999999999999</v>
      </c>
    </row>
    <row r="9" spans="1:8" x14ac:dyDescent="0.25">
      <c r="A9" s="5" t="s">
        <v>64</v>
      </c>
      <c r="B9" s="17">
        <f>Inputs!$B$9*Inputs!$B$12*B8</f>
        <v>0.33061699999999999</v>
      </c>
      <c r="C9" s="17">
        <f>Inputs!$B$9*Inputs!$B$12*C8</f>
        <v>0.31324299999999999</v>
      </c>
      <c r="D9" s="17">
        <f>Inputs!$B$9*Inputs!$B$12*D8</f>
        <v>0.29586899999999999</v>
      </c>
      <c r="E9" s="17">
        <f>Inputs!$B$9*Inputs!$B$12*E8</f>
        <v>0.27849500000000005</v>
      </c>
      <c r="F9" s="17">
        <f>Inputs!$B$9*Inputs!$B$12*F8</f>
        <v>0.26112099999999999</v>
      </c>
      <c r="G9" s="17">
        <f>Inputs!$B$9*Inputs!$B$12*G8</f>
        <v>0.25243399999999999</v>
      </c>
    </row>
    <row r="10" spans="1:8" x14ac:dyDescent="0.25">
      <c r="A10" s="5" t="s">
        <v>65</v>
      </c>
      <c r="B10" s="17">
        <f>IF(B$4&gt;=Inputs!$B$13,Inputs!$B$10*Inputs!$B$11*Inputs!$B$12*B8,0)</f>
        <v>0</v>
      </c>
      <c r="C10" s="17">
        <f>IF(C$4&gt;=Inputs!$B$13,Inputs!$B$10*Inputs!$B$11*Inputs!$B$12*C8,0)</f>
        <v>4.6654203999999998E-2</v>
      </c>
      <c r="D10" s="17">
        <f>IF(D$4&gt;=Inputs!$B$13,Inputs!$B$10*Inputs!$B$11*Inputs!$B$12*D8,0)</f>
        <v>4.4066531999999992E-2</v>
      </c>
      <c r="E10" s="17">
        <f>IF(E$4&gt;=Inputs!$B$13,Inputs!$B$10*Inputs!$B$11*Inputs!$B$12*E8,0)</f>
        <v>4.1478859999999999E-2</v>
      </c>
      <c r="F10" s="17">
        <f>IF(F$4&gt;=Inputs!$B$13,Inputs!$B$10*Inputs!$B$11*Inputs!$B$12*F8,0)</f>
        <v>3.8891188E-2</v>
      </c>
      <c r="G10" s="17">
        <f>IF(G$4&gt;=Inputs!$B$13,Inputs!$B$10*Inputs!$B$11*Inputs!$B$12*G8,0)</f>
        <v>3.7597352000000001E-2</v>
      </c>
    </row>
    <row r="11" spans="1:8" x14ac:dyDescent="0.25">
      <c r="A11" s="5" t="s">
        <v>66</v>
      </c>
      <c r="B11" s="16">
        <f t="shared" ref="B11:G11" si="1">B7*B9</f>
        <v>40878.147113999999</v>
      </c>
      <c r="C11" s="16">
        <f t="shared" si="1"/>
        <v>38729.991005999997</v>
      </c>
      <c r="D11" s="16">
        <f t="shared" si="1"/>
        <v>36581.834898000001</v>
      </c>
      <c r="E11" s="16">
        <f t="shared" si="1"/>
        <v>34433.678790000005</v>
      </c>
      <c r="F11" s="16">
        <f t="shared" si="1"/>
        <v>32285.522681999999</v>
      </c>
      <c r="G11" s="16">
        <f t="shared" si="1"/>
        <v>31211.444627999997</v>
      </c>
    </row>
    <row r="12" spans="1:8" x14ac:dyDescent="0.25">
      <c r="A12" s="5" t="s">
        <v>67</v>
      </c>
      <c r="B12" s="16">
        <f t="shared" ref="B12:G12" si="2">B7*B10</f>
        <v>0</v>
      </c>
      <c r="C12" s="16">
        <f t="shared" si="2"/>
        <v>5768.4190909680001</v>
      </c>
      <c r="D12" s="16">
        <f t="shared" si="2"/>
        <v>5448.4741495439994</v>
      </c>
      <c r="E12" s="16">
        <f t="shared" si="2"/>
        <v>5128.5292081199996</v>
      </c>
      <c r="F12" s="16">
        <f t="shared" si="2"/>
        <v>4808.5842666959998</v>
      </c>
      <c r="G12" s="16">
        <f t="shared" si="2"/>
        <v>4648.6117959840003</v>
      </c>
    </row>
    <row r="13" spans="1:8" x14ac:dyDescent="0.25">
      <c r="A13" s="5" t="s">
        <v>55</v>
      </c>
      <c r="B13" s="16">
        <f>Inputs!B27</f>
        <v>0</v>
      </c>
      <c r="C13" s="16">
        <f>Inputs!C27</f>
        <v>0</v>
      </c>
      <c r="D13" s="16">
        <f>Inputs!D27</f>
        <v>0</v>
      </c>
      <c r="E13" s="16">
        <f>Inputs!E27</f>
        <v>0</v>
      </c>
      <c r="F13" s="16">
        <f>Inputs!F27</f>
        <v>0</v>
      </c>
      <c r="G13" s="16">
        <f>Inputs!G27</f>
        <v>0</v>
      </c>
    </row>
    <row r="14" spans="1:8" x14ac:dyDescent="0.25">
      <c r="A14" s="18" t="s">
        <v>68</v>
      </c>
      <c r="B14" s="19">
        <f t="shared" ref="B14:G14" si="3">SUM(B11:B13)</f>
        <v>40878.147113999999</v>
      </c>
      <c r="C14" s="19">
        <f t="shared" si="3"/>
        <v>44498.410096968</v>
      </c>
      <c r="D14" s="19">
        <f t="shared" si="3"/>
        <v>42030.309047543997</v>
      </c>
      <c r="E14" s="19">
        <f t="shared" si="3"/>
        <v>39562.207998120008</v>
      </c>
      <c r="F14" s="19">
        <f t="shared" si="3"/>
        <v>37094.106948695997</v>
      </c>
      <c r="G14" s="19">
        <f t="shared" si="3"/>
        <v>35860.056423983995</v>
      </c>
    </row>
    <row r="15" spans="1:8" x14ac:dyDescent="0.25">
      <c r="A15" s="5" t="s">
        <v>69</v>
      </c>
      <c r="B15" s="16">
        <f t="shared" ref="B15:G15" si="4">B6</f>
        <v>45505.75</v>
      </c>
      <c r="C15" s="16">
        <f t="shared" si="4"/>
        <v>45505.75</v>
      </c>
      <c r="D15" s="16">
        <f t="shared" si="4"/>
        <v>45505.75</v>
      </c>
      <c r="E15" s="16">
        <f t="shared" si="4"/>
        <v>45505.75</v>
      </c>
      <c r="F15" s="16">
        <f t="shared" si="4"/>
        <v>45505.75</v>
      </c>
      <c r="G15" s="16">
        <f t="shared" si="4"/>
        <v>45505.75</v>
      </c>
    </row>
    <row r="16" spans="1:8" x14ac:dyDescent="0.25">
      <c r="A16" s="18" t="s">
        <v>70</v>
      </c>
      <c r="B16" s="19">
        <f t="shared" ref="B16:G16" si="5">MAX(B15-B14,0)</f>
        <v>4627.6028860000006</v>
      </c>
      <c r="C16" s="19">
        <f t="shared" si="5"/>
        <v>1007.3399030319997</v>
      </c>
      <c r="D16" s="19">
        <f t="shared" si="5"/>
        <v>3475.4409524560033</v>
      </c>
      <c r="E16" s="19">
        <f t="shared" si="5"/>
        <v>5943.5420018799923</v>
      </c>
      <c r="F16" s="19">
        <f t="shared" si="5"/>
        <v>8411.6430513040032</v>
      </c>
      <c r="G16" s="19">
        <f t="shared" si="5"/>
        <v>9645.693576016005</v>
      </c>
    </row>
    <row r="17" spans="1:8" x14ac:dyDescent="0.25">
      <c r="A17" s="5" t="s">
        <v>71</v>
      </c>
      <c r="B17" s="20">
        <f t="shared" ref="B17:G17" si="6">IF(B$4=2026,0,B16/$B$16-1)</f>
        <v>0</v>
      </c>
      <c r="C17" s="20">
        <f t="shared" si="6"/>
        <v>-0.78231928541674789</v>
      </c>
      <c r="D17" s="20">
        <f t="shared" si="6"/>
        <v>-0.24897597350664225</v>
      </c>
      <c r="E17" s="20">
        <f t="shared" si="6"/>
        <v>0.2843673384034604</v>
      </c>
      <c r="F17" s="20">
        <f t="shared" si="6"/>
        <v>0.8177106503135676</v>
      </c>
      <c r="G17" s="20">
        <f t="shared" si="6"/>
        <v>1.0843823062686204</v>
      </c>
    </row>
    <row r="18" spans="1:8" x14ac:dyDescent="0.25">
      <c r="A18" s="5" t="s">
        <v>72</v>
      </c>
      <c r="B18" s="16">
        <f>B15*Inputs!$B$14</f>
        <v>2730.3449999999998</v>
      </c>
      <c r="C18" s="16">
        <f>C15*Inputs!$B$14</f>
        <v>2730.3449999999998</v>
      </c>
      <c r="D18" s="16">
        <f>D15*Inputs!$B$14</f>
        <v>2730.3449999999998</v>
      </c>
      <c r="E18" s="16">
        <f>E15*Inputs!$B$14</f>
        <v>2730.3449999999998</v>
      </c>
      <c r="F18" s="16">
        <f>F15*Inputs!$B$14</f>
        <v>2730.3449999999998</v>
      </c>
      <c r="G18" s="16">
        <f>G15*Inputs!$B$14</f>
        <v>2730.3449999999998</v>
      </c>
    </row>
    <row r="19" spans="1:8" x14ac:dyDescent="0.25">
      <c r="A19" s="18" t="s">
        <v>73</v>
      </c>
      <c r="B19" s="19">
        <f t="shared" ref="B19:G19" si="7">MAX(B16-B18,0)</f>
        <v>1897.2578860000008</v>
      </c>
      <c r="C19" s="19">
        <f t="shared" si="7"/>
        <v>0</v>
      </c>
      <c r="D19" s="19">
        <f t="shared" si="7"/>
        <v>745.09595245600349</v>
      </c>
      <c r="E19" s="19">
        <f t="shared" si="7"/>
        <v>3213.1970018799925</v>
      </c>
      <c r="F19" s="19">
        <f t="shared" si="7"/>
        <v>5681.2980513040038</v>
      </c>
      <c r="G19" s="19">
        <f t="shared" si="7"/>
        <v>6915.3485760160056</v>
      </c>
    </row>
    <row r="20" spans="1:8" x14ac:dyDescent="0.25">
      <c r="A20" s="18" t="s">
        <v>74</v>
      </c>
      <c r="B20" s="21">
        <f>B16*Inputs!$B$18</f>
        <v>129295.22463484002</v>
      </c>
      <c r="C20" s="21">
        <f>C16*Inputs!$B$18</f>
        <v>28145.076890714074</v>
      </c>
      <c r="D20" s="21">
        <f>D16*Inputs!$B$18</f>
        <v>97103.820211620739</v>
      </c>
      <c r="E20" s="21">
        <f>E16*Inputs!$B$18</f>
        <v>166062.56353252698</v>
      </c>
      <c r="F20" s="21">
        <f>F16*Inputs!$B$18</f>
        <v>235021.30685343387</v>
      </c>
      <c r="G20" s="21">
        <f>G16*Inputs!$B$18</f>
        <v>269500.67851388716</v>
      </c>
    </row>
    <row r="21" spans="1:8" x14ac:dyDescent="0.25">
      <c r="A21" s="5" t="s">
        <v>75</v>
      </c>
      <c r="B21" s="22">
        <f>B16*Inputs!$B$19</f>
        <v>185104.11544000002</v>
      </c>
      <c r="C21" s="22">
        <f>C16*Inputs!$B$19</f>
        <v>40293.596121279988</v>
      </c>
      <c r="D21" s="22">
        <f>D16*Inputs!$B$19</f>
        <v>139017.63809824013</v>
      </c>
      <c r="E21" s="22">
        <f>E16*Inputs!$B$19</f>
        <v>237741.68007519969</v>
      </c>
      <c r="F21" s="22">
        <f>F16*Inputs!$B$19</f>
        <v>336465.72205216013</v>
      </c>
      <c r="G21" s="22">
        <f>G16*Inputs!$B$19</f>
        <v>385827.7430406402</v>
      </c>
    </row>
    <row r="22" spans="1:8" x14ac:dyDescent="0.25">
      <c r="A22" s="5" t="s">
        <v>76</v>
      </c>
      <c r="B22" s="22">
        <f>B16*Inputs!$B$20</f>
        <v>302228.74448466004</v>
      </c>
      <c r="C22" s="22">
        <f>C16*Inputs!$B$20</f>
        <v>65789.369067019899</v>
      </c>
      <c r="D22" s="22">
        <f>D16*Inputs!$B$20</f>
        <v>226981.04860490159</v>
      </c>
      <c r="E22" s="22">
        <f>E16*Inputs!$B$20</f>
        <v>388172.72814278229</v>
      </c>
      <c r="F22" s="22">
        <f>F16*Inputs!$B$20</f>
        <v>549364.40768066444</v>
      </c>
      <c r="G22" s="22">
        <f>G16*Inputs!$B$20</f>
        <v>629960.24744960526</v>
      </c>
    </row>
    <row r="23" spans="1:8" x14ac:dyDescent="0.25">
      <c r="A23" s="5" t="s">
        <v>77</v>
      </c>
      <c r="B23" s="22">
        <f>B16*Inputs!$B$21</f>
        <v>388348.43419312005</v>
      </c>
      <c r="C23" s="22">
        <f>C16*Inputs!$B$21</f>
        <v>84535.964662445418</v>
      </c>
      <c r="D23" s="22">
        <f>D16*Inputs!$B$21</f>
        <v>291659.00473010779</v>
      </c>
      <c r="E23" s="22">
        <f>E16*Inputs!$B$21</f>
        <v>498782.04479776899</v>
      </c>
      <c r="F23" s="22">
        <f>F16*Inputs!$B$21</f>
        <v>705905.084865432</v>
      </c>
      <c r="G23" s="22">
        <f>G16*Inputs!$B$21</f>
        <v>809466.60489926313</v>
      </c>
    </row>
    <row r="24" spans="1:8" x14ac:dyDescent="0.25">
      <c r="A24" s="5" t="s">
        <v>78</v>
      </c>
      <c r="B24" s="22">
        <f>B15*Inputs!$B$18</f>
        <v>1271430.655</v>
      </c>
      <c r="C24" s="22">
        <f>C15*Inputs!$B$18</f>
        <v>1271430.655</v>
      </c>
      <c r="D24" s="22">
        <f>D15*Inputs!$B$18</f>
        <v>1271430.655</v>
      </c>
      <c r="E24" s="22">
        <f>E15*Inputs!$B$18</f>
        <v>1271430.655</v>
      </c>
      <c r="F24" s="22">
        <f>F15*Inputs!$B$18</f>
        <v>1271430.655</v>
      </c>
      <c r="G24" s="22">
        <f>G15*Inputs!$B$18</f>
        <v>1271430.655</v>
      </c>
    </row>
    <row r="25" spans="1:8" x14ac:dyDescent="0.25">
      <c r="A25" s="18" t="s">
        <v>79</v>
      </c>
      <c r="B25" s="23">
        <f t="shared" ref="B25:G25" si="8">IFERROR(B14/B15,0)</f>
        <v>0.89830729334205017</v>
      </c>
      <c r="C25" s="23">
        <f t="shared" si="8"/>
        <v>0.9778634589467925</v>
      </c>
      <c r="D25" s="23">
        <f t="shared" si="8"/>
        <v>0.92362633398073868</v>
      </c>
      <c r="E25" s="23">
        <f t="shared" si="8"/>
        <v>0.86938920901468508</v>
      </c>
      <c r="F25" s="23">
        <f t="shared" si="8"/>
        <v>0.81515208404863115</v>
      </c>
      <c r="G25" s="23">
        <f t="shared" si="8"/>
        <v>0.78803352156560424</v>
      </c>
    </row>
    <row r="27" spans="1:8" ht="20.100000000000001" customHeight="1" x14ac:dyDescent="0.25">
      <c r="A27" s="24" t="s">
        <v>80</v>
      </c>
      <c r="B27" s="25"/>
      <c r="C27" s="25"/>
      <c r="D27" s="25"/>
      <c r="E27" s="25"/>
      <c r="F27" s="25"/>
      <c r="G27" s="25"/>
      <c r="H27" s="25"/>
    </row>
    <row r="28" spans="1:8" x14ac:dyDescent="0.25">
      <c r="A28" s="27" t="s">
        <v>81</v>
      </c>
      <c r="B28" s="25"/>
      <c r="C28" s="25"/>
      <c r="D28" s="25"/>
      <c r="E28" s="25"/>
      <c r="F28" s="25"/>
      <c r="G28" s="25"/>
      <c r="H28" s="25"/>
    </row>
    <row r="29" spans="1:8" x14ac:dyDescent="0.25">
      <c r="A29" s="27" t="s">
        <v>82</v>
      </c>
      <c r="B29" s="25"/>
      <c r="C29" s="25"/>
      <c r="D29" s="25"/>
      <c r="E29" s="25"/>
      <c r="F29" s="25"/>
      <c r="G29" s="25"/>
      <c r="H29" s="25"/>
    </row>
    <row r="30" spans="1:8" x14ac:dyDescent="0.25">
      <c r="A30" s="27" t="s">
        <v>83</v>
      </c>
      <c r="B30" s="25"/>
      <c r="C30" s="25"/>
      <c r="D30" s="25"/>
      <c r="E30" s="25"/>
      <c r="F30" s="25"/>
      <c r="G30" s="25"/>
      <c r="H30" s="25"/>
    </row>
  </sheetData>
  <mergeCells count="6">
    <mergeCell ref="A3:H3"/>
    <mergeCell ref="A30:H30"/>
    <mergeCell ref="A29:H29"/>
    <mergeCell ref="A28:H28"/>
    <mergeCell ref="A1:H1"/>
    <mergeCell ref="A27:H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Inputs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Tony Widboom</cp:lastModifiedBy>
  <dcterms:modified xsi:type="dcterms:W3CDTF">2026-03-24T05:27:24Z</dcterms:modified>
</cp:coreProperties>
</file>